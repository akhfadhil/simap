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SONGGON" sheetId="2" r:id="rId5"/>
    <sheet state="visible" name="BALAK" sheetId="3" r:id="rId6"/>
    <sheet state="visible" name="SRAGI" sheetId="4" r:id="rId7"/>
    <sheet state="visible" name="PARANGHARJO" sheetId="5" r:id="rId8"/>
    <sheet state="visible" name="BEDEWANG" sheetId="6" r:id="rId9"/>
    <sheet state="visible" name="BAYU" sheetId="7" r:id="rId10"/>
    <sheet state="visible" name="SUMBERARUM" sheetId="8" r:id="rId11"/>
    <sheet state="visible" name="SUMBERBULU" sheetId="9" r:id="rId12"/>
    <sheet state="visible" name="BANGUNSARI" sheetId="10" r:id="rId13"/>
    <sheet state="visible" name="Copy of BANGUNSARI" sheetId="11" r:id="rId14"/>
  </sheets>
  <definedNames/>
  <calcPr/>
  <extLst>
    <ext uri="GoogleSheetsCustomDataVersion2">
      <go:sheetsCustomData xmlns:go="http://customooxmlschemas.google.com/" r:id="rId15" roundtripDataChecksum="0ULqRl5PpEz8EKm4RLhysIwgIZeI4E25WQIkNtxFXDw="/>
    </ext>
  </extLst>
</workbook>
</file>

<file path=xl/sharedStrings.xml><?xml version="1.0" encoding="utf-8"?>
<sst xmlns="http://schemas.openxmlformats.org/spreadsheetml/2006/main" count="1126" uniqueCount="96">
  <si>
    <t>Kecamatan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</si>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</sst>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1</v>
      </c>
      <c r="D9" s="8" t="s">
        <v>2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3</v>
      </c>
      <c r="D10" s="8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5</v>
      </c>
      <c r="B12" s="14" t="s">
        <v>6</v>
      </c>
      <c r="C12" s="15"/>
      <c r="D12" s="16"/>
      <c r="E12" s="17" t="s">
        <v>7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8</v>
      </c>
      <c r="B13" s="20" t="s">
        <v>9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10</v>
      </c>
      <c r="C14" s="23"/>
      <c r="D14" s="19" t="s">
        <v>11</v>
      </c>
      <c r="E14" s="24">
        <v>22660.0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12</v>
      </c>
      <c r="E15" s="24">
        <v>22859.0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13</v>
      </c>
      <c r="E16" s="29">
        <f>SUM(E14:E15)</f>
        <v>45519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14</v>
      </c>
      <c r="B18" s="20" t="s">
        <v>15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16</v>
      </c>
      <c r="C19" s="32" t="s">
        <v>17</v>
      </c>
      <c r="D19" s="19" t="s">
        <v>11</v>
      </c>
      <c r="E19" s="24">
        <v>16766.0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12</v>
      </c>
      <c r="E20" s="24">
        <v>18135.0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13</v>
      </c>
      <c r="E21" s="29">
        <f>SUM(E19:E20)</f>
        <v>34901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18</v>
      </c>
      <c r="C22" s="32" t="s">
        <v>19</v>
      </c>
      <c r="D22" s="19" t="s">
        <v>11</v>
      </c>
      <c r="E22" s="24">
        <v>7.0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12</v>
      </c>
      <c r="E23" s="24">
        <v>39.0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13</v>
      </c>
      <c r="E24" s="29">
        <f>SUM(E22:E23)</f>
        <v>46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20</v>
      </c>
      <c r="C25" s="32" t="s">
        <v>21</v>
      </c>
      <c r="D25" s="19" t="s">
        <v>11</v>
      </c>
      <c r="E25" s="24">
        <v>108.0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12</v>
      </c>
      <c r="E26" s="24">
        <v>111.0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13</v>
      </c>
      <c r="E27" s="29">
        <f>SUM(E25:E26)</f>
        <v>219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22</v>
      </c>
      <c r="C28" s="38" t="s">
        <v>23</v>
      </c>
      <c r="D28" s="13" t="s">
        <v>11</v>
      </c>
      <c r="E28" s="29">
        <f t="shared" ref="E28:E29" si="1">E19+E22+E25</f>
        <v>16881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12</v>
      </c>
      <c r="E29" s="29">
        <f t="shared" si="1"/>
        <v>18285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13</v>
      </c>
      <c r="E30" s="29">
        <f>SUM(E28:E29)</f>
        <v>35166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24</v>
      </c>
      <c r="B32" s="14" t="s">
        <v>25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26</v>
      </c>
      <c r="C33" s="15"/>
      <c r="D33" s="16"/>
      <c r="E33" s="24">
        <v>44892.0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27</v>
      </c>
      <c r="C34" s="15"/>
      <c r="D34" s="16"/>
      <c r="E34" s="24">
        <v>35166.0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28</v>
      </c>
      <c r="C35" s="15"/>
      <c r="D35" s="16"/>
      <c r="E35" s="24">
        <v>21.0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29</v>
      </c>
      <c r="C36" s="15"/>
      <c r="D36" s="16"/>
      <c r="E36" s="29">
        <f>E33-(E34+E35)</f>
        <v>9705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30</v>
      </c>
      <c r="B38" s="14" t="s">
        <v>31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32</v>
      </c>
      <c r="C39" s="23"/>
      <c r="D39" s="19" t="s">
        <v>11</v>
      </c>
      <c r="E39" s="24">
        <v>21.0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12</v>
      </c>
      <c r="E40" s="24">
        <v>31.0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13</v>
      </c>
      <c r="E41" s="29">
        <f>SUM(E39:E40)</f>
        <v>52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33</v>
      </c>
      <c r="B43" s="14" t="s">
        <v>34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35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36</v>
      </c>
      <c r="B45" s="47" t="s">
        <v>16</v>
      </c>
      <c r="C45" s="48" t="s">
        <v>37</v>
      </c>
      <c r="D45" s="16"/>
      <c r="E45" s="24">
        <v>2778.0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18</v>
      </c>
      <c r="C46" s="48" t="s">
        <v>38</v>
      </c>
      <c r="D46" s="16"/>
      <c r="E46" s="24">
        <v>5345.0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20</v>
      </c>
      <c r="C47" s="48" t="s">
        <v>39</v>
      </c>
      <c r="D47" s="16"/>
      <c r="E47" s="24">
        <v>2251.0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22</v>
      </c>
      <c r="C48" s="48" t="s">
        <v>40</v>
      </c>
      <c r="D48" s="16"/>
      <c r="E48" s="24">
        <v>3530.0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41</v>
      </c>
      <c r="C49" s="48" t="s">
        <v>42</v>
      </c>
      <c r="D49" s="16"/>
      <c r="E49" s="24">
        <v>2760.0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43</v>
      </c>
      <c r="C50" s="48" t="s">
        <v>44</v>
      </c>
      <c r="D50" s="16"/>
      <c r="E50" s="24">
        <v>2305.0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45</v>
      </c>
      <c r="C51" s="48" t="s">
        <v>46</v>
      </c>
      <c r="D51" s="16"/>
      <c r="E51" s="24">
        <v>440.0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47</v>
      </c>
      <c r="C52" s="48" t="s">
        <v>48</v>
      </c>
      <c r="D52" s="16"/>
      <c r="E52" s="24">
        <v>544.0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49</v>
      </c>
      <c r="C53" s="48" t="s">
        <v>50</v>
      </c>
      <c r="D53" s="16"/>
      <c r="E53" s="24">
        <v>113.0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51</v>
      </c>
      <c r="C54" s="48" t="s">
        <v>52</v>
      </c>
      <c r="D54" s="16"/>
      <c r="E54" s="24">
        <v>3616.0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53</v>
      </c>
      <c r="C55" s="48" t="s">
        <v>54</v>
      </c>
      <c r="D55" s="16"/>
      <c r="E55" s="24">
        <v>212.0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55</v>
      </c>
      <c r="C56" s="48" t="s">
        <v>56</v>
      </c>
      <c r="D56" s="16"/>
      <c r="E56" s="24">
        <v>3304.0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57</v>
      </c>
      <c r="C57" s="48" t="s">
        <v>58</v>
      </c>
      <c r="D57" s="16"/>
      <c r="E57" s="24">
        <v>308.0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59</v>
      </c>
      <c r="B59" s="14" t="s">
        <v>60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61</v>
      </c>
      <c r="C60" s="54" t="s">
        <v>62</v>
      </c>
      <c r="D60" s="16"/>
      <c r="E60" s="24">
        <v>27506.0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63</v>
      </c>
      <c r="C61" s="54" t="s">
        <v>64</v>
      </c>
      <c r="D61" s="16"/>
      <c r="E61" s="24">
        <v>7660.0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65</v>
      </c>
      <c r="C62" s="54" t="s">
        <v>66</v>
      </c>
      <c r="D62" s="16"/>
      <c r="E62" s="13">
        <f>SUM(E60:E61)</f>
        <v>35166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68</v>
      </c>
      <c r="F13" s="13" t="s">
        <v>69</v>
      </c>
      <c r="G13" s="13" t="s">
        <v>70</v>
      </c>
      <c r="H13" s="13" t="s">
        <v>71</v>
      </c>
      <c r="I13" s="13" t="s">
        <v>72</v>
      </c>
      <c r="J13" s="13" t="s">
        <v>73</v>
      </c>
      <c r="K13" s="13" t="s">
        <v>74</v>
      </c>
      <c r="L13" s="13" t="s">
        <v>75</v>
      </c>
      <c r="M13" s="13" t="s">
        <v>76</v>
      </c>
      <c r="N13" s="13" t="s">
        <v>77</v>
      </c>
      <c r="O13" s="13" t="s">
        <v>78</v>
      </c>
      <c r="P13" s="13" t="s">
        <v>79</v>
      </c>
      <c r="Q13" s="13" t="s">
        <v>80</v>
      </c>
      <c r="R13" s="13" t="s">
        <v>81</v>
      </c>
      <c r="S13" s="13" t="s">
        <v>82</v>
      </c>
      <c r="T13" s="13" t="s">
        <v>83</v>
      </c>
      <c r="U13" s="13" t="s">
        <v>84</v>
      </c>
      <c r="V13" s="13" t="s">
        <v>85</v>
      </c>
      <c r="W13" s="13" t="s">
        <v>86</v>
      </c>
      <c r="X13" s="13" t="s">
        <v>87</v>
      </c>
      <c r="Y13" s="13" t="s">
        <v>88</v>
      </c>
      <c r="Z13" s="13" t="s">
        <v>89</v>
      </c>
      <c r="AA13" s="13" t="s">
        <v>90</v>
      </c>
      <c r="AB13" s="13" t="s">
        <v>91</v>
      </c>
      <c r="AC13" s="13" t="s">
        <v>92</v>
      </c>
      <c r="AD13" s="13" t="s">
        <v>93</v>
      </c>
      <c r="AE13" s="13" t="s">
        <v>94</v>
      </c>
      <c r="AF13" s="36"/>
    </row>
    <row r="14" ht="12.75" customHeight="1">
      <c r="A14" s="18"/>
      <c r="B14" s="22" t="s">
        <v>10</v>
      </c>
      <c r="C14" s="23"/>
      <c r="D14" s="19" t="s">
        <v>11</v>
      </c>
      <c r="E14" s="19">
        <v>105.0</v>
      </c>
      <c r="F14" s="19">
        <v>135.0</v>
      </c>
      <c r="G14" s="19">
        <v>112.0</v>
      </c>
      <c r="H14" s="19">
        <v>110.0</v>
      </c>
      <c r="I14" s="19">
        <v>120.0</v>
      </c>
      <c r="J14" s="19">
        <v>136.0</v>
      </c>
      <c r="K14" s="19">
        <v>146.0</v>
      </c>
      <c r="L14" s="19">
        <v>92.0</v>
      </c>
      <c r="M14" s="19">
        <v>81.0</v>
      </c>
      <c r="N14" s="19">
        <v>119.0</v>
      </c>
      <c r="O14" s="19">
        <v>140.0</v>
      </c>
      <c r="P14" s="19">
        <v>140.0</v>
      </c>
      <c r="Q14" s="19">
        <v>140.0</v>
      </c>
      <c r="R14" s="19">
        <v>145.0</v>
      </c>
      <c r="S14" s="19">
        <v>139.0</v>
      </c>
      <c r="T14" s="19">
        <v>94.0</v>
      </c>
      <c r="U14" s="19">
        <v>127.0</v>
      </c>
      <c r="V14" s="19">
        <v>157.0</v>
      </c>
      <c r="W14" s="19">
        <v>149.0</v>
      </c>
      <c r="X14" s="19">
        <v>127.0</v>
      </c>
      <c r="Y14" s="19">
        <v>140.0</v>
      </c>
      <c r="Z14" s="19">
        <v>127.0</v>
      </c>
      <c r="AA14" s="19">
        <v>122.0</v>
      </c>
      <c r="AB14" s="19">
        <v>147.0</v>
      </c>
      <c r="AC14" s="19">
        <v>150.0</v>
      </c>
      <c r="AD14" s="19">
        <v>148.0</v>
      </c>
      <c r="AE14" s="19">
        <v>136.0</v>
      </c>
      <c r="AF14" s="13">
        <f t="shared" ref="AF14:AF16" si="1">SUM(E14:AE14)</f>
        <v>3484</v>
      </c>
    </row>
    <row r="15" ht="12.75" customHeight="1">
      <c r="A15" s="18"/>
      <c r="B15" s="26"/>
      <c r="C15" s="27"/>
      <c r="D15" s="19" t="s">
        <v>12</v>
      </c>
      <c r="E15" s="19">
        <v>127.0</v>
      </c>
      <c r="F15" s="19">
        <v>134.0</v>
      </c>
      <c r="G15" s="19">
        <v>128.0</v>
      </c>
      <c r="H15" s="19">
        <v>110.0</v>
      </c>
      <c r="I15" s="19">
        <v>127.0</v>
      </c>
      <c r="J15" s="19">
        <v>130.0</v>
      </c>
      <c r="K15" s="19">
        <v>142.0</v>
      </c>
      <c r="L15" s="19">
        <v>98.0</v>
      </c>
      <c r="M15" s="19">
        <v>97.0</v>
      </c>
      <c r="N15" s="19">
        <v>129.0</v>
      </c>
      <c r="O15" s="19">
        <v>140.0</v>
      </c>
      <c r="P15" s="19">
        <v>136.0</v>
      </c>
      <c r="Q15" s="19">
        <v>134.0</v>
      </c>
      <c r="R15" s="19">
        <v>139.0</v>
      </c>
      <c r="S15" s="19">
        <v>141.0</v>
      </c>
      <c r="T15" s="19">
        <v>103.0</v>
      </c>
      <c r="U15" s="19">
        <v>127.0</v>
      </c>
      <c r="V15" s="19">
        <v>142.0</v>
      </c>
      <c r="W15" s="19">
        <v>148.0</v>
      </c>
      <c r="X15" s="19">
        <v>131.0</v>
      </c>
      <c r="Y15" s="19">
        <v>150.0</v>
      </c>
      <c r="Z15" s="19">
        <v>137.0</v>
      </c>
      <c r="AA15" s="19">
        <v>110.0</v>
      </c>
      <c r="AB15" s="19">
        <v>132.0</v>
      </c>
      <c r="AC15" s="19">
        <v>148.0</v>
      </c>
      <c r="AD15" s="19">
        <v>151.0</v>
      </c>
      <c r="AE15" s="19">
        <v>144.0</v>
      </c>
      <c r="AF15" s="13">
        <f t="shared" si="1"/>
        <v>3535</v>
      </c>
    </row>
    <row r="16" ht="12.75" customHeight="1">
      <c r="A16" s="25"/>
      <c r="B16" s="21"/>
      <c r="C16" s="28"/>
      <c r="D16" s="13" t="s">
        <v>13</v>
      </c>
      <c r="E16" s="13">
        <f t="shared" ref="E16:AE16" si="2">SUM(E14:E15)</f>
        <v>232</v>
      </c>
      <c r="F16" s="13">
        <f t="shared" si="2"/>
        <v>269</v>
      </c>
      <c r="G16" s="13">
        <f t="shared" si="2"/>
        <v>240</v>
      </c>
      <c r="H16" s="13">
        <f t="shared" si="2"/>
        <v>220</v>
      </c>
      <c r="I16" s="13">
        <f t="shared" si="2"/>
        <v>247</v>
      </c>
      <c r="J16" s="13">
        <f t="shared" si="2"/>
        <v>266</v>
      </c>
      <c r="K16" s="13">
        <f t="shared" si="2"/>
        <v>288</v>
      </c>
      <c r="L16" s="13">
        <f t="shared" si="2"/>
        <v>190</v>
      </c>
      <c r="M16" s="13">
        <f t="shared" si="2"/>
        <v>178</v>
      </c>
      <c r="N16" s="13">
        <f t="shared" si="2"/>
        <v>248</v>
      </c>
      <c r="O16" s="13">
        <f t="shared" si="2"/>
        <v>280</v>
      </c>
      <c r="P16" s="13">
        <f t="shared" si="2"/>
        <v>276</v>
      </c>
      <c r="Q16" s="13">
        <f t="shared" si="2"/>
        <v>274</v>
      </c>
      <c r="R16" s="13">
        <f t="shared" si="2"/>
        <v>284</v>
      </c>
      <c r="S16" s="13">
        <f t="shared" si="2"/>
        <v>280</v>
      </c>
      <c r="T16" s="13">
        <f t="shared" si="2"/>
        <v>197</v>
      </c>
      <c r="U16" s="13">
        <f t="shared" si="2"/>
        <v>254</v>
      </c>
      <c r="V16" s="13">
        <f t="shared" si="2"/>
        <v>299</v>
      </c>
      <c r="W16" s="13">
        <f t="shared" si="2"/>
        <v>297</v>
      </c>
      <c r="X16" s="13">
        <f t="shared" si="2"/>
        <v>258</v>
      </c>
      <c r="Y16" s="13">
        <f t="shared" si="2"/>
        <v>290</v>
      </c>
      <c r="Z16" s="13">
        <f t="shared" si="2"/>
        <v>264</v>
      </c>
      <c r="AA16" s="13">
        <f t="shared" si="2"/>
        <v>232</v>
      </c>
      <c r="AB16" s="13">
        <f t="shared" si="2"/>
        <v>279</v>
      </c>
      <c r="AC16" s="13">
        <f t="shared" si="2"/>
        <v>298</v>
      </c>
      <c r="AD16" s="13">
        <f t="shared" si="2"/>
        <v>299</v>
      </c>
      <c r="AE16" s="13">
        <f t="shared" si="2"/>
        <v>280</v>
      </c>
      <c r="AF16" s="13">
        <f t="shared" si="1"/>
        <v>7019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59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59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77.0</v>
      </c>
      <c r="F19" s="19">
        <v>95.0</v>
      </c>
      <c r="G19" s="19">
        <v>67.0</v>
      </c>
      <c r="H19" s="19">
        <v>84.0</v>
      </c>
      <c r="I19" s="19">
        <v>101.0</v>
      </c>
      <c r="J19" s="19">
        <v>95.0</v>
      </c>
      <c r="K19" s="19">
        <v>104.0</v>
      </c>
      <c r="L19" s="19">
        <v>65.0</v>
      </c>
      <c r="M19" s="19">
        <v>59.0</v>
      </c>
      <c r="N19" s="19">
        <v>80.0</v>
      </c>
      <c r="O19" s="19">
        <v>108.0</v>
      </c>
      <c r="P19" s="19">
        <v>103.0</v>
      </c>
      <c r="Q19" s="19">
        <v>109.0</v>
      </c>
      <c r="R19" s="19">
        <v>105.0</v>
      </c>
      <c r="S19" s="19">
        <v>101.0</v>
      </c>
      <c r="T19" s="19">
        <v>76.0</v>
      </c>
      <c r="U19" s="19">
        <v>95.0</v>
      </c>
      <c r="V19" s="19">
        <v>119.0</v>
      </c>
      <c r="W19" s="19">
        <v>110.0</v>
      </c>
      <c r="X19" s="19">
        <v>95.0</v>
      </c>
      <c r="Y19" s="19">
        <v>99.0</v>
      </c>
      <c r="Z19" s="19">
        <v>98.0</v>
      </c>
      <c r="AA19" s="19">
        <v>95.0</v>
      </c>
      <c r="AB19" s="19">
        <v>110.0</v>
      </c>
      <c r="AC19" s="19">
        <v>115.0</v>
      </c>
      <c r="AD19" s="19">
        <v>127.0</v>
      </c>
      <c r="AE19" s="19">
        <v>112.0</v>
      </c>
      <c r="AF19" s="13">
        <f t="shared" ref="AF19:AF30" si="3">SUM(E19:AE19)</f>
        <v>2604</v>
      </c>
    </row>
    <row r="20" ht="12.75" customHeight="1">
      <c r="A20" s="33"/>
      <c r="B20" s="27"/>
      <c r="C20" s="34"/>
      <c r="D20" s="19" t="s">
        <v>12</v>
      </c>
      <c r="E20" s="19">
        <v>107.0</v>
      </c>
      <c r="F20" s="19">
        <v>106.0</v>
      </c>
      <c r="G20" s="19">
        <v>88.0</v>
      </c>
      <c r="H20" s="19">
        <v>90.0</v>
      </c>
      <c r="I20" s="19">
        <v>104.0</v>
      </c>
      <c r="J20" s="19">
        <v>104.0</v>
      </c>
      <c r="K20" s="19">
        <v>108.0</v>
      </c>
      <c r="L20" s="19">
        <v>69.0</v>
      </c>
      <c r="M20" s="19">
        <v>68.0</v>
      </c>
      <c r="N20" s="19">
        <v>100.0</v>
      </c>
      <c r="O20" s="19">
        <v>108.0</v>
      </c>
      <c r="P20" s="19">
        <v>115.0</v>
      </c>
      <c r="Q20" s="19">
        <v>103.0</v>
      </c>
      <c r="R20" s="19">
        <v>115.0</v>
      </c>
      <c r="S20" s="19">
        <v>115.0</v>
      </c>
      <c r="T20" s="19">
        <v>81.0</v>
      </c>
      <c r="U20" s="19">
        <v>105.0</v>
      </c>
      <c r="V20" s="19">
        <v>120.0</v>
      </c>
      <c r="W20" s="19">
        <v>128.0</v>
      </c>
      <c r="X20" s="19">
        <v>110.0</v>
      </c>
      <c r="Y20" s="19">
        <v>116.0</v>
      </c>
      <c r="Z20" s="19">
        <v>116.0</v>
      </c>
      <c r="AA20" s="19">
        <v>93.0</v>
      </c>
      <c r="AB20" s="19">
        <v>109.0</v>
      </c>
      <c r="AC20" s="19">
        <v>114.0</v>
      </c>
      <c r="AD20" s="19">
        <v>132.0</v>
      </c>
      <c r="AE20" s="19">
        <v>127.0</v>
      </c>
      <c r="AF20" s="13">
        <f t="shared" si="3"/>
        <v>2851</v>
      </c>
    </row>
    <row r="21" ht="12.75" customHeight="1">
      <c r="A21" s="35"/>
      <c r="B21" s="28"/>
      <c r="C21" s="36"/>
      <c r="D21" s="13" t="s">
        <v>13</v>
      </c>
      <c r="E21" s="13">
        <f t="shared" ref="E21:AE21" si="4">SUM(E19:E20)</f>
        <v>184</v>
      </c>
      <c r="F21" s="13">
        <f t="shared" si="4"/>
        <v>201</v>
      </c>
      <c r="G21" s="13">
        <f t="shared" si="4"/>
        <v>155</v>
      </c>
      <c r="H21" s="13">
        <f t="shared" si="4"/>
        <v>174</v>
      </c>
      <c r="I21" s="13">
        <f t="shared" si="4"/>
        <v>205</v>
      </c>
      <c r="J21" s="13">
        <f t="shared" si="4"/>
        <v>199</v>
      </c>
      <c r="K21" s="13">
        <f t="shared" si="4"/>
        <v>212</v>
      </c>
      <c r="L21" s="13">
        <f t="shared" si="4"/>
        <v>134</v>
      </c>
      <c r="M21" s="13">
        <f t="shared" si="4"/>
        <v>127</v>
      </c>
      <c r="N21" s="13">
        <f t="shared" si="4"/>
        <v>180</v>
      </c>
      <c r="O21" s="13">
        <f t="shared" si="4"/>
        <v>216</v>
      </c>
      <c r="P21" s="13">
        <f t="shared" si="4"/>
        <v>218</v>
      </c>
      <c r="Q21" s="13">
        <f t="shared" si="4"/>
        <v>212</v>
      </c>
      <c r="R21" s="13">
        <f t="shared" si="4"/>
        <v>220</v>
      </c>
      <c r="S21" s="13">
        <f t="shared" si="4"/>
        <v>216</v>
      </c>
      <c r="T21" s="13">
        <f t="shared" si="4"/>
        <v>157</v>
      </c>
      <c r="U21" s="13">
        <f t="shared" si="4"/>
        <v>200</v>
      </c>
      <c r="V21" s="13">
        <f t="shared" si="4"/>
        <v>239</v>
      </c>
      <c r="W21" s="13">
        <f t="shared" si="4"/>
        <v>238</v>
      </c>
      <c r="X21" s="13">
        <f t="shared" si="4"/>
        <v>205</v>
      </c>
      <c r="Y21" s="13">
        <f t="shared" si="4"/>
        <v>215</v>
      </c>
      <c r="Z21" s="13">
        <f t="shared" si="4"/>
        <v>214</v>
      </c>
      <c r="AA21" s="13">
        <f t="shared" si="4"/>
        <v>188</v>
      </c>
      <c r="AB21" s="13">
        <f t="shared" si="4"/>
        <v>219</v>
      </c>
      <c r="AC21" s="13">
        <f t="shared" si="4"/>
        <v>229</v>
      </c>
      <c r="AD21" s="13">
        <f t="shared" si="4"/>
        <v>259</v>
      </c>
      <c r="AE21" s="13">
        <f t="shared" si="4"/>
        <v>239</v>
      </c>
      <c r="AF21" s="13">
        <f t="shared" si="3"/>
        <v>5455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1.0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1.0</v>
      </c>
      <c r="W23" s="19">
        <v>1.0</v>
      </c>
      <c r="X23" s="19">
        <v>0.0</v>
      </c>
      <c r="Y23" s="19">
        <v>1.0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2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2.0</v>
      </c>
      <c r="G25" s="19">
        <v>1.0</v>
      </c>
      <c r="H25" s="19">
        <v>1.0</v>
      </c>
      <c r="I25" s="19">
        <v>3.0</v>
      </c>
      <c r="J25" s="19">
        <v>0.0</v>
      </c>
      <c r="K25" s="19">
        <v>0.0</v>
      </c>
      <c r="L25" s="19">
        <v>0.0</v>
      </c>
      <c r="M25" s="19">
        <v>0.0</v>
      </c>
      <c r="N25" s="19">
        <v>1.0</v>
      </c>
      <c r="O25" s="19">
        <v>1.0</v>
      </c>
      <c r="P25" s="19">
        <v>2.0</v>
      </c>
      <c r="Q25" s="19">
        <v>1.0</v>
      </c>
      <c r="R25" s="19">
        <v>1.0</v>
      </c>
      <c r="S25" s="19">
        <v>0.0</v>
      </c>
      <c r="T25" s="19">
        <v>1.0</v>
      </c>
      <c r="U25" s="19">
        <v>0.0</v>
      </c>
      <c r="V25" s="19">
        <v>0.0</v>
      </c>
      <c r="W25" s="19">
        <v>5.0</v>
      </c>
      <c r="X25" s="19">
        <v>0.0</v>
      </c>
      <c r="Y25" s="19">
        <v>0.0</v>
      </c>
      <c r="Z25" s="19">
        <v>1.0</v>
      </c>
      <c r="AA25" s="19">
        <v>1.0</v>
      </c>
      <c r="AB25" s="19">
        <v>0.0</v>
      </c>
      <c r="AC25" s="19">
        <v>0.0</v>
      </c>
      <c r="AD25" s="19">
        <v>0.0</v>
      </c>
      <c r="AE25" s="19">
        <v>0.0</v>
      </c>
      <c r="AF25" s="13">
        <f t="shared" si="3"/>
        <v>21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1.0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4.0</v>
      </c>
      <c r="X26" s="19">
        <v>1.0</v>
      </c>
      <c r="Y26" s="19">
        <v>1.0</v>
      </c>
      <c r="Z26" s="19">
        <v>0.0</v>
      </c>
      <c r="AA26" s="19">
        <v>2.0</v>
      </c>
      <c r="AB26" s="19">
        <v>0.0</v>
      </c>
      <c r="AC26" s="19">
        <v>0.0</v>
      </c>
      <c r="AD26" s="19">
        <v>0.0</v>
      </c>
      <c r="AE26" s="19">
        <v>0.0</v>
      </c>
      <c r="AF26" s="13">
        <f t="shared" si="3"/>
        <v>12</v>
      </c>
    </row>
    <row r="27" ht="12.75" customHeight="1">
      <c r="A27" s="35"/>
      <c r="B27" s="28"/>
      <c r="C27" s="36"/>
      <c r="D27" s="13" t="s">
        <v>13</v>
      </c>
      <c r="E27" s="13">
        <f t="shared" ref="E27:AE27" si="6">SUM(E25:E26)</f>
        <v>1</v>
      </c>
      <c r="F27" s="13">
        <f t="shared" si="6"/>
        <v>2</v>
      </c>
      <c r="G27" s="13">
        <f t="shared" si="6"/>
        <v>1</v>
      </c>
      <c r="H27" s="13">
        <f t="shared" si="6"/>
        <v>1</v>
      </c>
      <c r="I27" s="13">
        <f t="shared" si="6"/>
        <v>4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1</v>
      </c>
      <c r="O27" s="13">
        <f t="shared" si="6"/>
        <v>1</v>
      </c>
      <c r="P27" s="13">
        <f t="shared" si="6"/>
        <v>2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0</v>
      </c>
      <c r="W27" s="13">
        <f t="shared" si="6"/>
        <v>9</v>
      </c>
      <c r="X27" s="13">
        <f t="shared" si="6"/>
        <v>1</v>
      </c>
      <c r="Y27" s="13">
        <f t="shared" si="6"/>
        <v>1</v>
      </c>
      <c r="Z27" s="13">
        <f t="shared" si="6"/>
        <v>1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33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E28" si="7">SUM(E19,E22,E25)</f>
        <v>77</v>
      </c>
      <c r="F28" s="13">
        <f t="shared" si="7"/>
        <v>97</v>
      </c>
      <c r="G28" s="13">
        <f t="shared" si="7"/>
        <v>68</v>
      </c>
      <c r="H28" s="13">
        <f t="shared" si="7"/>
        <v>85</v>
      </c>
      <c r="I28" s="13">
        <f t="shared" si="7"/>
        <v>104</v>
      </c>
      <c r="J28" s="13">
        <f t="shared" si="7"/>
        <v>95</v>
      </c>
      <c r="K28" s="13">
        <f t="shared" si="7"/>
        <v>104</v>
      </c>
      <c r="L28" s="13">
        <f t="shared" si="7"/>
        <v>65</v>
      </c>
      <c r="M28" s="13">
        <f t="shared" si="7"/>
        <v>59</v>
      </c>
      <c r="N28" s="13">
        <f t="shared" si="7"/>
        <v>81</v>
      </c>
      <c r="O28" s="13">
        <f t="shared" si="7"/>
        <v>109</v>
      </c>
      <c r="P28" s="13">
        <f t="shared" si="7"/>
        <v>105</v>
      </c>
      <c r="Q28" s="13">
        <f t="shared" si="7"/>
        <v>110</v>
      </c>
      <c r="R28" s="13">
        <f t="shared" si="7"/>
        <v>106</v>
      </c>
      <c r="S28" s="13">
        <f t="shared" si="7"/>
        <v>101</v>
      </c>
      <c r="T28" s="13">
        <f t="shared" si="7"/>
        <v>77</v>
      </c>
      <c r="U28" s="13">
        <f t="shared" si="7"/>
        <v>95</v>
      </c>
      <c r="V28" s="13">
        <f t="shared" si="7"/>
        <v>119</v>
      </c>
      <c r="W28" s="13">
        <f t="shared" si="7"/>
        <v>116</v>
      </c>
      <c r="X28" s="13">
        <f t="shared" si="7"/>
        <v>95</v>
      </c>
      <c r="Y28" s="13">
        <f t="shared" si="7"/>
        <v>99</v>
      </c>
      <c r="Z28" s="13">
        <f t="shared" si="7"/>
        <v>99</v>
      </c>
      <c r="AA28" s="13">
        <f t="shared" si="7"/>
        <v>96</v>
      </c>
      <c r="AB28" s="13">
        <f t="shared" si="7"/>
        <v>110</v>
      </c>
      <c r="AC28" s="13">
        <f t="shared" si="7"/>
        <v>115</v>
      </c>
      <c r="AD28" s="13">
        <f t="shared" si="7"/>
        <v>127</v>
      </c>
      <c r="AE28" s="13">
        <f t="shared" si="7"/>
        <v>112</v>
      </c>
      <c r="AF28" s="13">
        <f t="shared" si="3"/>
        <v>2626</v>
      </c>
    </row>
    <row r="29" ht="12.75" customHeight="1">
      <c r="A29" s="35"/>
      <c r="B29" s="27"/>
      <c r="C29" s="34"/>
      <c r="D29" s="13" t="s">
        <v>12</v>
      </c>
      <c r="E29" s="13">
        <f t="shared" ref="E29:AE29" si="8">SUM(E20,E23,E26)</f>
        <v>108</v>
      </c>
      <c r="F29" s="13">
        <f t="shared" si="8"/>
        <v>106</v>
      </c>
      <c r="G29" s="13">
        <f t="shared" si="8"/>
        <v>88</v>
      </c>
      <c r="H29" s="13">
        <f t="shared" si="8"/>
        <v>90</v>
      </c>
      <c r="I29" s="13">
        <f t="shared" si="8"/>
        <v>105</v>
      </c>
      <c r="J29" s="13">
        <f t="shared" si="8"/>
        <v>104</v>
      </c>
      <c r="K29" s="13">
        <f t="shared" si="8"/>
        <v>108</v>
      </c>
      <c r="L29" s="13">
        <f t="shared" si="8"/>
        <v>69</v>
      </c>
      <c r="M29" s="13">
        <f t="shared" si="8"/>
        <v>68</v>
      </c>
      <c r="N29" s="13">
        <f t="shared" si="8"/>
        <v>100</v>
      </c>
      <c r="O29" s="13">
        <f t="shared" si="8"/>
        <v>108</v>
      </c>
      <c r="P29" s="13">
        <f t="shared" si="8"/>
        <v>116</v>
      </c>
      <c r="Q29" s="13">
        <f t="shared" si="8"/>
        <v>104</v>
      </c>
      <c r="R29" s="13">
        <f t="shared" si="8"/>
        <v>116</v>
      </c>
      <c r="S29" s="13">
        <f t="shared" si="8"/>
        <v>115</v>
      </c>
      <c r="T29" s="13">
        <f t="shared" si="8"/>
        <v>81</v>
      </c>
      <c r="U29" s="13">
        <f t="shared" si="8"/>
        <v>105</v>
      </c>
      <c r="V29" s="13">
        <f t="shared" si="8"/>
        <v>121</v>
      </c>
      <c r="W29" s="13">
        <f t="shared" si="8"/>
        <v>133</v>
      </c>
      <c r="X29" s="13">
        <f t="shared" si="8"/>
        <v>111</v>
      </c>
      <c r="Y29" s="13">
        <f t="shared" si="8"/>
        <v>118</v>
      </c>
      <c r="Z29" s="13">
        <f t="shared" si="8"/>
        <v>116</v>
      </c>
      <c r="AA29" s="13">
        <f t="shared" si="8"/>
        <v>95</v>
      </c>
      <c r="AB29" s="13">
        <f t="shared" si="8"/>
        <v>109</v>
      </c>
      <c r="AC29" s="13">
        <f t="shared" si="8"/>
        <v>114</v>
      </c>
      <c r="AD29" s="13">
        <f t="shared" si="8"/>
        <v>132</v>
      </c>
      <c r="AE29" s="13">
        <f t="shared" si="8"/>
        <v>127</v>
      </c>
      <c r="AF29" s="13">
        <f t="shared" si="3"/>
        <v>2867</v>
      </c>
    </row>
    <row r="30" ht="12.75" customHeight="1">
      <c r="A30" s="35"/>
      <c r="B30" s="28"/>
      <c r="C30" s="36"/>
      <c r="D30" s="13" t="s">
        <v>13</v>
      </c>
      <c r="E30" s="13">
        <f t="shared" ref="E30:AE30" si="9">SUM(E28:E29)</f>
        <v>185</v>
      </c>
      <c r="F30" s="13">
        <f t="shared" si="9"/>
        <v>203</v>
      </c>
      <c r="G30" s="13">
        <f t="shared" si="9"/>
        <v>156</v>
      </c>
      <c r="H30" s="13">
        <f t="shared" si="9"/>
        <v>175</v>
      </c>
      <c r="I30" s="13">
        <f t="shared" si="9"/>
        <v>209</v>
      </c>
      <c r="J30" s="13">
        <f t="shared" si="9"/>
        <v>199</v>
      </c>
      <c r="K30" s="13">
        <f t="shared" si="9"/>
        <v>212</v>
      </c>
      <c r="L30" s="13">
        <f t="shared" si="9"/>
        <v>134</v>
      </c>
      <c r="M30" s="13">
        <f t="shared" si="9"/>
        <v>127</v>
      </c>
      <c r="N30" s="13">
        <f t="shared" si="9"/>
        <v>181</v>
      </c>
      <c r="O30" s="13">
        <f t="shared" si="9"/>
        <v>217</v>
      </c>
      <c r="P30" s="13">
        <f t="shared" si="9"/>
        <v>221</v>
      </c>
      <c r="Q30" s="13">
        <f t="shared" si="9"/>
        <v>214</v>
      </c>
      <c r="R30" s="13">
        <f t="shared" si="9"/>
        <v>222</v>
      </c>
      <c r="S30" s="13">
        <f t="shared" si="9"/>
        <v>216</v>
      </c>
      <c r="T30" s="13">
        <f t="shared" si="9"/>
        <v>158</v>
      </c>
      <c r="U30" s="13">
        <f t="shared" si="9"/>
        <v>200</v>
      </c>
      <c r="V30" s="13">
        <f t="shared" si="9"/>
        <v>240</v>
      </c>
      <c r="W30" s="13">
        <f t="shared" si="9"/>
        <v>249</v>
      </c>
      <c r="X30" s="13">
        <f t="shared" si="9"/>
        <v>206</v>
      </c>
      <c r="Y30" s="13">
        <f t="shared" si="9"/>
        <v>217</v>
      </c>
      <c r="Z30" s="13">
        <f t="shared" si="9"/>
        <v>215</v>
      </c>
      <c r="AA30" s="13">
        <f t="shared" si="9"/>
        <v>191</v>
      </c>
      <c r="AB30" s="13">
        <f t="shared" si="9"/>
        <v>219</v>
      </c>
      <c r="AC30" s="13">
        <f t="shared" si="9"/>
        <v>229</v>
      </c>
      <c r="AD30" s="13">
        <f t="shared" si="9"/>
        <v>259</v>
      </c>
      <c r="AE30" s="13">
        <f t="shared" si="9"/>
        <v>239</v>
      </c>
      <c r="AF30" s="13">
        <f t="shared" si="3"/>
        <v>5493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59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59"/>
    </row>
    <row r="33" ht="12.75" customHeight="1">
      <c r="A33" s="19">
        <v>1.0</v>
      </c>
      <c r="B33" s="20" t="s">
        <v>26</v>
      </c>
      <c r="C33" s="15"/>
      <c r="D33" s="16"/>
      <c r="E33" s="19">
        <v>226.0</v>
      </c>
      <c r="F33" s="19">
        <v>265.0</v>
      </c>
      <c r="G33" s="19">
        <v>234.0</v>
      </c>
      <c r="H33" s="19">
        <v>214.0</v>
      </c>
      <c r="I33" s="19">
        <v>240.0</v>
      </c>
      <c r="J33" s="19">
        <v>261.0</v>
      </c>
      <c r="K33" s="19">
        <v>284.0</v>
      </c>
      <c r="L33" s="19">
        <v>183.0</v>
      </c>
      <c r="M33" s="19">
        <v>171.0</v>
      </c>
      <c r="N33" s="19">
        <v>243.0</v>
      </c>
      <c r="O33" s="19">
        <v>286.0</v>
      </c>
      <c r="P33" s="19">
        <v>271.0</v>
      </c>
      <c r="Q33" s="19">
        <v>218.0</v>
      </c>
      <c r="R33" s="19">
        <v>238.0</v>
      </c>
      <c r="S33" s="19">
        <v>245.0</v>
      </c>
      <c r="T33" s="19">
        <v>191.0</v>
      </c>
      <c r="U33" s="19">
        <v>259.0</v>
      </c>
      <c r="V33" s="19">
        <v>294.0</v>
      </c>
      <c r="W33" s="19">
        <v>273.0</v>
      </c>
      <c r="X33" s="19">
        <v>243.0</v>
      </c>
      <c r="Y33" s="19">
        <v>286.0</v>
      </c>
      <c r="Z33" s="19">
        <v>219.0</v>
      </c>
      <c r="AA33" s="19">
        <v>217.0</v>
      </c>
      <c r="AB33" s="19">
        <v>279.0</v>
      </c>
      <c r="AC33" s="19">
        <v>278.0</v>
      </c>
      <c r="AD33" s="19">
        <v>283.0</v>
      </c>
      <c r="AE33" s="19">
        <v>250.0</v>
      </c>
      <c r="AF33" s="13">
        <f t="shared" ref="AF33:AF36" si="10">SUM(E33:AE33)</f>
        <v>6651</v>
      </c>
    </row>
    <row r="34" ht="12.75" customHeight="1">
      <c r="A34" s="19">
        <v>2.0</v>
      </c>
      <c r="B34" s="20" t="s">
        <v>27</v>
      </c>
      <c r="C34" s="15"/>
      <c r="D34" s="16"/>
      <c r="E34" s="13">
        <v>185.0</v>
      </c>
      <c r="F34" s="13">
        <v>203.0</v>
      </c>
      <c r="G34" s="13">
        <v>156.0</v>
      </c>
      <c r="H34" s="13">
        <v>175.0</v>
      </c>
      <c r="I34" s="13">
        <v>209.0</v>
      </c>
      <c r="J34" s="13">
        <v>199.0</v>
      </c>
      <c r="K34" s="13">
        <v>212.0</v>
      </c>
      <c r="L34" s="13">
        <v>134.0</v>
      </c>
      <c r="M34" s="13">
        <v>127.0</v>
      </c>
      <c r="N34" s="13">
        <v>181.0</v>
      </c>
      <c r="O34" s="13">
        <v>217.0</v>
      </c>
      <c r="P34" s="13">
        <v>221.0</v>
      </c>
      <c r="Q34" s="13">
        <v>214.0</v>
      </c>
      <c r="R34" s="13">
        <v>222.0</v>
      </c>
      <c r="S34" s="13">
        <v>216.0</v>
      </c>
      <c r="T34" s="13">
        <v>158.0</v>
      </c>
      <c r="U34" s="13">
        <v>200.0</v>
      </c>
      <c r="V34" s="13">
        <v>240.0</v>
      </c>
      <c r="W34" s="13">
        <v>249.0</v>
      </c>
      <c r="X34" s="13">
        <v>206.0</v>
      </c>
      <c r="Y34" s="13">
        <v>217.0</v>
      </c>
      <c r="Z34" s="13">
        <v>215.0</v>
      </c>
      <c r="AA34" s="13">
        <v>191.0</v>
      </c>
      <c r="AB34" s="13">
        <v>219.0</v>
      </c>
      <c r="AC34" s="13">
        <v>229.0</v>
      </c>
      <c r="AD34" s="13">
        <v>259.0</v>
      </c>
      <c r="AE34" s="13">
        <v>239.0</v>
      </c>
      <c r="AF34" s="13">
        <f t="shared" si="10"/>
        <v>5493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E36" si="11">E33-(E34+E35)</f>
        <v>41</v>
      </c>
      <c r="F36" s="13">
        <f t="shared" si="11"/>
        <v>62</v>
      </c>
      <c r="G36" s="13">
        <f t="shared" si="11"/>
        <v>78</v>
      </c>
      <c r="H36" s="13">
        <f t="shared" si="11"/>
        <v>39</v>
      </c>
      <c r="I36" s="13">
        <f t="shared" si="11"/>
        <v>31</v>
      </c>
      <c r="J36" s="13">
        <f t="shared" si="11"/>
        <v>62</v>
      </c>
      <c r="K36" s="13">
        <f t="shared" si="11"/>
        <v>72</v>
      </c>
      <c r="L36" s="13">
        <f t="shared" si="11"/>
        <v>49</v>
      </c>
      <c r="M36" s="13">
        <f t="shared" si="11"/>
        <v>44</v>
      </c>
      <c r="N36" s="13">
        <f t="shared" si="11"/>
        <v>62</v>
      </c>
      <c r="O36" s="13">
        <f t="shared" si="11"/>
        <v>68</v>
      </c>
      <c r="P36" s="13">
        <f t="shared" si="11"/>
        <v>50</v>
      </c>
      <c r="Q36" s="13">
        <f t="shared" si="11"/>
        <v>4</v>
      </c>
      <c r="R36" s="13">
        <f t="shared" si="11"/>
        <v>16</v>
      </c>
      <c r="S36" s="13">
        <f t="shared" si="11"/>
        <v>29</v>
      </c>
      <c r="T36" s="13">
        <f t="shared" si="11"/>
        <v>33</v>
      </c>
      <c r="U36" s="13">
        <f t="shared" si="11"/>
        <v>59</v>
      </c>
      <c r="V36" s="13">
        <f t="shared" si="11"/>
        <v>54</v>
      </c>
      <c r="W36" s="13">
        <f t="shared" si="11"/>
        <v>24</v>
      </c>
      <c r="X36" s="13">
        <f t="shared" si="11"/>
        <v>37</v>
      </c>
      <c r="Y36" s="13">
        <f t="shared" si="11"/>
        <v>68</v>
      </c>
      <c r="Z36" s="13">
        <f t="shared" si="11"/>
        <v>4</v>
      </c>
      <c r="AA36" s="13">
        <f t="shared" si="11"/>
        <v>26</v>
      </c>
      <c r="AB36" s="13">
        <f t="shared" si="11"/>
        <v>60</v>
      </c>
      <c r="AC36" s="13">
        <f t="shared" si="11"/>
        <v>49</v>
      </c>
      <c r="AD36" s="13">
        <f t="shared" si="11"/>
        <v>24</v>
      </c>
      <c r="AE36" s="13">
        <f t="shared" si="11"/>
        <v>11</v>
      </c>
      <c r="AF36" s="13">
        <f t="shared" si="10"/>
        <v>1156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59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59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2.0</v>
      </c>
      <c r="S39" s="19">
        <v>0.0</v>
      </c>
      <c r="T39" s="19">
        <v>0.0</v>
      </c>
      <c r="U39" s="19">
        <v>0.0</v>
      </c>
      <c r="V39" s="19">
        <v>2.0</v>
      </c>
      <c r="W39" s="19">
        <v>0.0</v>
      </c>
      <c r="X39" s="19">
        <v>0.0</v>
      </c>
      <c r="Y39" s="19">
        <v>2.0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8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2.0</v>
      </c>
      <c r="N40" s="19">
        <v>2.0</v>
      </c>
      <c r="O40" s="19">
        <v>0.0</v>
      </c>
      <c r="P40" s="19">
        <v>0.0</v>
      </c>
      <c r="Q40" s="19">
        <v>0.0</v>
      </c>
      <c r="R40" s="19">
        <v>4.0</v>
      </c>
      <c r="S40" s="19">
        <v>0.0</v>
      </c>
      <c r="T40" s="19">
        <v>0.0</v>
      </c>
      <c r="U40" s="19">
        <v>0.0</v>
      </c>
      <c r="V40" s="19">
        <v>2.0</v>
      </c>
      <c r="W40" s="19">
        <v>0.0</v>
      </c>
      <c r="X40" s="19">
        <v>0.0</v>
      </c>
      <c r="Y40" s="19">
        <v>2.0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13</v>
      </c>
    </row>
    <row r="41" ht="12.75" customHeight="1">
      <c r="A41" s="41"/>
      <c r="B41" s="44"/>
      <c r="C41" s="28"/>
      <c r="D41" s="13" t="s">
        <v>13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3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6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4</v>
      </c>
      <c r="W41" s="13">
        <f t="shared" si="13"/>
        <v>0</v>
      </c>
      <c r="X41" s="13">
        <f t="shared" si="13"/>
        <v>0</v>
      </c>
      <c r="Y41" s="13">
        <f t="shared" si="13"/>
        <v>4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3"/>
    </row>
    <row r="45" ht="12.75" customHeight="1">
      <c r="A45" s="30"/>
      <c r="B45" s="47" t="s">
        <v>16</v>
      </c>
      <c r="C45" s="61" t="s">
        <v>37</v>
      </c>
      <c r="D45" s="16"/>
      <c r="E45" s="19">
        <v>16.0</v>
      </c>
      <c r="F45" s="19">
        <v>21.0</v>
      </c>
      <c r="G45" s="19">
        <v>12.0</v>
      </c>
      <c r="H45" s="19">
        <v>15.0</v>
      </c>
      <c r="I45" s="19">
        <v>7.0</v>
      </c>
      <c r="J45" s="19">
        <v>17.0</v>
      </c>
      <c r="K45" s="19">
        <v>14.0</v>
      </c>
      <c r="L45" s="19">
        <v>6.0</v>
      </c>
      <c r="M45" s="19">
        <v>19.0</v>
      </c>
      <c r="N45" s="19">
        <v>10.0</v>
      </c>
      <c r="O45" s="19">
        <v>16.0</v>
      </c>
      <c r="P45" s="19">
        <v>8.0</v>
      </c>
      <c r="Q45" s="19">
        <v>16.0</v>
      </c>
      <c r="R45" s="19">
        <v>12.0</v>
      </c>
      <c r="S45" s="19">
        <v>15.0</v>
      </c>
      <c r="T45" s="19">
        <v>9.0</v>
      </c>
      <c r="U45" s="19">
        <v>7.0</v>
      </c>
      <c r="V45" s="19">
        <v>15.0</v>
      </c>
      <c r="W45" s="19">
        <v>25.0</v>
      </c>
      <c r="X45" s="19">
        <v>16.0</v>
      </c>
      <c r="Y45" s="19">
        <v>10.0</v>
      </c>
      <c r="Z45" s="19">
        <v>19.0</v>
      </c>
      <c r="AA45" s="19">
        <v>11.0</v>
      </c>
      <c r="AB45" s="19">
        <v>19.0</v>
      </c>
      <c r="AC45" s="19">
        <v>16.0</v>
      </c>
      <c r="AD45" s="19">
        <v>22.0</v>
      </c>
      <c r="AE45" s="19">
        <v>4.0</v>
      </c>
      <c r="AF45" s="13">
        <f t="shared" ref="AF45:AF57" si="14">SUM(E45:AE45)</f>
        <v>377</v>
      </c>
    </row>
    <row r="46" ht="12.75" customHeight="1">
      <c r="A46" s="18"/>
      <c r="B46" s="47" t="s">
        <v>18</v>
      </c>
      <c r="C46" s="61" t="s">
        <v>38</v>
      </c>
      <c r="D46" s="16"/>
      <c r="E46" s="19">
        <v>43.0</v>
      </c>
      <c r="F46" s="19">
        <v>55.0</v>
      </c>
      <c r="G46" s="19">
        <v>16.0</v>
      </c>
      <c r="H46" s="19">
        <v>30.0</v>
      </c>
      <c r="I46" s="19">
        <v>27.0</v>
      </c>
      <c r="J46" s="19">
        <v>32.0</v>
      </c>
      <c r="K46" s="19">
        <v>22.0</v>
      </c>
      <c r="L46" s="19">
        <v>16.0</v>
      </c>
      <c r="M46" s="19">
        <v>20.0</v>
      </c>
      <c r="N46" s="19">
        <v>30.0</v>
      </c>
      <c r="O46" s="19">
        <v>43.0</v>
      </c>
      <c r="P46" s="19">
        <v>44.0</v>
      </c>
      <c r="Q46" s="19">
        <v>48.0</v>
      </c>
      <c r="R46" s="19">
        <v>33.0</v>
      </c>
      <c r="S46" s="19">
        <v>29.0</v>
      </c>
      <c r="T46" s="19">
        <v>27.0</v>
      </c>
      <c r="U46" s="19">
        <v>27.0</v>
      </c>
      <c r="V46" s="19">
        <v>30.0</v>
      </c>
      <c r="W46" s="19">
        <v>34.0</v>
      </c>
      <c r="X46" s="19">
        <v>33.0</v>
      </c>
      <c r="Y46" s="19">
        <v>34.0</v>
      </c>
      <c r="Z46" s="19">
        <v>33.0</v>
      </c>
      <c r="AA46" s="19">
        <v>36.0</v>
      </c>
      <c r="AB46" s="19">
        <v>32.0</v>
      </c>
      <c r="AC46" s="19">
        <v>37.0</v>
      </c>
      <c r="AD46" s="19">
        <v>32.0</v>
      </c>
      <c r="AE46" s="19">
        <v>43.0</v>
      </c>
      <c r="AF46" s="13">
        <f t="shared" si="14"/>
        <v>886</v>
      </c>
    </row>
    <row r="47" ht="12.75" customHeight="1">
      <c r="A47" s="18"/>
      <c r="B47" s="47" t="s">
        <v>20</v>
      </c>
      <c r="C47" s="61" t="s">
        <v>39</v>
      </c>
      <c r="D47" s="16"/>
      <c r="E47" s="19">
        <v>11.0</v>
      </c>
      <c r="F47" s="19">
        <v>6.0</v>
      </c>
      <c r="G47" s="19">
        <v>17.0</v>
      </c>
      <c r="H47" s="19">
        <v>11.0</v>
      </c>
      <c r="I47" s="19">
        <v>6.0</v>
      </c>
      <c r="J47" s="19">
        <v>10.0</v>
      </c>
      <c r="K47" s="19">
        <v>23.0</v>
      </c>
      <c r="L47" s="19">
        <v>20.0</v>
      </c>
      <c r="M47" s="19">
        <v>9.0</v>
      </c>
      <c r="N47" s="19">
        <v>7.0</v>
      </c>
      <c r="O47" s="19">
        <v>10.0</v>
      </c>
      <c r="P47" s="19">
        <v>12.0</v>
      </c>
      <c r="Q47" s="19">
        <v>10.0</v>
      </c>
      <c r="R47" s="19">
        <v>14.0</v>
      </c>
      <c r="S47" s="19">
        <v>9.0</v>
      </c>
      <c r="T47" s="19">
        <v>7.0</v>
      </c>
      <c r="U47" s="19">
        <v>10.0</v>
      </c>
      <c r="V47" s="19">
        <v>10.0</v>
      </c>
      <c r="W47" s="19">
        <v>15.0</v>
      </c>
      <c r="X47" s="19">
        <v>11.0</v>
      </c>
      <c r="Y47" s="19">
        <v>20.0</v>
      </c>
      <c r="Z47" s="19">
        <v>13.0</v>
      </c>
      <c r="AA47" s="19">
        <v>17.0</v>
      </c>
      <c r="AB47" s="19">
        <v>6.0</v>
      </c>
      <c r="AC47" s="19">
        <v>20.0</v>
      </c>
      <c r="AD47" s="19">
        <v>15.0</v>
      </c>
      <c r="AE47" s="19">
        <v>25.0</v>
      </c>
      <c r="AF47" s="13">
        <f t="shared" si="14"/>
        <v>344</v>
      </c>
    </row>
    <row r="48" ht="12.75" customHeight="1">
      <c r="A48" s="18"/>
      <c r="B48" s="47" t="s">
        <v>22</v>
      </c>
      <c r="C48" s="61" t="s">
        <v>40</v>
      </c>
      <c r="D48" s="16"/>
      <c r="E48" s="19">
        <v>11.0</v>
      </c>
      <c r="F48" s="19">
        <v>19.0</v>
      </c>
      <c r="G48" s="19">
        <v>13.0</v>
      </c>
      <c r="H48" s="19">
        <v>11.0</v>
      </c>
      <c r="I48" s="19">
        <v>17.0</v>
      </c>
      <c r="J48" s="19">
        <v>12.0</v>
      </c>
      <c r="K48" s="19">
        <v>22.0</v>
      </c>
      <c r="L48" s="19">
        <v>20.0</v>
      </c>
      <c r="M48" s="19">
        <v>12.0</v>
      </c>
      <c r="N48" s="19">
        <v>8.0</v>
      </c>
      <c r="O48" s="19">
        <v>15.0</v>
      </c>
      <c r="P48" s="19">
        <v>9.0</v>
      </c>
      <c r="Q48" s="19">
        <v>26.0</v>
      </c>
      <c r="R48" s="19">
        <v>21.0</v>
      </c>
      <c r="S48" s="19">
        <v>16.0</v>
      </c>
      <c r="T48" s="19">
        <v>19.0</v>
      </c>
      <c r="U48" s="19">
        <v>26.0</v>
      </c>
      <c r="V48" s="19">
        <v>19.0</v>
      </c>
      <c r="W48" s="19">
        <v>11.0</v>
      </c>
      <c r="X48" s="19">
        <v>16.0</v>
      </c>
      <c r="Y48" s="19">
        <v>23.0</v>
      </c>
      <c r="Z48" s="19">
        <v>16.0</v>
      </c>
      <c r="AA48" s="19">
        <v>16.0</v>
      </c>
      <c r="AB48" s="19">
        <v>18.0</v>
      </c>
      <c r="AC48" s="19">
        <v>22.0</v>
      </c>
      <c r="AD48" s="19">
        <v>22.0</v>
      </c>
      <c r="AE48" s="19">
        <v>28.0</v>
      </c>
      <c r="AF48" s="13">
        <f t="shared" si="14"/>
        <v>468</v>
      </c>
    </row>
    <row r="49" ht="12.75" customHeight="1">
      <c r="A49" s="18"/>
      <c r="B49" s="47" t="s">
        <v>41</v>
      </c>
      <c r="C49" s="61" t="s">
        <v>42</v>
      </c>
      <c r="D49" s="16"/>
      <c r="E49" s="19">
        <v>18.0</v>
      </c>
      <c r="F49" s="19">
        <v>14.0</v>
      </c>
      <c r="G49" s="19">
        <v>18.0</v>
      </c>
      <c r="H49" s="19">
        <v>14.0</v>
      </c>
      <c r="I49" s="19">
        <v>20.0</v>
      </c>
      <c r="J49" s="19">
        <v>20.0</v>
      </c>
      <c r="K49" s="19">
        <v>15.0</v>
      </c>
      <c r="L49" s="19">
        <v>12.0</v>
      </c>
      <c r="M49" s="19">
        <v>13.0</v>
      </c>
      <c r="N49" s="19">
        <v>21.0</v>
      </c>
      <c r="O49" s="19">
        <v>24.0</v>
      </c>
      <c r="P49" s="19">
        <v>22.0</v>
      </c>
      <c r="Q49" s="19">
        <v>18.0</v>
      </c>
      <c r="R49" s="19">
        <v>18.0</v>
      </c>
      <c r="S49" s="19">
        <v>18.0</v>
      </c>
      <c r="T49" s="19">
        <v>18.0</v>
      </c>
      <c r="U49" s="19">
        <v>23.0</v>
      </c>
      <c r="V49" s="19">
        <v>18.0</v>
      </c>
      <c r="W49" s="19">
        <v>27.0</v>
      </c>
      <c r="X49" s="19">
        <v>17.0</v>
      </c>
      <c r="Y49" s="19">
        <v>26.0</v>
      </c>
      <c r="Z49" s="19">
        <v>12.0</v>
      </c>
      <c r="AA49" s="19">
        <v>17.0</v>
      </c>
      <c r="AB49" s="19">
        <v>15.0</v>
      </c>
      <c r="AC49" s="19">
        <v>16.0</v>
      </c>
      <c r="AD49" s="19">
        <v>16.0</v>
      </c>
      <c r="AE49" s="19">
        <v>26.0</v>
      </c>
      <c r="AF49" s="13">
        <f t="shared" si="14"/>
        <v>496</v>
      </c>
    </row>
    <row r="50" ht="12.75" customHeight="1">
      <c r="A50" s="18"/>
      <c r="B50" s="47" t="s">
        <v>43</v>
      </c>
      <c r="C50" s="61" t="s">
        <v>44</v>
      </c>
      <c r="D50" s="16"/>
      <c r="E50" s="19">
        <v>8.0</v>
      </c>
      <c r="F50" s="19">
        <v>12.0</v>
      </c>
      <c r="G50" s="19">
        <v>7.0</v>
      </c>
      <c r="H50" s="19">
        <v>10.0</v>
      </c>
      <c r="I50" s="19">
        <v>17.0</v>
      </c>
      <c r="J50" s="19">
        <v>19.0</v>
      </c>
      <c r="K50" s="19">
        <v>8.0</v>
      </c>
      <c r="L50" s="19">
        <v>13.0</v>
      </c>
      <c r="M50" s="19">
        <v>6.0</v>
      </c>
      <c r="N50" s="19">
        <v>13.0</v>
      </c>
      <c r="O50" s="19">
        <v>9.0</v>
      </c>
      <c r="P50" s="19">
        <v>12.0</v>
      </c>
      <c r="Q50" s="19">
        <v>7.0</v>
      </c>
      <c r="R50" s="19">
        <v>12.0</v>
      </c>
      <c r="S50" s="19">
        <v>18.0</v>
      </c>
      <c r="T50" s="19">
        <v>7.0</v>
      </c>
      <c r="U50" s="19">
        <v>6.0</v>
      </c>
      <c r="V50" s="19">
        <v>24.0</v>
      </c>
      <c r="W50" s="19">
        <v>15.0</v>
      </c>
      <c r="X50" s="19">
        <v>12.0</v>
      </c>
      <c r="Y50" s="19">
        <v>10.0</v>
      </c>
      <c r="Z50" s="19">
        <v>13.0</v>
      </c>
      <c r="AA50" s="19">
        <v>16.0</v>
      </c>
      <c r="AB50" s="19">
        <v>14.0</v>
      </c>
      <c r="AC50" s="19">
        <v>14.0</v>
      </c>
      <c r="AD50" s="19">
        <v>25.0</v>
      </c>
      <c r="AE50" s="19">
        <v>19.0</v>
      </c>
      <c r="AF50" s="13">
        <f t="shared" si="14"/>
        <v>346</v>
      </c>
    </row>
    <row r="51" ht="12.75" customHeight="1">
      <c r="A51" s="18"/>
      <c r="B51" s="47" t="s">
        <v>45</v>
      </c>
      <c r="C51" s="61" t="s">
        <v>46</v>
      </c>
      <c r="D51" s="16"/>
      <c r="E51" s="19">
        <v>2.0</v>
      </c>
      <c r="F51" s="19">
        <v>0.0</v>
      </c>
      <c r="G51" s="19">
        <v>1.0</v>
      </c>
      <c r="H51" s="19">
        <v>1.0</v>
      </c>
      <c r="I51" s="19">
        <v>2.0</v>
      </c>
      <c r="J51" s="19">
        <v>0.0</v>
      </c>
      <c r="K51" s="19">
        <v>0.0</v>
      </c>
      <c r="L51" s="19">
        <v>1.0</v>
      </c>
      <c r="M51" s="19">
        <v>1.0</v>
      </c>
      <c r="N51" s="19">
        <v>4.0</v>
      </c>
      <c r="O51" s="19">
        <v>0.0</v>
      </c>
      <c r="P51" s="19">
        <v>4.0</v>
      </c>
      <c r="Q51" s="19">
        <v>4.0</v>
      </c>
      <c r="R51" s="19">
        <v>5.0</v>
      </c>
      <c r="S51" s="19">
        <v>1.0</v>
      </c>
      <c r="T51" s="19">
        <v>3.0</v>
      </c>
      <c r="U51" s="19">
        <v>2.0</v>
      </c>
      <c r="V51" s="19">
        <v>1.0</v>
      </c>
      <c r="W51" s="19">
        <v>3.0</v>
      </c>
      <c r="X51" s="19">
        <v>5.0</v>
      </c>
      <c r="Y51" s="19">
        <v>2.0</v>
      </c>
      <c r="Z51" s="19">
        <v>3.0</v>
      </c>
      <c r="AA51" s="19">
        <v>1.0</v>
      </c>
      <c r="AB51" s="19">
        <v>7.0</v>
      </c>
      <c r="AC51" s="19">
        <v>4.0</v>
      </c>
      <c r="AD51" s="19">
        <v>0.0</v>
      </c>
      <c r="AE51" s="19">
        <v>3.0</v>
      </c>
      <c r="AF51" s="13">
        <f t="shared" si="14"/>
        <v>60</v>
      </c>
    </row>
    <row r="52" ht="12.75" customHeight="1">
      <c r="A52" s="18"/>
      <c r="B52" s="47" t="s">
        <v>47</v>
      </c>
      <c r="C52" s="61" t="s">
        <v>48</v>
      </c>
      <c r="D52" s="16"/>
      <c r="E52" s="19">
        <v>3.0</v>
      </c>
      <c r="F52" s="19">
        <v>2.0</v>
      </c>
      <c r="G52" s="19">
        <v>1.0</v>
      </c>
      <c r="H52" s="19">
        <v>3.0</v>
      </c>
      <c r="I52" s="19">
        <v>2.0</v>
      </c>
      <c r="J52" s="19">
        <v>3.0</v>
      </c>
      <c r="K52" s="19">
        <v>0.0</v>
      </c>
      <c r="L52" s="19">
        <v>0.0</v>
      </c>
      <c r="M52" s="19">
        <v>2.0</v>
      </c>
      <c r="N52" s="19">
        <v>7.0</v>
      </c>
      <c r="O52" s="19">
        <v>5.0</v>
      </c>
      <c r="P52" s="19">
        <v>6.0</v>
      </c>
      <c r="Q52" s="19">
        <v>2.0</v>
      </c>
      <c r="R52" s="19">
        <v>2.0</v>
      </c>
      <c r="S52" s="19">
        <v>2.0</v>
      </c>
      <c r="T52" s="19">
        <v>1.0</v>
      </c>
      <c r="U52" s="19">
        <v>6.0</v>
      </c>
      <c r="V52" s="19">
        <v>7.0</v>
      </c>
      <c r="W52" s="19">
        <v>5.0</v>
      </c>
      <c r="X52" s="19">
        <v>4.0</v>
      </c>
      <c r="Y52" s="19">
        <v>8.0</v>
      </c>
      <c r="Z52" s="19">
        <v>5.0</v>
      </c>
      <c r="AA52" s="19">
        <v>5.0</v>
      </c>
      <c r="AB52" s="19">
        <v>4.0</v>
      </c>
      <c r="AC52" s="19">
        <v>1.0</v>
      </c>
      <c r="AD52" s="19">
        <v>5.0</v>
      </c>
      <c r="AE52" s="19">
        <v>1.0</v>
      </c>
      <c r="AF52" s="13">
        <f t="shared" si="14"/>
        <v>92</v>
      </c>
    </row>
    <row r="53" ht="12.75" customHeight="1">
      <c r="A53" s="18"/>
      <c r="B53" s="47" t="s">
        <v>49</v>
      </c>
      <c r="C53" s="61" t="s">
        <v>50</v>
      </c>
      <c r="D53" s="16"/>
      <c r="E53" s="19"/>
      <c r="F53" s="19">
        <v>0.0</v>
      </c>
      <c r="G53" s="19">
        <v>1.0</v>
      </c>
      <c r="H53" s="19">
        <v>1.0</v>
      </c>
      <c r="I53" s="19">
        <v>2.0</v>
      </c>
      <c r="J53" s="19">
        <v>0.0</v>
      </c>
      <c r="K53" s="19">
        <v>1.0</v>
      </c>
      <c r="L53" s="19">
        <v>0.0</v>
      </c>
      <c r="M53" s="19">
        <v>0.0</v>
      </c>
      <c r="N53" s="19">
        <v>0.0</v>
      </c>
      <c r="O53" s="19">
        <v>1.0</v>
      </c>
      <c r="P53" s="19">
        <v>0.0</v>
      </c>
      <c r="Q53" s="19">
        <v>0.0</v>
      </c>
      <c r="R53" s="19">
        <v>0.0</v>
      </c>
      <c r="S53" s="19">
        <v>2.0</v>
      </c>
      <c r="T53" s="19">
        <v>0.0</v>
      </c>
      <c r="U53" s="19">
        <v>1.0</v>
      </c>
      <c r="V53" s="19">
        <v>3.0</v>
      </c>
      <c r="W53" s="19">
        <v>1.0</v>
      </c>
      <c r="X53" s="19">
        <v>1.0</v>
      </c>
      <c r="Y53" s="19">
        <v>2.0</v>
      </c>
      <c r="Z53" s="19">
        <v>0.0</v>
      </c>
      <c r="AA53" s="19">
        <v>0.0</v>
      </c>
      <c r="AB53" s="19">
        <v>0.0</v>
      </c>
      <c r="AC53" s="19">
        <v>0.0</v>
      </c>
      <c r="AD53" s="19">
        <v>1.0</v>
      </c>
      <c r="AE53" s="19">
        <v>1.0</v>
      </c>
      <c r="AF53" s="13">
        <f t="shared" si="14"/>
        <v>18</v>
      </c>
    </row>
    <row r="54" ht="12.75" customHeight="1">
      <c r="A54" s="18"/>
      <c r="B54" s="47" t="s">
        <v>51</v>
      </c>
      <c r="C54" s="61" t="s">
        <v>52</v>
      </c>
      <c r="D54" s="16"/>
      <c r="E54" s="19">
        <v>15.0</v>
      </c>
      <c r="F54" s="19">
        <v>31.0</v>
      </c>
      <c r="G54" s="19">
        <v>16.0</v>
      </c>
      <c r="H54" s="19">
        <v>22.0</v>
      </c>
      <c r="I54" s="19">
        <v>22.0</v>
      </c>
      <c r="J54" s="19">
        <v>19.0</v>
      </c>
      <c r="K54" s="19">
        <v>13.0</v>
      </c>
      <c r="L54" s="19">
        <v>11.0</v>
      </c>
      <c r="M54" s="19">
        <v>12.0</v>
      </c>
      <c r="N54" s="19">
        <v>18.0</v>
      </c>
      <c r="O54" s="19">
        <v>31.0</v>
      </c>
      <c r="P54" s="19">
        <v>28.0</v>
      </c>
      <c r="Q54" s="19">
        <v>28.0</v>
      </c>
      <c r="R54" s="19">
        <v>38.0</v>
      </c>
      <c r="S54" s="19">
        <v>27.0</v>
      </c>
      <c r="T54" s="19">
        <v>21.0</v>
      </c>
      <c r="U54" s="19">
        <v>22.0</v>
      </c>
      <c r="V54" s="19">
        <v>41.0</v>
      </c>
      <c r="W54" s="19">
        <v>29.0</v>
      </c>
      <c r="X54" s="19">
        <v>31.0</v>
      </c>
      <c r="Y54" s="19">
        <v>22.0</v>
      </c>
      <c r="Z54" s="19">
        <v>35.0</v>
      </c>
      <c r="AA54" s="19">
        <v>24.0</v>
      </c>
      <c r="AB54" s="19">
        <v>18.0</v>
      </c>
      <c r="AC54" s="19">
        <v>36.0</v>
      </c>
      <c r="AD54" s="19">
        <v>46.0</v>
      </c>
      <c r="AE54" s="19">
        <v>19.0</v>
      </c>
      <c r="AF54" s="13">
        <f t="shared" si="14"/>
        <v>675</v>
      </c>
    </row>
    <row r="55" ht="12.75" customHeight="1">
      <c r="A55" s="18"/>
      <c r="B55" s="47" t="s">
        <v>53</v>
      </c>
      <c r="C55" s="61" t="s">
        <v>54</v>
      </c>
      <c r="D55" s="16"/>
      <c r="E55" s="19">
        <v>1.0</v>
      </c>
      <c r="F55" s="19">
        <v>0.0</v>
      </c>
      <c r="G55" s="19">
        <v>1.0</v>
      </c>
      <c r="H55" s="19">
        <v>0.0</v>
      </c>
      <c r="I55" s="19">
        <v>1.0</v>
      </c>
      <c r="J55" s="19">
        <v>2.0</v>
      </c>
      <c r="K55" s="19">
        <v>3.0</v>
      </c>
      <c r="L55" s="19">
        <v>0.0</v>
      </c>
      <c r="M55" s="19">
        <v>0.0</v>
      </c>
      <c r="N55" s="19">
        <v>2.0</v>
      </c>
      <c r="O55" s="19">
        <v>4.0</v>
      </c>
      <c r="P55" s="19">
        <v>0.0</v>
      </c>
      <c r="Q55" s="19">
        <v>1.0</v>
      </c>
      <c r="R55" s="19">
        <v>3.0</v>
      </c>
      <c r="S55" s="19">
        <v>0.0</v>
      </c>
      <c r="T55" s="19">
        <v>0.0</v>
      </c>
      <c r="U55" s="19">
        <v>0.0</v>
      </c>
      <c r="V55" s="19">
        <v>1.0</v>
      </c>
      <c r="W55" s="19">
        <v>4.0</v>
      </c>
      <c r="X55" s="19">
        <v>0.0</v>
      </c>
      <c r="Y55" s="19">
        <v>0.0</v>
      </c>
      <c r="Z55" s="19">
        <v>0.0</v>
      </c>
      <c r="AA55" s="19">
        <v>2.0</v>
      </c>
      <c r="AB55" s="19">
        <v>2.0</v>
      </c>
      <c r="AC55" s="19">
        <v>2.0</v>
      </c>
      <c r="AD55" s="19">
        <v>6.0</v>
      </c>
      <c r="AE55" s="19">
        <v>2.0</v>
      </c>
      <c r="AF55" s="13">
        <f t="shared" si="14"/>
        <v>37</v>
      </c>
    </row>
    <row r="56" ht="12.75" customHeight="1">
      <c r="A56" s="18"/>
      <c r="B56" s="47" t="s">
        <v>55</v>
      </c>
      <c r="C56" s="61" t="s">
        <v>56</v>
      </c>
      <c r="D56" s="16"/>
      <c r="E56" s="19">
        <v>21.0</v>
      </c>
      <c r="F56" s="19">
        <v>9.0</v>
      </c>
      <c r="G56" s="19">
        <v>20.0</v>
      </c>
      <c r="H56" s="19">
        <v>16.0</v>
      </c>
      <c r="I56" s="19">
        <v>34.0</v>
      </c>
      <c r="J56" s="19">
        <v>22.0</v>
      </c>
      <c r="K56" s="19">
        <v>28.0</v>
      </c>
      <c r="L56" s="19">
        <v>12.0</v>
      </c>
      <c r="M56" s="19">
        <v>6.0</v>
      </c>
      <c r="N56" s="19">
        <v>23.0</v>
      </c>
      <c r="O56" s="19">
        <v>14.0</v>
      </c>
      <c r="P56" s="19">
        <v>15.0</v>
      </c>
      <c r="Q56" s="19">
        <v>8.0</v>
      </c>
      <c r="R56" s="19">
        <v>20.0</v>
      </c>
      <c r="S56" s="19">
        <v>12.0</v>
      </c>
      <c r="T56" s="19">
        <v>15.0</v>
      </c>
      <c r="U56" s="19">
        <v>17.0</v>
      </c>
      <c r="V56" s="19">
        <v>25.0</v>
      </c>
      <c r="W56" s="19">
        <v>24.0</v>
      </c>
      <c r="X56" s="19">
        <v>15.0</v>
      </c>
      <c r="Y56" s="19">
        <v>36.0</v>
      </c>
      <c r="Z56" s="19">
        <v>30.0</v>
      </c>
      <c r="AA56" s="19">
        <v>21.0</v>
      </c>
      <c r="AB56" s="19">
        <v>29.0</v>
      </c>
      <c r="AC56" s="19">
        <v>19.0</v>
      </c>
      <c r="AD56" s="19">
        <v>15.0</v>
      </c>
      <c r="AE56" s="19">
        <v>25.0</v>
      </c>
      <c r="AF56" s="13">
        <f t="shared" si="14"/>
        <v>531</v>
      </c>
    </row>
    <row r="57" ht="12.75" customHeight="1">
      <c r="A57" s="18"/>
      <c r="B57" s="47" t="s">
        <v>57</v>
      </c>
      <c r="C57" s="61" t="s">
        <v>58</v>
      </c>
      <c r="D57" s="16"/>
      <c r="E57" s="19">
        <v>1.0</v>
      </c>
      <c r="F57" s="19">
        <v>2.0</v>
      </c>
      <c r="G57" s="19">
        <v>0.0</v>
      </c>
      <c r="H57" s="19">
        <v>4.0</v>
      </c>
      <c r="I57" s="19">
        <v>0.0</v>
      </c>
      <c r="J57" s="19">
        <v>1.0</v>
      </c>
      <c r="K57" s="19">
        <v>4.0</v>
      </c>
      <c r="L57" s="19">
        <v>1.0</v>
      </c>
      <c r="M57" s="19">
        <v>1.0</v>
      </c>
      <c r="N57" s="19">
        <v>0.0</v>
      </c>
      <c r="O57" s="19">
        <v>2.0</v>
      </c>
      <c r="P57" s="19">
        <v>4.0</v>
      </c>
      <c r="Q57" s="19">
        <v>3.0</v>
      </c>
      <c r="R57" s="19">
        <v>16.0</v>
      </c>
      <c r="S57" s="19">
        <v>1.0</v>
      </c>
      <c r="T57" s="19">
        <v>1.0</v>
      </c>
      <c r="U57" s="19">
        <v>0.0</v>
      </c>
      <c r="V57" s="19">
        <v>2.0</v>
      </c>
      <c r="W57" s="19">
        <v>5.0</v>
      </c>
      <c r="X57" s="19">
        <v>1.0</v>
      </c>
      <c r="Y57" s="19">
        <v>2.0</v>
      </c>
      <c r="Z57" s="19">
        <v>4.0</v>
      </c>
      <c r="AA57" s="19">
        <v>4.0</v>
      </c>
      <c r="AB57" s="19">
        <v>4.0</v>
      </c>
      <c r="AC57" s="19">
        <v>3.0</v>
      </c>
      <c r="AD57" s="19">
        <v>1.0</v>
      </c>
      <c r="AE57" s="19">
        <v>0.0</v>
      </c>
      <c r="AF57" s="13">
        <f t="shared" si="14"/>
        <v>67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13"/>
      <c r="U59" s="13"/>
      <c r="V59" s="13"/>
      <c r="W59" s="13"/>
      <c r="X59" s="60"/>
      <c r="Y59" s="13"/>
      <c r="Z59" s="13"/>
      <c r="AA59" s="13"/>
      <c r="AB59" s="13"/>
      <c r="AC59" s="60"/>
      <c r="AD59" s="13"/>
      <c r="AE59" s="13"/>
      <c r="AF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E60" si="15">SUM(E45:E57)</f>
        <v>150</v>
      </c>
      <c r="F60" s="19">
        <f t="shared" si="15"/>
        <v>171</v>
      </c>
      <c r="G60" s="19">
        <f t="shared" si="15"/>
        <v>123</v>
      </c>
      <c r="H60" s="19">
        <f t="shared" si="15"/>
        <v>138</v>
      </c>
      <c r="I60" s="19">
        <f t="shared" si="15"/>
        <v>157</v>
      </c>
      <c r="J60" s="19">
        <f t="shared" si="15"/>
        <v>157</v>
      </c>
      <c r="K60" s="19">
        <f t="shared" si="15"/>
        <v>153</v>
      </c>
      <c r="L60" s="19">
        <f t="shared" si="15"/>
        <v>112</v>
      </c>
      <c r="M60" s="19">
        <f t="shared" si="15"/>
        <v>101</v>
      </c>
      <c r="N60" s="19">
        <f t="shared" si="15"/>
        <v>143</v>
      </c>
      <c r="O60" s="19">
        <f t="shared" si="15"/>
        <v>174</v>
      </c>
      <c r="P60" s="19">
        <f t="shared" si="15"/>
        <v>164</v>
      </c>
      <c r="Q60" s="19">
        <f t="shared" si="15"/>
        <v>171</v>
      </c>
      <c r="R60" s="19">
        <f t="shared" si="15"/>
        <v>194</v>
      </c>
      <c r="S60" s="19">
        <f t="shared" si="15"/>
        <v>150</v>
      </c>
      <c r="T60" s="19">
        <f t="shared" si="15"/>
        <v>128</v>
      </c>
      <c r="U60" s="19">
        <f t="shared" si="15"/>
        <v>147</v>
      </c>
      <c r="V60" s="19">
        <f t="shared" si="15"/>
        <v>196</v>
      </c>
      <c r="W60" s="19">
        <f t="shared" si="15"/>
        <v>198</v>
      </c>
      <c r="X60" s="19">
        <f t="shared" si="15"/>
        <v>162</v>
      </c>
      <c r="Y60" s="19">
        <f t="shared" si="15"/>
        <v>195</v>
      </c>
      <c r="Z60" s="19">
        <f t="shared" si="15"/>
        <v>183</v>
      </c>
      <c r="AA60" s="19">
        <f t="shared" si="15"/>
        <v>170</v>
      </c>
      <c r="AB60" s="19">
        <f t="shared" si="15"/>
        <v>168</v>
      </c>
      <c r="AC60" s="19">
        <f t="shared" si="15"/>
        <v>190</v>
      </c>
      <c r="AD60" s="19">
        <f t="shared" si="15"/>
        <v>206</v>
      </c>
      <c r="AE60" s="19">
        <f t="shared" si="15"/>
        <v>196</v>
      </c>
      <c r="AF60" s="13">
        <f t="shared" ref="AF60:AF62" si="16">SUM(E60:AE60)</f>
        <v>4397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35.0</v>
      </c>
      <c r="F61" s="19">
        <v>32.0</v>
      </c>
      <c r="G61" s="19">
        <v>33.0</v>
      </c>
      <c r="H61" s="19">
        <v>37.0</v>
      </c>
      <c r="I61" s="19">
        <v>52.0</v>
      </c>
      <c r="J61" s="19">
        <v>42.0</v>
      </c>
      <c r="K61" s="19">
        <v>59.0</v>
      </c>
      <c r="L61" s="19">
        <v>22.0</v>
      </c>
      <c r="M61" s="19">
        <v>26.0</v>
      </c>
      <c r="N61" s="19">
        <v>38.0</v>
      </c>
      <c r="O61" s="19">
        <v>43.0</v>
      </c>
      <c r="P61" s="19">
        <v>57.0</v>
      </c>
      <c r="Q61" s="19">
        <v>43.0</v>
      </c>
      <c r="R61" s="19">
        <v>28.0</v>
      </c>
      <c r="S61" s="19">
        <v>66.0</v>
      </c>
      <c r="T61" s="19">
        <v>30.0</v>
      </c>
      <c r="U61" s="19">
        <v>53.0</v>
      </c>
      <c r="V61" s="19">
        <v>44.0</v>
      </c>
      <c r="W61" s="19">
        <v>51.0</v>
      </c>
      <c r="X61" s="19">
        <v>44.0</v>
      </c>
      <c r="Y61" s="19">
        <v>22.0</v>
      </c>
      <c r="Z61" s="19">
        <v>32.0</v>
      </c>
      <c r="AA61" s="19">
        <v>21.0</v>
      </c>
      <c r="AB61" s="19">
        <v>51.0</v>
      </c>
      <c r="AC61" s="19">
        <v>39.0</v>
      </c>
      <c r="AD61" s="19">
        <v>53.0</v>
      </c>
      <c r="AE61" s="19">
        <v>43.0</v>
      </c>
      <c r="AF61" s="13">
        <f t="shared" si="16"/>
        <v>1096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E62" si="17">SUM(E60:E61)</f>
        <v>185</v>
      </c>
      <c r="F62" s="13">
        <f t="shared" si="17"/>
        <v>203</v>
      </c>
      <c r="G62" s="13">
        <f t="shared" si="17"/>
        <v>156</v>
      </c>
      <c r="H62" s="13">
        <f t="shared" si="17"/>
        <v>175</v>
      </c>
      <c r="I62" s="13">
        <f t="shared" si="17"/>
        <v>209</v>
      </c>
      <c r="J62" s="13">
        <f t="shared" si="17"/>
        <v>199</v>
      </c>
      <c r="K62" s="13">
        <f t="shared" si="17"/>
        <v>212</v>
      </c>
      <c r="L62" s="13">
        <f t="shared" si="17"/>
        <v>134</v>
      </c>
      <c r="M62" s="13">
        <f t="shared" si="17"/>
        <v>127</v>
      </c>
      <c r="N62" s="13">
        <f t="shared" si="17"/>
        <v>181</v>
      </c>
      <c r="O62" s="13">
        <f t="shared" si="17"/>
        <v>217</v>
      </c>
      <c r="P62" s="13">
        <f t="shared" si="17"/>
        <v>221</v>
      </c>
      <c r="Q62" s="13">
        <f t="shared" si="17"/>
        <v>214</v>
      </c>
      <c r="R62" s="13">
        <f t="shared" si="17"/>
        <v>222</v>
      </c>
      <c r="S62" s="13">
        <f t="shared" si="17"/>
        <v>216</v>
      </c>
      <c r="T62" s="13">
        <f t="shared" si="17"/>
        <v>158</v>
      </c>
      <c r="U62" s="13">
        <f t="shared" si="17"/>
        <v>200</v>
      </c>
      <c r="V62" s="13">
        <f t="shared" si="17"/>
        <v>240</v>
      </c>
      <c r="W62" s="13">
        <f t="shared" si="17"/>
        <v>249</v>
      </c>
      <c r="X62" s="13">
        <f t="shared" si="17"/>
        <v>206</v>
      </c>
      <c r="Y62" s="13">
        <f t="shared" si="17"/>
        <v>217</v>
      </c>
      <c r="Z62" s="13">
        <f t="shared" si="17"/>
        <v>215</v>
      </c>
      <c r="AA62" s="13">
        <f t="shared" si="17"/>
        <v>191</v>
      </c>
      <c r="AB62" s="13">
        <f t="shared" si="17"/>
        <v>219</v>
      </c>
      <c r="AC62" s="13">
        <f t="shared" si="17"/>
        <v>229</v>
      </c>
      <c r="AD62" s="13">
        <f t="shared" si="17"/>
        <v>259</v>
      </c>
      <c r="AE62" s="13">
        <f t="shared" si="17"/>
        <v>239</v>
      </c>
      <c r="AF62" s="13">
        <f t="shared" si="16"/>
        <v>5493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AE34">
    <cfRule type="expression" dxfId="0" priority="1">
      <formula>E34&lt;&gt;#REF!</formula>
    </cfRule>
  </conditionalFormatting>
  <conditionalFormatting sqref="E14:AE15 E45:AE57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E30&lt;&gt;E46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60:AE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7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68</v>
      </c>
      <c r="F13" s="13" t="s">
        <v>69</v>
      </c>
      <c r="G13" s="13" t="s">
        <v>70</v>
      </c>
      <c r="H13" s="13" t="s">
        <v>71</v>
      </c>
      <c r="I13" s="13" t="s">
        <v>72</v>
      </c>
      <c r="J13" s="13" t="s">
        <v>73</v>
      </c>
      <c r="K13" s="13" t="s">
        <v>74</v>
      </c>
      <c r="L13" s="13" t="s">
        <v>75</v>
      </c>
      <c r="M13" s="13" t="s">
        <v>76</v>
      </c>
      <c r="N13" s="13" t="s">
        <v>77</v>
      </c>
      <c r="O13" s="13" t="s">
        <v>78</v>
      </c>
      <c r="P13" s="13" t="s">
        <v>79</v>
      </c>
      <c r="Q13" s="13" t="s">
        <v>80</v>
      </c>
      <c r="R13" s="13" t="s">
        <v>81</v>
      </c>
      <c r="S13" s="13" t="s">
        <v>82</v>
      </c>
      <c r="T13" s="13" t="s">
        <v>83</v>
      </c>
      <c r="U13" s="13" t="s">
        <v>84</v>
      </c>
      <c r="V13" s="13" t="s">
        <v>85</v>
      </c>
      <c r="W13" s="13" t="s">
        <v>86</v>
      </c>
      <c r="X13" s="36"/>
    </row>
    <row r="14" ht="12.75" customHeight="1">
      <c r="A14" s="18"/>
      <c r="B14" s="22" t="s">
        <v>10</v>
      </c>
      <c r="C14" s="23"/>
      <c r="D14" s="19" t="s">
        <v>11</v>
      </c>
      <c r="E14" s="19">
        <v>138.0</v>
      </c>
      <c r="F14" s="19">
        <v>141.0</v>
      </c>
      <c r="G14" s="19">
        <v>136.0</v>
      </c>
      <c r="H14" s="19">
        <v>140.0</v>
      </c>
      <c r="I14" s="19">
        <v>129.0</v>
      </c>
      <c r="J14" s="19">
        <v>138.0</v>
      </c>
      <c r="K14" s="19">
        <v>139.0</v>
      </c>
      <c r="L14" s="19">
        <v>139.0</v>
      </c>
      <c r="M14" s="19">
        <v>137.0</v>
      </c>
      <c r="N14" s="19">
        <v>138.0</v>
      </c>
      <c r="O14" s="19">
        <v>132.0</v>
      </c>
      <c r="P14" s="19">
        <v>140.0</v>
      </c>
      <c r="Q14" s="19">
        <v>134.0</v>
      </c>
      <c r="R14" s="19">
        <v>141.0</v>
      </c>
      <c r="S14" s="19">
        <v>131.0</v>
      </c>
      <c r="T14" s="19">
        <v>125.0</v>
      </c>
      <c r="U14" s="19">
        <v>136.0</v>
      </c>
      <c r="V14" s="19">
        <v>136.0</v>
      </c>
      <c r="W14" s="19">
        <v>141.0</v>
      </c>
      <c r="X14" s="13">
        <f t="shared" ref="X14:X16" si="1">SUM(E14:W14)</f>
        <v>2591</v>
      </c>
    </row>
    <row r="15" ht="12.75" customHeight="1">
      <c r="A15" s="18"/>
      <c r="B15" s="26"/>
      <c r="C15" s="27"/>
      <c r="D15" s="19" t="s">
        <v>12</v>
      </c>
      <c r="E15" s="19">
        <v>128.0</v>
      </c>
      <c r="F15" s="19">
        <v>135.0</v>
      </c>
      <c r="G15" s="19">
        <v>145.0</v>
      </c>
      <c r="H15" s="19">
        <v>126.0</v>
      </c>
      <c r="I15" s="19">
        <v>124.0</v>
      </c>
      <c r="J15" s="19">
        <v>136.0</v>
      </c>
      <c r="K15" s="19">
        <v>142.0</v>
      </c>
      <c r="L15" s="19">
        <v>143.0</v>
      </c>
      <c r="M15" s="19">
        <v>147.0</v>
      </c>
      <c r="N15" s="19">
        <v>137.0</v>
      </c>
      <c r="O15" s="19">
        <v>143.0</v>
      </c>
      <c r="P15" s="19">
        <v>150.0</v>
      </c>
      <c r="Q15" s="19">
        <v>149.0</v>
      </c>
      <c r="R15" s="19">
        <v>145.0</v>
      </c>
      <c r="S15" s="19">
        <v>150.0</v>
      </c>
      <c r="T15" s="19">
        <v>137.0</v>
      </c>
      <c r="U15" s="19">
        <v>141.0</v>
      </c>
      <c r="V15" s="19">
        <v>144.0</v>
      </c>
      <c r="W15" s="19">
        <v>140.0</v>
      </c>
      <c r="X15" s="13">
        <f t="shared" si="1"/>
        <v>2662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266</v>
      </c>
      <c r="F16" s="13">
        <f t="shared" si="2"/>
        <v>276</v>
      </c>
      <c r="G16" s="13">
        <f t="shared" si="2"/>
        <v>281</v>
      </c>
      <c r="H16" s="13">
        <f t="shared" si="2"/>
        <v>266</v>
      </c>
      <c r="I16" s="13">
        <f t="shared" si="2"/>
        <v>253</v>
      </c>
      <c r="J16" s="13">
        <f t="shared" si="2"/>
        <v>274</v>
      </c>
      <c r="K16" s="13">
        <f t="shared" si="2"/>
        <v>281</v>
      </c>
      <c r="L16" s="13">
        <f t="shared" si="2"/>
        <v>282</v>
      </c>
      <c r="M16" s="13">
        <f t="shared" si="2"/>
        <v>284</v>
      </c>
      <c r="N16" s="13">
        <f t="shared" si="2"/>
        <v>275</v>
      </c>
      <c r="O16" s="13">
        <f t="shared" si="2"/>
        <v>275</v>
      </c>
      <c r="P16" s="13">
        <f t="shared" si="2"/>
        <v>290</v>
      </c>
      <c r="Q16" s="13">
        <f t="shared" si="2"/>
        <v>283</v>
      </c>
      <c r="R16" s="13">
        <f t="shared" si="2"/>
        <v>286</v>
      </c>
      <c r="S16" s="13">
        <f t="shared" si="2"/>
        <v>281</v>
      </c>
      <c r="T16" s="13">
        <f t="shared" si="2"/>
        <v>262</v>
      </c>
      <c r="U16" s="13">
        <f t="shared" si="2"/>
        <v>277</v>
      </c>
      <c r="V16" s="13">
        <f t="shared" si="2"/>
        <v>280</v>
      </c>
      <c r="W16" s="13">
        <f t="shared" si="2"/>
        <v>281</v>
      </c>
      <c r="X16" s="13">
        <f t="shared" si="1"/>
        <v>5253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9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9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73.0</v>
      </c>
      <c r="F19" s="19">
        <v>109.0</v>
      </c>
      <c r="G19" s="19">
        <v>112.0</v>
      </c>
      <c r="H19" s="19">
        <v>93.0</v>
      </c>
      <c r="I19" s="19">
        <v>95.0</v>
      </c>
      <c r="J19" s="19">
        <v>104.0</v>
      </c>
      <c r="K19" s="19">
        <v>96.0</v>
      </c>
      <c r="L19" s="19">
        <v>110.0</v>
      </c>
      <c r="M19" s="19">
        <v>98.0</v>
      </c>
      <c r="N19" s="19">
        <v>104.0</v>
      </c>
      <c r="O19" s="19">
        <v>102.0</v>
      </c>
      <c r="P19" s="19">
        <v>107.0</v>
      </c>
      <c r="Q19" s="19">
        <v>109.0</v>
      </c>
      <c r="R19" s="19">
        <v>97.0</v>
      </c>
      <c r="S19" s="19">
        <v>93.0</v>
      </c>
      <c r="T19" s="19">
        <v>98.0</v>
      </c>
      <c r="U19" s="19">
        <v>113.0</v>
      </c>
      <c r="V19" s="19">
        <v>104.0</v>
      </c>
      <c r="W19" s="19">
        <v>123.0</v>
      </c>
      <c r="X19" s="13">
        <f t="shared" ref="X19:X30" si="3">SUM(E19:W19)</f>
        <v>1940</v>
      </c>
    </row>
    <row r="20" ht="12.75" customHeight="1">
      <c r="A20" s="33"/>
      <c r="B20" s="27"/>
      <c r="C20" s="34"/>
      <c r="D20" s="19" t="s">
        <v>12</v>
      </c>
      <c r="E20" s="19">
        <v>90.0</v>
      </c>
      <c r="F20" s="19">
        <v>112.0</v>
      </c>
      <c r="G20" s="19">
        <v>118.0</v>
      </c>
      <c r="H20" s="19">
        <v>97.0</v>
      </c>
      <c r="I20" s="19">
        <v>88.0</v>
      </c>
      <c r="J20" s="19">
        <v>110.0</v>
      </c>
      <c r="K20" s="19">
        <v>115.0</v>
      </c>
      <c r="L20" s="19">
        <v>117.0</v>
      </c>
      <c r="M20" s="19">
        <v>127.0</v>
      </c>
      <c r="N20" s="19">
        <v>106.0</v>
      </c>
      <c r="O20" s="19">
        <v>119.0</v>
      </c>
      <c r="P20" s="19">
        <v>122.0</v>
      </c>
      <c r="Q20" s="19">
        <v>113.0</v>
      </c>
      <c r="R20" s="19">
        <v>122.0</v>
      </c>
      <c r="S20" s="19">
        <v>120.0</v>
      </c>
      <c r="T20" s="19">
        <v>108.0</v>
      </c>
      <c r="U20" s="19">
        <v>116.0</v>
      </c>
      <c r="V20" s="19">
        <v>119.0</v>
      </c>
      <c r="W20" s="19">
        <v>123.0</v>
      </c>
      <c r="X20" s="13">
        <f t="shared" si="3"/>
        <v>2142</v>
      </c>
    </row>
    <row r="21" ht="12.75" customHeight="1">
      <c r="A21" s="35"/>
      <c r="B21" s="28"/>
      <c r="C21" s="36"/>
      <c r="D21" s="13" t="s">
        <v>13</v>
      </c>
      <c r="E21" s="13">
        <f t="shared" ref="E21:W21" si="4">SUM(E19:E20)</f>
        <v>163</v>
      </c>
      <c r="F21" s="13">
        <f t="shared" si="4"/>
        <v>221</v>
      </c>
      <c r="G21" s="13">
        <f t="shared" si="4"/>
        <v>230</v>
      </c>
      <c r="H21" s="13">
        <f t="shared" si="4"/>
        <v>190</v>
      </c>
      <c r="I21" s="13">
        <f t="shared" si="4"/>
        <v>183</v>
      </c>
      <c r="J21" s="13">
        <f t="shared" si="4"/>
        <v>214</v>
      </c>
      <c r="K21" s="13">
        <f t="shared" si="4"/>
        <v>211</v>
      </c>
      <c r="L21" s="13">
        <f t="shared" si="4"/>
        <v>227</v>
      </c>
      <c r="M21" s="13">
        <f t="shared" si="4"/>
        <v>225</v>
      </c>
      <c r="N21" s="13">
        <f t="shared" si="4"/>
        <v>210</v>
      </c>
      <c r="O21" s="13">
        <f t="shared" si="4"/>
        <v>221</v>
      </c>
      <c r="P21" s="13">
        <f t="shared" si="4"/>
        <v>229</v>
      </c>
      <c r="Q21" s="13">
        <f t="shared" si="4"/>
        <v>222</v>
      </c>
      <c r="R21" s="13">
        <f t="shared" si="4"/>
        <v>219</v>
      </c>
      <c r="S21" s="13">
        <f t="shared" si="4"/>
        <v>213</v>
      </c>
      <c r="T21" s="13">
        <f t="shared" si="4"/>
        <v>206</v>
      </c>
      <c r="U21" s="13">
        <f t="shared" si="4"/>
        <v>229</v>
      </c>
      <c r="V21" s="13">
        <f t="shared" si="4"/>
        <v>223</v>
      </c>
      <c r="W21" s="13">
        <f t="shared" si="4"/>
        <v>246</v>
      </c>
      <c r="X21" s="13">
        <f t="shared" si="3"/>
        <v>4082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2.0</v>
      </c>
      <c r="H25" s="19">
        <v>3.0</v>
      </c>
      <c r="I25" s="19">
        <v>1.0</v>
      </c>
      <c r="J25" s="19">
        <v>0.0</v>
      </c>
      <c r="K25" s="19">
        <v>0.0</v>
      </c>
      <c r="L25" s="19">
        <v>3.0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2.0</v>
      </c>
      <c r="T25" s="19">
        <v>0.0</v>
      </c>
      <c r="U25" s="19">
        <v>0.0</v>
      </c>
      <c r="V25" s="19">
        <v>1.0</v>
      </c>
      <c r="W25" s="19">
        <v>0.0</v>
      </c>
      <c r="X25" s="13">
        <f t="shared" si="3"/>
        <v>14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0.0</v>
      </c>
      <c r="G26" s="19">
        <v>1.0</v>
      </c>
      <c r="H26" s="19">
        <v>3.0</v>
      </c>
      <c r="I26" s="19">
        <v>3.0</v>
      </c>
      <c r="J26" s="19">
        <v>1.0</v>
      </c>
      <c r="K26" s="19">
        <v>0.0</v>
      </c>
      <c r="L26" s="19">
        <v>1.0</v>
      </c>
      <c r="M26" s="19">
        <v>0.0</v>
      </c>
      <c r="N26" s="19">
        <v>0.0</v>
      </c>
      <c r="O26" s="19">
        <v>1.0</v>
      </c>
      <c r="P26" s="19">
        <v>0.0</v>
      </c>
      <c r="Q26" s="19">
        <v>0.0</v>
      </c>
      <c r="R26" s="19">
        <v>3.0</v>
      </c>
      <c r="S26" s="19">
        <v>2.0</v>
      </c>
      <c r="T26" s="19">
        <v>0.0</v>
      </c>
      <c r="U26" s="19">
        <v>2.0</v>
      </c>
      <c r="V26" s="19">
        <v>0.0</v>
      </c>
      <c r="W26" s="19">
        <v>1.0</v>
      </c>
      <c r="X26" s="13">
        <f t="shared" si="3"/>
        <v>19</v>
      </c>
    </row>
    <row r="27" ht="12.75" customHeight="1">
      <c r="A27" s="35"/>
      <c r="B27" s="28"/>
      <c r="C27" s="36"/>
      <c r="D27" s="13" t="s">
        <v>13</v>
      </c>
      <c r="E27" s="13">
        <f t="shared" ref="E27:W27" si="6">SUM(E25:E26)</f>
        <v>1</v>
      </c>
      <c r="F27" s="13">
        <f t="shared" si="6"/>
        <v>0</v>
      </c>
      <c r="G27" s="13">
        <f t="shared" si="6"/>
        <v>3</v>
      </c>
      <c r="H27" s="13">
        <f t="shared" si="6"/>
        <v>6</v>
      </c>
      <c r="I27" s="13">
        <f t="shared" si="6"/>
        <v>4</v>
      </c>
      <c r="J27" s="13">
        <f t="shared" si="6"/>
        <v>1</v>
      </c>
      <c r="K27" s="13">
        <f t="shared" si="6"/>
        <v>0</v>
      </c>
      <c r="L27" s="13">
        <f t="shared" si="6"/>
        <v>4</v>
      </c>
      <c r="M27" s="13">
        <f t="shared" si="6"/>
        <v>0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5</v>
      </c>
      <c r="S27" s="13">
        <f t="shared" si="6"/>
        <v>4</v>
      </c>
      <c r="T27" s="13">
        <f t="shared" si="6"/>
        <v>0</v>
      </c>
      <c r="U27" s="13">
        <f t="shared" si="6"/>
        <v>2</v>
      </c>
      <c r="V27" s="13">
        <f t="shared" si="6"/>
        <v>1</v>
      </c>
      <c r="W27" s="13">
        <f t="shared" si="6"/>
        <v>1</v>
      </c>
      <c r="X27" s="13">
        <f t="shared" si="3"/>
        <v>33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W28" si="7">SUM(E19,E22,E25)</f>
        <v>73</v>
      </c>
      <c r="F28" s="13">
        <f t="shared" si="7"/>
        <v>109</v>
      </c>
      <c r="G28" s="13">
        <f t="shared" si="7"/>
        <v>114</v>
      </c>
      <c r="H28" s="13">
        <f t="shared" si="7"/>
        <v>96</v>
      </c>
      <c r="I28" s="13">
        <f t="shared" si="7"/>
        <v>96</v>
      </c>
      <c r="J28" s="13">
        <f t="shared" si="7"/>
        <v>104</v>
      </c>
      <c r="K28" s="13">
        <f t="shared" si="7"/>
        <v>96</v>
      </c>
      <c r="L28" s="13">
        <f t="shared" si="7"/>
        <v>113</v>
      </c>
      <c r="M28" s="13">
        <f t="shared" si="7"/>
        <v>98</v>
      </c>
      <c r="N28" s="13">
        <f t="shared" si="7"/>
        <v>104</v>
      </c>
      <c r="O28" s="13">
        <f t="shared" si="7"/>
        <v>102</v>
      </c>
      <c r="P28" s="13">
        <f t="shared" si="7"/>
        <v>107</v>
      </c>
      <c r="Q28" s="13">
        <f t="shared" si="7"/>
        <v>109</v>
      </c>
      <c r="R28" s="13">
        <f t="shared" si="7"/>
        <v>99</v>
      </c>
      <c r="S28" s="13">
        <f t="shared" si="7"/>
        <v>95</v>
      </c>
      <c r="T28" s="13">
        <f t="shared" si="7"/>
        <v>98</v>
      </c>
      <c r="U28" s="13">
        <f t="shared" si="7"/>
        <v>113</v>
      </c>
      <c r="V28" s="13">
        <f t="shared" si="7"/>
        <v>105</v>
      </c>
      <c r="W28" s="13">
        <f t="shared" si="7"/>
        <v>123</v>
      </c>
      <c r="X28" s="13">
        <f t="shared" si="3"/>
        <v>1954</v>
      </c>
    </row>
    <row r="29" ht="12.75" customHeight="1">
      <c r="A29" s="35"/>
      <c r="B29" s="27"/>
      <c r="C29" s="34"/>
      <c r="D29" s="13" t="s">
        <v>12</v>
      </c>
      <c r="E29" s="13">
        <f t="shared" ref="E29:W29" si="8">SUM(E20,E23,E26)</f>
        <v>91</v>
      </c>
      <c r="F29" s="13">
        <f t="shared" si="8"/>
        <v>112</v>
      </c>
      <c r="G29" s="13">
        <f t="shared" si="8"/>
        <v>119</v>
      </c>
      <c r="H29" s="13">
        <f t="shared" si="8"/>
        <v>100</v>
      </c>
      <c r="I29" s="13">
        <f t="shared" si="8"/>
        <v>91</v>
      </c>
      <c r="J29" s="13">
        <f t="shared" si="8"/>
        <v>111</v>
      </c>
      <c r="K29" s="13">
        <f t="shared" si="8"/>
        <v>115</v>
      </c>
      <c r="L29" s="13">
        <f t="shared" si="8"/>
        <v>118</v>
      </c>
      <c r="M29" s="13">
        <f t="shared" si="8"/>
        <v>127</v>
      </c>
      <c r="N29" s="13">
        <f t="shared" si="8"/>
        <v>106</v>
      </c>
      <c r="O29" s="13">
        <f t="shared" si="8"/>
        <v>120</v>
      </c>
      <c r="P29" s="13">
        <f t="shared" si="8"/>
        <v>122</v>
      </c>
      <c r="Q29" s="13">
        <f t="shared" si="8"/>
        <v>113</v>
      </c>
      <c r="R29" s="13">
        <f t="shared" si="8"/>
        <v>125</v>
      </c>
      <c r="S29" s="13">
        <f t="shared" si="8"/>
        <v>122</v>
      </c>
      <c r="T29" s="13">
        <f t="shared" si="8"/>
        <v>108</v>
      </c>
      <c r="U29" s="13">
        <f t="shared" si="8"/>
        <v>118</v>
      </c>
      <c r="V29" s="13">
        <f t="shared" si="8"/>
        <v>119</v>
      </c>
      <c r="W29" s="13">
        <f t="shared" si="8"/>
        <v>124</v>
      </c>
      <c r="X29" s="13">
        <f t="shared" si="3"/>
        <v>2161</v>
      </c>
    </row>
    <row r="30" ht="12.75" customHeight="1">
      <c r="A30" s="35"/>
      <c r="B30" s="28"/>
      <c r="C30" s="36"/>
      <c r="D30" s="13" t="s">
        <v>13</v>
      </c>
      <c r="E30" s="13">
        <f t="shared" ref="E30:W30" si="9">SUM(E28:E29)</f>
        <v>164</v>
      </c>
      <c r="F30" s="13">
        <f t="shared" si="9"/>
        <v>221</v>
      </c>
      <c r="G30" s="13">
        <f t="shared" si="9"/>
        <v>233</v>
      </c>
      <c r="H30" s="13">
        <f t="shared" si="9"/>
        <v>196</v>
      </c>
      <c r="I30" s="13">
        <f t="shared" si="9"/>
        <v>187</v>
      </c>
      <c r="J30" s="13">
        <f t="shared" si="9"/>
        <v>215</v>
      </c>
      <c r="K30" s="13">
        <f t="shared" si="9"/>
        <v>211</v>
      </c>
      <c r="L30" s="13">
        <f t="shared" si="9"/>
        <v>231</v>
      </c>
      <c r="M30" s="13">
        <f t="shared" si="9"/>
        <v>225</v>
      </c>
      <c r="N30" s="13">
        <f t="shared" si="9"/>
        <v>210</v>
      </c>
      <c r="O30" s="13">
        <f t="shared" si="9"/>
        <v>222</v>
      </c>
      <c r="P30" s="13">
        <f t="shared" si="9"/>
        <v>229</v>
      </c>
      <c r="Q30" s="13">
        <f t="shared" si="9"/>
        <v>222</v>
      </c>
      <c r="R30" s="13">
        <f t="shared" si="9"/>
        <v>224</v>
      </c>
      <c r="S30" s="13">
        <f t="shared" si="9"/>
        <v>217</v>
      </c>
      <c r="T30" s="13">
        <f t="shared" si="9"/>
        <v>206</v>
      </c>
      <c r="U30" s="13">
        <f t="shared" si="9"/>
        <v>231</v>
      </c>
      <c r="V30" s="13">
        <f t="shared" si="9"/>
        <v>224</v>
      </c>
      <c r="W30" s="13">
        <f t="shared" si="9"/>
        <v>247</v>
      </c>
      <c r="X30" s="13">
        <f t="shared" si="3"/>
        <v>4115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9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59"/>
    </row>
    <row r="33" ht="12.75" customHeight="1">
      <c r="A33" s="19">
        <v>1.0</v>
      </c>
      <c r="B33" s="20" t="s">
        <v>26</v>
      </c>
      <c r="C33" s="15"/>
      <c r="D33" s="16"/>
      <c r="E33" s="19">
        <v>261.0</v>
      </c>
      <c r="F33" s="19">
        <v>271.0</v>
      </c>
      <c r="G33" s="19">
        <v>277.0</v>
      </c>
      <c r="H33" s="19">
        <v>261.0</v>
      </c>
      <c r="I33" s="19">
        <v>248.0</v>
      </c>
      <c r="J33" s="19">
        <v>269.0</v>
      </c>
      <c r="K33" s="19">
        <v>275.0</v>
      </c>
      <c r="L33" s="19">
        <v>271.0</v>
      </c>
      <c r="M33" s="19">
        <v>278.0</v>
      </c>
      <c r="N33" s="19">
        <v>271.0</v>
      </c>
      <c r="O33" s="19">
        <v>272.0</v>
      </c>
      <c r="P33" s="19">
        <v>284.0</v>
      </c>
      <c r="Q33" s="19">
        <v>278.0</v>
      </c>
      <c r="R33" s="19">
        <v>281.0</v>
      </c>
      <c r="S33" s="19">
        <v>277.0</v>
      </c>
      <c r="T33" s="19">
        <v>278.0</v>
      </c>
      <c r="U33" s="19">
        <v>272.0</v>
      </c>
      <c r="V33" s="19">
        <v>266.0</v>
      </c>
      <c r="W33" s="19">
        <v>277.0</v>
      </c>
      <c r="X33" s="13">
        <f t="shared" ref="X33:X36" si="10">SUM(E33:W33)</f>
        <v>5167</v>
      </c>
    </row>
    <row r="34" ht="12.75" customHeight="1">
      <c r="A34" s="19">
        <v>2.0</v>
      </c>
      <c r="B34" s="20" t="s">
        <v>27</v>
      </c>
      <c r="C34" s="15"/>
      <c r="D34" s="16"/>
      <c r="E34" s="13">
        <v>164.0</v>
      </c>
      <c r="F34" s="13">
        <v>221.0</v>
      </c>
      <c r="G34" s="13">
        <v>233.0</v>
      </c>
      <c r="H34" s="13">
        <v>196.0</v>
      </c>
      <c r="I34" s="13">
        <v>187.0</v>
      </c>
      <c r="J34" s="13">
        <v>215.0</v>
      </c>
      <c r="K34" s="13">
        <v>211.0</v>
      </c>
      <c r="L34" s="13">
        <v>231.0</v>
      </c>
      <c r="M34" s="13">
        <v>225.0</v>
      </c>
      <c r="N34" s="13">
        <v>210.0</v>
      </c>
      <c r="O34" s="13">
        <v>222.0</v>
      </c>
      <c r="P34" s="13">
        <v>229.0</v>
      </c>
      <c r="Q34" s="13">
        <v>222.0</v>
      </c>
      <c r="R34" s="13">
        <v>224.0</v>
      </c>
      <c r="S34" s="13">
        <v>217.0</v>
      </c>
      <c r="T34" s="13">
        <v>206.0</v>
      </c>
      <c r="U34" s="13">
        <v>231.0</v>
      </c>
      <c r="V34" s="13">
        <v>224.0</v>
      </c>
      <c r="W34" s="13">
        <v>247.0</v>
      </c>
      <c r="X34" s="13">
        <f t="shared" si="10"/>
        <v>4115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1.0</v>
      </c>
      <c r="X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97</v>
      </c>
      <c r="F36" s="13">
        <f t="shared" si="11"/>
        <v>50</v>
      </c>
      <c r="G36" s="13">
        <f t="shared" si="11"/>
        <v>44</v>
      </c>
      <c r="H36" s="13">
        <f t="shared" si="11"/>
        <v>64</v>
      </c>
      <c r="I36" s="13">
        <f t="shared" si="11"/>
        <v>61</v>
      </c>
      <c r="J36" s="13">
        <f t="shared" si="11"/>
        <v>54</v>
      </c>
      <c r="K36" s="13">
        <f t="shared" si="11"/>
        <v>64</v>
      </c>
      <c r="L36" s="13">
        <f t="shared" si="11"/>
        <v>40</v>
      </c>
      <c r="M36" s="13">
        <f t="shared" si="11"/>
        <v>53</v>
      </c>
      <c r="N36" s="13">
        <f t="shared" si="11"/>
        <v>61</v>
      </c>
      <c r="O36" s="13">
        <f t="shared" si="11"/>
        <v>50</v>
      </c>
      <c r="P36" s="13">
        <f t="shared" si="11"/>
        <v>55</v>
      </c>
      <c r="Q36" s="13">
        <f t="shared" si="11"/>
        <v>56</v>
      </c>
      <c r="R36" s="13">
        <f t="shared" si="11"/>
        <v>57</v>
      </c>
      <c r="S36" s="13">
        <f t="shared" si="11"/>
        <v>60</v>
      </c>
      <c r="T36" s="13">
        <f t="shared" si="11"/>
        <v>72</v>
      </c>
      <c r="U36" s="13">
        <f t="shared" si="11"/>
        <v>40</v>
      </c>
      <c r="V36" s="13">
        <f t="shared" si="11"/>
        <v>42</v>
      </c>
      <c r="W36" s="13">
        <f t="shared" si="11"/>
        <v>29</v>
      </c>
      <c r="X36" s="13">
        <f t="shared" si="10"/>
        <v>1049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9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59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2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13"/>
    </row>
    <row r="45" ht="12.75" customHeight="1">
      <c r="A45" s="30"/>
      <c r="B45" s="47" t="s">
        <v>16</v>
      </c>
      <c r="C45" s="61" t="s">
        <v>37</v>
      </c>
      <c r="D45" s="16"/>
      <c r="E45" s="19">
        <v>20.0</v>
      </c>
      <c r="F45" s="19">
        <v>6.0</v>
      </c>
      <c r="G45" s="19">
        <v>21.0</v>
      </c>
      <c r="H45" s="19">
        <v>14.0</v>
      </c>
      <c r="I45" s="19">
        <v>13.0</v>
      </c>
      <c r="J45" s="19">
        <v>15.0</v>
      </c>
      <c r="K45" s="19">
        <v>8.0</v>
      </c>
      <c r="L45" s="19">
        <v>8.0</v>
      </c>
      <c r="M45" s="19">
        <v>17.0</v>
      </c>
      <c r="N45" s="19">
        <v>17.0</v>
      </c>
      <c r="O45" s="19">
        <v>17.0</v>
      </c>
      <c r="P45" s="19">
        <v>17.0</v>
      </c>
      <c r="Q45" s="19">
        <v>21.0</v>
      </c>
      <c r="R45" s="19">
        <v>15.0</v>
      </c>
      <c r="S45" s="19">
        <v>24.0</v>
      </c>
      <c r="T45" s="19">
        <v>19.0</v>
      </c>
      <c r="U45" s="19">
        <v>17.0</v>
      </c>
      <c r="V45" s="19">
        <v>18.0</v>
      </c>
      <c r="W45" s="19">
        <v>15.0</v>
      </c>
      <c r="X45" s="13">
        <f t="shared" ref="X45:X57" si="14">SUM(E45:W45)</f>
        <v>302</v>
      </c>
    </row>
    <row r="46" ht="12.75" customHeight="1">
      <c r="A46" s="18"/>
      <c r="B46" s="47" t="s">
        <v>18</v>
      </c>
      <c r="C46" s="61" t="s">
        <v>38</v>
      </c>
      <c r="D46" s="16"/>
      <c r="E46" s="19">
        <v>37.0</v>
      </c>
      <c r="F46" s="19">
        <v>28.0</v>
      </c>
      <c r="G46" s="19">
        <v>49.0</v>
      </c>
      <c r="H46" s="19">
        <v>33.0</v>
      </c>
      <c r="I46" s="19">
        <v>46.0</v>
      </c>
      <c r="J46" s="19">
        <v>36.0</v>
      </c>
      <c r="K46" s="19">
        <v>38.0</v>
      </c>
      <c r="L46" s="19">
        <v>38.0</v>
      </c>
      <c r="M46" s="19">
        <v>28.0</v>
      </c>
      <c r="N46" s="19">
        <v>29.0</v>
      </c>
      <c r="O46" s="19">
        <v>29.0</v>
      </c>
      <c r="P46" s="19">
        <v>42.0</v>
      </c>
      <c r="Q46" s="19">
        <v>37.0</v>
      </c>
      <c r="R46" s="19">
        <v>40.0</v>
      </c>
      <c r="S46" s="19">
        <v>42.0</v>
      </c>
      <c r="T46" s="19">
        <v>36.0</v>
      </c>
      <c r="U46" s="19">
        <v>36.0</v>
      </c>
      <c r="V46" s="19">
        <v>26.0</v>
      </c>
      <c r="W46" s="19">
        <v>65.0</v>
      </c>
      <c r="X46" s="13">
        <f t="shared" si="14"/>
        <v>715</v>
      </c>
    </row>
    <row r="47" ht="12.75" customHeight="1">
      <c r="A47" s="18"/>
      <c r="B47" s="47" t="s">
        <v>20</v>
      </c>
      <c r="C47" s="61" t="s">
        <v>39</v>
      </c>
      <c r="D47" s="16"/>
      <c r="E47" s="19">
        <v>10.0</v>
      </c>
      <c r="F47" s="19">
        <v>15.0</v>
      </c>
      <c r="G47" s="19">
        <v>17.0</v>
      </c>
      <c r="H47" s="19">
        <v>14.0</v>
      </c>
      <c r="I47" s="19">
        <v>5.0</v>
      </c>
      <c r="J47" s="19">
        <v>12.0</v>
      </c>
      <c r="K47" s="19">
        <v>6.0</v>
      </c>
      <c r="L47" s="19">
        <v>12.0</v>
      </c>
      <c r="M47" s="19">
        <v>16.0</v>
      </c>
      <c r="N47" s="19">
        <v>19.0</v>
      </c>
      <c r="O47" s="19">
        <v>15.0</v>
      </c>
      <c r="P47" s="19">
        <v>14.0</v>
      </c>
      <c r="Q47" s="19">
        <v>13.0</v>
      </c>
      <c r="R47" s="19">
        <v>17.0</v>
      </c>
      <c r="S47" s="19">
        <v>11.0</v>
      </c>
      <c r="T47" s="19">
        <v>9.0</v>
      </c>
      <c r="U47" s="19">
        <v>11.0</v>
      </c>
      <c r="V47" s="19">
        <v>6.0</v>
      </c>
      <c r="W47" s="19">
        <v>25.0</v>
      </c>
      <c r="X47" s="13">
        <f t="shared" si="14"/>
        <v>247</v>
      </c>
    </row>
    <row r="48" ht="12.75" customHeight="1">
      <c r="A48" s="18"/>
      <c r="B48" s="47" t="s">
        <v>22</v>
      </c>
      <c r="C48" s="61" t="s">
        <v>40</v>
      </c>
      <c r="D48" s="16"/>
      <c r="E48" s="19">
        <v>11.0</v>
      </c>
      <c r="F48" s="19">
        <v>12.0</v>
      </c>
      <c r="G48" s="19">
        <v>17.0</v>
      </c>
      <c r="H48" s="19">
        <v>17.0</v>
      </c>
      <c r="I48" s="19">
        <v>12.0</v>
      </c>
      <c r="J48" s="19">
        <v>16.0</v>
      </c>
      <c r="K48" s="19">
        <v>17.0</v>
      </c>
      <c r="L48" s="19">
        <v>19.0</v>
      </c>
      <c r="M48" s="19">
        <v>22.0</v>
      </c>
      <c r="N48" s="19">
        <v>13.0</v>
      </c>
      <c r="O48" s="19">
        <v>19.0</v>
      </c>
      <c r="P48" s="19">
        <v>30.0</v>
      </c>
      <c r="Q48" s="19">
        <v>15.0</v>
      </c>
      <c r="R48" s="19">
        <v>21.0</v>
      </c>
      <c r="S48" s="19">
        <v>21.0</v>
      </c>
      <c r="T48" s="19">
        <v>15.0</v>
      </c>
      <c r="U48" s="19">
        <v>29.0</v>
      </c>
      <c r="V48" s="19">
        <v>19.0</v>
      </c>
      <c r="W48" s="19">
        <v>33.0</v>
      </c>
      <c r="X48" s="13">
        <f t="shared" si="14"/>
        <v>358</v>
      </c>
    </row>
    <row r="49" ht="12.75" customHeight="1">
      <c r="A49" s="18"/>
      <c r="B49" s="47" t="s">
        <v>41</v>
      </c>
      <c r="C49" s="61" t="s">
        <v>42</v>
      </c>
      <c r="D49" s="16"/>
      <c r="E49" s="19">
        <v>9.0</v>
      </c>
      <c r="F49" s="19">
        <v>4.0</v>
      </c>
      <c r="G49" s="19">
        <v>15.0</v>
      </c>
      <c r="H49" s="19">
        <v>13.0</v>
      </c>
      <c r="I49" s="19">
        <v>15.0</v>
      </c>
      <c r="J49" s="19">
        <v>15.0</v>
      </c>
      <c r="K49" s="19">
        <v>20.0</v>
      </c>
      <c r="L49" s="19">
        <v>11.0</v>
      </c>
      <c r="M49" s="19">
        <v>11.0</v>
      </c>
      <c r="N49" s="19">
        <v>15.0</v>
      </c>
      <c r="O49" s="19">
        <v>21.0</v>
      </c>
      <c r="P49" s="19">
        <v>22.0</v>
      </c>
      <c r="Q49" s="19">
        <v>10.0</v>
      </c>
      <c r="R49" s="19">
        <v>9.0</v>
      </c>
      <c r="S49" s="19">
        <v>18.0</v>
      </c>
      <c r="T49" s="19">
        <v>23.0</v>
      </c>
      <c r="U49" s="19">
        <v>17.0</v>
      </c>
      <c r="V49" s="19">
        <v>16.0</v>
      </c>
      <c r="W49" s="19">
        <v>18.0</v>
      </c>
      <c r="X49" s="13">
        <f t="shared" si="14"/>
        <v>282</v>
      </c>
    </row>
    <row r="50" ht="12.75" customHeight="1">
      <c r="A50" s="18"/>
      <c r="B50" s="47" t="s">
        <v>43</v>
      </c>
      <c r="C50" s="61" t="s">
        <v>44</v>
      </c>
      <c r="D50" s="16"/>
      <c r="E50" s="19">
        <v>11.0</v>
      </c>
      <c r="F50" s="19">
        <v>16.0</v>
      </c>
      <c r="G50" s="19">
        <v>14.0</v>
      </c>
      <c r="H50" s="19">
        <v>8.0</v>
      </c>
      <c r="I50" s="19">
        <v>13.0</v>
      </c>
      <c r="J50" s="19">
        <v>9.0</v>
      </c>
      <c r="K50" s="19">
        <v>15.0</v>
      </c>
      <c r="L50" s="19">
        <v>10.0</v>
      </c>
      <c r="M50" s="19">
        <v>6.0</v>
      </c>
      <c r="N50" s="19">
        <v>14.0</v>
      </c>
      <c r="O50" s="19">
        <v>12.0</v>
      </c>
      <c r="P50" s="19">
        <v>15.0</v>
      </c>
      <c r="Q50" s="19">
        <v>20.0</v>
      </c>
      <c r="R50" s="19">
        <v>17.0</v>
      </c>
      <c r="S50" s="19">
        <v>12.0</v>
      </c>
      <c r="T50" s="19">
        <v>25.0</v>
      </c>
      <c r="U50" s="19">
        <v>16.0</v>
      </c>
      <c r="V50" s="19">
        <v>17.0</v>
      </c>
      <c r="W50" s="19">
        <v>8.0</v>
      </c>
      <c r="X50" s="13">
        <f t="shared" si="14"/>
        <v>258</v>
      </c>
    </row>
    <row r="51" ht="12.75" customHeight="1">
      <c r="A51" s="18"/>
      <c r="B51" s="47" t="s">
        <v>45</v>
      </c>
      <c r="C51" s="61" t="s">
        <v>46</v>
      </c>
      <c r="D51" s="16"/>
      <c r="E51" s="19">
        <v>2.0</v>
      </c>
      <c r="F51" s="19">
        <v>1.0</v>
      </c>
      <c r="G51" s="19">
        <v>1.0</v>
      </c>
      <c r="H51" s="19">
        <v>1.0</v>
      </c>
      <c r="I51" s="19">
        <v>1.0</v>
      </c>
      <c r="J51" s="19">
        <v>1.0</v>
      </c>
      <c r="K51" s="19">
        <v>2.0</v>
      </c>
      <c r="L51" s="19">
        <v>1.0</v>
      </c>
      <c r="M51" s="19">
        <v>10.0</v>
      </c>
      <c r="N51" s="19">
        <v>4.0</v>
      </c>
      <c r="O51" s="19">
        <v>0.0</v>
      </c>
      <c r="P51" s="19">
        <v>3.0</v>
      </c>
      <c r="Q51" s="19">
        <v>5.0</v>
      </c>
      <c r="R51" s="19">
        <v>4.0</v>
      </c>
      <c r="S51" s="19">
        <v>2.0</v>
      </c>
      <c r="T51" s="19">
        <v>2.0</v>
      </c>
      <c r="U51" s="19">
        <v>1.0</v>
      </c>
      <c r="V51" s="19">
        <v>2.0</v>
      </c>
      <c r="W51" s="19">
        <v>4.0</v>
      </c>
      <c r="X51" s="13">
        <f t="shared" si="14"/>
        <v>47</v>
      </c>
    </row>
    <row r="52" ht="12.75" customHeight="1">
      <c r="A52" s="18"/>
      <c r="B52" s="47" t="s">
        <v>47</v>
      </c>
      <c r="C52" s="61" t="s">
        <v>48</v>
      </c>
      <c r="D52" s="16"/>
      <c r="E52" s="19">
        <v>2.0</v>
      </c>
      <c r="F52" s="19">
        <v>3.0</v>
      </c>
      <c r="G52" s="19">
        <v>2.0</v>
      </c>
      <c r="H52" s="19">
        <v>1.0</v>
      </c>
      <c r="I52" s="19">
        <v>2.0</v>
      </c>
      <c r="J52" s="19">
        <v>3.0</v>
      </c>
      <c r="K52" s="19">
        <v>3.0</v>
      </c>
      <c r="L52" s="19">
        <v>4.0</v>
      </c>
      <c r="M52" s="19">
        <v>0.0</v>
      </c>
      <c r="N52" s="19">
        <v>6.0</v>
      </c>
      <c r="O52" s="19">
        <v>5.0</v>
      </c>
      <c r="P52" s="19">
        <v>2.0</v>
      </c>
      <c r="Q52" s="19">
        <v>6.0</v>
      </c>
      <c r="R52" s="19">
        <v>4.0</v>
      </c>
      <c r="S52" s="19">
        <v>4.0</v>
      </c>
      <c r="T52" s="19">
        <v>3.0</v>
      </c>
      <c r="U52" s="19">
        <v>0.0</v>
      </c>
      <c r="V52" s="19">
        <v>2.0</v>
      </c>
      <c r="W52" s="19">
        <v>3.0</v>
      </c>
      <c r="X52" s="13">
        <f t="shared" si="14"/>
        <v>55</v>
      </c>
    </row>
    <row r="53" ht="12.75" customHeight="1">
      <c r="A53" s="18"/>
      <c r="B53" s="47" t="s">
        <v>49</v>
      </c>
      <c r="C53" s="61" t="s">
        <v>50</v>
      </c>
      <c r="D53" s="16"/>
      <c r="E53" s="19">
        <v>0.0</v>
      </c>
      <c r="F53" s="19">
        <v>4.0</v>
      </c>
      <c r="G53" s="19">
        <v>1.0</v>
      </c>
      <c r="H53" s="19">
        <v>1.0</v>
      </c>
      <c r="I53" s="19">
        <v>0.0</v>
      </c>
      <c r="J53" s="19">
        <v>1.0</v>
      </c>
      <c r="K53" s="19">
        <v>0.0</v>
      </c>
      <c r="L53" s="19">
        <v>0.0</v>
      </c>
      <c r="M53" s="19">
        <v>0.0</v>
      </c>
      <c r="N53" s="19">
        <v>3.0</v>
      </c>
      <c r="O53" s="19">
        <v>0.0</v>
      </c>
      <c r="P53" s="19">
        <v>0.0</v>
      </c>
      <c r="Q53" s="19">
        <v>0.0</v>
      </c>
      <c r="R53" s="19">
        <v>2.0</v>
      </c>
      <c r="S53" s="19">
        <v>2.0</v>
      </c>
      <c r="T53" s="19">
        <v>0.0</v>
      </c>
      <c r="U53" s="19">
        <v>1.0</v>
      </c>
      <c r="V53" s="19">
        <v>1.0</v>
      </c>
      <c r="W53" s="19">
        <v>0.0</v>
      </c>
      <c r="X53" s="13">
        <f t="shared" si="14"/>
        <v>16</v>
      </c>
    </row>
    <row r="54" ht="12.75" customHeight="1">
      <c r="A54" s="18"/>
      <c r="B54" s="47" t="s">
        <v>51</v>
      </c>
      <c r="C54" s="61" t="s">
        <v>52</v>
      </c>
      <c r="D54" s="16"/>
      <c r="E54" s="19">
        <v>20.0</v>
      </c>
      <c r="F54" s="19">
        <v>18.0</v>
      </c>
      <c r="G54" s="19">
        <v>21.0</v>
      </c>
      <c r="H54" s="19">
        <v>12.0</v>
      </c>
      <c r="I54" s="19">
        <v>19.0</v>
      </c>
      <c r="J54" s="19">
        <v>30.0</v>
      </c>
      <c r="K54" s="19">
        <v>15.0</v>
      </c>
      <c r="L54" s="19">
        <v>29.0</v>
      </c>
      <c r="M54" s="19">
        <v>21.0</v>
      </c>
      <c r="N54" s="19">
        <v>19.0</v>
      </c>
      <c r="O54" s="19">
        <v>9.0</v>
      </c>
      <c r="P54" s="19">
        <v>15.0</v>
      </c>
      <c r="Q54" s="19">
        <v>16.0</v>
      </c>
      <c r="R54" s="19">
        <v>22.0</v>
      </c>
      <c r="S54" s="19">
        <v>16.0</v>
      </c>
      <c r="T54" s="19">
        <v>19.0</v>
      </c>
      <c r="U54" s="19">
        <v>16.0</v>
      </c>
      <c r="V54" s="19">
        <v>19.0</v>
      </c>
      <c r="W54" s="19">
        <v>18.0</v>
      </c>
      <c r="X54" s="13">
        <f t="shared" si="14"/>
        <v>354</v>
      </c>
    </row>
    <row r="55" ht="12.75" customHeight="1">
      <c r="A55" s="18"/>
      <c r="B55" s="47" t="s">
        <v>53</v>
      </c>
      <c r="C55" s="61" t="s">
        <v>54</v>
      </c>
      <c r="D55" s="16"/>
      <c r="E55" s="19">
        <v>0.0</v>
      </c>
      <c r="F55" s="19">
        <v>0.0</v>
      </c>
      <c r="G55" s="19">
        <v>3.0</v>
      </c>
      <c r="H55" s="19">
        <v>0.0</v>
      </c>
      <c r="I55" s="19">
        <v>2.0</v>
      </c>
      <c r="J55" s="19">
        <v>1.0</v>
      </c>
      <c r="K55" s="19">
        <v>1.0</v>
      </c>
      <c r="L55" s="19">
        <v>2.0</v>
      </c>
      <c r="M55" s="19">
        <v>6.0</v>
      </c>
      <c r="N55" s="19">
        <v>3.0</v>
      </c>
      <c r="O55" s="19">
        <v>0.0</v>
      </c>
      <c r="P55" s="19">
        <v>2.0</v>
      </c>
      <c r="Q55" s="19">
        <v>1.0</v>
      </c>
      <c r="R55" s="19">
        <v>2.0</v>
      </c>
      <c r="S55" s="19">
        <v>0.0</v>
      </c>
      <c r="T55" s="19">
        <v>0.0</v>
      </c>
      <c r="U55" s="19">
        <v>0.0</v>
      </c>
      <c r="V55" s="19">
        <v>1.0</v>
      </c>
      <c r="W55" s="19">
        <v>2.0</v>
      </c>
      <c r="X55" s="13">
        <f t="shared" si="14"/>
        <v>26</v>
      </c>
    </row>
    <row r="56" ht="12.75" customHeight="1">
      <c r="A56" s="18"/>
      <c r="B56" s="47" t="s">
        <v>55</v>
      </c>
      <c r="C56" s="61" t="s">
        <v>56</v>
      </c>
      <c r="D56" s="16"/>
      <c r="E56" s="19">
        <v>10.0</v>
      </c>
      <c r="F56" s="19">
        <v>12.0</v>
      </c>
      <c r="G56" s="19">
        <v>15.0</v>
      </c>
      <c r="H56" s="19">
        <v>25.0</v>
      </c>
      <c r="I56" s="19">
        <v>19.0</v>
      </c>
      <c r="J56" s="19">
        <v>32.0</v>
      </c>
      <c r="K56" s="19">
        <v>26.0</v>
      </c>
      <c r="L56" s="19">
        <v>26.0</v>
      </c>
      <c r="M56" s="19">
        <v>25.0</v>
      </c>
      <c r="N56" s="19">
        <v>15.0</v>
      </c>
      <c r="O56" s="19">
        <v>14.0</v>
      </c>
      <c r="P56" s="19">
        <v>14.0</v>
      </c>
      <c r="Q56" s="19">
        <v>26.0</v>
      </c>
      <c r="R56" s="19">
        <v>20.0</v>
      </c>
      <c r="S56" s="19">
        <v>18.0</v>
      </c>
      <c r="T56" s="19">
        <v>14.0</v>
      </c>
      <c r="U56" s="19">
        <v>28.0</v>
      </c>
      <c r="V56" s="19">
        <v>15.0</v>
      </c>
      <c r="W56" s="19">
        <v>24.0</v>
      </c>
      <c r="X56" s="13">
        <f t="shared" si="14"/>
        <v>378</v>
      </c>
    </row>
    <row r="57" ht="12.75" customHeight="1">
      <c r="A57" s="18"/>
      <c r="B57" s="47" t="s">
        <v>57</v>
      </c>
      <c r="C57" s="61" t="s">
        <v>58</v>
      </c>
      <c r="D57" s="16"/>
      <c r="E57" s="19">
        <v>4.0</v>
      </c>
      <c r="F57" s="19">
        <v>3.0</v>
      </c>
      <c r="G57" s="19">
        <v>1.0</v>
      </c>
      <c r="H57" s="19">
        <v>1.0</v>
      </c>
      <c r="I57" s="19">
        <v>6.0</v>
      </c>
      <c r="J57" s="19">
        <v>1.0</v>
      </c>
      <c r="K57" s="19">
        <v>3.0</v>
      </c>
      <c r="L57" s="19">
        <v>1.0</v>
      </c>
      <c r="M57" s="19">
        <v>5.0</v>
      </c>
      <c r="N57" s="19">
        <v>0.0</v>
      </c>
      <c r="O57" s="19">
        <v>2.0</v>
      </c>
      <c r="P57" s="19">
        <v>2.0</v>
      </c>
      <c r="Q57" s="19">
        <v>3.0</v>
      </c>
      <c r="R57" s="19">
        <v>0.0</v>
      </c>
      <c r="S57" s="19">
        <v>1.0</v>
      </c>
      <c r="T57" s="19">
        <v>0.0</v>
      </c>
      <c r="U57" s="19">
        <v>0.0</v>
      </c>
      <c r="V57" s="19">
        <v>0.0</v>
      </c>
      <c r="W57" s="19">
        <v>3.0</v>
      </c>
      <c r="X57" s="13">
        <f t="shared" si="14"/>
        <v>36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13"/>
      <c r="U59" s="13"/>
      <c r="V59" s="13"/>
      <c r="W59" s="13"/>
      <c r="X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W60" si="15">SUM(E45:E57)</f>
        <v>136</v>
      </c>
      <c r="F60" s="19">
        <f t="shared" si="15"/>
        <v>122</v>
      </c>
      <c r="G60" s="19">
        <f t="shared" si="15"/>
        <v>177</v>
      </c>
      <c r="H60" s="19">
        <f t="shared" si="15"/>
        <v>140</v>
      </c>
      <c r="I60" s="19">
        <f t="shared" si="15"/>
        <v>153</v>
      </c>
      <c r="J60" s="19">
        <f t="shared" si="15"/>
        <v>172</v>
      </c>
      <c r="K60" s="19">
        <f t="shared" si="15"/>
        <v>154</v>
      </c>
      <c r="L60" s="19">
        <f t="shared" si="15"/>
        <v>161</v>
      </c>
      <c r="M60" s="19">
        <f t="shared" si="15"/>
        <v>167</v>
      </c>
      <c r="N60" s="19">
        <f t="shared" si="15"/>
        <v>157</v>
      </c>
      <c r="O60" s="19">
        <f t="shared" si="15"/>
        <v>143</v>
      </c>
      <c r="P60" s="19">
        <f t="shared" si="15"/>
        <v>178</v>
      </c>
      <c r="Q60" s="19">
        <f t="shared" si="15"/>
        <v>173</v>
      </c>
      <c r="R60" s="19">
        <f t="shared" si="15"/>
        <v>173</v>
      </c>
      <c r="S60" s="19">
        <f t="shared" si="15"/>
        <v>171</v>
      </c>
      <c r="T60" s="19">
        <f t="shared" si="15"/>
        <v>165</v>
      </c>
      <c r="U60" s="19">
        <f t="shared" si="15"/>
        <v>172</v>
      </c>
      <c r="V60" s="19">
        <f t="shared" si="15"/>
        <v>142</v>
      </c>
      <c r="W60" s="19">
        <f t="shared" si="15"/>
        <v>218</v>
      </c>
      <c r="X60" s="13">
        <f t="shared" ref="X60:X62" si="16">SUM(E60:W60)</f>
        <v>3074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28.0</v>
      </c>
      <c r="F61" s="19">
        <v>99.0</v>
      </c>
      <c r="G61" s="19">
        <v>56.0</v>
      </c>
      <c r="H61" s="19">
        <v>56.0</v>
      </c>
      <c r="I61" s="19">
        <v>34.0</v>
      </c>
      <c r="J61" s="19">
        <v>43.0</v>
      </c>
      <c r="K61" s="19">
        <v>57.0</v>
      </c>
      <c r="L61" s="19">
        <v>70.0</v>
      </c>
      <c r="M61" s="19">
        <v>58.0</v>
      </c>
      <c r="N61" s="19">
        <v>53.0</v>
      </c>
      <c r="O61" s="19">
        <v>79.0</v>
      </c>
      <c r="P61" s="19">
        <v>51.0</v>
      </c>
      <c r="Q61" s="19">
        <v>49.0</v>
      </c>
      <c r="R61" s="19">
        <v>51.0</v>
      </c>
      <c r="S61" s="19">
        <v>46.0</v>
      </c>
      <c r="T61" s="19">
        <v>41.0</v>
      </c>
      <c r="U61" s="19">
        <v>59.0</v>
      </c>
      <c r="V61" s="19">
        <v>82.0</v>
      </c>
      <c r="W61" s="19">
        <v>29.0</v>
      </c>
      <c r="X61" s="13">
        <f t="shared" si="16"/>
        <v>1041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W62" si="17">SUM(E60:E61)</f>
        <v>164</v>
      </c>
      <c r="F62" s="13">
        <f t="shared" si="17"/>
        <v>221</v>
      </c>
      <c r="G62" s="13">
        <f t="shared" si="17"/>
        <v>233</v>
      </c>
      <c r="H62" s="13">
        <f t="shared" si="17"/>
        <v>196</v>
      </c>
      <c r="I62" s="13">
        <f t="shared" si="17"/>
        <v>187</v>
      </c>
      <c r="J62" s="13">
        <f t="shared" si="17"/>
        <v>215</v>
      </c>
      <c r="K62" s="13">
        <f t="shared" si="17"/>
        <v>211</v>
      </c>
      <c r="L62" s="13">
        <f t="shared" si="17"/>
        <v>231</v>
      </c>
      <c r="M62" s="13">
        <f t="shared" si="17"/>
        <v>225</v>
      </c>
      <c r="N62" s="13">
        <f t="shared" si="17"/>
        <v>210</v>
      </c>
      <c r="O62" s="13">
        <f t="shared" si="17"/>
        <v>222</v>
      </c>
      <c r="P62" s="13">
        <f t="shared" si="17"/>
        <v>229</v>
      </c>
      <c r="Q62" s="13">
        <f t="shared" si="17"/>
        <v>222</v>
      </c>
      <c r="R62" s="13">
        <f t="shared" si="17"/>
        <v>224</v>
      </c>
      <c r="S62" s="13">
        <f t="shared" si="17"/>
        <v>217</v>
      </c>
      <c r="T62" s="13">
        <f t="shared" si="17"/>
        <v>206</v>
      </c>
      <c r="U62" s="13">
        <f t="shared" si="17"/>
        <v>231</v>
      </c>
      <c r="V62" s="13">
        <f t="shared" si="17"/>
        <v>224</v>
      </c>
      <c r="W62" s="13">
        <f t="shared" si="17"/>
        <v>247</v>
      </c>
      <c r="X62" s="13">
        <f t="shared" si="16"/>
        <v>4115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W34">
    <cfRule type="expression" dxfId="0" priority="1">
      <formula>E34&lt;&gt;#REF!</formula>
    </cfRule>
  </conditionalFormatting>
  <conditionalFormatting sqref="E14:W15 E45:W57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E30&lt;&gt;E46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60:W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  <col customWidth="1" min="34" max="41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57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68</v>
      </c>
      <c r="F13" s="13" t="s">
        <v>69</v>
      </c>
      <c r="G13" s="13" t="s">
        <v>70</v>
      </c>
      <c r="H13" s="13" t="s">
        <v>71</v>
      </c>
      <c r="I13" s="13" t="s">
        <v>72</v>
      </c>
      <c r="J13" s="13" t="s">
        <v>73</v>
      </c>
      <c r="K13" s="13" t="s">
        <v>74</v>
      </c>
      <c r="L13" s="13" t="s">
        <v>75</v>
      </c>
      <c r="M13" s="13" t="s">
        <v>76</v>
      </c>
      <c r="N13" s="13" t="s">
        <v>77</v>
      </c>
      <c r="O13" s="13" t="s">
        <v>78</v>
      </c>
      <c r="P13" s="13" t="s">
        <v>79</v>
      </c>
      <c r="Q13" s="13" t="s">
        <v>80</v>
      </c>
      <c r="R13" s="13" t="s">
        <v>81</v>
      </c>
      <c r="S13" s="13" t="s">
        <v>82</v>
      </c>
      <c r="T13" s="13" t="s">
        <v>83</v>
      </c>
      <c r="U13" s="13" t="s">
        <v>84</v>
      </c>
      <c r="V13" s="13" t="s">
        <v>85</v>
      </c>
      <c r="W13" s="13" t="s">
        <v>86</v>
      </c>
      <c r="X13" s="13" t="s">
        <v>87</v>
      </c>
      <c r="Y13" s="13" t="s">
        <v>88</v>
      </c>
      <c r="Z13" s="13" t="s">
        <v>89</v>
      </c>
      <c r="AA13" s="13" t="s">
        <v>90</v>
      </c>
      <c r="AB13" s="13" t="s">
        <v>91</v>
      </c>
      <c r="AC13" s="13" t="s">
        <v>92</v>
      </c>
      <c r="AD13" s="13" t="s">
        <v>93</v>
      </c>
      <c r="AE13" s="13" t="s">
        <v>94</v>
      </c>
      <c r="AF13" s="13" t="s">
        <v>95</v>
      </c>
      <c r="AG13" s="36"/>
    </row>
    <row r="14" ht="12.75" customHeight="1">
      <c r="A14" s="18"/>
      <c r="B14" s="22" t="s">
        <v>10</v>
      </c>
      <c r="C14" s="23"/>
      <c r="D14" s="19" t="s">
        <v>11</v>
      </c>
      <c r="E14" s="19">
        <v>133.0</v>
      </c>
      <c r="F14" s="19">
        <v>130.0</v>
      </c>
      <c r="G14" s="19">
        <v>141.0</v>
      </c>
      <c r="H14" s="19">
        <v>116.0</v>
      </c>
      <c r="I14" s="19">
        <v>135.0</v>
      </c>
      <c r="J14" s="19">
        <v>111.0</v>
      </c>
      <c r="K14" s="19">
        <v>134.0</v>
      </c>
      <c r="L14" s="19">
        <v>150.0</v>
      </c>
      <c r="M14" s="19">
        <v>151.0</v>
      </c>
      <c r="N14" s="19">
        <v>146.0</v>
      </c>
      <c r="O14" s="19">
        <v>125.0</v>
      </c>
      <c r="P14" s="19">
        <v>115.0</v>
      </c>
      <c r="Q14" s="19">
        <v>115.0</v>
      </c>
      <c r="R14" s="19">
        <v>143.0</v>
      </c>
      <c r="S14" s="19">
        <v>150.0</v>
      </c>
      <c r="T14" s="19">
        <v>151.0</v>
      </c>
      <c r="U14" s="19">
        <v>157.0</v>
      </c>
      <c r="V14" s="19">
        <v>140.0</v>
      </c>
      <c r="W14" s="19">
        <v>142.0</v>
      </c>
      <c r="X14" s="19">
        <v>149.0</v>
      </c>
      <c r="Y14" s="19">
        <v>148.0</v>
      </c>
      <c r="Z14" s="19">
        <v>151.0</v>
      </c>
      <c r="AA14" s="19">
        <v>149.0</v>
      </c>
      <c r="AB14" s="19">
        <v>131.0</v>
      </c>
      <c r="AC14" s="19">
        <v>127.0</v>
      </c>
      <c r="AD14" s="19">
        <v>148.0</v>
      </c>
      <c r="AE14" s="19">
        <v>151.0</v>
      </c>
      <c r="AF14" s="19">
        <v>135.0</v>
      </c>
      <c r="AG14" s="13">
        <f t="shared" ref="AG14:AG16" si="1">SUM(E14:AF14)</f>
        <v>3874</v>
      </c>
      <c r="AO14" s="62">
        <f>SUM(E14:AN14)</f>
        <v>7748</v>
      </c>
    </row>
    <row r="15" ht="12.75" customHeight="1">
      <c r="A15" s="18"/>
      <c r="B15" s="26"/>
      <c r="C15" s="27"/>
      <c r="D15" s="19" t="s">
        <v>12</v>
      </c>
      <c r="E15" s="19">
        <v>137.0</v>
      </c>
      <c r="F15" s="19">
        <v>129.0</v>
      </c>
      <c r="G15" s="19">
        <v>133.0</v>
      </c>
      <c r="H15" s="19">
        <v>122.0</v>
      </c>
      <c r="I15" s="19">
        <v>125.0</v>
      </c>
      <c r="J15" s="19">
        <v>103.0</v>
      </c>
      <c r="K15" s="19">
        <v>142.0</v>
      </c>
      <c r="L15" s="19">
        <v>148.0</v>
      </c>
      <c r="M15" s="19">
        <v>148.0</v>
      </c>
      <c r="N15" s="19">
        <v>149.0</v>
      </c>
      <c r="O15" s="19">
        <v>132.0</v>
      </c>
      <c r="P15" s="19">
        <v>106.0</v>
      </c>
      <c r="Q15" s="19">
        <v>115.0</v>
      </c>
      <c r="R15" s="19">
        <v>148.0</v>
      </c>
      <c r="S15" s="19">
        <v>139.0</v>
      </c>
      <c r="T15" s="19">
        <v>142.0</v>
      </c>
      <c r="U15" s="19">
        <v>136.0</v>
      </c>
      <c r="V15" s="19">
        <v>156.0</v>
      </c>
      <c r="W15" s="19">
        <v>152.0</v>
      </c>
      <c r="X15" s="19">
        <v>145.0</v>
      </c>
      <c r="Y15" s="19">
        <v>148.0</v>
      </c>
      <c r="Z15" s="19">
        <v>140.0</v>
      </c>
      <c r="AA15" s="19">
        <v>143.0</v>
      </c>
      <c r="AB15" s="19">
        <v>117.0</v>
      </c>
      <c r="AC15" s="19">
        <v>135.0</v>
      </c>
      <c r="AD15" s="19">
        <v>150.0</v>
      </c>
      <c r="AE15" s="19">
        <v>140.0</v>
      </c>
      <c r="AF15" s="19">
        <v>142.0</v>
      </c>
      <c r="AG15" s="13">
        <f t="shared" si="1"/>
        <v>3822</v>
      </c>
    </row>
    <row r="16" ht="12.75" customHeight="1">
      <c r="A16" s="25"/>
      <c r="B16" s="21"/>
      <c r="C16" s="28"/>
      <c r="D16" s="13" t="s">
        <v>13</v>
      </c>
      <c r="E16" s="13">
        <f t="shared" ref="E16:AF16" si="2">SUM(E14:E15)</f>
        <v>270</v>
      </c>
      <c r="F16" s="13">
        <f t="shared" si="2"/>
        <v>259</v>
      </c>
      <c r="G16" s="13">
        <f t="shared" si="2"/>
        <v>274</v>
      </c>
      <c r="H16" s="13">
        <f t="shared" si="2"/>
        <v>238</v>
      </c>
      <c r="I16" s="13">
        <f t="shared" si="2"/>
        <v>260</v>
      </c>
      <c r="J16" s="13">
        <f t="shared" si="2"/>
        <v>214</v>
      </c>
      <c r="K16" s="13">
        <f t="shared" si="2"/>
        <v>276</v>
      </c>
      <c r="L16" s="13">
        <f t="shared" si="2"/>
        <v>298</v>
      </c>
      <c r="M16" s="13">
        <f t="shared" si="2"/>
        <v>299</v>
      </c>
      <c r="N16" s="13">
        <f t="shared" si="2"/>
        <v>295</v>
      </c>
      <c r="O16" s="13">
        <f t="shared" si="2"/>
        <v>257</v>
      </c>
      <c r="P16" s="13">
        <f t="shared" si="2"/>
        <v>221</v>
      </c>
      <c r="Q16" s="13">
        <f t="shared" si="2"/>
        <v>230</v>
      </c>
      <c r="R16" s="13">
        <f t="shared" si="2"/>
        <v>291</v>
      </c>
      <c r="S16" s="13">
        <f t="shared" si="2"/>
        <v>289</v>
      </c>
      <c r="T16" s="13">
        <f t="shared" si="2"/>
        <v>293</v>
      </c>
      <c r="U16" s="13">
        <f t="shared" si="2"/>
        <v>293</v>
      </c>
      <c r="V16" s="13">
        <f t="shared" si="2"/>
        <v>296</v>
      </c>
      <c r="W16" s="13">
        <f t="shared" si="2"/>
        <v>294</v>
      </c>
      <c r="X16" s="13">
        <f t="shared" si="2"/>
        <v>294</v>
      </c>
      <c r="Y16" s="13">
        <f t="shared" si="2"/>
        <v>296</v>
      </c>
      <c r="Z16" s="13">
        <f t="shared" si="2"/>
        <v>291</v>
      </c>
      <c r="AA16" s="13">
        <f t="shared" si="2"/>
        <v>292</v>
      </c>
      <c r="AB16" s="13">
        <f t="shared" si="2"/>
        <v>248</v>
      </c>
      <c r="AC16" s="13">
        <f t="shared" si="2"/>
        <v>262</v>
      </c>
      <c r="AD16" s="13">
        <f t="shared" si="2"/>
        <v>298</v>
      </c>
      <c r="AE16" s="13">
        <f t="shared" si="2"/>
        <v>291</v>
      </c>
      <c r="AF16" s="13">
        <f t="shared" si="2"/>
        <v>277</v>
      </c>
      <c r="AG16" s="13">
        <f t="shared" si="1"/>
        <v>7696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59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59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100.0</v>
      </c>
      <c r="F19" s="19">
        <v>88.0</v>
      </c>
      <c r="G19" s="19">
        <v>101.0</v>
      </c>
      <c r="H19" s="19">
        <v>67.0</v>
      </c>
      <c r="I19" s="19">
        <v>99.0</v>
      </c>
      <c r="J19" s="19">
        <v>81.0</v>
      </c>
      <c r="K19" s="19">
        <v>101.0</v>
      </c>
      <c r="L19" s="19">
        <v>101.0</v>
      </c>
      <c r="M19" s="19">
        <v>113.0</v>
      </c>
      <c r="N19" s="19">
        <v>118.0</v>
      </c>
      <c r="O19" s="19">
        <v>90.0</v>
      </c>
      <c r="P19" s="19">
        <v>90.0</v>
      </c>
      <c r="Q19" s="19">
        <v>86.0</v>
      </c>
      <c r="R19" s="19">
        <v>111.0</v>
      </c>
      <c r="S19" s="19">
        <v>108.0</v>
      </c>
      <c r="T19" s="19">
        <v>113.0</v>
      </c>
      <c r="U19" s="19">
        <v>101.0</v>
      </c>
      <c r="V19" s="19">
        <v>113.0</v>
      </c>
      <c r="W19" s="19">
        <v>101.0</v>
      </c>
      <c r="X19" s="19">
        <v>116.0</v>
      </c>
      <c r="Y19" s="19">
        <v>119.0</v>
      </c>
      <c r="Z19" s="19">
        <v>115.0</v>
      </c>
      <c r="AA19" s="19">
        <v>112.0</v>
      </c>
      <c r="AB19" s="19">
        <v>99.0</v>
      </c>
      <c r="AC19" s="19">
        <v>94.0</v>
      </c>
      <c r="AD19" s="19">
        <v>102.0</v>
      </c>
      <c r="AE19" s="19">
        <v>112.0</v>
      </c>
      <c r="AF19" s="19">
        <v>104.0</v>
      </c>
      <c r="AG19" s="13">
        <f t="shared" ref="AG19:AG30" si="3">SUM(E19:AF19)</f>
        <v>2855</v>
      </c>
    </row>
    <row r="20" ht="12.75" customHeight="1">
      <c r="A20" s="33"/>
      <c r="B20" s="27"/>
      <c r="C20" s="34"/>
      <c r="D20" s="19" t="s">
        <v>12</v>
      </c>
      <c r="E20" s="19">
        <v>104.0</v>
      </c>
      <c r="F20" s="19">
        <v>108.0</v>
      </c>
      <c r="G20" s="19">
        <v>96.0</v>
      </c>
      <c r="H20" s="19">
        <v>86.0</v>
      </c>
      <c r="I20" s="19">
        <v>102.0</v>
      </c>
      <c r="J20" s="19">
        <v>83.0</v>
      </c>
      <c r="K20" s="19">
        <v>109.0</v>
      </c>
      <c r="L20" s="19">
        <v>118.0</v>
      </c>
      <c r="M20" s="19">
        <v>129.0</v>
      </c>
      <c r="N20" s="19">
        <v>124.0</v>
      </c>
      <c r="O20" s="19">
        <v>108.0</v>
      </c>
      <c r="P20" s="19">
        <v>87.0</v>
      </c>
      <c r="Q20" s="19">
        <v>93.0</v>
      </c>
      <c r="R20" s="19">
        <v>119.0</v>
      </c>
      <c r="S20" s="19">
        <v>108.0</v>
      </c>
      <c r="T20" s="19">
        <v>111.0</v>
      </c>
      <c r="U20" s="19">
        <v>101.0</v>
      </c>
      <c r="V20" s="19">
        <v>126.0</v>
      </c>
      <c r="W20" s="19">
        <v>115.0</v>
      </c>
      <c r="X20" s="19">
        <v>116.0</v>
      </c>
      <c r="Y20" s="19">
        <v>127.0</v>
      </c>
      <c r="Z20" s="19">
        <v>108.0</v>
      </c>
      <c r="AA20" s="19">
        <v>111.0</v>
      </c>
      <c r="AB20" s="19">
        <v>99.0</v>
      </c>
      <c r="AC20" s="19">
        <v>107.0</v>
      </c>
      <c r="AD20" s="19">
        <v>115.0</v>
      </c>
      <c r="AE20" s="19">
        <v>118.0</v>
      </c>
      <c r="AF20" s="19">
        <v>111.0</v>
      </c>
      <c r="AG20" s="13">
        <f t="shared" si="3"/>
        <v>3039</v>
      </c>
    </row>
    <row r="21" ht="12.75" customHeight="1">
      <c r="A21" s="35"/>
      <c r="B21" s="28"/>
      <c r="C21" s="36"/>
      <c r="D21" s="13" t="s">
        <v>13</v>
      </c>
      <c r="E21" s="13">
        <f t="shared" ref="E21:AF21" si="4">SUM(E19:E20)</f>
        <v>204</v>
      </c>
      <c r="F21" s="13">
        <f t="shared" si="4"/>
        <v>196</v>
      </c>
      <c r="G21" s="13">
        <f t="shared" si="4"/>
        <v>197</v>
      </c>
      <c r="H21" s="13">
        <f t="shared" si="4"/>
        <v>153</v>
      </c>
      <c r="I21" s="13">
        <f t="shared" si="4"/>
        <v>201</v>
      </c>
      <c r="J21" s="13">
        <f t="shared" si="4"/>
        <v>164</v>
      </c>
      <c r="K21" s="13">
        <f t="shared" si="4"/>
        <v>210</v>
      </c>
      <c r="L21" s="13">
        <f t="shared" si="4"/>
        <v>219</v>
      </c>
      <c r="M21" s="13">
        <f t="shared" si="4"/>
        <v>242</v>
      </c>
      <c r="N21" s="13">
        <f t="shared" si="4"/>
        <v>242</v>
      </c>
      <c r="O21" s="13">
        <f t="shared" si="4"/>
        <v>198</v>
      </c>
      <c r="P21" s="13">
        <f t="shared" si="4"/>
        <v>177</v>
      </c>
      <c r="Q21" s="13">
        <f t="shared" si="4"/>
        <v>179</v>
      </c>
      <c r="R21" s="13">
        <f t="shared" si="4"/>
        <v>230</v>
      </c>
      <c r="S21" s="13">
        <f t="shared" si="4"/>
        <v>216</v>
      </c>
      <c r="T21" s="13">
        <f t="shared" si="4"/>
        <v>224</v>
      </c>
      <c r="U21" s="13">
        <f t="shared" si="4"/>
        <v>202</v>
      </c>
      <c r="V21" s="13">
        <f t="shared" si="4"/>
        <v>239</v>
      </c>
      <c r="W21" s="13">
        <f t="shared" si="4"/>
        <v>216</v>
      </c>
      <c r="X21" s="13">
        <f t="shared" si="4"/>
        <v>232</v>
      </c>
      <c r="Y21" s="13">
        <f t="shared" si="4"/>
        <v>246</v>
      </c>
      <c r="Z21" s="13">
        <f t="shared" si="4"/>
        <v>223</v>
      </c>
      <c r="AA21" s="13">
        <f t="shared" si="4"/>
        <v>223</v>
      </c>
      <c r="AB21" s="13">
        <f t="shared" si="4"/>
        <v>198</v>
      </c>
      <c r="AC21" s="13">
        <f t="shared" si="4"/>
        <v>201</v>
      </c>
      <c r="AD21" s="13">
        <f t="shared" si="4"/>
        <v>217</v>
      </c>
      <c r="AE21" s="13">
        <f t="shared" si="4"/>
        <v>230</v>
      </c>
      <c r="AF21" s="13">
        <f t="shared" si="4"/>
        <v>215</v>
      </c>
      <c r="AG21" s="13">
        <f t="shared" si="3"/>
        <v>5894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AF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1.0</v>
      </c>
      <c r="G25" s="19">
        <v>0.0</v>
      </c>
      <c r="H25" s="19">
        <v>2.0</v>
      </c>
      <c r="I25" s="19">
        <v>0.0</v>
      </c>
      <c r="J25" s="19">
        <v>0.0</v>
      </c>
      <c r="K25" s="19">
        <v>2.0</v>
      </c>
      <c r="L25" s="19">
        <v>0.0</v>
      </c>
      <c r="M25" s="19">
        <v>1.0</v>
      </c>
      <c r="N25" s="19">
        <v>2.0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1.0</v>
      </c>
      <c r="V25" s="19">
        <v>1.0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4.0</v>
      </c>
      <c r="AD25" s="19">
        <v>1.0</v>
      </c>
      <c r="AE25" s="19">
        <v>2.0</v>
      </c>
      <c r="AF25" s="19">
        <v>3.0</v>
      </c>
      <c r="AG25" s="13">
        <f t="shared" si="3"/>
        <v>21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0.0</v>
      </c>
      <c r="G26" s="19">
        <v>0.0</v>
      </c>
      <c r="H26" s="19">
        <v>0.0</v>
      </c>
      <c r="I26" s="19">
        <v>1.0</v>
      </c>
      <c r="J26" s="19">
        <v>1.0</v>
      </c>
      <c r="K26" s="19">
        <v>2.0</v>
      </c>
      <c r="L26" s="19">
        <v>2.0</v>
      </c>
      <c r="M26" s="19">
        <v>1.0</v>
      </c>
      <c r="N26" s="19">
        <v>0.0</v>
      </c>
      <c r="O26" s="19">
        <v>0.0</v>
      </c>
      <c r="P26" s="19">
        <v>0.0</v>
      </c>
      <c r="Q26" s="19">
        <v>1.0</v>
      </c>
      <c r="R26" s="19">
        <v>0.0</v>
      </c>
      <c r="S26" s="19">
        <v>0.0</v>
      </c>
      <c r="T26" s="19">
        <v>0.0</v>
      </c>
      <c r="U26" s="19">
        <v>1.0</v>
      </c>
      <c r="V26" s="19">
        <v>1.0</v>
      </c>
      <c r="W26" s="19">
        <v>0.0</v>
      </c>
      <c r="X26" s="19">
        <v>0.0</v>
      </c>
      <c r="Y26" s="19">
        <v>1.0</v>
      </c>
      <c r="Z26" s="19">
        <v>0.0</v>
      </c>
      <c r="AA26" s="19">
        <v>0.0</v>
      </c>
      <c r="AB26" s="19">
        <v>0.0</v>
      </c>
      <c r="AC26" s="19">
        <v>2.0</v>
      </c>
      <c r="AD26" s="19">
        <v>1.0</v>
      </c>
      <c r="AE26" s="19">
        <v>1.0</v>
      </c>
      <c r="AF26" s="19">
        <v>8.0</v>
      </c>
      <c r="AG26" s="13">
        <f t="shared" si="3"/>
        <v>23</v>
      </c>
    </row>
    <row r="27" ht="12.75" customHeight="1">
      <c r="A27" s="35"/>
      <c r="B27" s="28"/>
      <c r="C27" s="36"/>
      <c r="D27" s="13" t="s">
        <v>13</v>
      </c>
      <c r="E27" s="13">
        <f t="shared" ref="E27:AF27" si="6">SUM(E25:E26)</f>
        <v>1</v>
      </c>
      <c r="F27" s="13">
        <f t="shared" si="6"/>
        <v>1</v>
      </c>
      <c r="G27" s="13">
        <f t="shared" si="6"/>
        <v>0</v>
      </c>
      <c r="H27" s="13">
        <f t="shared" si="6"/>
        <v>2</v>
      </c>
      <c r="I27" s="13">
        <f t="shared" si="6"/>
        <v>1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2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2</v>
      </c>
      <c r="V27" s="13">
        <f t="shared" si="6"/>
        <v>2</v>
      </c>
      <c r="W27" s="13">
        <f t="shared" si="6"/>
        <v>0</v>
      </c>
      <c r="X27" s="13">
        <f t="shared" si="6"/>
        <v>0</v>
      </c>
      <c r="Y27" s="13">
        <f t="shared" si="6"/>
        <v>1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6</v>
      </c>
      <c r="AD27" s="13">
        <f t="shared" si="6"/>
        <v>2</v>
      </c>
      <c r="AE27" s="13">
        <f t="shared" si="6"/>
        <v>3</v>
      </c>
      <c r="AF27" s="13">
        <f t="shared" si="6"/>
        <v>11</v>
      </c>
      <c r="AG27" s="13">
        <f t="shared" si="3"/>
        <v>44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F28" si="7">SUM(E19,E22,E25)</f>
        <v>101</v>
      </c>
      <c r="F28" s="13">
        <f t="shared" si="7"/>
        <v>89</v>
      </c>
      <c r="G28" s="13">
        <f t="shared" si="7"/>
        <v>101</v>
      </c>
      <c r="H28" s="13">
        <f t="shared" si="7"/>
        <v>69</v>
      </c>
      <c r="I28" s="13">
        <f t="shared" si="7"/>
        <v>99</v>
      </c>
      <c r="J28" s="13">
        <f t="shared" si="7"/>
        <v>81</v>
      </c>
      <c r="K28" s="13">
        <f t="shared" si="7"/>
        <v>103</v>
      </c>
      <c r="L28" s="13">
        <f t="shared" si="7"/>
        <v>101</v>
      </c>
      <c r="M28" s="13">
        <f t="shared" si="7"/>
        <v>114</v>
      </c>
      <c r="N28" s="13">
        <f t="shared" si="7"/>
        <v>120</v>
      </c>
      <c r="O28" s="13">
        <f t="shared" si="7"/>
        <v>90</v>
      </c>
      <c r="P28" s="13">
        <f t="shared" si="7"/>
        <v>90</v>
      </c>
      <c r="Q28" s="13">
        <f t="shared" si="7"/>
        <v>86</v>
      </c>
      <c r="R28" s="13">
        <f t="shared" si="7"/>
        <v>112</v>
      </c>
      <c r="S28" s="13">
        <f t="shared" si="7"/>
        <v>108</v>
      </c>
      <c r="T28" s="13">
        <f t="shared" si="7"/>
        <v>113</v>
      </c>
      <c r="U28" s="13">
        <f t="shared" si="7"/>
        <v>102</v>
      </c>
      <c r="V28" s="13">
        <f t="shared" si="7"/>
        <v>114</v>
      </c>
      <c r="W28" s="13">
        <f t="shared" si="7"/>
        <v>101</v>
      </c>
      <c r="X28" s="13">
        <f t="shared" si="7"/>
        <v>116</v>
      </c>
      <c r="Y28" s="13">
        <f t="shared" si="7"/>
        <v>119</v>
      </c>
      <c r="Z28" s="13">
        <f t="shared" si="7"/>
        <v>115</v>
      </c>
      <c r="AA28" s="13">
        <f t="shared" si="7"/>
        <v>112</v>
      </c>
      <c r="AB28" s="13">
        <f t="shared" si="7"/>
        <v>99</v>
      </c>
      <c r="AC28" s="13">
        <f t="shared" si="7"/>
        <v>98</v>
      </c>
      <c r="AD28" s="13">
        <f t="shared" si="7"/>
        <v>103</v>
      </c>
      <c r="AE28" s="13">
        <f t="shared" si="7"/>
        <v>114</v>
      </c>
      <c r="AF28" s="13">
        <f t="shared" si="7"/>
        <v>107</v>
      </c>
      <c r="AG28" s="13">
        <f t="shared" si="3"/>
        <v>2877</v>
      </c>
    </row>
    <row r="29" ht="12.75" customHeight="1">
      <c r="A29" s="35"/>
      <c r="B29" s="27"/>
      <c r="C29" s="34"/>
      <c r="D29" s="13" t="s">
        <v>12</v>
      </c>
      <c r="E29" s="13">
        <f t="shared" ref="E29:AF29" si="8">SUM(E20,E23,E26)</f>
        <v>104</v>
      </c>
      <c r="F29" s="13">
        <f t="shared" si="8"/>
        <v>108</v>
      </c>
      <c r="G29" s="13">
        <f t="shared" si="8"/>
        <v>96</v>
      </c>
      <c r="H29" s="13">
        <f t="shared" si="8"/>
        <v>86</v>
      </c>
      <c r="I29" s="13">
        <f t="shared" si="8"/>
        <v>103</v>
      </c>
      <c r="J29" s="13">
        <f t="shared" si="8"/>
        <v>84</v>
      </c>
      <c r="K29" s="13">
        <f t="shared" si="8"/>
        <v>111</v>
      </c>
      <c r="L29" s="13">
        <f t="shared" si="8"/>
        <v>120</v>
      </c>
      <c r="M29" s="13">
        <f t="shared" si="8"/>
        <v>130</v>
      </c>
      <c r="N29" s="13">
        <f t="shared" si="8"/>
        <v>124</v>
      </c>
      <c r="O29" s="13">
        <f t="shared" si="8"/>
        <v>108</v>
      </c>
      <c r="P29" s="13">
        <f t="shared" si="8"/>
        <v>87</v>
      </c>
      <c r="Q29" s="13">
        <f t="shared" si="8"/>
        <v>94</v>
      </c>
      <c r="R29" s="13">
        <f t="shared" si="8"/>
        <v>119</v>
      </c>
      <c r="S29" s="13">
        <f t="shared" si="8"/>
        <v>108</v>
      </c>
      <c r="T29" s="13">
        <f t="shared" si="8"/>
        <v>111</v>
      </c>
      <c r="U29" s="13">
        <f t="shared" si="8"/>
        <v>102</v>
      </c>
      <c r="V29" s="13">
        <f t="shared" si="8"/>
        <v>127</v>
      </c>
      <c r="W29" s="13">
        <f t="shared" si="8"/>
        <v>115</v>
      </c>
      <c r="X29" s="13">
        <f t="shared" si="8"/>
        <v>116</v>
      </c>
      <c r="Y29" s="13">
        <f t="shared" si="8"/>
        <v>128</v>
      </c>
      <c r="Z29" s="13">
        <f t="shared" si="8"/>
        <v>108</v>
      </c>
      <c r="AA29" s="13">
        <f t="shared" si="8"/>
        <v>111</v>
      </c>
      <c r="AB29" s="13">
        <f t="shared" si="8"/>
        <v>99</v>
      </c>
      <c r="AC29" s="13">
        <f t="shared" si="8"/>
        <v>109</v>
      </c>
      <c r="AD29" s="13">
        <f t="shared" si="8"/>
        <v>116</v>
      </c>
      <c r="AE29" s="13">
        <f t="shared" si="8"/>
        <v>119</v>
      </c>
      <c r="AF29" s="13">
        <f t="shared" si="8"/>
        <v>119</v>
      </c>
      <c r="AG29" s="13">
        <f t="shared" si="3"/>
        <v>3062</v>
      </c>
    </row>
    <row r="30" ht="12.75" customHeight="1">
      <c r="A30" s="35"/>
      <c r="B30" s="28"/>
      <c r="C30" s="36"/>
      <c r="D30" s="13" t="s">
        <v>13</v>
      </c>
      <c r="E30" s="13">
        <f t="shared" ref="E30:AF30" si="9">SUM(E28:E29)</f>
        <v>205</v>
      </c>
      <c r="F30" s="13">
        <f t="shared" si="9"/>
        <v>197</v>
      </c>
      <c r="G30" s="13">
        <f t="shared" si="9"/>
        <v>197</v>
      </c>
      <c r="H30" s="13">
        <f t="shared" si="9"/>
        <v>155</v>
      </c>
      <c r="I30" s="13">
        <f t="shared" si="9"/>
        <v>202</v>
      </c>
      <c r="J30" s="13">
        <f t="shared" si="9"/>
        <v>165</v>
      </c>
      <c r="K30" s="13">
        <f t="shared" si="9"/>
        <v>214</v>
      </c>
      <c r="L30" s="13">
        <f t="shared" si="9"/>
        <v>221</v>
      </c>
      <c r="M30" s="13">
        <f t="shared" si="9"/>
        <v>244</v>
      </c>
      <c r="N30" s="13">
        <f t="shared" si="9"/>
        <v>244</v>
      </c>
      <c r="O30" s="13">
        <f t="shared" si="9"/>
        <v>198</v>
      </c>
      <c r="P30" s="13">
        <f t="shared" si="9"/>
        <v>177</v>
      </c>
      <c r="Q30" s="13">
        <f t="shared" si="9"/>
        <v>180</v>
      </c>
      <c r="R30" s="13">
        <f t="shared" si="9"/>
        <v>231</v>
      </c>
      <c r="S30" s="13">
        <f t="shared" si="9"/>
        <v>216</v>
      </c>
      <c r="T30" s="13">
        <f t="shared" si="9"/>
        <v>224</v>
      </c>
      <c r="U30" s="13">
        <f t="shared" si="9"/>
        <v>204</v>
      </c>
      <c r="V30" s="13">
        <f t="shared" si="9"/>
        <v>241</v>
      </c>
      <c r="W30" s="13">
        <f t="shared" si="9"/>
        <v>216</v>
      </c>
      <c r="X30" s="13">
        <f t="shared" si="9"/>
        <v>232</v>
      </c>
      <c r="Y30" s="13">
        <f t="shared" si="9"/>
        <v>247</v>
      </c>
      <c r="Z30" s="13">
        <f t="shared" si="9"/>
        <v>223</v>
      </c>
      <c r="AA30" s="13">
        <f t="shared" si="9"/>
        <v>223</v>
      </c>
      <c r="AB30" s="13">
        <f t="shared" si="9"/>
        <v>198</v>
      </c>
      <c r="AC30" s="13">
        <f t="shared" si="9"/>
        <v>207</v>
      </c>
      <c r="AD30" s="13">
        <f t="shared" si="9"/>
        <v>219</v>
      </c>
      <c r="AE30" s="13">
        <f t="shared" si="9"/>
        <v>233</v>
      </c>
      <c r="AF30" s="13">
        <f t="shared" si="9"/>
        <v>226</v>
      </c>
      <c r="AG30" s="13">
        <f t="shared" si="3"/>
        <v>5939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59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59"/>
    </row>
    <row r="33" ht="12.75" customHeight="1">
      <c r="A33" s="19">
        <v>1.0</v>
      </c>
      <c r="B33" s="20" t="s">
        <v>26</v>
      </c>
      <c r="C33" s="15"/>
      <c r="D33" s="16"/>
      <c r="E33" s="19">
        <v>250.0</v>
      </c>
      <c r="F33" s="19">
        <v>234.0</v>
      </c>
      <c r="G33" s="19">
        <v>282.0</v>
      </c>
      <c r="H33" s="19">
        <v>243.0</v>
      </c>
      <c r="I33" s="19">
        <v>259.0</v>
      </c>
      <c r="J33" s="19">
        <v>219.0</v>
      </c>
      <c r="K33" s="19">
        <v>282.0</v>
      </c>
      <c r="L33" s="19">
        <v>304.0</v>
      </c>
      <c r="M33" s="19">
        <v>283.0</v>
      </c>
      <c r="N33" s="19">
        <v>301.0</v>
      </c>
      <c r="O33" s="19">
        <v>241.0</v>
      </c>
      <c r="P33" s="19">
        <v>222.0</v>
      </c>
      <c r="Q33" s="19">
        <v>235.0</v>
      </c>
      <c r="R33" s="19">
        <v>297.0</v>
      </c>
      <c r="S33" s="19">
        <v>295.0</v>
      </c>
      <c r="T33" s="19">
        <v>282.0</v>
      </c>
      <c r="U33" s="19">
        <v>280.0</v>
      </c>
      <c r="V33" s="19">
        <v>295.0</v>
      </c>
      <c r="W33" s="19">
        <v>292.0</v>
      </c>
      <c r="X33" s="19">
        <v>292.0</v>
      </c>
      <c r="Y33" s="19">
        <v>293.0</v>
      </c>
      <c r="Z33" s="19">
        <v>291.0</v>
      </c>
      <c r="AA33" s="19">
        <v>288.0</v>
      </c>
      <c r="AB33" s="19">
        <v>248.0</v>
      </c>
      <c r="AC33" s="19">
        <v>256.0</v>
      </c>
      <c r="AD33" s="19">
        <v>304.0</v>
      </c>
      <c r="AE33" s="19">
        <v>289.0</v>
      </c>
      <c r="AF33" s="19">
        <v>271.0</v>
      </c>
      <c r="AG33" s="13">
        <f t="shared" ref="AG33:AG36" si="10">SUM(E33:AF33)</f>
        <v>7628</v>
      </c>
    </row>
    <row r="34" ht="12.75" customHeight="1">
      <c r="A34" s="19">
        <v>2.0</v>
      </c>
      <c r="B34" s="20" t="s">
        <v>27</v>
      </c>
      <c r="C34" s="15"/>
      <c r="D34" s="16"/>
      <c r="E34" s="13">
        <v>205.0</v>
      </c>
      <c r="F34" s="13">
        <v>197.0</v>
      </c>
      <c r="G34" s="13">
        <v>197.0</v>
      </c>
      <c r="H34" s="13">
        <v>155.0</v>
      </c>
      <c r="I34" s="13">
        <v>202.0</v>
      </c>
      <c r="J34" s="13">
        <v>165.0</v>
      </c>
      <c r="K34" s="13">
        <v>214.0</v>
      </c>
      <c r="L34" s="13">
        <v>221.0</v>
      </c>
      <c r="M34" s="13">
        <v>244.0</v>
      </c>
      <c r="N34" s="13">
        <v>244.0</v>
      </c>
      <c r="O34" s="13">
        <v>198.0</v>
      </c>
      <c r="P34" s="13">
        <v>177.0</v>
      </c>
      <c r="Q34" s="13">
        <v>180.0</v>
      </c>
      <c r="R34" s="13">
        <v>231.0</v>
      </c>
      <c r="S34" s="13">
        <v>216.0</v>
      </c>
      <c r="T34" s="13">
        <v>224.0</v>
      </c>
      <c r="U34" s="13">
        <v>204.0</v>
      </c>
      <c r="V34" s="13">
        <v>241.0</v>
      </c>
      <c r="W34" s="13">
        <v>216.0</v>
      </c>
      <c r="X34" s="13">
        <v>232.0</v>
      </c>
      <c r="Y34" s="13">
        <v>247.0</v>
      </c>
      <c r="Z34" s="13">
        <v>223.0</v>
      </c>
      <c r="AA34" s="13">
        <v>223.0</v>
      </c>
      <c r="AB34" s="13">
        <v>198.0</v>
      </c>
      <c r="AC34" s="13">
        <v>207.0</v>
      </c>
      <c r="AD34" s="13">
        <v>219.0</v>
      </c>
      <c r="AE34" s="13">
        <v>233.0</v>
      </c>
      <c r="AF34" s="13">
        <v>226.0</v>
      </c>
      <c r="AG34" s="13">
        <f t="shared" si="10"/>
        <v>5939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3">
        <f t="shared" si="10"/>
        <v>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F36" si="11">E33-(E34+E35)</f>
        <v>45</v>
      </c>
      <c r="F36" s="13">
        <f t="shared" si="11"/>
        <v>37</v>
      </c>
      <c r="G36" s="13">
        <f t="shared" si="11"/>
        <v>85</v>
      </c>
      <c r="H36" s="13">
        <f t="shared" si="11"/>
        <v>88</v>
      </c>
      <c r="I36" s="13">
        <f t="shared" si="11"/>
        <v>57</v>
      </c>
      <c r="J36" s="13">
        <f t="shared" si="11"/>
        <v>54</v>
      </c>
      <c r="K36" s="13">
        <f t="shared" si="11"/>
        <v>68</v>
      </c>
      <c r="L36" s="13">
        <f t="shared" si="11"/>
        <v>83</v>
      </c>
      <c r="M36" s="13">
        <f t="shared" si="11"/>
        <v>39</v>
      </c>
      <c r="N36" s="13">
        <f t="shared" si="11"/>
        <v>57</v>
      </c>
      <c r="O36" s="13">
        <f t="shared" si="11"/>
        <v>43</v>
      </c>
      <c r="P36" s="13">
        <f t="shared" si="11"/>
        <v>44</v>
      </c>
      <c r="Q36" s="13">
        <f t="shared" si="11"/>
        <v>55</v>
      </c>
      <c r="R36" s="13">
        <f t="shared" si="11"/>
        <v>66</v>
      </c>
      <c r="S36" s="13">
        <f t="shared" si="11"/>
        <v>79</v>
      </c>
      <c r="T36" s="13">
        <f t="shared" si="11"/>
        <v>58</v>
      </c>
      <c r="U36" s="13">
        <f t="shared" si="11"/>
        <v>76</v>
      </c>
      <c r="V36" s="13">
        <f t="shared" si="11"/>
        <v>54</v>
      </c>
      <c r="W36" s="13">
        <f t="shared" si="11"/>
        <v>76</v>
      </c>
      <c r="X36" s="13">
        <f t="shared" si="11"/>
        <v>60</v>
      </c>
      <c r="Y36" s="13">
        <f t="shared" si="11"/>
        <v>46</v>
      </c>
      <c r="Z36" s="13">
        <f t="shared" si="11"/>
        <v>68</v>
      </c>
      <c r="AA36" s="13">
        <f t="shared" si="11"/>
        <v>65</v>
      </c>
      <c r="AB36" s="13">
        <f t="shared" si="11"/>
        <v>50</v>
      </c>
      <c r="AC36" s="13">
        <f t="shared" si="11"/>
        <v>49</v>
      </c>
      <c r="AD36" s="13">
        <f t="shared" si="11"/>
        <v>85</v>
      </c>
      <c r="AE36" s="13">
        <f t="shared" si="11"/>
        <v>56</v>
      </c>
      <c r="AF36" s="13">
        <f t="shared" si="11"/>
        <v>45</v>
      </c>
      <c r="AG36" s="13">
        <f t="shared" si="10"/>
        <v>1688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59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59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1.0</v>
      </c>
      <c r="AG39" s="13">
        <f t="shared" ref="AG39:AG41" si="12">SUM(E39:AF39)</f>
        <v>2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1.0</v>
      </c>
      <c r="AE40" s="19">
        <v>0.0</v>
      </c>
      <c r="AF40" s="19">
        <v>0.0</v>
      </c>
      <c r="AG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1</v>
      </c>
      <c r="AE41" s="13">
        <f t="shared" si="13"/>
        <v>0</v>
      </c>
      <c r="AF41" s="13">
        <f t="shared" si="13"/>
        <v>1</v>
      </c>
      <c r="AG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3"/>
    </row>
    <row r="45" ht="12.75" customHeight="1">
      <c r="A45" s="30"/>
      <c r="B45" s="47" t="s">
        <v>16</v>
      </c>
      <c r="C45" s="61" t="s">
        <v>37</v>
      </c>
      <c r="D45" s="16"/>
      <c r="E45" s="19">
        <v>15.0</v>
      </c>
      <c r="F45" s="19">
        <v>17.0</v>
      </c>
      <c r="G45" s="19">
        <v>22.0</v>
      </c>
      <c r="H45" s="19">
        <v>12.0</v>
      </c>
      <c r="I45" s="19">
        <v>14.0</v>
      </c>
      <c r="J45" s="19">
        <v>28.0</v>
      </c>
      <c r="K45" s="19">
        <v>18.0</v>
      </c>
      <c r="L45" s="19">
        <v>16.0</v>
      </c>
      <c r="M45" s="19">
        <v>12.0</v>
      </c>
      <c r="N45" s="19">
        <v>24.0</v>
      </c>
      <c r="O45" s="19">
        <v>10.0</v>
      </c>
      <c r="P45" s="19">
        <v>13.0</v>
      </c>
      <c r="Q45" s="19">
        <v>20.0</v>
      </c>
      <c r="R45" s="19">
        <v>29.0</v>
      </c>
      <c r="S45" s="19">
        <v>18.0</v>
      </c>
      <c r="T45" s="19">
        <v>16.0</v>
      </c>
      <c r="U45" s="19">
        <v>12.0</v>
      </c>
      <c r="V45" s="19">
        <v>17.0</v>
      </c>
      <c r="W45" s="19">
        <v>13.0</v>
      </c>
      <c r="X45" s="19">
        <v>10.0</v>
      </c>
      <c r="Y45" s="19">
        <v>17.0</v>
      </c>
      <c r="Z45" s="19">
        <v>15.0</v>
      </c>
      <c r="AA45" s="19">
        <v>14.0</v>
      </c>
      <c r="AB45" s="19">
        <v>16.0</v>
      </c>
      <c r="AC45" s="19">
        <v>7.0</v>
      </c>
      <c r="AD45" s="19">
        <v>16.0</v>
      </c>
      <c r="AE45" s="19">
        <v>51.0</v>
      </c>
      <c r="AF45" s="19">
        <v>20.0</v>
      </c>
      <c r="AG45" s="13">
        <f t="shared" ref="AG45:AG57" si="14">SUM(E45:AF45)</f>
        <v>492</v>
      </c>
    </row>
    <row r="46" ht="12.75" customHeight="1">
      <c r="A46" s="18"/>
      <c r="B46" s="47" t="s">
        <v>18</v>
      </c>
      <c r="C46" s="61" t="s">
        <v>38</v>
      </c>
      <c r="D46" s="16"/>
      <c r="E46" s="19">
        <v>33.0</v>
      </c>
      <c r="F46" s="19">
        <v>23.0</v>
      </c>
      <c r="G46" s="19">
        <v>16.0</v>
      </c>
      <c r="H46" s="19">
        <v>21.0</v>
      </c>
      <c r="I46" s="19">
        <v>30.0</v>
      </c>
      <c r="J46" s="19">
        <v>25.0</v>
      </c>
      <c r="K46" s="19">
        <v>34.0</v>
      </c>
      <c r="L46" s="19">
        <v>30.0</v>
      </c>
      <c r="M46" s="19">
        <v>26.0</v>
      </c>
      <c r="N46" s="19">
        <v>34.0</v>
      </c>
      <c r="O46" s="19">
        <v>40.0</v>
      </c>
      <c r="P46" s="19">
        <v>23.0</v>
      </c>
      <c r="Q46" s="19">
        <v>18.0</v>
      </c>
      <c r="R46" s="19">
        <v>32.0</v>
      </c>
      <c r="S46" s="19">
        <v>34.0</v>
      </c>
      <c r="T46" s="19">
        <v>27.0</v>
      </c>
      <c r="U46" s="19">
        <v>29.0</v>
      </c>
      <c r="V46" s="19">
        <v>20.0</v>
      </c>
      <c r="W46" s="19">
        <v>32.0</v>
      </c>
      <c r="X46" s="19">
        <v>22.0</v>
      </c>
      <c r="Y46" s="19">
        <v>31.0</v>
      </c>
      <c r="Z46" s="19">
        <v>26.0</v>
      </c>
      <c r="AA46" s="19">
        <v>36.0</v>
      </c>
      <c r="AB46" s="19">
        <v>22.0</v>
      </c>
      <c r="AC46" s="19">
        <v>29.0</v>
      </c>
      <c r="AD46" s="19">
        <v>19.0</v>
      </c>
      <c r="AE46" s="19">
        <v>37.0</v>
      </c>
      <c r="AF46" s="19">
        <v>26.0</v>
      </c>
      <c r="AG46" s="13">
        <f t="shared" si="14"/>
        <v>775</v>
      </c>
    </row>
    <row r="47" ht="12.75" customHeight="1">
      <c r="A47" s="18"/>
      <c r="B47" s="47" t="s">
        <v>20</v>
      </c>
      <c r="C47" s="61" t="s">
        <v>39</v>
      </c>
      <c r="D47" s="16"/>
      <c r="E47" s="19">
        <v>10.0</v>
      </c>
      <c r="F47" s="19">
        <v>16.0</v>
      </c>
      <c r="G47" s="19">
        <v>17.0</v>
      </c>
      <c r="H47" s="19">
        <v>21.0</v>
      </c>
      <c r="I47" s="19">
        <v>8.0</v>
      </c>
      <c r="J47" s="19">
        <v>14.0</v>
      </c>
      <c r="K47" s="19">
        <v>6.0</v>
      </c>
      <c r="L47" s="19">
        <v>14.0</v>
      </c>
      <c r="M47" s="19">
        <v>19.0</v>
      </c>
      <c r="N47" s="19">
        <v>12.0</v>
      </c>
      <c r="O47" s="19">
        <v>9.0</v>
      </c>
      <c r="P47" s="19">
        <v>9.0</v>
      </c>
      <c r="Q47" s="19">
        <v>8.0</v>
      </c>
      <c r="R47" s="19">
        <v>13.0</v>
      </c>
      <c r="S47" s="19">
        <v>10.0</v>
      </c>
      <c r="T47" s="19">
        <v>12.0</v>
      </c>
      <c r="U47" s="19">
        <v>16.0</v>
      </c>
      <c r="V47" s="19">
        <v>12.0</v>
      </c>
      <c r="W47" s="19">
        <v>16.0</v>
      </c>
      <c r="X47" s="19">
        <v>13.0</v>
      </c>
      <c r="Y47" s="19">
        <v>10.0</v>
      </c>
      <c r="Z47" s="19">
        <v>19.0</v>
      </c>
      <c r="AA47" s="19">
        <v>9.0</v>
      </c>
      <c r="AB47" s="19">
        <v>10.0</v>
      </c>
      <c r="AC47" s="19">
        <v>18.0</v>
      </c>
      <c r="AD47" s="19">
        <v>9.0</v>
      </c>
      <c r="AE47" s="19">
        <v>16.0</v>
      </c>
      <c r="AF47" s="19">
        <v>10.0</v>
      </c>
      <c r="AG47" s="13">
        <f t="shared" si="14"/>
        <v>356</v>
      </c>
    </row>
    <row r="48" ht="12.75" customHeight="1">
      <c r="A48" s="18"/>
      <c r="B48" s="47" t="s">
        <v>22</v>
      </c>
      <c r="C48" s="61" t="s">
        <v>40</v>
      </c>
      <c r="D48" s="16"/>
      <c r="E48" s="19">
        <v>12.0</v>
      </c>
      <c r="F48" s="19">
        <v>27.0</v>
      </c>
      <c r="G48" s="19">
        <v>14.0</v>
      </c>
      <c r="H48" s="19">
        <v>19.0</v>
      </c>
      <c r="I48" s="19">
        <v>17.0</v>
      </c>
      <c r="J48" s="19">
        <v>22.0</v>
      </c>
      <c r="K48" s="19">
        <v>29.0</v>
      </c>
      <c r="L48" s="19">
        <v>23.0</v>
      </c>
      <c r="M48" s="19">
        <v>34.0</v>
      </c>
      <c r="N48" s="19">
        <v>25.0</v>
      </c>
      <c r="O48" s="19">
        <v>40.0</v>
      </c>
      <c r="P48" s="19">
        <v>19.0</v>
      </c>
      <c r="Q48" s="19">
        <v>21.0</v>
      </c>
      <c r="R48" s="19">
        <v>11.0</v>
      </c>
      <c r="S48" s="19">
        <v>19.0</v>
      </c>
      <c r="T48" s="19">
        <v>20.0</v>
      </c>
      <c r="U48" s="19">
        <v>22.0</v>
      </c>
      <c r="V48" s="19">
        <v>32.0</v>
      </c>
      <c r="W48" s="19">
        <v>22.0</v>
      </c>
      <c r="X48" s="19">
        <v>36.0</v>
      </c>
      <c r="Y48" s="19">
        <v>24.0</v>
      </c>
      <c r="Z48" s="19">
        <v>26.0</v>
      </c>
      <c r="AA48" s="19">
        <v>27.0</v>
      </c>
      <c r="AB48" s="19">
        <v>16.0</v>
      </c>
      <c r="AC48" s="19">
        <v>24.0</v>
      </c>
      <c r="AD48" s="19">
        <v>22.0</v>
      </c>
      <c r="AE48" s="19">
        <v>24.0</v>
      </c>
      <c r="AF48" s="19">
        <v>21.0</v>
      </c>
      <c r="AG48" s="13">
        <f t="shared" si="14"/>
        <v>648</v>
      </c>
    </row>
    <row r="49" ht="12.75" customHeight="1">
      <c r="A49" s="18"/>
      <c r="B49" s="47" t="s">
        <v>41</v>
      </c>
      <c r="C49" s="61" t="s">
        <v>42</v>
      </c>
      <c r="D49" s="16"/>
      <c r="E49" s="19">
        <v>26.0</v>
      </c>
      <c r="F49" s="19">
        <v>26.0</v>
      </c>
      <c r="G49" s="19">
        <v>22.0</v>
      </c>
      <c r="H49" s="19">
        <v>10.0</v>
      </c>
      <c r="I49" s="19">
        <v>13.0</v>
      </c>
      <c r="J49" s="19">
        <v>10.0</v>
      </c>
      <c r="K49" s="19">
        <v>11.0</v>
      </c>
      <c r="L49" s="19">
        <v>12.0</v>
      </c>
      <c r="M49" s="19">
        <v>26.0</v>
      </c>
      <c r="N49" s="19">
        <v>11.0</v>
      </c>
      <c r="O49" s="19">
        <v>12.0</v>
      </c>
      <c r="P49" s="19">
        <v>25.0</v>
      </c>
      <c r="Q49" s="19">
        <v>13.0</v>
      </c>
      <c r="R49" s="19">
        <v>36.0</v>
      </c>
      <c r="S49" s="19">
        <v>12.0</v>
      </c>
      <c r="T49" s="19">
        <v>19.0</v>
      </c>
      <c r="U49" s="19">
        <v>12.0</v>
      </c>
      <c r="V49" s="19">
        <v>29.0</v>
      </c>
      <c r="W49" s="19">
        <v>15.0</v>
      </c>
      <c r="X49" s="19">
        <v>25.0</v>
      </c>
      <c r="Y49" s="19">
        <v>31.0</v>
      </c>
      <c r="Z49" s="19">
        <v>16.0</v>
      </c>
      <c r="AA49" s="19">
        <v>25.0</v>
      </c>
      <c r="AB49" s="19">
        <v>16.0</v>
      </c>
      <c r="AC49" s="19">
        <v>20.0</v>
      </c>
      <c r="AD49" s="19">
        <v>19.0</v>
      </c>
      <c r="AE49" s="19">
        <v>10.0</v>
      </c>
      <c r="AF49" s="19">
        <v>18.0</v>
      </c>
      <c r="AG49" s="13">
        <f t="shared" si="14"/>
        <v>520</v>
      </c>
    </row>
    <row r="50" ht="12.75" customHeight="1">
      <c r="A50" s="18"/>
      <c r="B50" s="47" t="s">
        <v>43</v>
      </c>
      <c r="C50" s="61" t="s">
        <v>44</v>
      </c>
      <c r="D50" s="16"/>
      <c r="E50" s="19">
        <v>13.0</v>
      </c>
      <c r="F50" s="19">
        <v>20.0</v>
      </c>
      <c r="G50" s="19">
        <v>13.0</v>
      </c>
      <c r="H50" s="19">
        <v>9.0</v>
      </c>
      <c r="I50" s="19">
        <v>15.0</v>
      </c>
      <c r="J50" s="19">
        <v>17.0</v>
      </c>
      <c r="K50" s="19">
        <v>16.0</v>
      </c>
      <c r="L50" s="19">
        <v>15.0</v>
      </c>
      <c r="M50" s="19">
        <v>11.0</v>
      </c>
      <c r="N50" s="19">
        <v>15.0</v>
      </c>
      <c r="O50" s="19">
        <v>13.0</v>
      </c>
      <c r="P50" s="19">
        <v>22.0</v>
      </c>
      <c r="Q50" s="19">
        <v>10.0</v>
      </c>
      <c r="R50" s="19">
        <v>17.0</v>
      </c>
      <c r="S50" s="19">
        <v>15.0</v>
      </c>
      <c r="T50" s="19">
        <v>16.0</v>
      </c>
      <c r="U50" s="19">
        <v>10.0</v>
      </c>
      <c r="V50" s="19">
        <v>4.0</v>
      </c>
      <c r="W50" s="19">
        <v>7.0</v>
      </c>
      <c r="X50" s="19">
        <v>21.0</v>
      </c>
      <c r="Y50" s="19">
        <v>16.0</v>
      </c>
      <c r="Z50" s="19">
        <v>14.0</v>
      </c>
      <c r="AA50" s="19">
        <v>10.0</v>
      </c>
      <c r="AB50" s="19">
        <v>14.0</v>
      </c>
      <c r="AC50" s="19">
        <v>19.0</v>
      </c>
      <c r="AD50" s="19">
        <v>22.0</v>
      </c>
      <c r="AE50" s="19">
        <v>18.0</v>
      </c>
      <c r="AF50" s="19">
        <v>12.0</v>
      </c>
      <c r="AG50" s="13">
        <f t="shared" si="14"/>
        <v>404</v>
      </c>
    </row>
    <row r="51" ht="12.75" customHeight="1">
      <c r="A51" s="18"/>
      <c r="B51" s="47" t="s">
        <v>45</v>
      </c>
      <c r="C51" s="61" t="s">
        <v>46</v>
      </c>
      <c r="D51" s="16"/>
      <c r="E51" s="19">
        <v>5.0</v>
      </c>
      <c r="F51" s="19">
        <v>2.0</v>
      </c>
      <c r="G51" s="19">
        <v>2.0</v>
      </c>
      <c r="H51" s="19">
        <v>1.0</v>
      </c>
      <c r="I51" s="19">
        <v>4.0</v>
      </c>
      <c r="J51" s="19">
        <v>3.0</v>
      </c>
      <c r="K51" s="19">
        <v>6.0</v>
      </c>
      <c r="L51" s="19">
        <v>4.0</v>
      </c>
      <c r="M51" s="19">
        <v>3.0</v>
      </c>
      <c r="N51" s="19">
        <v>1.0</v>
      </c>
      <c r="O51" s="19">
        <v>2.0</v>
      </c>
      <c r="P51" s="19">
        <v>1.0</v>
      </c>
      <c r="Q51" s="19">
        <v>5.0</v>
      </c>
      <c r="R51" s="19">
        <v>1.0</v>
      </c>
      <c r="S51" s="19">
        <v>1.0</v>
      </c>
      <c r="T51" s="19">
        <v>2.0</v>
      </c>
      <c r="U51" s="19">
        <v>1.0</v>
      </c>
      <c r="V51" s="19">
        <v>7.0</v>
      </c>
      <c r="W51" s="19">
        <v>4.0</v>
      </c>
      <c r="X51" s="19">
        <v>3.0</v>
      </c>
      <c r="Y51" s="19">
        <v>5.0</v>
      </c>
      <c r="Z51" s="19">
        <v>1.0</v>
      </c>
      <c r="AA51" s="19">
        <v>0.0</v>
      </c>
      <c r="AB51" s="19">
        <v>5.0</v>
      </c>
      <c r="AC51" s="19">
        <v>2.0</v>
      </c>
      <c r="AD51" s="19">
        <v>2.0</v>
      </c>
      <c r="AE51" s="19">
        <v>5.0</v>
      </c>
      <c r="AF51" s="19">
        <v>2.0</v>
      </c>
      <c r="AG51" s="13">
        <f t="shared" si="14"/>
        <v>80</v>
      </c>
    </row>
    <row r="52" ht="12.75" customHeight="1">
      <c r="A52" s="18"/>
      <c r="B52" s="47" t="s">
        <v>47</v>
      </c>
      <c r="C52" s="61" t="s">
        <v>48</v>
      </c>
      <c r="D52" s="16"/>
      <c r="E52" s="19">
        <v>3.0</v>
      </c>
      <c r="F52" s="19">
        <v>5.0</v>
      </c>
      <c r="G52" s="19">
        <v>4.0</v>
      </c>
      <c r="H52" s="19">
        <v>1.0</v>
      </c>
      <c r="I52" s="19">
        <v>1.0</v>
      </c>
      <c r="J52" s="19">
        <v>7.0</v>
      </c>
      <c r="K52" s="19">
        <v>6.0</v>
      </c>
      <c r="L52" s="19">
        <v>0.0</v>
      </c>
      <c r="M52" s="19">
        <v>3.0</v>
      </c>
      <c r="N52" s="19">
        <v>1.0</v>
      </c>
      <c r="O52" s="19">
        <v>0.0</v>
      </c>
      <c r="P52" s="19">
        <v>6.0</v>
      </c>
      <c r="Q52" s="19">
        <v>4.0</v>
      </c>
      <c r="R52" s="19">
        <v>4.0</v>
      </c>
      <c r="S52" s="19">
        <v>1.0</v>
      </c>
      <c r="T52" s="19">
        <v>0.0</v>
      </c>
      <c r="U52" s="19">
        <v>4.0</v>
      </c>
      <c r="V52" s="19">
        <v>8.0</v>
      </c>
      <c r="W52" s="19">
        <v>6.0</v>
      </c>
      <c r="X52" s="19">
        <v>7.0</v>
      </c>
      <c r="Y52" s="19">
        <v>5.0</v>
      </c>
      <c r="Z52" s="19">
        <v>5.0</v>
      </c>
      <c r="AA52" s="19">
        <v>7.0</v>
      </c>
      <c r="AB52" s="19">
        <v>7.0</v>
      </c>
      <c r="AC52" s="19">
        <v>2.0</v>
      </c>
      <c r="AD52" s="19">
        <v>4.0</v>
      </c>
      <c r="AE52" s="19">
        <v>4.0</v>
      </c>
      <c r="AF52" s="19">
        <v>4.0</v>
      </c>
      <c r="AG52" s="13">
        <f t="shared" si="14"/>
        <v>109</v>
      </c>
    </row>
    <row r="53" ht="12.75" customHeight="1">
      <c r="A53" s="18"/>
      <c r="B53" s="47" t="s">
        <v>49</v>
      </c>
      <c r="C53" s="61" t="s">
        <v>50</v>
      </c>
      <c r="D53" s="16"/>
      <c r="E53" s="19">
        <v>0.0</v>
      </c>
      <c r="F53" s="19">
        <v>2.0</v>
      </c>
      <c r="G53" s="19">
        <v>0.0</v>
      </c>
      <c r="H53" s="19">
        <v>1.0</v>
      </c>
      <c r="I53" s="19">
        <v>0.0</v>
      </c>
      <c r="J53" s="19">
        <v>0.0</v>
      </c>
      <c r="K53" s="19">
        <v>1.0</v>
      </c>
      <c r="L53" s="19">
        <v>1.0</v>
      </c>
      <c r="M53" s="19">
        <v>1.0</v>
      </c>
      <c r="N53" s="19">
        <v>0.0</v>
      </c>
      <c r="O53" s="19">
        <v>1.0</v>
      </c>
      <c r="P53" s="19">
        <v>1.0</v>
      </c>
      <c r="Q53" s="19">
        <v>1.0</v>
      </c>
      <c r="R53" s="19">
        <v>1.0</v>
      </c>
      <c r="S53" s="19">
        <v>0.0</v>
      </c>
      <c r="T53" s="19">
        <v>0.0</v>
      </c>
      <c r="U53" s="19">
        <v>2.0</v>
      </c>
      <c r="V53" s="19">
        <v>0.0</v>
      </c>
      <c r="W53" s="19">
        <v>1.0</v>
      </c>
      <c r="X53" s="19">
        <v>0.0</v>
      </c>
      <c r="Y53" s="19">
        <v>0.0</v>
      </c>
      <c r="Z53" s="19">
        <v>1.0</v>
      </c>
      <c r="AA53" s="19">
        <v>0.0</v>
      </c>
      <c r="AB53" s="19">
        <v>1.0</v>
      </c>
      <c r="AC53" s="19">
        <v>1.0</v>
      </c>
      <c r="AD53" s="19">
        <v>1.0</v>
      </c>
      <c r="AE53" s="19">
        <v>0.0</v>
      </c>
      <c r="AF53" s="19">
        <v>0.0</v>
      </c>
      <c r="AG53" s="13">
        <f t="shared" si="14"/>
        <v>17</v>
      </c>
    </row>
    <row r="54" ht="12.75" customHeight="1">
      <c r="A54" s="18"/>
      <c r="B54" s="47" t="s">
        <v>51</v>
      </c>
      <c r="C54" s="61" t="s">
        <v>52</v>
      </c>
      <c r="D54" s="16"/>
      <c r="E54" s="19">
        <v>19.0</v>
      </c>
      <c r="F54" s="19">
        <v>12.0</v>
      </c>
      <c r="G54" s="19">
        <v>12.0</v>
      </c>
      <c r="H54" s="19">
        <v>13.0</v>
      </c>
      <c r="I54" s="19">
        <v>26.0</v>
      </c>
      <c r="J54" s="19">
        <v>11.0</v>
      </c>
      <c r="K54" s="19">
        <v>31.0</v>
      </c>
      <c r="L54" s="19">
        <v>17.0</v>
      </c>
      <c r="M54" s="19">
        <v>24.0</v>
      </c>
      <c r="N54" s="19">
        <v>19.0</v>
      </c>
      <c r="O54" s="19">
        <v>24.0</v>
      </c>
      <c r="P54" s="19">
        <v>15.0</v>
      </c>
      <c r="Q54" s="19">
        <v>21.0</v>
      </c>
      <c r="R54" s="19">
        <v>11.0</v>
      </c>
      <c r="S54" s="19">
        <v>12.0</v>
      </c>
      <c r="T54" s="19">
        <v>24.0</v>
      </c>
      <c r="U54" s="19">
        <v>23.0</v>
      </c>
      <c r="V54" s="19">
        <v>30.0</v>
      </c>
      <c r="W54" s="19">
        <v>29.0</v>
      </c>
      <c r="X54" s="19">
        <v>29.0</v>
      </c>
      <c r="Y54" s="19">
        <v>24.0</v>
      </c>
      <c r="Z54" s="19">
        <v>24.0</v>
      </c>
      <c r="AA54" s="19">
        <v>31.0</v>
      </c>
      <c r="AB54" s="19">
        <v>34.0</v>
      </c>
      <c r="AC54" s="19">
        <v>29.0</v>
      </c>
      <c r="AD54" s="19">
        <v>23.0</v>
      </c>
      <c r="AE54" s="19">
        <v>18.0</v>
      </c>
      <c r="AF54" s="19">
        <v>25.0</v>
      </c>
      <c r="AG54" s="13">
        <f t="shared" si="14"/>
        <v>610</v>
      </c>
    </row>
    <row r="55" ht="12.75" customHeight="1">
      <c r="A55" s="18"/>
      <c r="B55" s="47" t="s">
        <v>53</v>
      </c>
      <c r="C55" s="61" t="s">
        <v>54</v>
      </c>
      <c r="D55" s="16"/>
      <c r="E55" s="19">
        <v>1.0</v>
      </c>
      <c r="F55" s="19">
        <v>4.0</v>
      </c>
      <c r="G55" s="19">
        <v>2.0</v>
      </c>
      <c r="H55" s="19">
        <v>1.0</v>
      </c>
      <c r="I55" s="19">
        <v>0.0</v>
      </c>
      <c r="J55" s="19">
        <v>3.0</v>
      </c>
      <c r="K55" s="19">
        <v>2.0</v>
      </c>
      <c r="L55" s="19">
        <v>2.0</v>
      </c>
      <c r="M55" s="19">
        <v>2.0</v>
      </c>
      <c r="N55" s="19">
        <v>3.0</v>
      </c>
      <c r="O55" s="19">
        <v>3.0</v>
      </c>
      <c r="P55" s="19">
        <v>0.0</v>
      </c>
      <c r="Q55" s="19">
        <v>1.0</v>
      </c>
      <c r="R55" s="19">
        <v>0.0</v>
      </c>
      <c r="S55" s="19">
        <v>2.0</v>
      </c>
      <c r="T55" s="19">
        <v>3.0</v>
      </c>
      <c r="U55" s="19">
        <v>2.0</v>
      </c>
      <c r="V55" s="19">
        <v>1.0</v>
      </c>
      <c r="W55" s="19">
        <v>2.0</v>
      </c>
      <c r="X55" s="19">
        <v>0.0</v>
      </c>
      <c r="Y55" s="19">
        <v>3.0</v>
      </c>
      <c r="Z55" s="19">
        <v>4.0</v>
      </c>
      <c r="AA55" s="19">
        <v>3.0</v>
      </c>
      <c r="AB55" s="19">
        <v>1.0</v>
      </c>
      <c r="AC55" s="19">
        <v>1.0</v>
      </c>
      <c r="AD55" s="19">
        <v>3.0</v>
      </c>
      <c r="AE55" s="19">
        <v>2.0</v>
      </c>
      <c r="AF55" s="19">
        <v>1.0</v>
      </c>
      <c r="AG55" s="13">
        <f t="shared" si="14"/>
        <v>52</v>
      </c>
    </row>
    <row r="56" ht="12.75" customHeight="1">
      <c r="A56" s="18"/>
      <c r="B56" s="47" t="s">
        <v>55</v>
      </c>
      <c r="C56" s="61" t="s">
        <v>56</v>
      </c>
      <c r="D56" s="16"/>
      <c r="E56" s="19">
        <v>18.0</v>
      </c>
      <c r="F56" s="19">
        <v>15.0</v>
      </c>
      <c r="G56" s="19">
        <v>17.0</v>
      </c>
      <c r="H56" s="19">
        <v>19.0</v>
      </c>
      <c r="I56" s="19">
        <v>24.0</v>
      </c>
      <c r="J56" s="19">
        <v>12.0</v>
      </c>
      <c r="K56" s="19">
        <v>23.0</v>
      </c>
      <c r="L56" s="19">
        <v>15.0</v>
      </c>
      <c r="M56" s="19">
        <v>29.0</v>
      </c>
      <c r="N56" s="19">
        <v>27.0</v>
      </c>
      <c r="O56" s="19">
        <v>19.0</v>
      </c>
      <c r="P56" s="19">
        <v>20.0</v>
      </c>
      <c r="Q56" s="19">
        <v>17.0</v>
      </c>
      <c r="R56" s="19">
        <v>14.0</v>
      </c>
      <c r="S56" s="19">
        <v>12.0</v>
      </c>
      <c r="T56" s="19">
        <v>17.0</v>
      </c>
      <c r="U56" s="19">
        <v>29.0</v>
      </c>
      <c r="V56" s="19">
        <v>28.0</v>
      </c>
      <c r="W56" s="19">
        <v>14.0</v>
      </c>
      <c r="X56" s="19">
        <v>29.0</v>
      </c>
      <c r="Y56" s="19">
        <v>22.0</v>
      </c>
      <c r="Z56" s="19">
        <v>28.0</v>
      </c>
      <c r="AA56" s="19">
        <v>23.0</v>
      </c>
      <c r="AB56" s="19">
        <v>21.0</v>
      </c>
      <c r="AC56" s="19">
        <v>23.0</v>
      </c>
      <c r="AD56" s="19">
        <v>17.0</v>
      </c>
      <c r="AE56" s="19">
        <v>15.0</v>
      </c>
      <c r="AF56" s="19">
        <v>25.0</v>
      </c>
      <c r="AG56" s="13">
        <f t="shared" si="14"/>
        <v>572</v>
      </c>
    </row>
    <row r="57" ht="12.75" customHeight="1">
      <c r="A57" s="18"/>
      <c r="B57" s="47" t="s">
        <v>57</v>
      </c>
      <c r="C57" s="61" t="s">
        <v>58</v>
      </c>
      <c r="D57" s="16"/>
      <c r="E57" s="19">
        <v>5.0</v>
      </c>
      <c r="F57" s="19">
        <v>1.0</v>
      </c>
      <c r="G57" s="19">
        <v>3.0</v>
      </c>
      <c r="H57" s="19">
        <v>3.0</v>
      </c>
      <c r="I57" s="19">
        <v>0.0</v>
      </c>
      <c r="J57" s="19">
        <v>0.0</v>
      </c>
      <c r="K57" s="19">
        <v>3.0</v>
      </c>
      <c r="L57" s="19">
        <v>3.0</v>
      </c>
      <c r="M57" s="19">
        <v>2.0</v>
      </c>
      <c r="N57" s="19">
        <v>1.0</v>
      </c>
      <c r="O57" s="19">
        <v>1.0</v>
      </c>
      <c r="P57" s="19">
        <v>0.0</v>
      </c>
      <c r="Q57" s="19">
        <v>3.0</v>
      </c>
      <c r="R57" s="19">
        <v>2.0</v>
      </c>
      <c r="S57" s="19">
        <v>3.0</v>
      </c>
      <c r="T57" s="19">
        <v>3.0</v>
      </c>
      <c r="U57" s="19">
        <v>1.0</v>
      </c>
      <c r="V57" s="19">
        <v>1.0</v>
      </c>
      <c r="W57" s="19">
        <v>2.0</v>
      </c>
      <c r="X57" s="19">
        <v>1.0</v>
      </c>
      <c r="Y57" s="19">
        <v>1.0</v>
      </c>
      <c r="Z57" s="19">
        <v>1.0</v>
      </c>
      <c r="AA57" s="19">
        <v>2.0</v>
      </c>
      <c r="AB57" s="19">
        <v>1.0</v>
      </c>
      <c r="AC57" s="19">
        <v>4.0</v>
      </c>
      <c r="AD57" s="19">
        <v>3.0</v>
      </c>
      <c r="AE57" s="19">
        <v>0.0</v>
      </c>
      <c r="AF57" s="19">
        <v>1.0</v>
      </c>
      <c r="AG57" s="13">
        <f t="shared" si="14"/>
        <v>51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60"/>
      <c r="Y59" s="13"/>
      <c r="Z59" s="13"/>
      <c r="AA59" s="13"/>
      <c r="AB59" s="13"/>
      <c r="AC59" s="60"/>
      <c r="AD59" s="13"/>
      <c r="AE59" s="13"/>
      <c r="AF59" s="13"/>
      <c r="AG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F60" si="15">SUM(E45:E57)</f>
        <v>160</v>
      </c>
      <c r="F60" s="19">
        <f t="shared" si="15"/>
        <v>170</v>
      </c>
      <c r="G60" s="19">
        <f t="shared" si="15"/>
        <v>144</v>
      </c>
      <c r="H60" s="19">
        <f t="shared" si="15"/>
        <v>131</v>
      </c>
      <c r="I60" s="19">
        <f t="shared" si="15"/>
        <v>152</v>
      </c>
      <c r="J60" s="19">
        <f t="shared" si="15"/>
        <v>152</v>
      </c>
      <c r="K60" s="19">
        <f t="shared" si="15"/>
        <v>186</v>
      </c>
      <c r="L60" s="19">
        <f t="shared" si="15"/>
        <v>152</v>
      </c>
      <c r="M60" s="19">
        <f t="shared" si="15"/>
        <v>192</v>
      </c>
      <c r="N60" s="19">
        <f t="shared" si="15"/>
        <v>173</v>
      </c>
      <c r="O60" s="19">
        <f t="shared" si="15"/>
        <v>174</v>
      </c>
      <c r="P60" s="19">
        <f t="shared" si="15"/>
        <v>154</v>
      </c>
      <c r="Q60" s="19">
        <f t="shared" si="15"/>
        <v>142</v>
      </c>
      <c r="R60" s="19">
        <f t="shared" si="15"/>
        <v>171</v>
      </c>
      <c r="S60" s="19">
        <f t="shared" si="15"/>
        <v>139</v>
      </c>
      <c r="T60" s="19">
        <f t="shared" si="15"/>
        <v>159</v>
      </c>
      <c r="U60" s="19">
        <f t="shared" si="15"/>
        <v>163</v>
      </c>
      <c r="V60" s="19">
        <f t="shared" si="15"/>
        <v>189</v>
      </c>
      <c r="W60" s="19">
        <f t="shared" si="15"/>
        <v>163</v>
      </c>
      <c r="X60" s="19">
        <f t="shared" si="15"/>
        <v>196</v>
      </c>
      <c r="Y60" s="19">
        <f t="shared" si="15"/>
        <v>189</v>
      </c>
      <c r="Z60" s="19">
        <f t="shared" si="15"/>
        <v>180</v>
      </c>
      <c r="AA60" s="19">
        <f t="shared" si="15"/>
        <v>187</v>
      </c>
      <c r="AB60" s="19">
        <f t="shared" si="15"/>
        <v>164</v>
      </c>
      <c r="AC60" s="19">
        <f t="shared" si="15"/>
        <v>179</v>
      </c>
      <c r="AD60" s="19">
        <f t="shared" si="15"/>
        <v>160</v>
      </c>
      <c r="AE60" s="19">
        <f t="shared" si="15"/>
        <v>200</v>
      </c>
      <c r="AF60" s="19">
        <f t="shared" si="15"/>
        <v>165</v>
      </c>
      <c r="AG60" s="13">
        <f t="shared" ref="AG60:AG62" si="16">SUM(E60:AF60)</f>
        <v>4686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45.0</v>
      </c>
      <c r="F61" s="19">
        <v>27.0</v>
      </c>
      <c r="G61" s="19">
        <v>53.0</v>
      </c>
      <c r="H61" s="19">
        <v>24.0</v>
      </c>
      <c r="I61" s="19">
        <v>50.0</v>
      </c>
      <c r="J61" s="19">
        <v>13.0</v>
      </c>
      <c r="K61" s="19">
        <v>28.0</v>
      </c>
      <c r="L61" s="19">
        <v>69.0</v>
      </c>
      <c r="M61" s="19">
        <v>52.0</v>
      </c>
      <c r="N61" s="19">
        <v>71.0</v>
      </c>
      <c r="O61" s="19">
        <v>24.0</v>
      </c>
      <c r="P61" s="19">
        <v>23.0</v>
      </c>
      <c r="Q61" s="19">
        <v>38.0</v>
      </c>
      <c r="R61" s="19">
        <v>60.0</v>
      </c>
      <c r="S61" s="19">
        <v>77.0</v>
      </c>
      <c r="T61" s="19">
        <v>65.0</v>
      </c>
      <c r="U61" s="19">
        <v>41.0</v>
      </c>
      <c r="V61" s="19">
        <v>52.0</v>
      </c>
      <c r="W61" s="19">
        <v>53.0</v>
      </c>
      <c r="X61" s="19">
        <v>36.0</v>
      </c>
      <c r="Y61" s="19">
        <v>58.0</v>
      </c>
      <c r="Z61" s="19">
        <v>43.0</v>
      </c>
      <c r="AA61" s="19">
        <v>36.0</v>
      </c>
      <c r="AB61" s="19">
        <v>34.0</v>
      </c>
      <c r="AC61" s="19">
        <v>28.0</v>
      </c>
      <c r="AD61" s="19">
        <v>59.0</v>
      </c>
      <c r="AE61" s="19">
        <v>33.0</v>
      </c>
      <c r="AF61" s="19">
        <v>61.0</v>
      </c>
      <c r="AG61" s="13">
        <f t="shared" si="16"/>
        <v>1253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F62" si="17">SUM(E60:E61)</f>
        <v>205</v>
      </c>
      <c r="F62" s="13">
        <f t="shared" si="17"/>
        <v>197</v>
      </c>
      <c r="G62" s="13">
        <f t="shared" si="17"/>
        <v>197</v>
      </c>
      <c r="H62" s="13">
        <f t="shared" si="17"/>
        <v>155</v>
      </c>
      <c r="I62" s="13">
        <f t="shared" si="17"/>
        <v>202</v>
      </c>
      <c r="J62" s="13">
        <f t="shared" si="17"/>
        <v>165</v>
      </c>
      <c r="K62" s="13">
        <f t="shared" si="17"/>
        <v>214</v>
      </c>
      <c r="L62" s="13">
        <f t="shared" si="17"/>
        <v>221</v>
      </c>
      <c r="M62" s="13">
        <f t="shared" si="17"/>
        <v>244</v>
      </c>
      <c r="N62" s="13">
        <f t="shared" si="17"/>
        <v>244</v>
      </c>
      <c r="O62" s="13">
        <f t="shared" si="17"/>
        <v>198</v>
      </c>
      <c r="P62" s="13">
        <f t="shared" si="17"/>
        <v>177</v>
      </c>
      <c r="Q62" s="13">
        <f t="shared" si="17"/>
        <v>180</v>
      </c>
      <c r="R62" s="13">
        <f t="shared" si="17"/>
        <v>231</v>
      </c>
      <c r="S62" s="13">
        <f t="shared" si="17"/>
        <v>216</v>
      </c>
      <c r="T62" s="13">
        <f t="shared" si="17"/>
        <v>224</v>
      </c>
      <c r="U62" s="13">
        <f t="shared" si="17"/>
        <v>204</v>
      </c>
      <c r="V62" s="13">
        <f t="shared" si="17"/>
        <v>241</v>
      </c>
      <c r="W62" s="13">
        <f t="shared" si="17"/>
        <v>216</v>
      </c>
      <c r="X62" s="13">
        <f t="shared" si="17"/>
        <v>232</v>
      </c>
      <c r="Y62" s="13">
        <f t="shared" si="17"/>
        <v>247</v>
      </c>
      <c r="Z62" s="13">
        <f t="shared" si="17"/>
        <v>223</v>
      </c>
      <c r="AA62" s="13">
        <f t="shared" si="17"/>
        <v>223</v>
      </c>
      <c r="AB62" s="13">
        <f t="shared" si="17"/>
        <v>198</v>
      </c>
      <c r="AC62" s="13">
        <f t="shared" si="17"/>
        <v>207</v>
      </c>
      <c r="AD62" s="13">
        <f t="shared" si="17"/>
        <v>219</v>
      </c>
      <c r="AE62" s="13">
        <f t="shared" si="17"/>
        <v>233</v>
      </c>
      <c r="AF62" s="13">
        <f t="shared" si="17"/>
        <v>226</v>
      </c>
      <c r="AG62" s="13">
        <f t="shared" si="16"/>
        <v>5939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AF34">
    <cfRule type="expression" dxfId="0" priority="1">
      <formula>E34&lt;&gt;#REF!</formula>
    </cfRule>
  </conditionalFormatting>
  <conditionalFormatting sqref="E14:AF15 E45:AF57">
    <cfRule type="containsBlanks" dxfId="1" priority="2">
      <formula>LEN(TRIM(E14))=0</formula>
    </cfRule>
  </conditionalFormatting>
  <conditionalFormatting sqref="E19:AF20">
    <cfRule type="containsBlanks" dxfId="1" priority="3">
      <formula>LEN(TRIM(E19))=0</formula>
    </cfRule>
  </conditionalFormatting>
  <conditionalFormatting sqref="E22:AF23 E25:AF26 E33:AF33 E35:AF35 E39:AF40">
    <cfRule type="containsBlanks" dxfId="1" priority="4">
      <formula>LEN(TRIM(E22))=0</formula>
    </cfRule>
  </conditionalFormatting>
  <conditionalFormatting sqref="E30:AF30">
    <cfRule type="expression" dxfId="0" priority="5">
      <formula>E30&lt;&gt;E46</formula>
    </cfRule>
  </conditionalFormatting>
  <conditionalFormatting sqref="E30:AF30">
    <cfRule type="expression" dxfId="0" priority="6">
      <formula>E30&lt;&gt;E34</formula>
    </cfRule>
  </conditionalFormatting>
  <conditionalFormatting sqref="E34:AF34">
    <cfRule type="expression" dxfId="2" priority="7">
      <formula>E30&lt;&gt;E34</formula>
    </cfRule>
  </conditionalFormatting>
  <conditionalFormatting sqref="E34:AF34">
    <cfRule type="expression" dxfId="3" priority="8">
      <formula>E30=E34</formula>
    </cfRule>
  </conditionalFormatting>
  <conditionalFormatting sqref="E34:AF34">
    <cfRule type="expression" dxfId="0" priority="9">
      <formula>E34&lt;&gt;E30</formula>
    </cfRule>
  </conditionalFormatting>
  <conditionalFormatting sqref="E60:AF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566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68</v>
      </c>
      <c r="F13" s="13" t="s">
        <v>69</v>
      </c>
      <c r="G13" s="13" t="s">
        <v>70</v>
      </c>
      <c r="H13" s="13" t="s">
        <v>71</v>
      </c>
      <c r="I13" s="13" t="s">
        <v>72</v>
      </c>
      <c r="J13" s="13" t="s">
        <v>73</v>
      </c>
      <c r="K13" s="13" t="s">
        <v>74</v>
      </c>
      <c r="L13" s="13" t="s">
        <v>75</v>
      </c>
      <c r="M13" s="13" t="s">
        <v>76</v>
      </c>
      <c r="N13" s="13" t="s">
        <v>77</v>
      </c>
      <c r="O13" s="13" t="s">
        <v>78</v>
      </c>
      <c r="P13" s="13" t="s">
        <v>79</v>
      </c>
      <c r="Q13" s="13" t="s">
        <v>80</v>
      </c>
      <c r="R13" s="13" t="s">
        <v>81</v>
      </c>
      <c r="S13" s="36"/>
    </row>
    <row r="14" ht="12.75" customHeight="1">
      <c r="A14" s="18"/>
      <c r="B14" s="22" t="s">
        <v>10</v>
      </c>
      <c r="C14" s="23"/>
      <c r="D14" s="19" t="s">
        <v>11</v>
      </c>
      <c r="E14" s="19">
        <v>142.0</v>
      </c>
      <c r="F14" s="19">
        <v>126.0</v>
      </c>
      <c r="G14" s="19">
        <v>141.0</v>
      </c>
      <c r="H14" s="19">
        <v>137.0</v>
      </c>
      <c r="I14" s="19">
        <v>124.0</v>
      </c>
      <c r="J14" s="19">
        <v>138.0</v>
      </c>
      <c r="K14" s="19">
        <v>148.0</v>
      </c>
      <c r="L14" s="19">
        <v>124.0</v>
      </c>
      <c r="M14" s="19">
        <v>140.0</v>
      </c>
      <c r="N14" s="19">
        <v>140.0</v>
      </c>
      <c r="O14" s="19">
        <v>112.0</v>
      </c>
      <c r="P14" s="19">
        <v>97.0</v>
      </c>
      <c r="Q14" s="19">
        <v>113.0</v>
      </c>
      <c r="R14" s="19">
        <v>122.0</v>
      </c>
      <c r="S14" s="13">
        <f t="shared" ref="S14:S16" si="1">SUM(E14:R14)</f>
        <v>1804</v>
      </c>
      <c r="X14" s="62"/>
      <c r="AO14" s="62">
        <v>141.0</v>
      </c>
      <c r="CA14" s="62">
        <v>124.0</v>
      </c>
      <c r="CS14" s="62">
        <v>138.0</v>
      </c>
      <c r="DP14" s="62">
        <v>148.0</v>
      </c>
      <c r="EI14" s="62">
        <v>124.0</v>
      </c>
      <c r="FE14" s="62">
        <v>140.0</v>
      </c>
      <c r="GE14" s="62">
        <v>140.0</v>
      </c>
      <c r="GW14" s="62">
        <v>112.0</v>
      </c>
      <c r="HR14" s="62">
        <v>97.0</v>
      </c>
      <c r="IL14" s="62">
        <v>113.0</v>
      </c>
      <c r="JE14" s="62">
        <v>122.0</v>
      </c>
      <c r="KS14" s="62">
        <v>137.0</v>
      </c>
      <c r="LJ14" s="62">
        <v>137.0</v>
      </c>
      <c r="MV14" s="62">
        <v>130.0</v>
      </c>
      <c r="NN14" s="62">
        <v>126.0</v>
      </c>
      <c r="OK14" s="62">
        <v>134.0</v>
      </c>
      <c r="PD14" s="62">
        <v>107.0</v>
      </c>
      <c r="PZ14" s="62">
        <v>129.0</v>
      </c>
      <c r="QZ14" s="62">
        <v>129.0</v>
      </c>
      <c r="RR14" s="62">
        <v>121.0</v>
      </c>
      <c r="SM14" s="62">
        <v>103.0</v>
      </c>
      <c r="TG14" s="62">
        <v>107.0</v>
      </c>
      <c r="TZ14" s="62">
        <v>113.0</v>
      </c>
    </row>
    <row r="15" ht="12.75" customHeight="1">
      <c r="A15" s="18"/>
      <c r="B15" s="26"/>
      <c r="C15" s="27"/>
      <c r="D15" s="19" t="s">
        <v>12</v>
      </c>
      <c r="E15" s="19">
        <v>147.0</v>
      </c>
      <c r="F15" s="19">
        <v>137.0</v>
      </c>
      <c r="G15" s="19">
        <v>137.0</v>
      </c>
      <c r="H15" s="19">
        <v>156.0</v>
      </c>
      <c r="I15" s="19">
        <v>130.0</v>
      </c>
      <c r="J15" s="19">
        <v>126.0</v>
      </c>
      <c r="K15" s="19">
        <v>134.0</v>
      </c>
      <c r="L15" s="19">
        <v>107.0</v>
      </c>
      <c r="M15" s="19">
        <v>129.0</v>
      </c>
      <c r="N15" s="19">
        <v>129.0</v>
      </c>
      <c r="O15" s="19">
        <v>121.0</v>
      </c>
      <c r="P15" s="19">
        <v>103.0</v>
      </c>
      <c r="Q15" s="19">
        <v>107.0</v>
      </c>
      <c r="R15" s="19">
        <v>113.0</v>
      </c>
      <c r="S15" s="13">
        <f t="shared" si="1"/>
        <v>1776</v>
      </c>
    </row>
    <row r="16" ht="12.75" customHeight="1">
      <c r="A16" s="25"/>
      <c r="B16" s="21"/>
      <c r="C16" s="28"/>
      <c r="D16" s="13" t="s">
        <v>13</v>
      </c>
      <c r="E16" s="13">
        <f t="shared" ref="E16:R16" si="2">SUM(E14:E15)</f>
        <v>289</v>
      </c>
      <c r="F16" s="13">
        <f t="shared" si="2"/>
        <v>263</v>
      </c>
      <c r="G16" s="13">
        <f t="shared" si="2"/>
        <v>278</v>
      </c>
      <c r="H16" s="13">
        <f t="shared" si="2"/>
        <v>293</v>
      </c>
      <c r="I16" s="13">
        <f t="shared" si="2"/>
        <v>254</v>
      </c>
      <c r="J16" s="13">
        <f t="shared" si="2"/>
        <v>264</v>
      </c>
      <c r="K16" s="13">
        <f t="shared" si="2"/>
        <v>282</v>
      </c>
      <c r="L16" s="13">
        <f t="shared" si="2"/>
        <v>231</v>
      </c>
      <c r="M16" s="13">
        <f t="shared" si="2"/>
        <v>269</v>
      </c>
      <c r="N16" s="13">
        <f t="shared" si="2"/>
        <v>269</v>
      </c>
      <c r="O16" s="13">
        <f t="shared" si="2"/>
        <v>233</v>
      </c>
      <c r="P16" s="13">
        <f t="shared" si="2"/>
        <v>200</v>
      </c>
      <c r="Q16" s="13">
        <f t="shared" si="2"/>
        <v>220</v>
      </c>
      <c r="R16" s="13">
        <f t="shared" si="2"/>
        <v>235</v>
      </c>
      <c r="S16" s="13">
        <f t="shared" si="1"/>
        <v>3580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9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9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114.0</v>
      </c>
      <c r="F19" s="19">
        <v>88.0</v>
      </c>
      <c r="G19" s="19">
        <v>96.0</v>
      </c>
      <c r="H19" s="19">
        <v>92.0</v>
      </c>
      <c r="I19" s="19">
        <v>83.0</v>
      </c>
      <c r="J19" s="19">
        <v>95.0</v>
      </c>
      <c r="K19" s="19">
        <v>107.0</v>
      </c>
      <c r="L19" s="19">
        <v>86.0</v>
      </c>
      <c r="M19" s="19">
        <v>110.0</v>
      </c>
      <c r="N19" s="19">
        <v>95.0</v>
      </c>
      <c r="O19" s="19">
        <v>82.0</v>
      </c>
      <c r="P19" s="19">
        <v>60.0</v>
      </c>
      <c r="Q19" s="19">
        <v>77.0</v>
      </c>
      <c r="R19" s="19">
        <v>91.0</v>
      </c>
      <c r="S19" s="13">
        <f t="shared" ref="S19:S30" si="3">SUM(E19:R19)</f>
        <v>1276</v>
      </c>
    </row>
    <row r="20" ht="12.75" customHeight="1">
      <c r="A20" s="33"/>
      <c r="B20" s="27"/>
      <c r="C20" s="34"/>
      <c r="D20" s="19" t="s">
        <v>12</v>
      </c>
      <c r="E20" s="19">
        <v>121.0</v>
      </c>
      <c r="F20" s="19">
        <v>104.0</v>
      </c>
      <c r="G20" s="19">
        <v>115.0</v>
      </c>
      <c r="H20" s="19">
        <v>115.0</v>
      </c>
      <c r="I20" s="19">
        <v>96.0</v>
      </c>
      <c r="J20" s="19">
        <v>105.0</v>
      </c>
      <c r="K20" s="19">
        <v>104.0</v>
      </c>
      <c r="L20" s="19">
        <v>83.0</v>
      </c>
      <c r="M20" s="19">
        <v>109.0</v>
      </c>
      <c r="N20" s="19">
        <v>113.0</v>
      </c>
      <c r="O20" s="19">
        <v>89.0</v>
      </c>
      <c r="P20" s="19">
        <v>73.0</v>
      </c>
      <c r="Q20" s="19">
        <v>74.0</v>
      </c>
      <c r="R20" s="19">
        <v>104.0</v>
      </c>
      <c r="S20" s="13">
        <f t="shared" si="3"/>
        <v>1405</v>
      </c>
    </row>
    <row r="21" ht="12.75" customHeight="1">
      <c r="A21" s="35"/>
      <c r="B21" s="28"/>
      <c r="C21" s="36"/>
      <c r="D21" s="13" t="s">
        <v>13</v>
      </c>
      <c r="E21" s="13">
        <f t="shared" ref="E21:R21" si="4">SUM(E19:E20)</f>
        <v>235</v>
      </c>
      <c r="F21" s="13">
        <f t="shared" si="4"/>
        <v>192</v>
      </c>
      <c r="G21" s="13">
        <f t="shared" si="4"/>
        <v>211</v>
      </c>
      <c r="H21" s="13">
        <f t="shared" si="4"/>
        <v>207</v>
      </c>
      <c r="I21" s="13">
        <f t="shared" si="4"/>
        <v>179</v>
      </c>
      <c r="J21" s="13">
        <f t="shared" si="4"/>
        <v>200</v>
      </c>
      <c r="K21" s="13">
        <f t="shared" si="4"/>
        <v>211</v>
      </c>
      <c r="L21" s="13">
        <f t="shared" si="4"/>
        <v>169</v>
      </c>
      <c r="M21" s="13">
        <f t="shared" si="4"/>
        <v>219</v>
      </c>
      <c r="N21" s="13">
        <f t="shared" si="4"/>
        <v>208</v>
      </c>
      <c r="O21" s="13">
        <f t="shared" si="4"/>
        <v>171</v>
      </c>
      <c r="P21" s="13">
        <f t="shared" si="4"/>
        <v>133</v>
      </c>
      <c r="Q21" s="13">
        <f t="shared" si="4"/>
        <v>151</v>
      </c>
      <c r="R21" s="13">
        <f t="shared" si="4"/>
        <v>195</v>
      </c>
      <c r="S21" s="13">
        <f t="shared" si="3"/>
        <v>2681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14.0</v>
      </c>
      <c r="F23" s="19">
        <v>16.0</v>
      </c>
      <c r="G23" s="19">
        <v>3.0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3">
        <f t="shared" si="3"/>
        <v>34</v>
      </c>
    </row>
    <row r="24" ht="12.75" customHeight="1">
      <c r="A24" s="35"/>
      <c r="B24" s="28"/>
      <c r="C24" s="36"/>
      <c r="D24" s="13" t="s">
        <v>13</v>
      </c>
      <c r="E24" s="13">
        <f t="shared" ref="E24:R24" si="5">SUM(E22:E23)</f>
        <v>14</v>
      </c>
      <c r="F24" s="13">
        <f t="shared" si="5"/>
        <v>16</v>
      </c>
      <c r="G24" s="13">
        <f t="shared" si="5"/>
        <v>3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3"/>
        <v>35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3.0</v>
      </c>
      <c r="F25" s="19">
        <v>0.0</v>
      </c>
      <c r="G25" s="19">
        <v>0.0</v>
      </c>
      <c r="H25" s="19">
        <v>0.0</v>
      </c>
      <c r="I25" s="19">
        <v>2.0</v>
      </c>
      <c r="J25" s="19">
        <v>2.0</v>
      </c>
      <c r="K25" s="19">
        <v>0.0</v>
      </c>
      <c r="L25" s="19">
        <v>1.0</v>
      </c>
      <c r="M25" s="19">
        <v>1.0</v>
      </c>
      <c r="N25" s="19">
        <v>0.0</v>
      </c>
      <c r="O25" s="19">
        <v>0.0</v>
      </c>
      <c r="P25" s="19">
        <v>1.0</v>
      </c>
      <c r="Q25" s="19">
        <v>1.0</v>
      </c>
      <c r="R25" s="19">
        <v>2.0</v>
      </c>
      <c r="S25" s="13">
        <f t="shared" si="3"/>
        <v>13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0.0</v>
      </c>
      <c r="G26" s="19">
        <v>1.0</v>
      </c>
      <c r="H26" s="19">
        <v>0.0</v>
      </c>
      <c r="I26" s="19">
        <v>3.0</v>
      </c>
      <c r="J26" s="19">
        <v>2.0</v>
      </c>
      <c r="K26" s="19">
        <v>0.0</v>
      </c>
      <c r="L26" s="19">
        <v>1.0</v>
      </c>
      <c r="M26" s="19">
        <v>2.0</v>
      </c>
      <c r="N26" s="19">
        <v>0.0</v>
      </c>
      <c r="O26" s="19">
        <v>0.0</v>
      </c>
      <c r="P26" s="19">
        <v>6.0</v>
      </c>
      <c r="Q26" s="19">
        <v>1.0</v>
      </c>
      <c r="R26" s="19">
        <v>2.0</v>
      </c>
      <c r="S26" s="13">
        <f t="shared" si="3"/>
        <v>18</v>
      </c>
    </row>
    <row r="27" ht="12.75" customHeight="1">
      <c r="A27" s="35"/>
      <c r="B27" s="28"/>
      <c r="C27" s="36"/>
      <c r="D27" s="13" t="s">
        <v>13</v>
      </c>
      <c r="E27" s="13">
        <f t="shared" ref="E27:R27" si="6">SUM(E25:E26)</f>
        <v>3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5</v>
      </c>
      <c r="J27" s="13">
        <f t="shared" si="6"/>
        <v>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7</v>
      </c>
      <c r="Q27" s="13">
        <f t="shared" si="6"/>
        <v>2</v>
      </c>
      <c r="R27" s="13">
        <f t="shared" si="6"/>
        <v>4</v>
      </c>
      <c r="S27" s="13">
        <f t="shared" si="3"/>
        <v>31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R28" si="7">SUM(E19,E22,E25)</f>
        <v>117</v>
      </c>
      <c r="F28" s="13">
        <f t="shared" si="7"/>
        <v>88</v>
      </c>
      <c r="G28" s="13">
        <f t="shared" si="7"/>
        <v>96</v>
      </c>
      <c r="H28" s="13">
        <f t="shared" si="7"/>
        <v>92</v>
      </c>
      <c r="I28" s="13">
        <f t="shared" si="7"/>
        <v>85</v>
      </c>
      <c r="J28" s="13">
        <f t="shared" si="7"/>
        <v>97</v>
      </c>
      <c r="K28" s="13">
        <f t="shared" si="7"/>
        <v>107</v>
      </c>
      <c r="L28" s="13">
        <f t="shared" si="7"/>
        <v>87</v>
      </c>
      <c r="M28" s="13">
        <f t="shared" si="7"/>
        <v>111</v>
      </c>
      <c r="N28" s="13">
        <f t="shared" si="7"/>
        <v>95</v>
      </c>
      <c r="O28" s="13">
        <f t="shared" si="7"/>
        <v>82</v>
      </c>
      <c r="P28" s="13">
        <f t="shared" si="7"/>
        <v>62</v>
      </c>
      <c r="Q28" s="13">
        <f t="shared" si="7"/>
        <v>78</v>
      </c>
      <c r="R28" s="13">
        <f t="shared" si="7"/>
        <v>93</v>
      </c>
      <c r="S28" s="13">
        <f t="shared" si="3"/>
        <v>1290</v>
      </c>
    </row>
    <row r="29" ht="12.75" customHeight="1">
      <c r="A29" s="35"/>
      <c r="B29" s="27"/>
      <c r="C29" s="34"/>
      <c r="D29" s="13" t="s">
        <v>12</v>
      </c>
      <c r="E29" s="13">
        <f t="shared" ref="E29:R29" si="8">SUM(E20,E23,E26)</f>
        <v>135</v>
      </c>
      <c r="F29" s="13">
        <f t="shared" si="8"/>
        <v>120</v>
      </c>
      <c r="G29" s="13">
        <f t="shared" si="8"/>
        <v>119</v>
      </c>
      <c r="H29" s="13">
        <f t="shared" si="8"/>
        <v>115</v>
      </c>
      <c r="I29" s="13">
        <f t="shared" si="8"/>
        <v>99</v>
      </c>
      <c r="J29" s="13">
        <f t="shared" si="8"/>
        <v>107</v>
      </c>
      <c r="K29" s="13">
        <f t="shared" si="8"/>
        <v>104</v>
      </c>
      <c r="L29" s="13">
        <f t="shared" si="8"/>
        <v>84</v>
      </c>
      <c r="M29" s="13">
        <f t="shared" si="8"/>
        <v>111</v>
      </c>
      <c r="N29" s="13">
        <f t="shared" si="8"/>
        <v>113</v>
      </c>
      <c r="O29" s="13">
        <f t="shared" si="8"/>
        <v>89</v>
      </c>
      <c r="P29" s="13">
        <f t="shared" si="8"/>
        <v>80</v>
      </c>
      <c r="Q29" s="13">
        <f t="shared" si="8"/>
        <v>75</v>
      </c>
      <c r="R29" s="13">
        <f t="shared" si="8"/>
        <v>106</v>
      </c>
      <c r="S29" s="13">
        <f t="shared" si="3"/>
        <v>1457</v>
      </c>
    </row>
    <row r="30" ht="12.75" customHeight="1">
      <c r="A30" s="35"/>
      <c r="B30" s="28"/>
      <c r="C30" s="36"/>
      <c r="D30" s="13" t="s">
        <v>13</v>
      </c>
      <c r="E30" s="13">
        <f t="shared" ref="E30:R30" si="9">SUM(E28:E29)</f>
        <v>252</v>
      </c>
      <c r="F30" s="13">
        <f t="shared" si="9"/>
        <v>208</v>
      </c>
      <c r="G30" s="13">
        <f t="shared" si="9"/>
        <v>215</v>
      </c>
      <c r="H30" s="13">
        <f t="shared" si="9"/>
        <v>207</v>
      </c>
      <c r="I30" s="13">
        <f t="shared" si="9"/>
        <v>184</v>
      </c>
      <c r="J30" s="13">
        <f t="shared" si="9"/>
        <v>204</v>
      </c>
      <c r="K30" s="13">
        <f t="shared" si="9"/>
        <v>211</v>
      </c>
      <c r="L30" s="13">
        <f t="shared" si="9"/>
        <v>171</v>
      </c>
      <c r="M30" s="13">
        <f t="shared" si="9"/>
        <v>222</v>
      </c>
      <c r="N30" s="13">
        <f t="shared" si="9"/>
        <v>208</v>
      </c>
      <c r="O30" s="13">
        <f t="shared" si="9"/>
        <v>171</v>
      </c>
      <c r="P30" s="13">
        <f t="shared" si="9"/>
        <v>142</v>
      </c>
      <c r="Q30" s="13">
        <f t="shared" si="9"/>
        <v>153</v>
      </c>
      <c r="R30" s="13">
        <f t="shared" si="9"/>
        <v>199</v>
      </c>
      <c r="S30" s="13">
        <f t="shared" si="3"/>
        <v>2747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9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59"/>
    </row>
    <row r="33" ht="12.75" customHeight="1">
      <c r="A33" s="19">
        <v>1.0</v>
      </c>
      <c r="B33" s="20" t="s">
        <v>26</v>
      </c>
      <c r="C33" s="15"/>
      <c r="D33" s="16"/>
      <c r="E33" s="19">
        <v>284.0</v>
      </c>
      <c r="F33" s="19">
        <v>258.0</v>
      </c>
      <c r="G33" s="19">
        <v>274.0</v>
      </c>
      <c r="H33" s="19">
        <v>288.0</v>
      </c>
      <c r="I33" s="19">
        <v>243.0</v>
      </c>
      <c r="J33" s="19">
        <v>259.0</v>
      </c>
      <c r="K33" s="19">
        <v>277.0</v>
      </c>
      <c r="L33" s="19">
        <v>225.0</v>
      </c>
      <c r="M33" s="19">
        <v>264.0</v>
      </c>
      <c r="N33" s="19">
        <v>264.0</v>
      </c>
      <c r="O33" s="19">
        <v>227.0</v>
      </c>
      <c r="P33" s="19">
        <v>184.0</v>
      </c>
      <c r="Q33" s="19">
        <v>225.0</v>
      </c>
      <c r="R33" s="19">
        <v>229.0</v>
      </c>
      <c r="S33" s="13">
        <f t="shared" ref="S33:S36" si="10">SUM(E33:R33)</f>
        <v>3501</v>
      </c>
    </row>
    <row r="34" ht="12.75" customHeight="1">
      <c r="A34" s="19">
        <v>2.0</v>
      </c>
      <c r="B34" s="20" t="s">
        <v>27</v>
      </c>
      <c r="C34" s="15"/>
      <c r="D34" s="16"/>
      <c r="E34" s="13">
        <v>252.0</v>
      </c>
      <c r="F34" s="13">
        <v>208.0</v>
      </c>
      <c r="G34" s="13">
        <v>215.0</v>
      </c>
      <c r="H34" s="13">
        <v>207.0</v>
      </c>
      <c r="I34" s="13">
        <v>184.0</v>
      </c>
      <c r="J34" s="13">
        <v>204.0</v>
      </c>
      <c r="K34" s="13">
        <v>211.0</v>
      </c>
      <c r="L34" s="13">
        <v>171.0</v>
      </c>
      <c r="M34" s="13">
        <v>222.0</v>
      </c>
      <c r="N34" s="13">
        <v>208.0</v>
      </c>
      <c r="O34" s="13">
        <v>171.0</v>
      </c>
      <c r="P34" s="13">
        <v>142.0</v>
      </c>
      <c r="Q34" s="13">
        <v>153.0</v>
      </c>
      <c r="R34" s="13">
        <v>199.0</v>
      </c>
      <c r="S34" s="13">
        <f t="shared" si="10"/>
        <v>2747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0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R36" si="11">E33-(E34+E35)</f>
        <v>32</v>
      </c>
      <c r="F36" s="13">
        <f t="shared" si="11"/>
        <v>50</v>
      </c>
      <c r="G36" s="13">
        <f t="shared" si="11"/>
        <v>59</v>
      </c>
      <c r="H36" s="13">
        <f t="shared" si="11"/>
        <v>81</v>
      </c>
      <c r="I36" s="13">
        <f t="shared" si="11"/>
        <v>59</v>
      </c>
      <c r="J36" s="13">
        <f t="shared" si="11"/>
        <v>55</v>
      </c>
      <c r="K36" s="13">
        <f t="shared" si="11"/>
        <v>66</v>
      </c>
      <c r="L36" s="13">
        <f t="shared" si="11"/>
        <v>54</v>
      </c>
      <c r="M36" s="13">
        <f t="shared" si="11"/>
        <v>42</v>
      </c>
      <c r="N36" s="13">
        <f t="shared" si="11"/>
        <v>56</v>
      </c>
      <c r="O36" s="13">
        <f t="shared" si="11"/>
        <v>56</v>
      </c>
      <c r="P36" s="13">
        <f t="shared" si="11"/>
        <v>42</v>
      </c>
      <c r="Q36" s="13">
        <f t="shared" si="11"/>
        <v>72</v>
      </c>
      <c r="R36" s="13">
        <f t="shared" si="11"/>
        <v>30</v>
      </c>
      <c r="S36" s="13">
        <f t="shared" si="10"/>
        <v>754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9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59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3">
        <f t="shared" ref="S39:S41" si="12">SUM(E39:R39)</f>
        <v>0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2.0</v>
      </c>
      <c r="R40" s="19">
        <v>2.0</v>
      </c>
      <c r="S40" s="13">
        <f t="shared" si="12"/>
        <v>4</v>
      </c>
    </row>
    <row r="41" ht="12.75" customHeight="1">
      <c r="A41" s="41"/>
      <c r="B41" s="44"/>
      <c r="C41" s="28"/>
      <c r="D41" s="13" t="s">
        <v>13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2</v>
      </c>
      <c r="S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3"/>
    </row>
    <row r="45" ht="12.75" customHeight="1">
      <c r="A45" s="30"/>
      <c r="B45" s="47" t="s">
        <v>16</v>
      </c>
      <c r="C45" s="61" t="s">
        <v>37</v>
      </c>
      <c r="D45" s="16"/>
      <c r="E45" s="19">
        <v>22.0</v>
      </c>
      <c r="F45" s="19">
        <v>8.0</v>
      </c>
      <c r="G45" s="19">
        <v>12.0</v>
      </c>
      <c r="H45" s="19">
        <v>12.0</v>
      </c>
      <c r="I45" s="19">
        <v>15.0</v>
      </c>
      <c r="J45" s="19">
        <v>10.0</v>
      </c>
      <c r="K45" s="19">
        <v>17.0</v>
      </c>
      <c r="L45" s="19">
        <v>22.0</v>
      </c>
      <c r="M45" s="19">
        <v>15.0</v>
      </c>
      <c r="N45" s="19">
        <v>10.0</v>
      </c>
      <c r="O45" s="19">
        <v>15.0</v>
      </c>
      <c r="P45" s="19">
        <v>14.0</v>
      </c>
      <c r="Q45" s="19">
        <v>13.0</v>
      </c>
      <c r="R45" s="19">
        <v>26.0</v>
      </c>
      <c r="S45" s="13">
        <f t="shared" ref="S45:S57" si="14">SUM(E45:R45)</f>
        <v>211</v>
      </c>
    </row>
    <row r="46" ht="12.75" customHeight="1">
      <c r="A46" s="18"/>
      <c r="B46" s="47" t="s">
        <v>18</v>
      </c>
      <c r="C46" s="61" t="s">
        <v>38</v>
      </c>
      <c r="D46" s="16"/>
      <c r="E46" s="19">
        <v>35.0</v>
      </c>
      <c r="F46" s="19">
        <v>41.0</v>
      </c>
      <c r="G46" s="19">
        <v>43.0</v>
      </c>
      <c r="H46" s="19">
        <v>40.0</v>
      </c>
      <c r="I46" s="19">
        <v>34.0</v>
      </c>
      <c r="J46" s="19">
        <v>36.0</v>
      </c>
      <c r="K46" s="19">
        <v>27.0</v>
      </c>
      <c r="L46" s="19">
        <v>19.0</v>
      </c>
      <c r="M46" s="19">
        <v>39.0</v>
      </c>
      <c r="N46" s="19">
        <v>25.0</v>
      </c>
      <c r="O46" s="19">
        <v>24.0</v>
      </c>
      <c r="P46" s="19">
        <v>16.0</v>
      </c>
      <c r="Q46" s="19">
        <v>19.0</v>
      </c>
      <c r="R46" s="19">
        <v>43.0</v>
      </c>
      <c r="S46" s="13">
        <f t="shared" si="14"/>
        <v>441</v>
      </c>
    </row>
    <row r="47" ht="12.75" customHeight="1">
      <c r="A47" s="18"/>
      <c r="B47" s="47" t="s">
        <v>20</v>
      </c>
      <c r="C47" s="61" t="s">
        <v>39</v>
      </c>
      <c r="D47" s="16"/>
      <c r="E47" s="19">
        <v>18.0</v>
      </c>
      <c r="F47" s="19">
        <v>15.0</v>
      </c>
      <c r="G47" s="19">
        <v>15.0</v>
      </c>
      <c r="H47" s="19">
        <v>10.0</v>
      </c>
      <c r="I47" s="19">
        <v>7.0</v>
      </c>
      <c r="J47" s="19">
        <v>5.0</v>
      </c>
      <c r="K47" s="19">
        <v>24.0</v>
      </c>
      <c r="L47" s="19">
        <v>19.0</v>
      </c>
      <c r="M47" s="19">
        <v>12.0</v>
      </c>
      <c r="N47" s="19">
        <v>12.0</v>
      </c>
      <c r="O47" s="19">
        <v>6.0</v>
      </c>
      <c r="P47" s="19">
        <v>11.0</v>
      </c>
      <c r="Q47" s="19">
        <v>10.0</v>
      </c>
      <c r="R47" s="19">
        <v>20.0</v>
      </c>
      <c r="S47" s="13">
        <f t="shared" si="14"/>
        <v>184</v>
      </c>
    </row>
    <row r="48" ht="12.75" customHeight="1">
      <c r="A48" s="18"/>
      <c r="B48" s="47" t="s">
        <v>22</v>
      </c>
      <c r="C48" s="61" t="s">
        <v>40</v>
      </c>
      <c r="D48" s="16"/>
      <c r="E48" s="19">
        <v>13.0</v>
      </c>
      <c r="F48" s="19">
        <v>14.0</v>
      </c>
      <c r="G48" s="19">
        <v>22.0</v>
      </c>
      <c r="H48" s="19">
        <v>24.0</v>
      </c>
      <c r="I48" s="19">
        <v>14.0</v>
      </c>
      <c r="J48" s="19">
        <v>8.0</v>
      </c>
      <c r="K48" s="19">
        <v>26.0</v>
      </c>
      <c r="L48" s="19">
        <v>12.0</v>
      </c>
      <c r="M48" s="19">
        <v>13.0</v>
      </c>
      <c r="N48" s="19">
        <v>16.0</v>
      </c>
      <c r="O48" s="19">
        <v>8.0</v>
      </c>
      <c r="P48" s="19">
        <v>19.0</v>
      </c>
      <c r="Q48" s="19">
        <v>19.0</v>
      </c>
      <c r="R48" s="19">
        <v>21.0</v>
      </c>
      <c r="S48" s="13">
        <f t="shared" si="14"/>
        <v>229</v>
      </c>
    </row>
    <row r="49" ht="12.75" customHeight="1">
      <c r="A49" s="18"/>
      <c r="B49" s="47" t="s">
        <v>41</v>
      </c>
      <c r="C49" s="61" t="s">
        <v>42</v>
      </c>
      <c r="D49" s="16"/>
      <c r="E49" s="19">
        <v>22.0</v>
      </c>
      <c r="F49" s="19">
        <v>27.0</v>
      </c>
      <c r="G49" s="19">
        <v>17.0</v>
      </c>
      <c r="H49" s="19">
        <v>17.0</v>
      </c>
      <c r="I49" s="19">
        <v>14.0</v>
      </c>
      <c r="J49" s="19">
        <v>14.0</v>
      </c>
      <c r="K49" s="19">
        <v>20.0</v>
      </c>
      <c r="L49" s="19">
        <v>16.0</v>
      </c>
      <c r="M49" s="19">
        <v>13.0</v>
      </c>
      <c r="N49" s="19">
        <v>12.0</v>
      </c>
      <c r="O49" s="19">
        <v>14.0</v>
      </c>
      <c r="P49" s="19">
        <v>12.0</v>
      </c>
      <c r="Q49" s="19">
        <v>15.0</v>
      </c>
      <c r="R49" s="19">
        <v>10.0</v>
      </c>
      <c r="S49" s="13">
        <f t="shared" si="14"/>
        <v>223</v>
      </c>
    </row>
    <row r="50" ht="12.75" customHeight="1">
      <c r="A50" s="18"/>
      <c r="B50" s="47" t="s">
        <v>43</v>
      </c>
      <c r="C50" s="61" t="s">
        <v>44</v>
      </c>
      <c r="D50" s="16"/>
      <c r="E50" s="19">
        <v>20.0</v>
      </c>
      <c r="F50" s="19">
        <v>17.0</v>
      </c>
      <c r="G50" s="19">
        <v>18.0</v>
      </c>
      <c r="H50" s="19">
        <v>13.0</v>
      </c>
      <c r="I50" s="19">
        <v>10.0</v>
      </c>
      <c r="J50" s="19">
        <v>15.0</v>
      </c>
      <c r="K50" s="19">
        <v>17.0</v>
      </c>
      <c r="L50" s="19">
        <v>11.0</v>
      </c>
      <c r="M50" s="19">
        <v>16.0</v>
      </c>
      <c r="N50" s="19">
        <v>20.0</v>
      </c>
      <c r="O50" s="19">
        <v>14.0</v>
      </c>
      <c r="P50" s="19">
        <v>10.0</v>
      </c>
      <c r="Q50" s="19">
        <v>5.0</v>
      </c>
      <c r="R50" s="19">
        <v>15.0</v>
      </c>
      <c r="S50" s="13">
        <f t="shared" si="14"/>
        <v>201</v>
      </c>
    </row>
    <row r="51" ht="12.75" customHeight="1">
      <c r="A51" s="18"/>
      <c r="B51" s="47" t="s">
        <v>45</v>
      </c>
      <c r="C51" s="61" t="s">
        <v>46</v>
      </c>
      <c r="D51" s="16"/>
      <c r="E51" s="19">
        <v>1.0</v>
      </c>
      <c r="F51" s="19">
        <v>2.0</v>
      </c>
      <c r="G51" s="19">
        <v>0.0</v>
      </c>
      <c r="H51" s="19">
        <v>5.0</v>
      </c>
      <c r="I51" s="19">
        <v>2.0</v>
      </c>
      <c r="J51" s="19">
        <v>3.0</v>
      </c>
      <c r="K51" s="19">
        <v>2.0</v>
      </c>
      <c r="L51" s="19">
        <v>5.0</v>
      </c>
      <c r="M51" s="19">
        <v>3.0</v>
      </c>
      <c r="N51" s="19">
        <v>1.0</v>
      </c>
      <c r="O51" s="19">
        <v>0.0</v>
      </c>
      <c r="P51" s="19">
        <v>2.0</v>
      </c>
      <c r="Q51" s="19">
        <v>2.0</v>
      </c>
      <c r="R51" s="19">
        <v>4.0</v>
      </c>
      <c r="S51" s="13">
        <f t="shared" si="14"/>
        <v>32</v>
      </c>
    </row>
    <row r="52" ht="12.75" customHeight="1">
      <c r="A52" s="18"/>
      <c r="B52" s="47" t="s">
        <v>47</v>
      </c>
      <c r="C52" s="61" t="s">
        <v>48</v>
      </c>
      <c r="D52" s="16"/>
      <c r="E52" s="19">
        <v>4.0</v>
      </c>
      <c r="F52" s="19">
        <v>1.0</v>
      </c>
      <c r="G52" s="19">
        <v>6.0</v>
      </c>
      <c r="H52" s="19">
        <v>4.0</v>
      </c>
      <c r="I52" s="19">
        <v>1.0</v>
      </c>
      <c r="J52" s="19">
        <v>4.0</v>
      </c>
      <c r="K52" s="19">
        <v>2.0</v>
      </c>
      <c r="L52" s="19">
        <v>2.0</v>
      </c>
      <c r="M52" s="19">
        <v>1.0</v>
      </c>
      <c r="N52" s="19">
        <v>3.0</v>
      </c>
      <c r="O52" s="19">
        <v>0.0</v>
      </c>
      <c r="P52" s="19">
        <v>3.0</v>
      </c>
      <c r="Q52" s="19">
        <v>4.0</v>
      </c>
      <c r="R52" s="19">
        <v>0.0</v>
      </c>
      <c r="S52" s="13">
        <f t="shared" si="14"/>
        <v>35</v>
      </c>
    </row>
    <row r="53" ht="12.75" customHeight="1">
      <c r="A53" s="18"/>
      <c r="B53" s="47" t="s">
        <v>49</v>
      </c>
      <c r="C53" s="61" t="s">
        <v>50</v>
      </c>
      <c r="D53" s="16"/>
      <c r="E53" s="19">
        <v>2.0</v>
      </c>
      <c r="F53" s="19">
        <v>1.0</v>
      </c>
      <c r="G53" s="19">
        <v>0.0</v>
      </c>
      <c r="H53" s="19">
        <v>1.0</v>
      </c>
      <c r="I53" s="19">
        <v>1.0</v>
      </c>
      <c r="J53" s="19">
        <v>0.0</v>
      </c>
      <c r="K53" s="19">
        <v>0.0</v>
      </c>
      <c r="L53" s="19">
        <v>2.0</v>
      </c>
      <c r="M53" s="19">
        <v>1.0</v>
      </c>
      <c r="N53" s="19">
        <v>1.0</v>
      </c>
      <c r="O53" s="19">
        <v>0.0</v>
      </c>
      <c r="P53" s="19">
        <v>2.0</v>
      </c>
      <c r="Q53" s="19">
        <v>1.0</v>
      </c>
      <c r="R53" s="19">
        <v>0.0</v>
      </c>
      <c r="S53" s="13">
        <f t="shared" si="14"/>
        <v>12</v>
      </c>
    </row>
    <row r="54" ht="12.75" customHeight="1">
      <c r="A54" s="18"/>
      <c r="B54" s="47" t="s">
        <v>51</v>
      </c>
      <c r="C54" s="61" t="s">
        <v>52</v>
      </c>
      <c r="D54" s="16"/>
      <c r="E54" s="19">
        <v>33.0</v>
      </c>
      <c r="F54" s="19">
        <v>28.0</v>
      </c>
      <c r="G54" s="19">
        <v>20.0</v>
      </c>
      <c r="H54" s="19">
        <v>22.0</v>
      </c>
      <c r="I54" s="19">
        <v>21.0</v>
      </c>
      <c r="J54" s="19">
        <v>17.0</v>
      </c>
      <c r="K54" s="19">
        <v>23.0</v>
      </c>
      <c r="L54" s="19">
        <v>19.0</v>
      </c>
      <c r="M54" s="19">
        <v>37.0</v>
      </c>
      <c r="N54" s="19">
        <v>15.0</v>
      </c>
      <c r="O54" s="19">
        <v>16.0</v>
      </c>
      <c r="P54" s="19">
        <v>12.0</v>
      </c>
      <c r="Q54" s="19">
        <v>23.0</v>
      </c>
      <c r="R54" s="19">
        <v>12.0</v>
      </c>
      <c r="S54" s="13">
        <f t="shared" si="14"/>
        <v>298</v>
      </c>
    </row>
    <row r="55" ht="12.75" customHeight="1">
      <c r="A55" s="18"/>
      <c r="B55" s="47" t="s">
        <v>53</v>
      </c>
      <c r="C55" s="61" t="s">
        <v>54</v>
      </c>
      <c r="D55" s="16"/>
      <c r="E55" s="19">
        <v>3.0</v>
      </c>
      <c r="F55" s="19">
        <v>0.0</v>
      </c>
      <c r="G55" s="19">
        <v>0.0</v>
      </c>
      <c r="H55" s="19">
        <v>1.0</v>
      </c>
      <c r="I55" s="19">
        <v>0.0</v>
      </c>
      <c r="J55" s="19">
        <v>0.0</v>
      </c>
      <c r="K55" s="19">
        <v>1.0</v>
      </c>
      <c r="L55" s="19">
        <v>1.0</v>
      </c>
      <c r="M55" s="19">
        <v>1.0</v>
      </c>
      <c r="N55" s="19">
        <v>1.0</v>
      </c>
      <c r="O55" s="19">
        <v>1.0</v>
      </c>
      <c r="P55" s="19">
        <v>1.0</v>
      </c>
      <c r="Q55" s="19">
        <v>1.0</v>
      </c>
      <c r="R55" s="19">
        <v>2.0</v>
      </c>
      <c r="S55" s="13">
        <f t="shared" si="14"/>
        <v>13</v>
      </c>
    </row>
    <row r="56" ht="12.75" customHeight="1">
      <c r="A56" s="18"/>
      <c r="B56" s="47" t="s">
        <v>55</v>
      </c>
      <c r="C56" s="61" t="s">
        <v>56</v>
      </c>
      <c r="D56" s="16"/>
      <c r="E56" s="19">
        <v>18.0</v>
      </c>
      <c r="F56" s="19">
        <v>11.0</v>
      </c>
      <c r="G56" s="19">
        <v>14.0</v>
      </c>
      <c r="H56" s="19">
        <v>21.0</v>
      </c>
      <c r="I56" s="19">
        <v>15.0</v>
      </c>
      <c r="J56" s="19">
        <v>9.0</v>
      </c>
      <c r="K56" s="19">
        <v>16.0</v>
      </c>
      <c r="L56" s="19">
        <v>13.0</v>
      </c>
      <c r="M56" s="19">
        <v>19.0</v>
      </c>
      <c r="N56" s="19">
        <v>21.0</v>
      </c>
      <c r="O56" s="19">
        <v>12.0</v>
      </c>
      <c r="P56" s="19">
        <v>17.0</v>
      </c>
      <c r="Q56" s="19">
        <v>20.0</v>
      </c>
      <c r="R56" s="19">
        <v>16.0</v>
      </c>
      <c r="S56" s="13">
        <f t="shared" si="14"/>
        <v>222</v>
      </c>
    </row>
    <row r="57" ht="12.75" customHeight="1">
      <c r="A57" s="18"/>
      <c r="B57" s="47" t="s">
        <v>57</v>
      </c>
      <c r="C57" s="61" t="s">
        <v>58</v>
      </c>
      <c r="D57" s="16"/>
      <c r="E57" s="19">
        <v>0.0</v>
      </c>
      <c r="F57" s="19">
        <v>2.0</v>
      </c>
      <c r="G57" s="19">
        <v>4.0</v>
      </c>
      <c r="H57" s="19">
        <v>3.0</v>
      </c>
      <c r="I57" s="19">
        <v>2.0</v>
      </c>
      <c r="J57" s="19">
        <v>5.0</v>
      </c>
      <c r="K57" s="19">
        <v>0.0</v>
      </c>
      <c r="L57" s="19">
        <v>1.0</v>
      </c>
      <c r="M57" s="19">
        <v>0.0</v>
      </c>
      <c r="N57" s="19">
        <v>1.0</v>
      </c>
      <c r="O57" s="19">
        <v>4.0</v>
      </c>
      <c r="P57" s="19">
        <v>4.0</v>
      </c>
      <c r="Q57" s="19">
        <v>1.0</v>
      </c>
      <c r="R57" s="19">
        <v>3.0</v>
      </c>
      <c r="S57" s="13">
        <f t="shared" si="14"/>
        <v>30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R60" si="15">SUM(E45:E57)</f>
        <v>191</v>
      </c>
      <c r="F60" s="19">
        <f t="shared" si="15"/>
        <v>167</v>
      </c>
      <c r="G60" s="19">
        <f t="shared" si="15"/>
        <v>171</v>
      </c>
      <c r="H60" s="19">
        <f t="shared" si="15"/>
        <v>173</v>
      </c>
      <c r="I60" s="19">
        <f t="shared" si="15"/>
        <v>136</v>
      </c>
      <c r="J60" s="19">
        <f t="shared" si="15"/>
        <v>126</v>
      </c>
      <c r="K60" s="19">
        <f t="shared" si="15"/>
        <v>175</v>
      </c>
      <c r="L60" s="19">
        <f t="shared" si="15"/>
        <v>142</v>
      </c>
      <c r="M60" s="19">
        <f t="shared" si="15"/>
        <v>170</v>
      </c>
      <c r="N60" s="19">
        <f t="shared" si="15"/>
        <v>138</v>
      </c>
      <c r="O60" s="19">
        <f t="shared" si="15"/>
        <v>114</v>
      </c>
      <c r="P60" s="19">
        <f t="shared" si="15"/>
        <v>123</v>
      </c>
      <c r="Q60" s="19">
        <f t="shared" si="15"/>
        <v>133</v>
      </c>
      <c r="R60" s="19">
        <f t="shared" si="15"/>
        <v>172</v>
      </c>
      <c r="S60" s="13">
        <f t="shared" ref="S60:S62" si="16">SUM(E60:R60)</f>
        <v>2131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61.0</v>
      </c>
      <c r="F61" s="19">
        <v>41.0</v>
      </c>
      <c r="G61" s="19">
        <v>44.0</v>
      </c>
      <c r="H61" s="19">
        <v>34.0</v>
      </c>
      <c r="I61" s="19">
        <v>48.0</v>
      </c>
      <c r="J61" s="19">
        <v>78.0</v>
      </c>
      <c r="K61" s="19">
        <v>36.0</v>
      </c>
      <c r="L61" s="19">
        <v>29.0</v>
      </c>
      <c r="M61" s="19">
        <v>52.0</v>
      </c>
      <c r="N61" s="19">
        <v>70.0</v>
      </c>
      <c r="O61" s="19">
        <v>57.0</v>
      </c>
      <c r="P61" s="19">
        <v>19.0</v>
      </c>
      <c r="Q61" s="19">
        <v>20.0</v>
      </c>
      <c r="R61" s="19">
        <v>27.0</v>
      </c>
      <c r="S61" s="13">
        <f t="shared" si="16"/>
        <v>616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R62" si="17">SUM(E60:E61)</f>
        <v>252</v>
      </c>
      <c r="F62" s="13">
        <f t="shared" si="17"/>
        <v>208</v>
      </c>
      <c r="G62" s="13">
        <f t="shared" si="17"/>
        <v>215</v>
      </c>
      <c r="H62" s="13">
        <f t="shared" si="17"/>
        <v>207</v>
      </c>
      <c r="I62" s="13">
        <f t="shared" si="17"/>
        <v>184</v>
      </c>
      <c r="J62" s="13">
        <f t="shared" si="17"/>
        <v>204</v>
      </c>
      <c r="K62" s="13">
        <f t="shared" si="17"/>
        <v>211</v>
      </c>
      <c r="L62" s="13">
        <f t="shared" si="17"/>
        <v>171</v>
      </c>
      <c r="M62" s="13">
        <f t="shared" si="17"/>
        <v>222</v>
      </c>
      <c r="N62" s="13">
        <f t="shared" si="17"/>
        <v>208</v>
      </c>
      <c r="O62" s="13">
        <f t="shared" si="17"/>
        <v>171</v>
      </c>
      <c r="P62" s="13">
        <f t="shared" si="17"/>
        <v>142</v>
      </c>
      <c r="Q62" s="13">
        <f t="shared" si="17"/>
        <v>153</v>
      </c>
      <c r="R62" s="13">
        <f t="shared" si="17"/>
        <v>199</v>
      </c>
      <c r="S62" s="13">
        <f t="shared" si="16"/>
        <v>2747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R34">
    <cfRule type="expression" dxfId="0" priority="1">
      <formula>E34&lt;&gt;#REF!</formula>
    </cfRule>
  </conditionalFormatting>
  <conditionalFormatting sqref="E14:R15 E45:R57">
    <cfRule type="containsBlanks" dxfId="1" priority="2">
      <formula>LEN(TRIM(E14))=0</formula>
    </cfRule>
  </conditionalFormatting>
  <conditionalFormatting sqref="E19:R20">
    <cfRule type="containsBlanks" dxfId="1" priority="3">
      <formula>LEN(TRIM(E19))=0</formula>
    </cfRule>
  </conditionalFormatting>
  <conditionalFormatting sqref="E22:R23 E25:R26 E33:R33 E35:R35 E39:R40">
    <cfRule type="containsBlanks" dxfId="1" priority="4">
      <formula>LEN(TRIM(E22))=0</formula>
    </cfRule>
  </conditionalFormatting>
  <conditionalFormatting sqref="E30:R30">
    <cfRule type="expression" dxfId="0" priority="5">
      <formula>E30&lt;&gt;E46</formula>
    </cfRule>
  </conditionalFormatting>
  <conditionalFormatting sqref="E30:R30">
    <cfRule type="expression" dxfId="0" priority="6">
      <formula>E30&lt;&gt;E34</formula>
    </cfRule>
  </conditionalFormatting>
  <conditionalFormatting sqref="E34:R34">
    <cfRule type="expression" dxfId="2" priority="7">
      <formula>E30&lt;&gt;E34</formula>
    </cfRule>
  </conditionalFormatting>
  <conditionalFormatting sqref="E34:R34">
    <cfRule type="expression" dxfId="3" priority="8">
      <formula>E30=E34</formula>
    </cfRule>
  </conditionalFormatting>
  <conditionalFormatting sqref="E34:R34">
    <cfRule type="expression" dxfId="0" priority="9">
      <formula>E34&lt;&gt;E30</formula>
    </cfRule>
  </conditionalFormatting>
  <conditionalFormatting sqref="E60:R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5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7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68</v>
      </c>
      <c r="F13" s="13" t="s">
        <v>69</v>
      </c>
      <c r="G13" s="13" t="s">
        <v>70</v>
      </c>
      <c r="H13" s="13" t="s">
        <v>71</v>
      </c>
      <c r="I13" s="13" t="s">
        <v>72</v>
      </c>
      <c r="J13" s="13" t="s">
        <v>73</v>
      </c>
      <c r="K13" s="13" t="s">
        <v>74</v>
      </c>
      <c r="L13" s="13" t="s">
        <v>75</v>
      </c>
      <c r="M13" s="13" t="s">
        <v>76</v>
      </c>
      <c r="N13" s="13" t="s">
        <v>77</v>
      </c>
      <c r="O13" s="13" t="s">
        <v>78</v>
      </c>
      <c r="P13" s="13" t="s">
        <v>79</v>
      </c>
      <c r="Q13" s="13" t="s">
        <v>80</v>
      </c>
      <c r="R13" s="13" t="s">
        <v>81</v>
      </c>
      <c r="S13" s="13" t="s">
        <v>82</v>
      </c>
      <c r="T13" s="13" t="s">
        <v>83</v>
      </c>
      <c r="U13" s="13" t="s">
        <v>84</v>
      </c>
      <c r="V13" s="13" t="s">
        <v>85</v>
      </c>
      <c r="W13" s="36"/>
    </row>
    <row r="14" ht="12.75" customHeight="1">
      <c r="A14" s="18"/>
      <c r="B14" s="22" t="s">
        <v>10</v>
      </c>
      <c r="C14" s="23"/>
      <c r="D14" s="19" t="s">
        <v>11</v>
      </c>
      <c r="E14" s="19">
        <v>143.0</v>
      </c>
      <c r="F14" s="19">
        <v>141.0</v>
      </c>
      <c r="G14" s="19">
        <v>147.0</v>
      </c>
      <c r="H14" s="19">
        <v>147.0</v>
      </c>
      <c r="I14" s="19">
        <v>123.0</v>
      </c>
      <c r="J14" s="19">
        <v>113.0</v>
      </c>
      <c r="K14" s="19">
        <v>136.0</v>
      </c>
      <c r="L14" s="19">
        <v>122.0</v>
      </c>
      <c r="M14" s="19">
        <v>123.0</v>
      </c>
      <c r="N14" s="19">
        <v>129.0</v>
      </c>
      <c r="O14" s="19">
        <v>137.0</v>
      </c>
      <c r="P14" s="19">
        <v>145.0</v>
      </c>
      <c r="Q14" s="19">
        <v>131.0</v>
      </c>
      <c r="R14" s="19">
        <v>148.0</v>
      </c>
      <c r="S14" s="19">
        <v>133.0</v>
      </c>
      <c r="T14" s="19">
        <v>153.0</v>
      </c>
      <c r="U14" s="19">
        <v>11.0</v>
      </c>
      <c r="V14" s="19">
        <v>87.0</v>
      </c>
      <c r="W14" s="13">
        <f t="shared" ref="W14:W16" si="1">SUM(E14:V14)</f>
        <v>2269</v>
      </c>
      <c r="Y14" s="62">
        <f>SUM(E14:X14)</f>
        <v>4538</v>
      </c>
    </row>
    <row r="15" ht="12.75" customHeight="1">
      <c r="A15" s="18"/>
      <c r="B15" s="26"/>
      <c r="C15" s="27"/>
      <c r="D15" s="19" t="s">
        <v>12</v>
      </c>
      <c r="E15" s="19">
        <v>149.0</v>
      </c>
      <c r="F15" s="19">
        <v>157.0</v>
      </c>
      <c r="G15" s="19">
        <v>145.0</v>
      </c>
      <c r="H15" s="19">
        <v>141.0</v>
      </c>
      <c r="I15" s="19">
        <v>133.0</v>
      </c>
      <c r="J15" s="19">
        <v>118.0</v>
      </c>
      <c r="K15" s="19">
        <v>126.0</v>
      </c>
      <c r="L15" s="19">
        <v>132.0</v>
      </c>
      <c r="M15" s="19">
        <v>128.0</v>
      </c>
      <c r="N15" s="19">
        <v>131.0</v>
      </c>
      <c r="O15" s="19">
        <v>148.0</v>
      </c>
      <c r="P15" s="19">
        <v>148.0</v>
      </c>
      <c r="Q15" s="19">
        <v>149.0</v>
      </c>
      <c r="R15" s="19">
        <v>134.0</v>
      </c>
      <c r="S15" s="19">
        <v>143.0</v>
      </c>
      <c r="T15" s="19">
        <v>128.0</v>
      </c>
      <c r="U15" s="19">
        <v>107.0</v>
      </c>
      <c r="V15" s="19">
        <v>79.0</v>
      </c>
      <c r="W15" s="13">
        <f t="shared" si="1"/>
        <v>2396</v>
      </c>
    </row>
    <row r="16" ht="12.75" customHeight="1">
      <c r="A16" s="25"/>
      <c r="B16" s="21"/>
      <c r="C16" s="28"/>
      <c r="D16" s="13" t="s">
        <v>13</v>
      </c>
      <c r="E16" s="13">
        <f t="shared" ref="E16:V16" si="2">SUM(E14:E15)</f>
        <v>292</v>
      </c>
      <c r="F16" s="13">
        <f t="shared" si="2"/>
        <v>298</v>
      </c>
      <c r="G16" s="13">
        <f t="shared" si="2"/>
        <v>292</v>
      </c>
      <c r="H16" s="13">
        <f t="shared" si="2"/>
        <v>288</v>
      </c>
      <c r="I16" s="13">
        <f t="shared" si="2"/>
        <v>256</v>
      </c>
      <c r="J16" s="13">
        <f t="shared" si="2"/>
        <v>231</v>
      </c>
      <c r="K16" s="13">
        <f t="shared" si="2"/>
        <v>262</v>
      </c>
      <c r="L16" s="13">
        <f t="shared" si="2"/>
        <v>254</v>
      </c>
      <c r="M16" s="13">
        <f t="shared" si="2"/>
        <v>251</v>
      </c>
      <c r="N16" s="13">
        <f t="shared" si="2"/>
        <v>260</v>
      </c>
      <c r="O16" s="13">
        <f t="shared" si="2"/>
        <v>285</v>
      </c>
      <c r="P16" s="13">
        <f t="shared" si="2"/>
        <v>293</v>
      </c>
      <c r="Q16" s="13">
        <f t="shared" si="2"/>
        <v>280</v>
      </c>
      <c r="R16" s="13">
        <f t="shared" si="2"/>
        <v>282</v>
      </c>
      <c r="S16" s="13">
        <f t="shared" si="2"/>
        <v>276</v>
      </c>
      <c r="T16" s="13">
        <f t="shared" si="2"/>
        <v>281</v>
      </c>
      <c r="U16" s="13">
        <f t="shared" si="2"/>
        <v>118</v>
      </c>
      <c r="V16" s="13">
        <f t="shared" si="2"/>
        <v>166</v>
      </c>
      <c r="W16" s="13">
        <f t="shared" si="1"/>
        <v>4665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59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59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118.0</v>
      </c>
      <c r="F19" s="19">
        <v>102.0</v>
      </c>
      <c r="G19" s="19">
        <v>113.0</v>
      </c>
      <c r="H19" s="19">
        <v>114.0</v>
      </c>
      <c r="I19" s="19">
        <v>85.0</v>
      </c>
      <c r="J19" s="19">
        <v>88.0</v>
      </c>
      <c r="K19" s="19">
        <v>106.0</v>
      </c>
      <c r="L19" s="19">
        <v>86.0</v>
      </c>
      <c r="M19" s="19">
        <v>82.0</v>
      </c>
      <c r="N19" s="19">
        <v>95.0</v>
      </c>
      <c r="O19" s="19">
        <v>95.0</v>
      </c>
      <c r="P19" s="19">
        <v>107.0</v>
      </c>
      <c r="Q19" s="19">
        <v>100.0</v>
      </c>
      <c r="R19" s="19">
        <v>108.0</v>
      </c>
      <c r="S19" s="19">
        <v>96.0</v>
      </c>
      <c r="T19" s="19">
        <v>108.0</v>
      </c>
      <c r="U19" s="19">
        <v>76.0</v>
      </c>
      <c r="V19" s="19">
        <v>68.0</v>
      </c>
      <c r="W19" s="13">
        <f t="shared" ref="W19:W30" si="3">SUM(E19:V19)</f>
        <v>1747</v>
      </c>
    </row>
    <row r="20" ht="12.75" customHeight="1">
      <c r="A20" s="33"/>
      <c r="B20" s="27"/>
      <c r="C20" s="34"/>
      <c r="D20" s="19" t="s">
        <v>12</v>
      </c>
      <c r="E20" s="19">
        <v>121.0</v>
      </c>
      <c r="F20" s="19">
        <v>123.0</v>
      </c>
      <c r="G20" s="19">
        <v>110.0</v>
      </c>
      <c r="H20" s="19">
        <v>113.0</v>
      </c>
      <c r="I20" s="19">
        <v>101.0</v>
      </c>
      <c r="J20" s="19">
        <v>91.0</v>
      </c>
      <c r="K20" s="19">
        <v>102.0</v>
      </c>
      <c r="L20" s="19">
        <v>97.0</v>
      </c>
      <c r="M20" s="19">
        <v>100.0</v>
      </c>
      <c r="N20" s="19">
        <v>101.0</v>
      </c>
      <c r="O20" s="19">
        <v>115.0</v>
      </c>
      <c r="P20" s="19">
        <v>114.0</v>
      </c>
      <c r="Q20" s="19">
        <v>122.0</v>
      </c>
      <c r="R20" s="19">
        <v>102.0</v>
      </c>
      <c r="S20" s="19">
        <v>114.0</v>
      </c>
      <c r="T20" s="19">
        <v>118.0</v>
      </c>
      <c r="U20" s="19">
        <v>83.0</v>
      </c>
      <c r="V20" s="19">
        <v>66.0</v>
      </c>
      <c r="W20" s="13">
        <f t="shared" si="3"/>
        <v>1893</v>
      </c>
    </row>
    <row r="21" ht="12.75" customHeight="1">
      <c r="A21" s="35"/>
      <c r="B21" s="28"/>
      <c r="C21" s="36"/>
      <c r="D21" s="13" t="s">
        <v>13</v>
      </c>
      <c r="E21" s="13">
        <f t="shared" ref="E21:V21" si="4">SUM(E19:E20)</f>
        <v>239</v>
      </c>
      <c r="F21" s="13">
        <f t="shared" si="4"/>
        <v>225</v>
      </c>
      <c r="G21" s="13">
        <f t="shared" si="4"/>
        <v>223</v>
      </c>
      <c r="H21" s="13">
        <f t="shared" si="4"/>
        <v>227</v>
      </c>
      <c r="I21" s="13">
        <f t="shared" si="4"/>
        <v>186</v>
      </c>
      <c r="J21" s="13">
        <f t="shared" si="4"/>
        <v>179</v>
      </c>
      <c r="K21" s="13">
        <f t="shared" si="4"/>
        <v>208</v>
      </c>
      <c r="L21" s="13">
        <f t="shared" si="4"/>
        <v>183</v>
      </c>
      <c r="M21" s="13">
        <f t="shared" si="4"/>
        <v>182</v>
      </c>
      <c r="N21" s="13">
        <f t="shared" si="4"/>
        <v>196</v>
      </c>
      <c r="O21" s="13">
        <f t="shared" si="4"/>
        <v>210</v>
      </c>
      <c r="P21" s="13">
        <f t="shared" si="4"/>
        <v>221</v>
      </c>
      <c r="Q21" s="13">
        <f t="shared" si="4"/>
        <v>222</v>
      </c>
      <c r="R21" s="13">
        <f t="shared" si="4"/>
        <v>210</v>
      </c>
      <c r="S21" s="13">
        <f t="shared" si="4"/>
        <v>210</v>
      </c>
      <c r="T21" s="13">
        <f t="shared" si="4"/>
        <v>226</v>
      </c>
      <c r="U21" s="13">
        <f t="shared" si="4"/>
        <v>159</v>
      </c>
      <c r="V21" s="13">
        <f t="shared" si="4"/>
        <v>134</v>
      </c>
      <c r="W21" s="13">
        <f t="shared" si="3"/>
        <v>3640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1.0</v>
      </c>
      <c r="U25" s="19">
        <v>0.0</v>
      </c>
      <c r="V25" s="19">
        <v>1.0</v>
      </c>
      <c r="W25" s="13">
        <f t="shared" si="3"/>
        <v>3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1.0</v>
      </c>
      <c r="W26" s="13">
        <f t="shared" si="3"/>
        <v>1</v>
      </c>
    </row>
    <row r="27" ht="12.75" customHeight="1">
      <c r="A27" s="35"/>
      <c r="B27" s="28"/>
      <c r="C27" s="36"/>
      <c r="D27" s="13" t="s">
        <v>13</v>
      </c>
      <c r="E27" s="13">
        <f t="shared" ref="E27:V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2</v>
      </c>
      <c r="W27" s="13">
        <f t="shared" si="3"/>
        <v>4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V28" si="7">SUM(E19,E22,E25)</f>
        <v>118</v>
      </c>
      <c r="F28" s="13">
        <f t="shared" si="7"/>
        <v>102</v>
      </c>
      <c r="G28" s="13">
        <f t="shared" si="7"/>
        <v>113</v>
      </c>
      <c r="H28" s="13">
        <f t="shared" si="7"/>
        <v>115</v>
      </c>
      <c r="I28" s="13">
        <f t="shared" si="7"/>
        <v>85</v>
      </c>
      <c r="J28" s="13">
        <f t="shared" si="7"/>
        <v>88</v>
      </c>
      <c r="K28" s="13">
        <f t="shared" si="7"/>
        <v>106</v>
      </c>
      <c r="L28" s="13">
        <f t="shared" si="7"/>
        <v>86</v>
      </c>
      <c r="M28" s="13">
        <f t="shared" si="7"/>
        <v>82</v>
      </c>
      <c r="N28" s="13">
        <f t="shared" si="7"/>
        <v>95</v>
      </c>
      <c r="O28" s="13">
        <f t="shared" si="7"/>
        <v>95</v>
      </c>
      <c r="P28" s="13">
        <f t="shared" si="7"/>
        <v>107</v>
      </c>
      <c r="Q28" s="13">
        <f t="shared" si="7"/>
        <v>100</v>
      </c>
      <c r="R28" s="13">
        <f t="shared" si="7"/>
        <v>108</v>
      </c>
      <c r="S28" s="13">
        <f t="shared" si="7"/>
        <v>96</v>
      </c>
      <c r="T28" s="13">
        <f t="shared" si="7"/>
        <v>109</v>
      </c>
      <c r="U28" s="13">
        <f t="shared" si="7"/>
        <v>76</v>
      </c>
      <c r="V28" s="13">
        <f t="shared" si="7"/>
        <v>69</v>
      </c>
      <c r="W28" s="13">
        <f t="shared" si="3"/>
        <v>1750</v>
      </c>
    </row>
    <row r="29" ht="12.75" customHeight="1">
      <c r="A29" s="35"/>
      <c r="B29" s="27"/>
      <c r="C29" s="34"/>
      <c r="D29" s="13" t="s">
        <v>12</v>
      </c>
      <c r="E29" s="13">
        <f t="shared" ref="E29:V29" si="8">SUM(E20,E23,E26)</f>
        <v>121</v>
      </c>
      <c r="F29" s="13">
        <f t="shared" si="8"/>
        <v>123</v>
      </c>
      <c r="G29" s="13">
        <f t="shared" si="8"/>
        <v>110</v>
      </c>
      <c r="H29" s="13">
        <f t="shared" si="8"/>
        <v>113</v>
      </c>
      <c r="I29" s="13">
        <f t="shared" si="8"/>
        <v>101</v>
      </c>
      <c r="J29" s="13">
        <f t="shared" si="8"/>
        <v>91</v>
      </c>
      <c r="K29" s="13">
        <f t="shared" si="8"/>
        <v>102</v>
      </c>
      <c r="L29" s="13">
        <f t="shared" si="8"/>
        <v>97</v>
      </c>
      <c r="M29" s="13">
        <f t="shared" si="8"/>
        <v>100</v>
      </c>
      <c r="N29" s="13">
        <f t="shared" si="8"/>
        <v>101</v>
      </c>
      <c r="O29" s="13">
        <f t="shared" si="8"/>
        <v>115</v>
      </c>
      <c r="P29" s="13">
        <f t="shared" si="8"/>
        <v>114</v>
      </c>
      <c r="Q29" s="13">
        <f t="shared" si="8"/>
        <v>122</v>
      </c>
      <c r="R29" s="13">
        <f t="shared" si="8"/>
        <v>102</v>
      </c>
      <c r="S29" s="13">
        <f t="shared" si="8"/>
        <v>114</v>
      </c>
      <c r="T29" s="13">
        <f t="shared" si="8"/>
        <v>118</v>
      </c>
      <c r="U29" s="13">
        <f t="shared" si="8"/>
        <v>83</v>
      </c>
      <c r="V29" s="13">
        <f t="shared" si="8"/>
        <v>67</v>
      </c>
      <c r="W29" s="13">
        <f t="shared" si="3"/>
        <v>1894</v>
      </c>
    </row>
    <row r="30" ht="12.75" customHeight="1">
      <c r="A30" s="35"/>
      <c r="B30" s="28"/>
      <c r="C30" s="36"/>
      <c r="D30" s="13" t="s">
        <v>13</v>
      </c>
      <c r="E30" s="13">
        <f t="shared" ref="E30:V30" si="9">SUM(E28:E29)</f>
        <v>239</v>
      </c>
      <c r="F30" s="13">
        <f t="shared" si="9"/>
        <v>225</v>
      </c>
      <c r="G30" s="13">
        <f t="shared" si="9"/>
        <v>223</v>
      </c>
      <c r="H30" s="13">
        <f t="shared" si="9"/>
        <v>228</v>
      </c>
      <c r="I30" s="13">
        <f t="shared" si="9"/>
        <v>186</v>
      </c>
      <c r="J30" s="13">
        <f t="shared" si="9"/>
        <v>179</v>
      </c>
      <c r="K30" s="13">
        <f t="shared" si="9"/>
        <v>208</v>
      </c>
      <c r="L30" s="13">
        <f t="shared" si="9"/>
        <v>183</v>
      </c>
      <c r="M30" s="13">
        <f t="shared" si="9"/>
        <v>182</v>
      </c>
      <c r="N30" s="13">
        <f t="shared" si="9"/>
        <v>196</v>
      </c>
      <c r="O30" s="13">
        <f t="shared" si="9"/>
        <v>210</v>
      </c>
      <c r="P30" s="13">
        <f t="shared" si="9"/>
        <v>221</v>
      </c>
      <c r="Q30" s="13">
        <f t="shared" si="9"/>
        <v>222</v>
      </c>
      <c r="R30" s="13">
        <f t="shared" si="9"/>
        <v>210</v>
      </c>
      <c r="S30" s="13">
        <f t="shared" si="9"/>
        <v>210</v>
      </c>
      <c r="T30" s="13">
        <f t="shared" si="9"/>
        <v>227</v>
      </c>
      <c r="U30" s="13">
        <f t="shared" si="9"/>
        <v>159</v>
      </c>
      <c r="V30" s="13">
        <f t="shared" si="9"/>
        <v>136</v>
      </c>
      <c r="W30" s="13">
        <f t="shared" si="3"/>
        <v>3644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59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59"/>
    </row>
    <row r="33" ht="12.75" customHeight="1">
      <c r="A33" s="19">
        <v>1.0</v>
      </c>
      <c r="B33" s="20" t="s">
        <v>26</v>
      </c>
      <c r="C33" s="15"/>
      <c r="D33" s="16"/>
      <c r="E33" s="19">
        <v>298.0</v>
      </c>
      <c r="F33" s="19">
        <v>304.0</v>
      </c>
      <c r="G33" s="19">
        <v>298.0</v>
      </c>
      <c r="H33" s="19">
        <v>299.0</v>
      </c>
      <c r="I33" s="19">
        <v>262.0</v>
      </c>
      <c r="J33" s="19">
        <v>236.0</v>
      </c>
      <c r="K33" s="19">
        <v>268.0</v>
      </c>
      <c r="L33" s="19">
        <v>260.0</v>
      </c>
      <c r="M33" s="19">
        <v>257.0</v>
      </c>
      <c r="N33" s="19">
        <v>268.0</v>
      </c>
      <c r="O33" s="19">
        <v>291.0</v>
      </c>
      <c r="P33" s="19">
        <v>299.0</v>
      </c>
      <c r="Q33" s="19">
        <v>286.0</v>
      </c>
      <c r="R33" s="19">
        <v>288.0</v>
      </c>
      <c r="S33" s="19">
        <v>282.0</v>
      </c>
      <c r="T33" s="19">
        <v>286.0</v>
      </c>
      <c r="U33" s="19">
        <v>277.0</v>
      </c>
      <c r="V33" s="19">
        <v>170.0</v>
      </c>
      <c r="W33" s="13">
        <f t="shared" ref="W33:W36" si="10">SUM(E33:V33)</f>
        <v>4929</v>
      </c>
    </row>
    <row r="34" ht="12.75" customHeight="1">
      <c r="A34" s="19">
        <v>2.0</v>
      </c>
      <c r="B34" s="20" t="s">
        <v>27</v>
      </c>
      <c r="C34" s="15"/>
      <c r="D34" s="16"/>
      <c r="E34" s="13">
        <v>239.0</v>
      </c>
      <c r="F34" s="13">
        <v>225.0</v>
      </c>
      <c r="G34" s="13">
        <v>223.0</v>
      </c>
      <c r="H34" s="13">
        <v>228.0</v>
      </c>
      <c r="I34" s="13">
        <v>186.0</v>
      </c>
      <c r="J34" s="13">
        <v>179.0</v>
      </c>
      <c r="K34" s="13">
        <v>208.0</v>
      </c>
      <c r="L34" s="13">
        <v>183.0</v>
      </c>
      <c r="M34" s="13">
        <v>182.0</v>
      </c>
      <c r="N34" s="13">
        <v>196.0</v>
      </c>
      <c r="O34" s="13">
        <v>210.0</v>
      </c>
      <c r="P34" s="13">
        <v>221.0</v>
      </c>
      <c r="Q34" s="13">
        <v>222.0</v>
      </c>
      <c r="R34" s="13">
        <v>210.0</v>
      </c>
      <c r="S34" s="13">
        <v>210.0</v>
      </c>
      <c r="T34" s="13">
        <v>227.0</v>
      </c>
      <c r="U34" s="13">
        <v>159.0</v>
      </c>
      <c r="V34" s="13">
        <v>136.0</v>
      </c>
      <c r="W34" s="13">
        <f t="shared" si="10"/>
        <v>3644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3.0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6.0</v>
      </c>
      <c r="T35" s="19">
        <v>0.0</v>
      </c>
      <c r="U35" s="19">
        <v>0.0</v>
      </c>
      <c r="V35" s="19">
        <v>0.0</v>
      </c>
      <c r="W35" s="13">
        <f t="shared" si="10"/>
        <v>9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V36" si="11">E33-(E34+E35)</f>
        <v>59</v>
      </c>
      <c r="F36" s="13">
        <f t="shared" si="11"/>
        <v>79</v>
      </c>
      <c r="G36" s="13">
        <f t="shared" si="11"/>
        <v>75</v>
      </c>
      <c r="H36" s="13">
        <f t="shared" si="11"/>
        <v>71</v>
      </c>
      <c r="I36" s="13">
        <f t="shared" si="11"/>
        <v>76</v>
      </c>
      <c r="J36" s="13">
        <f t="shared" si="11"/>
        <v>57</v>
      </c>
      <c r="K36" s="13">
        <f t="shared" si="11"/>
        <v>60</v>
      </c>
      <c r="L36" s="13">
        <f t="shared" si="11"/>
        <v>77</v>
      </c>
      <c r="M36" s="13">
        <f t="shared" si="11"/>
        <v>72</v>
      </c>
      <c r="N36" s="13">
        <f t="shared" si="11"/>
        <v>72</v>
      </c>
      <c r="O36" s="13">
        <f t="shared" si="11"/>
        <v>81</v>
      </c>
      <c r="P36" s="13">
        <f t="shared" si="11"/>
        <v>78</v>
      </c>
      <c r="Q36" s="13">
        <f t="shared" si="11"/>
        <v>64</v>
      </c>
      <c r="R36" s="13">
        <f t="shared" si="11"/>
        <v>78</v>
      </c>
      <c r="S36" s="13">
        <f t="shared" si="11"/>
        <v>66</v>
      </c>
      <c r="T36" s="13">
        <f t="shared" si="11"/>
        <v>59</v>
      </c>
      <c r="U36" s="13">
        <f t="shared" si="11"/>
        <v>118</v>
      </c>
      <c r="V36" s="13">
        <f t="shared" si="11"/>
        <v>34</v>
      </c>
      <c r="W36" s="13">
        <f t="shared" si="10"/>
        <v>1276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59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59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1.0</v>
      </c>
      <c r="U39" s="19">
        <v>0.0</v>
      </c>
      <c r="V39" s="19">
        <v>0.0</v>
      </c>
      <c r="W39" s="13">
        <f t="shared" ref="W39:W41" si="12">SUM(E39:V39)</f>
        <v>4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1.0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1.0</v>
      </c>
      <c r="U40" s="19">
        <v>0.0</v>
      </c>
      <c r="V40" s="19">
        <v>0.0</v>
      </c>
      <c r="W40" s="13">
        <f t="shared" si="12"/>
        <v>4</v>
      </c>
    </row>
    <row r="41" ht="12.75" customHeight="1">
      <c r="A41" s="41"/>
      <c r="B41" s="44"/>
      <c r="C41" s="28"/>
      <c r="D41" s="13" t="s">
        <v>13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3"/>
    </row>
    <row r="45" ht="12.75" customHeight="1">
      <c r="A45" s="30"/>
      <c r="B45" s="47" t="s">
        <v>16</v>
      </c>
      <c r="C45" s="61" t="s">
        <v>37</v>
      </c>
      <c r="D45" s="16"/>
      <c r="E45" s="19">
        <v>8.0</v>
      </c>
      <c r="F45" s="19">
        <v>15.0</v>
      </c>
      <c r="G45" s="19">
        <v>22.0</v>
      </c>
      <c r="H45" s="19">
        <v>15.0</v>
      </c>
      <c r="I45" s="19">
        <v>13.0</v>
      </c>
      <c r="J45" s="19">
        <v>21.0</v>
      </c>
      <c r="K45" s="19">
        <v>24.0</v>
      </c>
      <c r="L45" s="19">
        <v>14.0</v>
      </c>
      <c r="M45" s="19">
        <v>12.0</v>
      </c>
      <c r="N45" s="19">
        <v>21.0</v>
      </c>
      <c r="O45" s="19">
        <v>11.0</v>
      </c>
      <c r="P45" s="19">
        <v>11.0</v>
      </c>
      <c r="Q45" s="19">
        <v>9.0</v>
      </c>
      <c r="R45" s="19">
        <v>13.0</v>
      </c>
      <c r="S45" s="19">
        <v>14.0</v>
      </c>
      <c r="T45" s="19">
        <v>21.0</v>
      </c>
      <c r="U45" s="19">
        <v>16.0</v>
      </c>
      <c r="V45" s="19">
        <v>12.0</v>
      </c>
      <c r="W45" s="13">
        <f t="shared" ref="W45:W57" si="14">SUM(E45:V45)</f>
        <v>272</v>
      </c>
    </row>
    <row r="46" ht="12.75" customHeight="1">
      <c r="A46" s="18"/>
      <c r="B46" s="47" t="s">
        <v>18</v>
      </c>
      <c r="C46" s="61" t="s">
        <v>38</v>
      </c>
      <c r="D46" s="16"/>
      <c r="E46" s="19">
        <v>43.0</v>
      </c>
      <c r="F46" s="19">
        <v>41.0</v>
      </c>
      <c r="G46" s="19">
        <v>30.0</v>
      </c>
      <c r="H46" s="19">
        <v>24.0</v>
      </c>
      <c r="I46" s="19">
        <v>27.0</v>
      </c>
      <c r="J46" s="19">
        <v>22.0</v>
      </c>
      <c r="K46" s="19">
        <v>26.0</v>
      </c>
      <c r="L46" s="19">
        <v>29.0</v>
      </c>
      <c r="M46" s="19">
        <v>21.0</v>
      </c>
      <c r="N46" s="19">
        <v>40.0</v>
      </c>
      <c r="O46" s="19">
        <v>23.0</v>
      </c>
      <c r="P46" s="19">
        <v>21.0</v>
      </c>
      <c r="Q46" s="19">
        <v>33.0</v>
      </c>
      <c r="R46" s="19">
        <v>21.0</v>
      </c>
      <c r="S46" s="19">
        <v>19.0</v>
      </c>
      <c r="T46" s="19">
        <v>28.0</v>
      </c>
      <c r="U46" s="19">
        <v>16.0</v>
      </c>
      <c r="V46" s="19">
        <v>22.0</v>
      </c>
      <c r="W46" s="13">
        <f t="shared" si="14"/>
        <v>486</v>
      </c>
    </row>
    <row r="47" ht="12.75" customHeight="1">
      <c r="A47" s="18"/>
      <c r="B47" s="47" t="s">
        <v>20</v>
      </c>
      <c r="C47" s="61" t="s">
        <v>39</v>
      </c>
      <c r="D47" s="16"/>
      <c r="E47" s="19">
        <v>22.0</v>
      </c>
      <c r="F47" s="19">
        <v>16.0</v>
      </c>
      <c r="G47" s="19">
        <v>23.0</v>
      </c>
      <c r="H47" s="19">
        <v>17.0</v>
      </c>
      <c r="I47" s="19">
        <v>14.0</v>
      </c>
      <c r="J47" s="19">
        <v>11.0</v>
      </c>
      <c r="K47" s="19">
        <v>17.0</v>
      </c>
      <c r="L47" s="19">
        <v>9.0</v>
      </c>
      <c r="M47" s="19">
        <v>13.0</v>
      </c>
      <c r="N47" s="19">
        <v>9.0</v>
      </c>
      <c r="O47" s="19">
        <v>9.0</v>
      </c>
      <c r="P47" s="19">
        <v>17.0</v>
      </c>
      <c r="Q47" s="19">
        <v>6.0</v>
      </c>
      <c r="R47" s="19">
        <v>21.0</v>
      </c>
      <c r="S47" s="19">
        <v>14.0</v>
      </c>
      <c r="T47" s="19">
        <v>13.0</v>
      </c>
      <c r="U47" s="19">
        <v>9.0</v>
      </c>
      <c r="V47" s="19">
        <v>11.0</v>
      </c>
      <c r="W47" s="13">
        <f t="shared" si="14"/>
        <v>251</v>
      </c>
    </row>
    <row r="48" ht="12.75" customHeight="1">
      <c r="A48" s="18"/>
      <c r="B48" s="47" t="s">
        <v>22</v>
      </c>
      <c r="C48" s="61" t="s">
        <v>40</v>
      </c>
      <c r="D48" s="16"/>
      <c r="E48" s="19">
        <v>18.0</v>
      </c>
      <c r="F48" s="19">
        <v>24.0</v>
      </c>
      <c r="G48" s="19">
        <v>12.0</v>
      </c>
      <c r="H48" s="19">
        <v>17.0</v>
      </c>
      <c r="I48" s="19">
        <v>24.0</v>
      </c>
      <c r="J48" s="19">
        <v>16.0</v>
      </c>
      <c r="K48" s="19">
        <v>28.0</v>
      </c>
      <c r="L48" s="19">
        <v>23.0</v>
      </c>
      <c r="M48" s="19">
        <v>21.0</v>
      </c>
      <c r="N48" s="19">
        <v>30.0</v>
      </c>
      <c r="O48" s="19">
        <v>23.0</v>
      </c>
      <c r="P48" s="19">
        <v>23.0</v>
      </c>
      <c r="Q48" s="19">
        <v>14.0</v>
      </c>
      <c r="R48" s="19">
        <v>25.0</v>
      </c>
      <c r="S48" s="19">
        <v>26.0</v>
      </c>
      <c r="T48" s="19">
        <v>23.0</v>
      </c>
      <c r="U48" s="19">
        <v>12.0</v>
      </c>
      <c r="V48" s="19">
        <v>18.0</v>
      </c>
      <c r="W48" s="13">
        <f t="shared" si="14"/>
        <v>377</v>
      </c>
    </row>
    <row r="49" ht="12.75" customHeight="1">
      <c r="A49" s="18"/>
      <c r="B49" s="47" t="s">
        <v>41</v>
      </c>
      <c r="C49" s="61" t="s">
        <v>42</v>
      </c>
      <c r="D49" s="16"/>
      <c r="E49" s="19">
        <v>15.0</v>
      </c>
      <c r="F49" s="19">
        <v>27.0</v>
      </c>
      <c r="G49" s="19">
        <v>11.0</v>
      </c>
      <c r="H49" s="19">
        <v>12.0</v>
      </c>
      <c r="I49" s="19">
        <v>10.0</v>
      </c>
      <c r="J49" s="19">
        <v>17.0</v>
      </c>
      <c r="K49" s="19">
        <v>12.0</v>
      </c>
      <c r="L49" s="19">
        <v>14.0</v>
      </c>
      <c r="M49" s="19">
        <v>20.0</v>
      </c>
      <c r="N49" s="19">
        <v>15.0</v>
      </c>
      <c r="O49" s="19">
        <v>12.0</v>
      </c>
      <c r="P49" s="19">
        <v>12.0</v>
      </c>
      <c r="Q49" s="19">
        <v>9.0</v>
      </c>
      <c r="R49" s="19">
        <v>17.0</v>
      </c>
      <c r="S49" s="19">
        <v>18.0</v>
      </c>
      <c r="T49" s="19">
        <v>13.0</v>
      </c>
      <c r="U49" s="19">
        <v>5.0</v>
      </c>
      <c r="V49" s="19">
        <v>13.0</v>
      </c>
      <c r="W49" s="13">
        <f t="shared" si="14"/>
        <v>252</v>
      </c>
    </row>
    <row r="50" ht="12.75" customHeight="1">
      <c r="A50" s="18"/>
      <c r="B50" s="47" t="s">
        <v>43</v>
      </c>
      <c r="C50" s="61" t="s">
        <v>44</v>
      </c>
      <c r="D50" s="16"/>
      <c r="E50" s="19">
        <v>17.0</v>
      </c>
      <c r="F50" s="19">
        <v>10.0</v>
      </c>
      <c r="G50" s="19">
        <v>9.0</v>
      </c>
      <c r="H50" s="19">
        <v>12.0</v>
      </c>
      <c r="I50" s="19">
        <v>21.0</v>
      </c>
      <c r="J50" s="19">
        <v>16.0</v>
      </c>
      <c r="K50" s="19">
        <v>22.0</v>
      </c>
      <c r="L50" s="19">
        <v>15.0</v>
      </c>
      <c r="M50" s="19">
        <v>15.0</v>
      </c>
      <c r="N50" s="19">
        <v>21.0</v>
      </c>
      <c r="O50" s="19">
        <v>7.0</v>
      </c>
      <c r="P50" s="19">
        <v>17.0</v>
      </c>
      <c r="Q50" s="19">
        <v>11.0</v>
      </c>
      <c r="R50" s="19">
        <v>10.0</v>
      </c>
      <c r="S50" s="19">
        <v>12.0</v>
      </c>
      <c r="T50" s="19">
        <v>16.0</v>
      </c>
      <c r="U50" s="19">
        <v>12.0</v>
      </c>
      <c r="V50" s="19">
        <v>7.0</v>
      </c>
      <c r="W50" s="13">
        <f t="shared" si="14"/>
        <v>250</v>
      </c>
    </row>
    <row r="51" ht="12.75" customHeight="1">
      <c r="A51" s="18"/>
      <c r="B51" s="47" t="s">
        <v>45</v>
      </c>
      <c r="C51" s="61" t="s">
        <v>46</v>
      </c>
      <c r="D51" s="16"/>
      <c r="E51" s="19">
        <v>2.0</v>
      </c>
      <c r="F51" s="19">
        <v>4.0</v>
      </c>
      <c r="G51" s="19">
        <v>7.0</v>
      </c>
      <c r="H51" s="19">
        <v>3.0</v>
      </c>
      <c r="I51" s="19">
        <v>2.0</v>
      </c>
      <c r="J51" s="19">
        <v>0.0</v>
      </c>
      <c r="K51" s="19">
        <v>1.0</v>
      </c>
      <c r="L51" s="19">
        <v>2.0</v>
      </c>
      <c r="M51" s="19">
        <v>2.0</v>
      </c>
      <c r="N51" s="19">
        <v>0.0</v>
      </c>
      <c r="O51" s="19">
        <v>2.0</v>
      </c>
      <c r="P51" s="19">
        <v>1.0</v>
      </c>
      <c r="Q51" s="19">
        <v>1.0</v>
      </c>
      <c r="R51" s="19">
        <v>2.0</v>
      </c>
      <c r="S51" s="19">
        <v>1.0</v>
      </c>
      <c r="T51" s="19">
        <v>0.0</v>
      </c>
      <c r="U51" s="19">
        <v>2.0</v>
      </c>
      <c r="V51" s="19">
        <v>2.0</v>
      </c>
      <c r="W51" s="13">
        <f t="shared" si="14"/>
        <v>34</v>
      </c>
    </row>
    <row r="52" ht="12.75" customHeight="1">
      <c r="A52" s="18"/>
      <c r="B52" s="47" t="s">
        <v>47</v>
      </c>
      <c r="C52" s="61" t="s">
        <v>48</v>
      </c>
      <c r="D52" s="16"/>
      <c r="E52" s="19">
        <v>4.0</v>
      </c>
      <c r="F52" s="19">
        <v>0.0</v>
      </c>
      <c r="G52" s="19">
        <v>4.0</v>
      </c>
      <c r="H52" s="19">
        <v>4.0</v>
      </c>
      <c r="I52" s="19">
        <v>1.0</v>
      </c>
      <c r="J52" s="19">
        <v>3.0</v>
      </c>
      <c r="K52" s="19">
        <v>0.0</v>
      </c>
      <c r="L52" s="19">
        <v>0.0</v>
      </c>
      <c r="M52" s="19">
        <v>1.0</v>
      </c>
      <c r="N52" s="19">
        <v>3.0</v>
      </c>
      <c r="O52" s="19">
        <v>2.0</v>
      </c>
      <c r="P52" s="19">
        <v>1.0</v>
      </c>
      <c r="Q52" s="19">
        <v>0.0</v>
      </c>
      <c r="R52" s="19">
        <v>0.0</v>
      </c>
      <c r="S52" s="19">
        <v>3.0</v>
      </c>
      <c r="T52" s="19">
        <v>11.0</v>
      </c>
      <c r="U52" s="19">
        <v>4.0</v>
      </c>
      <c r="V52" s="19">
        <v>2.0</v>
      </c>
      <c r="W52" s="13">
        <f t="shared" si="14"/>
        <v>43</v>
      </c>
    </row>
    <row r="53" ht="12.75" customHeight="1">
      <c r="A53" s="18"/>
      <c r="B53" s="47" t="s">
        <v>49</v>
      </c>
      <c r="C53" s="61" t="s">
        <v>50</v>
      </c>
      <c r="D53" s="16"/>
      <c r="E53" s="19">
        <v>0.0</v>
      </c>
      <c r="F53" s="19">
        <v>0.0</v>
      </c>
      <c r="G53" s="19">
        <v>2.0</v>
      </c>
      <c r="H53" s="19">
        <v>0.0</v>
      </c>
      <c r="I53" s="19">
        <v>1.0</v>
      </c>
      <c r="J53" s="19">
        <v>1.0</v>
      </c>
      <c r="K53" s="19">
        <v>0.0</v>
      </c>
      <c r="L53" s="19">
        <v>0.0</v>
      </c>
      <c r="M53" s="19">
        <v>0.0</v>
      </c>
      <c r="N53" s="19">
        <v>0.0</v>
      </c>
      <c r="O53" s="19">
        <v>1.0</v>
      </c>
      <c r="P53" s="19">
        <v>0.0</v>
      </c>
      <c r="Q53" s="19">
        <v>1.0</v>
      </c>
      <c r="R53" s="19">
        <v>1.0</v>
      </c>
      <c r="S53" s="19">
        <v>0.0</v>
      </c>
      <c r="T53" s="19">
        <v>1.0</v>
      </c>
      <c r="U53" s="19">
        <v>0.0</v>
      </c>
      <c r="V53" s="19">
        <v>0.0</v>
      </c>
      <c r="W53" s="13">
        <f t="shared" si="14"/>
        <v>8</v>
      </c>
    </row>
    <row r="54" ht="12.75" customHeight="1">
      <c r="A54" s="18"/>
      <c r="B54" s="47" t="s">
        <v>51</v>
      </c>
      <c r="C54" s="61" t="s">
        <v>52</v>
      </c>
      <c r="D54" s="16"/>
      <c r="E54" s="19">
        <v>28.0</v>
      </c>
      <c r="F54" s="19">
        <v>15.0</v>
      </c>
      <c r="G54" s="19">
        <v>26.0</v>
      </c>
      <c r="H54" s="19">
        <v>23.0</v>
      </c>
      <c r="I54" s="19">
        <v>10.0</v>
      </c>
      <c r="J54" s="19">
        <v>4.0</v>
      </c>
      <c r="K54" s="19">
        <v>22.0</v>
      </c>
      <c r="L54" s="19">
        <v>12.0</v>
      </c>
      <c r="M54" s="19">
        <v>12.0</v>
      </c>
      <c r="N54" s="19">
        <v>15.0</v>
      </c>
      <c r="O54" s="19">
        <v>18.0</v>
      </c>
      <c r="P54" s="19">
        <v>17.0</v>
      </c>
      <c r="Q54" s="19">
        <v>12.0</v>
      </c>
      <c r="R54" s="19">
        <v>20.0</v>
      </c>
      <c r="S54" s="19">
        <v>20.0</v>
      </c>
      <c r="T54" s="19">
        <v>19.0</v>
      </c>
      <c r="U54" s="19">
        <v>30.0</v>
      </c>
      <c r="V54" s="19">
        <v>30.0</v>
      </c>
      <c r="W54" s="13">
        <f t="shared" si="14"/>
        <v>333</v>
      </c>
    </row>
    <row r="55" ht="12.75" customHeight="1">
      <c r="A55" s="18"/>
      <c r="B55" s="47" t="s">
        <v>53</v>
      </c>
      <c r="C55" s="61" t="s">
        <v>54</v>
      </c>
      <c r="D55" s="16"/>
      <c r="E55" s="19">
        <v>1.0</v>
      </c>
      <c r="F55" s="19">
        <v>0.0</v>
      </c>
      <c r="G55" s="19">
        <v>1.0</v>
      </c>
      <c r="H55" s="19">
        <v>0.0</v>
      </c>
      <c r="I55" s="19">
        <v>0.0</v>
      </c>
      <c r="J55" s="19">
        <v>0.0</v>
      </c>
      <c r="K55" s="19">
        <v>1.0</v>
      </c>
      <c r="L55" s="19">
        <v>0.0</v>
      </c>
      <c r="M55" s="19">
        <v>1.0</v>
      </c>
      <c r="N55" s="19">
        <v>1.0</v>
      </c>
      <c r="O55" s="19">
        <v>0.0</v>
      </c>
      <c r="P55" s="19">
        <v>1.0</v>
      </c>
      <c r="Q55" s="19">
        <v>1.0</v>
      </c>
      <c r="R55" s="19">
        <v>2.0</v>
      </c>
      <c r="S55" s="19">
        <v>0.0</v>
      </c>
      <c r="T55" s="19">
        <v>0.0</v>
      </c>
      <c r="U55" s="19">
        <v>0.0</v>
      </c>
      <c r="V55" s="19">
        <v>0.0</v>
      </c>
      <c r="W55" s="13">
        <f t="shared" si="14"/>
        <v>9</v>
      </c>
    </row>
    <row r="56" ht="12.75" customHeight="1">
      <c r="A56" s="18"/>
      <c r="B56" s="47" t="s">
        <v>55</v>
      </c>
      <c r="C56" s="61" t="s">
        <v>56</v>
      </c>
      <c r="D56" s="16"/>
      <c r="E56" s="19">
        <v>14.0</v>
      </c>
      <c r="F56" s="19">
        <v>16.0</v>
      </c>
      <c r="G56" s="19">
        <v>19.0</v>
      </c>
      <c r="H56" s="19">
        <v>31.0</v>
      </c>
      <c r="I56" s="19">
        <v>20.0</v>
      </c>
      <c r="J56" s="19">
        <v>10.0</v>
      </c>
      <c r="K56" s="19">
        <v>16.0</v>
      </c>
      <c r="L56" s="19">
        <v>15.0</v>
      </c>
      <c r="M56" s="19">
        <v>16.0</v>
      </c>
      <c r="N56" s="19">
        <v>11.0</v>
      </c>
      <c r="O56" s="19">
        <v>10.0</v>
      </c>
      <c r="P56" s="19">
        <v>19.0</v>
      </c>
      <c r="Q56" s="19">
        <v>10.0</v>
      </c>
      <c r="R56" s="19">
        <v>23.0</v>
      </c>
      <c r="S56" s="19">
        <v>13.0</v>
      </c>
      <c r="T56" s="19">
        <v>21.0</v>
      </c>
      <c r="U56" s="19">
        <v>29.0</v>
      </c>
      <c r="V56" s="19">
        <v>12.0</v>
      </c>
      <c r="W56" s="13">
        <f t="shared" si="14"/>
        <v>305</v>
      </c>
    </row>
    <row r="57" ht="12.75" customHeight="1">
      <c r="A57" s="18"/>
      <c r="B57" s="47" t="s">
        <v>57</v>
      </c>
      <c r="C57" s="61" t="s">
        <v>58</v>
      </c>
      <c r="D57" s="16"/>
      <c r="E57" s="19">
        <v>2.0</v>
      </c>
      <c r="F57" s="19">
        <v>1.0</v>
      </c>
      <c r="G57" s="19">
        <v>1.0</v>
      </c>
      <c r="H57" s="19">
        <v>2.0</v>
      </c>
      <c r="I57" s="19">
        <v>0.0</v>
      </c>
      <c r="J57" s="19">
        <v>2.0</v>
      </c>
      <c r="K57" s="19">
        <v>2.0</v>
      </c>
      <c r="L57" s="19">
        <v>0.0</v>
      </c>
      <c r="M57" s="19">
        <v>3.0</v>
      </c>
      <c r="N57" s="19">
        <v>1.0</v>
      </c>
      <c r="O57" s="19">
        <v>1.0</v>
      </c>
      <c r="P57" s="19">
        <v>4.0</v>
      </c>
      <c r="Q57" s="19">
        <v>2.0</v>
      </c>
      <c r="R57" s="19">
        <v>1.0</v>
      </c>
      <c r="S57" s="19">
        <v>4.0</v>
      </c>
      <c r="T57" s="19">
        <v>2.0</v>
      </c>
      <c r="U57" s="19">
        <v>5.0</v>
      </c>
      <c r="V57" s="19">
        <v>0.0</v>
      </c>
      <c r="W57" s="13">
        <f t="shared" si="14"/>
        <v>33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13"/>
      <c r="U59" s="13"/>
      <c r="V59" s="13"/>
      <c r="W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V60" si="15">SUM(E45:E57)</f>
        <v>174</v>
      </c>
      <c r="F60" s="19">
        <f t="shared" si="15"/>
        <v>169</v>
      </c>
      <c r="G60" s="19">
        <f t="shared" si="15"/>
        <v>167</v>
      </c>
      <c r="H60" s="19">
        <f t="shared" si="15"/>
        <v>160</v>
      </c>
      <c r="I60" s="19">
        <f t="shared" si="15"/>
        <v>143</v>
      </c>
      <c r="J60" s="19">
        <f t="shared" si="15"/>
        <v>123</v>
      </c>
      <c r="K60" s="19">
        <f t="shared" si="15"/>
        <v>171</v>
      </c>
      <c r="L60" s="19">
        <f t="shared" si="15"/>
        <v>133</v>
      </c>
      <c r="M60" s="19">
        <f t="shared" si="15"/>
        <v>137</v>
      </c>
      <c r="N60" s="19">
        <f t="shared" si="15"/>
        <v>167</v>
      </c>
      <c r="O60" s="19">
        <f t="shared" si="15"/>
        <v>119</v>
      </c>
      <c r="P60" s="19">
        <f t="shared" si="15"/>
        <v>144</v>
      </c>
      <c r="Q60" s="19">
        <f t="shared" si="15"/>
        <v>109</v>
      </c>
      <c r="R60" s="19">
        <f t="shared" si="15"/>
        <v>156</v>
      </c>
      <c r="S60" s="19">
        <f t="shared" si="15"/>
        <v>144</v>
      </c>
      <c r="T60" s="19">
        <f t="shared" si="15"/>
        <v>168</v>
      </c>
      <c r="U60" s="19">
        <f t="shared" si="15"/>
        <v>140</v>
      </c>
      <c r="V60" s="19">
        <f t="shared" si="15"/>
        <v>129</v>
      </c>
      <c r="W60" s="13">
        <f t="shared" ref="W60:W62" si="16">SUM(E60:V60)</f>
        <v>2653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65.0</v>
      </c>
      <c r="F61" s="19">
        <v>56.0</v>
      </c>
      <c r="G61" s="19">
        <v>56.0</v>
      </c>
      <c r="H61" s="19">
        <v>68.0</v>
      </c>
      <c r="I61" s="19">
        <v>43.0</v>
      </c>
      <c r="J61" s="19">
        <v>56.0</v>
      </c>
      <c r="K61" s="19">
        <v>37.0</v>
      </c>
      <c r="L61" s="19">
        <v>50.0</v>
      </c>
      <c r="M61" s="19">
        <v>45.0</v>
      </c>
      <c r="N61" s="19">
        <v>29.0</v>
      </c>
      <c r="O61" s="19">
        <v>91.0</v>
      </c>
      <c r="P61" s="19">
        <v>77.0</v>
      </c>
      <c r="Q61" s="19">
        <v>113.0</v>
      </c>
      <c r="R61" s="19">
        <v>54.0</v>
      </c>
      <c r="S61" s="19">
        <v>56.0</v>
      </c>
      <c r="T61" s="19">
        <v>59.0</v>
      </c>
      <c r="U61" s="19">
        <v>19.0</v>
      </c>
      <c r="V61" s="19">
        <v>7.0</v>
      </c>
      <c r="W61" s="13">
        <f t="shared" si="16"/>
        <v>981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V62" si="17">SUM(E60:E61)</f>
        <v>239</v>
      </c>
      <c r="F62" s="13">
        <f t="shared" si="17"/>
        <v>225</v>
      </c>
      <c r="G62" s="13">
        <f t="shared" si="17"/>
        <v>223</v>
      </c>
      <c r="H62" s="13">
        <f t="shared" si="17"/>
        <v>228</v>
      </c>
      <c r="I62" s="13">
        <f t="shared" si="17"/>
        <v>186</v>
      </c>
      <c r="J62" s="13">
        <f t="shared" si="17"/>
        <v>179</v>
      </c>
      <c r="K62" s="13">
        <f t="shared" si="17"/>
        <v>208</v>
      </c>
      <c r="L62" s="13">
        <f t="shared" si="17"/>
        <v>183</v>
      </c>
      <c r="M62" s="13">
        <f t="shared" si="17"/>
        <v>182</v>
      </c>
      <c r="N62" s="13">
        <f t="shared" si="17"/>
        <v>196</v>
      </c>
      <c r="O62" s="13">
        <f t="shared" si="17"/>
        <v>210</v>
      </c>
      <c r="P62" s="13">
        <f t="shared" si="17"/>
        <v>221</v>
      </c>
      <c r="Q62" s="13">
        <f t="shared" si="17"/>
        <v>222</v>
      </c>
      <c r="R62" s="13">
        <f t="shared" si="17"/>
        <v>210</v>
      </c>
      <c r="S62" s="13">
        <f t="shared" si="17"/>
        <v>200</v>
      </c>
      <c r="T62" s="13">
        <f t="shared" si="17"/>
        <v>227</v>
      </c>
      <c r="U62" s="13">
        <f t="shared" si="17"/>
        <v>159</v>
      </c>
      <c r="V62" s="13">
        <f t="shared" si="17"/>
        <v>136</v>
      </c>
      <c r="W62" s="13">
        <f t="shared" si="16"/>
        <v>3634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V34">
    <cfRule type="expression" dxfId="0" priority="1">
      <formula>E34&lt;&gt;#REF!</formula>
    </cfRule>
  </conditionalFormatting>
  <conditionalFormatting sqref="E14:V15 E45:V57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 E45:S57">
    <cfRule type="containsBlanks" dxfId="1" priority="4">
      <formula>LEN(TRIM(E22))=0</formula>
    </cfRule>
  </conditionalFormatting>
  <conditionalFormatting sqref="E30:V30">
    <cfRule type="expression" dxfId="0" priority="5">
      <formula>E30&lt;&gt;E46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60:V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4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68</v>
      </c>
      <c r="F13" s="13" t="s">
        <v>69</v>
      </c>
      <c r="G13" s="13" t="s">
        <v>70</v>
      </c>
      <c r="H13" s="13" t="s">
        <v>71</v>
      </c>
      <c r="I13" s="13" t="s">
        <v>72</v>
      </c>
      <c r="J13" s="13" t="s">
        <v>73</v>
      </c>
      <c r="K13" s="13" t="s">
        <v>74</v>
      </c>
      <c r="L13" s="13" t="s">
        <v>75</v>
      </c>
      <c r="M13" s="13" t="s">
        <v>76</v>
      </c>
      <c r="N13" s="13" t="s">
        <v>77</v>
      </c>
      <c r="O13" s="13" t="s">
        <v>78</v>
      </c>
      <c r="P13" s="13" t="s">
        <v>79</v>
      </c>
      <c r="Q13" s="13" t="s">
        <v>80</v>
      </c>
      <c r="R13" s="13" t="s">
        <v>81</v>
      </c>
      <c r="S13" s="13" t="s">
        <v>82</v>
      </c>
      <c r="T13" s="13" t="s">
        <v>83</v>
      </c>
      <c r="U13" s="13" t="s">
        <v>84</v>
      </c>
      <c r="V13" s="13" t="s">
        <v>85</v>
      </c>
      <c r="W13" s="13" t="s">
        <v>86</v>
      </c>
      <c r="X13" s="13" t="s">
        <v>87</v>
      </c>
      <c r="Y13" s="13" t="s">
        <v>88</v>
      </c>
      <c r="Z13" s="13" t="s">
        <v>89</v>
      </c>
      <c r="AA13" s="13" t="s">
        <v>90</v>
      </c>
      <c r="AB13" s="36"/>
    </row>
    <row r="14" ht="12.75" customHeight="1">
      <c r="A14" s="18"/>
      <c r="B14" s="22" t="s">
        <v>10</v>
      </c>
      <c r="C14" s="23"/>
      <c r="D14" s="19" t="s">
        <v>11</v>
      </c>
      <c r="E14" s="19">
        <v>109.0</v>
      </c>
      <c r="F14" s="19">
        <v>118.0</v>
      </c>
      <c r="G14" s="19">
        <v>129.0</v>
      </c>
      <c r="H14" s="19">
        <v>125.0</v>
      </c>
      <c r="I14" s="19">
        <v>117.0</v>
      </c>
      <c r="J14" s="19">
        <v>132.0</v>
      </c>
      <c r="K14" s="19">
        <v>139.0</v>
      </c>
      <c r="L14" s="19">
        <v>132.0</v>
      </c>
      <c r="M14" s="19">
        <v>137.0</v>
      </c>
      <c r="N14" s="19">
        <v>140.0</v>
      </c>
      <c r="O14" s="19">
        <v>139.0</v>
      </c>
      <c r="P14" s="19">
        <v>128.0</v>
      </c>
      <c r="Q14" s="19">
        <v>127.0</v>
      </c>
      <c r="R14" s="19">
        <v>131.0</v>
      </c>
      <c r="S14" s="19">
        <v>83.0</v>
      </c>
      <c r="T14" s="19">
        <v>133.0</v>
      </c>
      <c r="U14" s="19">
        <v>139.0</v>
      </c>
      <c r="V14" s="19">
        <v>149.0</v>
      </c>
      <c r="W14" s="19">
        <v>140.0</v>
      </c>
      <c r="X14" s="19">
        <v>152.0</v>
      </c>
      <c r="Y14" s="19">
        <v>150.0</v>
      </c>
      <c r="Z14" s="19">
        <v>150.0</v>
      </c>
      <c r="AA14" s="19">
        <v>147.0</v>
      </c>
      <c r="AB14" s="13">
        <f t="shared" ref="AB14:AB16" si="1">SUM(E14:AA14)</f>
        <v>3046</v>
      </c>
      <c r="AH14" s="62">
        <f>SUM(E14:AG14)</f>
        <v>6092</v>
      </c>
    </row>
    <row r="15" ht="12.75" customHeight="1">
      <c r="A15" s="18"/>
      <c r="B15" s="26"/>
      <c r="C15" s="27"/>
      <c r="D15" s="19" t="s">
        <v>12</v>
      </c>
      <c r="E15" s="19">
        <v>118.0</v>
      </c>
      <c r="F15" s="19">
        <v>140.0</v>
      </c>
      <c r="G15" s="19">
        <v>133.0</v>
      </c>
      <c r="H15" s="19">
        <v>136.0</v>
      </c>
      <c r="I15" s="19">
        <v>140.0</v>
      </c>
      <c r="J15" s="19">
        <v>123.0</v>
      </c>
      <c r="K15" s="19">
        <v>131.0</v>
      </c>
      <c r="L15" s="19">
        <v>146.0</v>
      </c>
      <c r="M15" s="19">
        <v>141.0</v>
      </c>
      <c r="N15" s="19">
        <v>148.0</v>
      </c>
      <c r="O15" s="19">
        <v>135.0</v>
      </c>
      <c r="P15" s="19">
        <v>134.0</v>
      </c>
      <c r="Q15" s="19">
        <v>123.0</v>
      </c>
      <c r="R15" s="19">
        <v>117.0</v>
      </c>
      <c r="S15" s="19">
        <v>94.0</v>
      </c>
      <c r="T15" s="19">
        <v>151.0</v>
      </c>
      <c r="U15" s="19">
        <v>147.0</v>
      </c>
      <c r="V15" s="19">
        <v>139.0</v>
      </c>
      <c r="W15" s="19">
        <v>151.0</v>
      </c>
      <c r="X15" s="19">
        <v>144.0</v>
      </c>
      <c r="Y15" s="19">
        <v>144.0</v>
      </c>
      <c r="Z15" s="19">
        <v>148.0</v>
      </c>
      <c r="AA15" s="19">
        <v>146.0</v>
      </c>
      <c r="AB15" s="13">
        <f t="shared" si="1"/>
        <v>3129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227</v>
      </c>
      <c r="F16" s="13">
        <f t="shared" si="2"/>
        <v>258</v>
      </c>
      <c r="G16" s="13">
        <f t="shared" si="2"/>
        <v>262</v>
      </c>
      <c r="H16" s="13">
        <f t="shared" si="2"/>
        <v>261</v>
      </c>
      <c r="I16" s="13">
        <f t="shared" si="2"/>
        <v>257</v>
      </c>
      <c r="J16" s="13">
        <f t="shared" si="2"/>
        <v>255</v>
      </c>
      <c r="K16" s="13">
        <f t="shared" si="2"/>
        <v>270</v>
      </c>
      <c r="L16" s="13">
        <f t="shared" si="2"/>
        <v>278</v>
      </c>
      <c r="M16" s="13">
        <f t="shared" si="2"/>
        <v>278</v>
      </c>
      <c r="N16" s="13">
        <f t="shared" si="2"/>
        <v>288</v>
      </c>
      <c r="O16" s="13">
        <f t="shared" si="2"/>
        <v>274</v>
      </c>
      <c r="P16" s="13">
        <f t="shared" si="2"/>
        <v>262</v>
      </c>
      <c r="Q16" s="13">
        <f t="shared" si="2"/>
        <v>250</v>
      </c>
      <c r="R16" s="13">
        <f t="shared" si="2"/>
        <v>248</v>
      </c>
      <c r="S16" s="13">
        <f t="shared" si="2"/>
        <v>177</v>
      </c>
      <c r="T16" s="13">
        <f t="shared" si="2"/>
        <v>284</v>
      </c>
      <c r="U16" s="13">
        <f t="shared" si="2"/>
        <v>286</v>
      </c>
      <c r="V16" s="13">
        <f t="shared" si="2"/>
        <v>288</v>
      </c>
      <c r="W16" s="13">
        <f t="shared" si="2"/>
        <v>291</v>
      </c>
      <c r="X16" s="13">
        <f t="shared" si="2"/>
        <v>296</v>
      </c>
      <c r="Y16" s="13">
        <f t="shared" si="2"/>
        <v>294</v>
      </c>
      <c r="Z16" s="13">
        <f t="shared" si="2"/>
        <v>298</v>
      </c>
      <c r="AA16" s="13">
        <f t="shared" si="2"/>
        <v>293</v>
      </c>
      <c r="AB16" s="13">
        <f t="shared" si="1"/>
        <v>6175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59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59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95.0</v>
      </c>
      <c r="F19" s="19">
        <v>107.0</v>
      </c>
      <c r="G19" s="19">
        <v>92.0</v>
      </c>
      <c r="H19" s="19">
        <v>103.0</v>
      </c>
      <c r="I19" s="19">
        <v>96.0</v>
      </c>
      <c r="J19" s="19">
        <v>93.0</v>
      </c>
      <c r="K19" s="19">
        <v>100.0</v>
      </c>
      <c r="L19" s="19">
        <v>98.0</v>
      </c>
      <c r="M19" s="19">
        <v>94.0</v>
      </c>
      <c r="N19" s="19">
        <v>108.0</v>
      </c>
      <c r="O19" s="19">
        <v>97.0</v>
      </c>
      <c r="P19" s="19">
        <v>74.0</v>
      </c>
      <c r="Q19" s="19">
        <v>92.0</v>
      </c>
      <c r="R19" s="19">
        <v>100.0</v>
      </c>
      <c r="S19" s="19">
        <v>66.0</v>
      </c>
      <c r="T19" s="19">
        <v>83.0</v>
      </c>
      <c r="U19" s="19">
        <v>94.0</v>
      </c>
      <c r="V19" s="19">
        <v>103.0</v>
      </c>
      <c r="W19" s="19">
        <v>103.0</v>
      </c>
      <c r="X19" s="19">
        <v>122.0</v>
      </c>
      <c r="Y19" s="19">
        <v>117.0</v>
      </c>
      <c r="Z19" s="19">
        <v>121.0</v>
      </c>
      <c r="AA19" s="19">
        <v>108.0</v>
      </c>
      <c r="AB19" s="13">
        <f t="shared" ref="AB19:AB30" si="3">SUM(E19:AA19)</f>
        <v>2266</v>
      </c>
    </row>
    <row r="20" ht="12.75" customHeight="1">
      <c r="A20" s="33"/>
      <c r="B20" s="27"/>
      <c r="C20" s="34"/>
      <c r="D20" s="19" t="s">
        <v>12</v>
      </c>
      <c r="E20" s="19">
        <v>96.0</v>
      </c>
      <c r="F20" s="19">
        <v>87.0</v>
      </c>
      <c r="G20" s="19">
        <v>105.0</v>
      </c>
      <c r="H20" s="19">
        <v>107.0</v>
      </c>
      <c r="I20" s="19">
        <v>119.0</v>
      </c>
      <c r="J20" s="19">
        <v>106.0</v>
      </c>
      <c r="K20" s="19">
        <v>105.0</v>
      </c>
      <c r="L20" s="19">
        <v>117.0</v>
      </c>
      <c r="M20" s="19">
        <v>107.0</v>
      </c>
      <c r="N20" s="19">
        <v>120.0</v>
      </c>
      <c r="O20" s="19">
        <v>101.0</v>
      </c>
      <c r="P20" s="19">
        <v>88.0</v>
      </c>
      <c r="Q20" s="19">
        <v>93.0</v>
      </c>
      <c r="R20" s="19">
        <v>100.0</v>
      </c>
      <c r="S20" s="19">
        <v>81.0</v>
      </c>
      <c r="T20" s="19">
        <v>117.0</v>
      </c>
      <c r="U20" s="19">
        <v>116.0</v>
      </c>
      <c r="V20" s="19">
        <v>115.0</v>
      </c>
      <c r="W20" s="19">
        <v>120.0</v>
      </c>
      <c r="X20" s="19">
        <v>106.0</v>
      </c>
      <c r="Y20" s="19">
        <v>119.0</v>
      </c>
      <c r="Z20" s="19">
        <v>106.0</v>
      </c>
      <c r="AA20" s="19">
        <v>109.0</v>
      </c>
      <c r="AB20" s="13">
        <f t="shared" si="3"/>
        <v>2440</v>
      </c>
    </row>
    <row r="21" ht="12.75" customHeight="1">
      <c r="A21" s="35"/>
      <c r="B21" s="28"/>
      <c r="C21" s="36"/>
      <c r="D21" s="13" t="s">
        <v>13</v>
      </c>
      <c r="E21" s="13">
        <f t="shared" ref="E21:AA21" si="4">SUM(E19:E20)</f>
        <v>191</v>
      </c>
      <c r="F21" s="13">
        <f t="shared" si="4"/>
        <v>194</v>
      </c>
      <c r="G21" s="13">
        <f t="shared" si="4"/>
        <v>197</v>
      </c>
      <c r="H21" s="13">
        <f t="shared" si="4"/>
        <v>210</v>
      </c>
      <c r="I21" s="13">
        <f t="shared" si="4"/>
        <v>215</v>
      </c>
      <c r="J21" s="13">
        <f t="shared" si="4"/>
        <v>199</v>
      </c>
      <c r="K21" s="13">
        <f t="shared" si="4"/>
        <v>205</v>
      </c>
      <c r="L21" s="13">
        <f t="shared" si="4"/>
        <v>215</v>
      </c>
      <c r="M21" s="13">
        <f t="shared" si="4"/>
        <v>201</v>
      </c>
      <c r="N21" s="13">
        <f t="shared" si="4"/>
        <v>228</v>
      </c>
      <c r="O21" s="13">
        <f t="shared" si="4"/>
        <v>198</v>
      </c>
      <c r="P21" s="13">
        <f t="shared" si="4"/>
        <v>162</v>
      </c>
      <c r="Q21" s="13">
        <f t="shared" si="4"/>
        <v>185</v>
      </c>
      <c r="R21" s="13">
        <f t="shared" si="4"/>
        <v>200</v>
      </c>
      <c r="S21" s="13">
        <f t="shared" si="4"/>
        <v>147</v>
      </c>
      <c r="T21" s="13">
        <f t="shared" si="4"/>
        <v>200</v>
      </c>
      <c r="U21" s="13">
        <f t="shared" si="4"/>
        <v>210</v>
      </c>
      <c r="V21" s="13">
        <f t="shared" si="4"/>
        <v>218</v>
      </c>
      <c r="W21" s="13">
        <f t="shared" si="4"/>
        <v>223</v>
      </c>
      <c r="X21" s="13">
        <f t="shared" si="4"/>
        <v>228</v>
      </c>
      <c r="Y21" s="13">
        <f t="shared" si="4"/>
        <v>236</v>
      </c>
      <c r="Z21" s="13">
        <f t="shared" si="4"/>
        <v>227</v>
      </c>
      <c r="AA21" s="13">
        <f t="shared" si="4"/>
        <v>217</v>
      </c>
      <c r="AB21" s="13">
        <f t="shared" si="3"/>
        <v>4706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1.0</v>
      </c>
      <c r="H25" s="19">
        <v>3.0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9">
        <v>2.0</v>
      </c>
      <c r="U25" s="19">
        <v>1.0</v>
      </c>
      <c r="V25" s="19">
        <v>1.0</v>
      </c>
      <c r="W25" s="19">
        <v>0.0</v>
      </c>
      <c r="X25" s="19">
        <v>0.0</v>
      </c>
      <c r="Y25" s="19">
        <v>2.0</v>
      </c>
      <c r="Z25" s="19">
        <v>1.0</v>
      </c>
      <c r="AA25" s="19">
        <v>0.0</v>
      </c>
      <c r="AB25" s="13">
        <f t="shared" si="3"/>
        <v>12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1.0</v>
      </c>
      <c r="M26" s="19">
        <v>1.0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1.0</v>
      </c>
      <c r="U26" s="19">
        <v>0.0</v>
      </c>
      <c r="V26" s="19">
        <v>1.0</v>
      </c>
      <c r="W26" s="19">
        <v>1.0</v>
      </c>
      <c r="X26" s="19">
        <v>0.0</v>
      </c>
      <c r="Y26" s="19">
        <v>0.0</v>
      </c>
      <c r="Z26" s="19">
        <v>1.0</v>
      </c>
      <c r="AA26" s="19">
        <v>0.0</v>
      </c>
      <c r="AB26" s="13">
        <f t="shared" si="3"/>
        <v>9</v>
      </c>
    </row>
    <row r="27" ht="12.75" customHeight="1">
      <c r="A27" s="35"/>
      <c r="B27" s="28"/>
      <c r="C27" s="36"/>
      <c r="D27" s="13" t="s">
        <v>13</v>
      </c>
      <c r="E27" s="13">
        <f t="shared" ref="E27:AA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4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1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2</v>
      </c>
      <c r="T27" s="13">
        <f t="shared" si="6"/>
        <v>3</v>
      </c>
      <c r="U27" s="13">
        <f t="shared" si="6"/>
        <v>1</v>
      </c>
      <c r="V27" s="13">
        <f t="shared" si="6"/>
        <v>2</v>
      </c>
      <c r="W27" s="13">
        <f t="shared" si="6"/>
        <v>1</v>
      </c>
      <c r="X27" s="13">
        <f t="shared" si="6"/>
        <v>0</v>
      </c>
      <c r="Y27" s="13">
        <f t="shared" si="6"/>
        <v>2</v>
      </c>
      <c r="Z27" s="13">
        <f t="shared" si="6"/>
        <v>2</v>
      </c>
      <c r="AA27" s="13">
        <f t="shared" si="6"/>
        <v>0</v>
      </c>
      <c r="AB27" s="13">
        <f t="shared" si="3"/>
        <v>21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A28" si="7">SUM(E19,E22,E25)</f>
        <v>95</v>
      </c>
      <c r="F28" s="13">
        <f t="shared" si="7"/>
        <v>107</v>
      </c>
      <c r="G28" s="13">
        <f t="shared" si="7"/>
        <v>93</v>
      </c>
      <c r="H28" s="13">
        <f t="shared" si="7"/>
        <v>106</v>
      </c>
      <c r="I28" s="13">
        <f t="shared" si="7"/>
        <v>96</v>
      </c>
      <c r="J28" s="13">
        <f t="shared" si="7"/>
        <v>93</v>
      </c>
      <c r="K28" s="13">
        <f t="shared" si="7"/>
        <v>100</v>
      </c>
      <c r="L28" s="13">
        <f t="shared" si="7"/>
        <v>98</v>
      </c>
      <c r="M28" s="13">
        <f t="shared" si="7"/>
        <v>94</v>
      </c>
      <c r="N28" s="13">
        <f t="shared" si="7"/>
        <v>108</v>
      </c>
      <c r="O28" s="13">
        <f t="shared" si="7"/>
        <v>98</v>
      </c>
      <c r="P28" s="13">
        <f t="shared" si="7"/>
        <v>74</v>
      </c>
      <c r="Q28" s="13">
        <f t="shared" si="7"/>
        <v>92</v>
      </c>
      <c r="R28" s="13">
        <f t="shared" si="7"/>
        <v>100</v>
      </c>
      <c r="S28" s="13">
        <f t="shared" si="7"/>
        <v>67</v>
      </c>
      <c r="T28" s="13">
        <f t="shared" si="7"/>
        <v>85</v>
      </c>
      <c r="U28" s="13">
        <f t="shared" si="7"/>
        <v>95</v>
      </c>
      <c r="V28" s="13">
        <f t="shared" si="7"/>
        <v>104</v>
      </c>
      <c r="W28" s="13">
        <f t="shared" si="7"/>
        <v>103</v>
      </c>
      <c r="X28" s="13">
        <f t="shared" si="7"/>
        <v>122</v>
      </c>
      <c r="Y28" s="13">
        <f t="shared" si="7"/>
        <v>119</v>
      </c>
      <c r="Z28" s="13">
        <f t="shared" si="7"/>
        <v>122</v>
      </c>
      <c r="AA28" s="13">
        <f t="shared" si="7"/>
        <v>108</v>
      </c>
      <c r="AB28" s="13">
        <f t="shared" si="3"/>
        <v>2279</v>
      </c>
    </row>
    <row r="29" ht="12.75" customHeight="1">
      <c r="A29" s="35"/>
      <c r="B29" s="27"/>
      <c r="C29" s="34"/>
      <c r="D29" s="13" t="s">
        <v>12</v>
      </c>
      <c r="E29" s="13">
        <f t="shared" ref="E29:AA29" si="8">SUM(E20,E23,E26)</f>
        <v>96</v>
      </c>
      <c r="F29" s="13">
        <f t="shared" si="8"/>
        <v>87</v>
      </c>
      <c r="G29" s="13">
        <f t="shared" si="8"/>
        <v>105</v>
      </c>
      <c r="H29" s="13">
        <f t="shared" si="8"/>
        <v>108</v>
      </c>
      <c r="I29" s="13">
        <f t="shared" si="8"/>
        <v>119</v>
      </c>
      <c r="J29" s="13">
        <f t="shared" si="8"/>
        <v>106</v>
      </c>
      <c r="K29" s="13">
        <f t="shared" si="8"/>
        <v>105</v>
      </c>
      <c r="L29" s="13">
        <f t="shared" si="8"/>
        <v>118</v>
      </c>
      <c r="M29" s="13">
        <f t="shared" si="8"/>
        <v>108</v>
      </c>
      <c r="N29" s="13">
        <f t="shared" si="8"/>
        <v>121</v>
      </c>
      <c r="O29" s="13">
        <f t="shared" si="8"/>
        <v>101</v>
      </c>
      <c r="P29" s="13">
        <f t="shared" si="8"/>
        <v>88</v>
      </c>
      <c r="Q29" s="13">
        <f t="shared" si="8"/>
        <v>93</v>
      </c>
      <c r="R29" s="13">
        <f t="shared" si="8"/>
        <v>100</v>
      </c>
      <c r="S29" s="13">
        <f t="shared" si="8"/>
        <v>82</v>
      </c>
      <c r="T29" s="13">
        <f t="shared" si="8"/>
        <v>118</v>
      </c>
      <c r="U29" s="13">
        <f t="shared" si="8"/>
        <v>116</v>
      </c>
      <c r="V29" s="13">
        <f t="shared" si="8"/>
        <v>116</v>
      </c>
      <c r="W29" s="13">
        <f t="shared" si="8"/>
        <v>121</v>
      </c>
      <c r="X29" s="13">
        <f t="shared" si="8"/>
        <v>106</v>
      </c>
      <c r="Y29" s="13">
        <f t="shared" si="8"/>
        <v>119</v>
      </c>
      <c r="Z29" s="13">
        <f t="shared" si="8"/>
        <v>107</v>
      </c>
      <c r="AA29" s="13">
        <f t="shared" si="8"/>
        <v>109</v>
      </c>
      <c r="AB29" s="13">
        <f t="shared" si="3"/>
        <v>2449</v>
      </c>
    </row>
    <row r="30" ht="12.75" customHeight="1">
      <c r="A30" s="35"/>
      <c r="B30" s="28"/>
      <c r="C30" s="36"/>
      <c r="D30" s="13" t="s">
        <v>13</v>
      </c>
      <c r="E30" s="13">
        <f t="shared" ref="E30:AA30" si="9">SUM(E28:E29)</f>
        <v>191</v>
      </c>
      <c r="F30" s="13">
        <f t="shared" si="9"/>
        <v>194</v>
      </c>
      <c r="G30" s="13">
        <f t="shared" si="9"/>
        <v>198</v>
      </c>
      <c r="H30" s="13">
        <f t="shared" si="9"/>
        <v>214</v>
      </c>
      <c r="I30" s="13">
        <f t="shared" si="9"/>
        <v>215</v>
      </c>
      <c r="J30" s="13">
        <f t="shared" si="9"/>
        <v>199</v>
      </c>
      <c r="K30" s="13">
        <f t="shared" si="9"/>
        <v>205</v>
      </c>
      <c r="L30" s="13">
        <f t="shared" si="9"/>
        <v>216</v>
      </c>
      <c r="M30" s="13">
        <f t="shared" si="9"/>
        <v>202</v>
      </c>
      <c r="N30" s="13">
        <f t="shared" si="9"/>
        <v>229</v>
      </c>
      <c r="O30" s="13">
        <f t="shared" si="9"/>
        <v>199</v>
      </c>
      <c r="P30" s="13">
        <f t="shared" si="9"/>
        <v>162</v>
      </c>
      <c r="Q30" s="13">
        <f t="shared" si="9"/>
        <v>185</v>
      </c>
      <c r="R30" s="13">
        <f t="shared" si="9"/>
        <v>200</v>
      </c>
      <c r="S30" s="13">
        <f t="shared" si="9"/>
        <v>149</v>
      </c>
      <c r="T30" s="13">
        <f t="shared" si="9"/>
        <v>203</v>
      </c>
      <c r="U30" s="13">
        <f t="shared" si="9"/>
        <v>211</v>
      </c>
      <c r="V30" s="13">
        <f t="shared" si="9"/>
        <v>220</v>
      </c>
      <c r="W30" s="13">
        <f t="shared" si="9"/>
        <v>224</v>
      </c>
      <c r="X30" s="13">
        <f t="shared" si="9"/>
        <v>228</v>
      </c>
      <c r="Y30" s="13">
        <f t="shared" si="9"/>
        <v>238</v>
      </c>
      <c r="Z30" s="13">
        <f t="shared" si="9"/>
        <v>229</v>
      </c>
      <c r="AA30" s="13">
        <f t="shared" si="9"/>
        <v>217</v>
      </c>
      <c r="AB30" s="13">
        <f t="shared" si="3"/>
        <v>4728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59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59"/>
    </row>
    <row r="33" ht="12.75" customHeight="1">
      <c r="A33" s="19">
        <v>1.0</v>
      </c>
      <c r="B33" s="20" t="s">
        <v>26</v>
      </c>
      <c r="C33" s="15"/>
      <c r="D33" s="16"/>
      <c r="E33" s="19">
        <v>222.0</v>
      </c>
      <c r="F33" s="19">
        <v>253.0</v>
      </c>
      <c r="G33" s="19">
        <v>258.0</v>
      </c>
      <c r="H33" s="19">
        <v>256.0</v>
      </c>
      <c r="I33" s="19">
        <v>253.0</v>
      </c>
      <c r="J33" s="19">
        <v>253.0</v>
      </c>
      <c r="K33" s="19">
        <v>265.0</v>
      </c>
      <c r="L33" s="19">
        <v>284.0</v>
      </c>
      <c r="M33" s="19">
        <v>271.0</v>
      </c>
      <c r="N33" s="19">
        <v>283.0</v>
      </c>
      <c r="O33" s="19">
        <v>269.0</v>
      </c>
      <c r="P33" s="19">
        <v>267.0</v>
      </c>
      <c r="Q33" s="19">
        <v>244.0</v>
      </c>
      <c r="R33" s="19">
        <v>243.0</v>
      </c>
      <c r="S33" s="19">
        <v>170.0</v>
      </c>
      <c r="T33" s="19">
        <v>280.0</v>
      </c>
      <c r="U33" s="19">
        <v>280.0</v>
      </c>
      <c r="V33" s="19">
        <v>282.0</v>
      </c>
      <c r="W33" s="19">
        <v>286.0</v>
      </c>
      <c r="X33" s="19">
        <v>291.0</v>
      </c>
      <c r="Y33" s="19">
        <v>289.0</v>
      </c>
      <c r="Z33" s="19">
        <v>296.0</v>
      </c>
      <c r="AA33" s="19">
        <v>287.0</v>
      </c>
      <c r="AB33" s="13">
        <f t="shared" ref="AB33:AB36" si="10">SUM(E33:AA33)</f>
        <v>6082</v>
      </c>
    </row>
    <row r="34" ht="12.75" customHeight="1">
      <c r="A34" s="19">
        <v>2.0</v>
      </c>
      <c r="B34" s="20" t="s">
        <v>27</v>
      </c>
      <c r="C34" s="15"/>
      <c r="D34" s="16"/>
      <c r="E34" s="13">
        <v>191.0</v>
      </c>
      <c r="F34" s="13">
        <v>194.0</v>
      </c>
      <c r="G34" s="13">
        <v>198.0</v>
      </c>
      <c r="H34" s="13">
        <v>214.0</v>
      </c>
      <c r="I34" s="13">
        <v>215.0</v>
      </c>
      <c r="J34" s="13">
        <v>199.0</v>
      </c>
      <c r="K34" s="13">
        <v>205.0</v>
      </c>
      <c r="L34" s="13">
        <v>216.0</v>
      </c>
      <c r="M34" s="13">
        <v>202.0</v>
      </c>
      <c r="N34" s="13">
        <v>229.0</v>
      </c>
      <c r="O34" s="13">
        <v>199.0</v>
      </c>
      <c r="P34" s="13">
        <v>162.0</v>
      </c>
      <c r="Q34" s="13">
        <v>185.0</v>
      </c>
      <c r="R34" s="13">
        <v>200.0</v>
      </c>
      <c r="S34" s="13">
        <v>149.0</v>
      </c>
      <c r="T34" s="13">
        <v>203.0</v>
      </c>
      <c r="U34" s="13">
        <v>211.0</v>
      </c>
      <c r="V34" s="13">
        <v>220.0</v>
      </c>
      <c r="W34" s="13">
        <v>224.0</v>
      </c>
      <c r="X34" s="13">
        <v>228.0</v>
      </c>
      <c r="Y34" s="13">
        <v>238.0</v>
      </c>
      <c r="Z34" s="13">
        <v>229.0</v>
      </c>
      <c r="AA34" s="13">
        <v>217.0</v>
      </c>
      <c r="AB34" s="13">
        <f t="shared" si="10"/>
        <v>4728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1.0</v>
      </c>
      <c r="AB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1">E33-(E34+E35)</f>
        <v>31</v>
      </c>
      <c r="F36" s="13">
        <f t="shared" si="11"/>
        <v>59</v>
      </c>
      <c r="G36" s="13">
        <f t="shared" si="11"/>
        <v>60</v>
      </c>
      <c r="H36" s="13">
        <f t="shared" si="11"/>
        <v>42</v>
      </c>
      <c r="I36" s="13">
        <f t="shared" si="11"/>
        <v>37</v>
      </c>
      <c r="J36" s="13">
        <f t="shared" si="11"/>
        <v>53</v>
      </c>
      <c r="K36" s="13">
        <f t="shared" si="11"/>
        <v>60</v>
      </c>
      <c r="L36" s="13">
        <f t="shared" si="11"/>
        <v>68</v>
      </c>
      <c r="M36" s="13">
        <f t="shared" si="11"/>
        <v>69</v>
      </c>
      <c r="N36" s="13">
        <f t="shared" si="11"/>
        <v>54</v>
      </c>
      <c r="O36" s="13">
        <f t="shared" si="11"/>
        <v>70</v>
      </c>
      <c r="P36" s="13">
        <f t="shared" si="11"/>
        <v>105</v>
      </c>
      <c r="Q36" s="13">
        <f t="shared" si="11"/>
        <v>59</v>
      </c>
      <c r="R36" s="13">
        <f t="shared" si="11"/>
        <v>43</v>
      </c>
      <c r="S36" s="13">
        <f t="shared" si="11"/>
        <v>21</v>
      </c>
      <c r="T36" s="13">
        <f t="shared" si="11"/>
        <v>77</v>
      </c>
      <c r="U36" s="13">
        <f t="shared" si="11"/>
        <v>69</v>
      </c>
      <c r="V36" s="13">
        <f t="shared" si="11"/>
        <v>62</v>
      </c>
      <c r="W36" s="13">
        <f t="shared" si="11"/>
        <v>62</v>
      </c>
      <c r="X36" s="13">
        <f t="shared" si="11"/>
        <v>63</v>
      </c>
      <c r="Y36" s="13">
        <f t="shared" si="11"/>
        <v>51</v>
      </c>
      <c r="Z36" s="13">
        <f t="shared" si="11"/>
        <v>67</v>
      </c>
      <c r="AA36" s="13">
        <f t="shared" si="11"/>
        <v>69</v>
      </c>
      <c r="AB36" s="13">
        <f t="shared" si="10"/>
        <v>1351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59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59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3">
        <f t="shared" ref="AB39:AB41" si="12">SUM(E39:AA39)</f>
        <v>1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3"/>
    </row>
    <row r="45" ht="12.75" customHeight="1">
      <c r="A45" s="30"/>
      <c r="B45" s="47" t="s">
        <v>16</v>
      </c>
      <c r="C45" s="61" t="s">
        <v>37</v>
      </c>
      <c r="D45" s="16"/>
      <c r="E45" s="19">
        <v>12.0</v>
      </c>
      <c r="F45" s="19">
        <v>12.0</v>
      </c>
      <c r="G45" s="19">
        <v>8.0</v>
      </c>
      <c r="H45" s="19">
        <v>26.0</v>
      </c>
      <c r="I45" s="19">
        <v>21.0</v>
      </c>
      <c r="J45" s="19">
        <v>22.0</v>
      </c>
      <c r="K45" s="19">
        <v>11.0</v>
      </c>
      <c r="L45" s="19">
        <v>19.0</v>
      </c>
      <c r="M45" s="19">
        <v>14.0</v>
      </c>
      <c r="N45" s="19">
        <v>14.0</v>
      </c>
      <c r="O45" s="19">
        <v>8.0</v>
      </c>
      <c r="P45" s="19">
        <v>13.0</v>
      </c>
      <c r="Q45" s="19">
        <v>23.0</v>
      </c>
      <c r="R45" s="19">
        <v>12.0</v>
      </c>
      <c r="S45" s="19">
        <v>13.0</v>
      </c>
      <c r="T45" s="19">
        <v>29.0</v>
      </c>
      <c r="U45" s="19">
        <v>23.0</v>
      </c>
      <c r="V45" s="19">
        <v>20.0</v>
      </c>
      <c r="W45" s="19">
        <v>21.0</v>
      </c>
      <c r="X45" s="19">
        <v>14.0</v>
      </c>
      <c r="Y45" s="19">
        <v>21.0</v>
      </c>
      <c r="Z45" s="19">
        <v>22.0</v>
      </c>
      <c r="AA45" s="19">
        <v>14.0</v>
      </c>
      <c r="AB45" s="13">
        <f t="shared" ref="AB45:AB57" si="14">SUM(E45:AA45)</f>
        <v>392</v>
      </c>
    </row>
    <row r="46" ht="12.75" customHeight="1">
      <c r="A46" s="18"/>
      <c r="B46" s="47" t="s">
        <v>18</v>
      </c>
      <c r="C46" s="61" t="s">
        <v>38</v>
      </c>
      <c r="D46" s="16"/>
      <c r="E46" s="19">
        <v>35.0</v>
      </c>
      <c r="F46" s="19">
        <v>35.0</v>
      </c>
      <c r="G46" s="19">
        <v>31.0</v>
      </c>
      <c r="H46" s="19">
        <v>45.0</v>
      </c>
      <c r="I46" s="19">
        <v>43.0</v>
      </c>
      <c r="J46" s="19">
        <v>28.0</v>
      </c>
      <c r="K46" s="19">
        <v>28.0</v>
      </c>
      <c r="L46" s="19">
        <v>30.0</v>
      </c>
      <c r="M46" s="19">
        <v>23.0</v>
      </c>
      <c r="N46" s="19">
        <v>28.0</v>
      </c>
      <c r="O46" s="19">
        <v>39.0</v>
      </c>
      <c r="P46" s="19">
        <v>17.0</v>
      </c>
      <c r="Q46" s="19">
        <v>40.0</v>
      </c>
      <c r="R46" s="19">
        <v>43.0</v>
      </c>
      <c r="S46" s="19">
        <v>31.0</v>
      </c>
      <c r="T46" s="19">
        <v>31.0</v>
      </c>
      <c r="U46" s="19">
        <v>29.0</v>
      </c>
      <c r="V46" s="19">
        <v>19.0</v>
      </c>
      <c r="W46" s="19">
        <v>27.0</v>
      </c>
      <c r="X46" s="19">
        <v>23.0</v>
      </c>
      <c r="Y46" s="19">
        <v>30.0</v>
      </c>
      <c r="Z46" s="19">
        <v>34.0</v>
      </c>
      <c r="AA46" s="19">
        <v>31.0</v>
      </c>
      <c r="AB46" s="13">
        <f t="shared" si="14"/>
        <v>720</v>
      </c>
    </row>
    <row r="47" ht="12.75" customHeight="1">
      <c r="A47" s="18"/>
      <c r="B47" s="47" t="s">
        <v>20</v>
      </c>
      <c r="C47" s="61" t="s">
        <v>39</v>
      </c>
      <c r="D47" s="16"/>
      <c r="E47" s="19">
        <v>7.0</v>
      </c>
      <c r="F47" s="19">
        <v>11.0</v>
      </c>
      <c r="G47" s="19">
        <v>23.0</v>
      </c>
      <c r="H47" s="19">
        <v>11.0</v>
      </c>
      <c r="I47" s="19">
        <v>13.0</v>
      </c>
      <c r="J47" s="19">
        <v>6.0</v>
      </c>
      <c r="K47" s="19">
        <v>18.0</v>
      </c>
      <c r="L47" s="19">
        <v>19.0</v>
      </c>
      <c r="M47" s="19">
        <v>9.0</v>
      </c>
      <c r="N47" s="19">
        <v>15.0</v>
      </c>
      <c r="O47" s="19">
        <v>7.0</v>
      </c>
      <c r="P47" s="19">
        <v>14.0</v>
      </c>
      <c r="Q47" s="19">
        <v>6.0</v>
      </c>
      <c r="R47" s="19">
        <v>9.0</v>
      </c>
      <c r="S47" s="19">
        <v>8.0</v>
      </c>
      <c r="T47" s="19">
        <v>10.0</v>
      </c>
      <c r="U47" s="19">
        <v>14.0</v>
      </c>
      <c r="V47" s="19">
        <v>8.0</v>
      </c>
      <c r="W47" s="19">
        <v>16.0</v>
      </c>
      <c r="X47" s="19">
        <v>19.0</v>
      </c>
      <c r="Y47" s="19">
        <v>19.0</v>
      </c>
      <c r="Z47" s="19">
        <v>16.0</v>
      </c>
      <c r="AA47" s="19">
        <v>17.0</v>
      </c>
      <c r="AB47" s="13">
        <f t="shared" si="14"/>
        <v>295</v>
      </c>
    </row>
    <row r="48" ht="12.75" customHeight="1">
      <c r="A48" s="18"/>
      <c r="B48" s="47" t="s">
        <v>22</v>
      </c>
      <c r="C48" s="61" t="s">
        <v>40</v>
      </c>
      <c r="D48" s="16"/>
      <c r="E48" s="19">
        <v>6.0</v>
      </c>
      <c r="F48" s="19">
        <v>23.0</v>
      </c>
      <c r="G48" s="19">
        <v>27.0</v>
      </c>
      <c r="H48" s="19">
        <v>23.0</v>
      </c>
      <c r="I48" s="19">
        <v>28.0</v>
      </c>
      <c r="J48" s="19">
        <v>26.0</v>
      </c>
      <c r="K48" s="19">
        <v>29.0</v>
      </c>
      <c r="L48" s="19">
        <v>25.0</v>
      </c>
      <c r="M48" s="19">
        <v>26.0</v>
      </c>
      <c r="N48" s="19">
        <v>18.0</v>
      </c>
      <c r="O48" s="19">
        <v>18.0</v>
      </c>
      <c r="P48" s="19">
        <v>16.0</v>
      </c>
      <c r="Q48" s="19">
        <v>15.0</v>
      </c>
      <c r="R48" s="19">
        <v>23.0</v>
      </c>
      <c r="S48" s="19">
        <v>17.0</v>
      </c>
      <c r="T48" s="19">
        <v>18.0</v>
      </c>
      <c r="U48" s="19">
        <v>19.0</v>
      </c>
      <c r="V48" s="19">
        <v>17.0</v>
      </c>
      <c r="W48" s="19">
        <v>19.0</v>
      </c>
      <c r="X48" s="19">
        <v>30.0</v>
      </c>
      <c r="Y48" s="19">
        <v>33.0</v>
      </c>
      <c r="Z48" s="19">
        <v>32.0</v>
      </c>
      <c r="AA48" s="19">
        <v>31.0</v>
      </c>
      <c r="AB48" s="13">
        <f t="shared" si="14"/>
        <v>519</v>
      </c>
    </row>
    <row r="49" ht="12.75" customHeight="1">
      <c r="A49" s="18"/>
      <c r="B49" s="47" t="s">
        <v>41</v>
      </c>
      <c r="C49" s="61" t="s">
        <v>42</v>
      </c>
      <c r="D49" s="16"/>
      <c r="E49" s="19">
        <v>9.0</v>
      </c>
      <c r="F49" s="19">
        <v>10.0</v>
      </c>
      <c r="G49" s="19">
        <v>18.0</v>
      </c>
      <c r="H49" s="19">
        <v>13.0</v>
      </c>
      <c r="I49" s="19">
        <v>19.0</v>
      </c>
      <c r="J49" s="19">
        <v>20.0</v>
      </c>
      <c r="K49" s="19">
        <v>28.0</v>
      </c>
      <c r="L49" s="19">
        <v>15.0</v>
      </c>
      <c r="M49" s="19">
        <v>13.0</v>
      </c>
      <c r="N49" s="19">
        <v>20.0</v>
      </c>
      <c r="O49" s="19">
        <v>16.0</v>
      </c>
      <c r="P49" s="19">
        <v>19.0</v>
      </c>
      <c r="Q49" s="19">
        <v>8.0</v>
      </c>
      <c r="R49" s="19">
        <v>8.0</v>
      </c>
      <c r="S49" s="19">
        <v>9.0</v>
      </c>
      <c r="T49" s="19">
        <v>15.0</v>
      </c>
      <c r="U49" s="19">
        <v>9.0</v>
      </c>
      <c r="V49" s="19">
        <v>10.0</v>
      </c>
      <c r="W49" s="19">
        <v>13.0</v>
      </c>
      <c r="X49" s="19">
        <v>13.0</v>
      </c>
      <c r="Y49" s="19">
        <v>24.0</v>
      </c>
      <c r="Z49" s="19">
        <v>21.0</v>
      </c>
      <c r="AA49" s="19">
        <v>17.0</v>
      </c>
      <c r="AB49" s="13">
        <f t="shared" si="14"/>
        <v>347</v>
      </c>
    </row>
    <row r="50" ht="12.75" customHeight="1">
      <c r="A50" s="18"/>
      <c r="B50" s="47" t="s">
        <v>43</v>
      </c>
      <c r="C50" s="61" t="s">
        <v>44</v>
      </c>
      <c r="D50" s="16"/>
      <c r="E50" s="19">
        <v>7.0</v>
      </c>
      <c r="F50" s="19">
        <v>6.0</v>
      </c>
      <c r="G50" s="19">
        <v>9.0</v>
      </c>
      <c r="H50" s="19">
        <v>11.0</v>
      </c>
      <c r="I50" s="19">
        <v>12.0</v>
      </c>
      <c r="J50" s="19">
        <v>5.0</v>
      </c>
      <c r="K50" s="19">
        <v>13.0</v>
      </c>
      <c r="L50" s="19">
        <v>17.0</v>
      </c>
      <c r="M50" s="19">
        <v>17.0</v>
      </c>
      <c r="N50" s="19">
        <v>7.0</v>
      </c>
      <c r="O50" s="19">
        <v>12.0</v>
      </c>
      <c r="P50" s="19">
        <v>7.0</v>
      </c>
      <c r="Q50" s="19">
        <v>10.0</v>
      </c>
      <c r="R50" s="19">
        <v>4.0</v>
      </c>
      <c r="S50" s="19">
        <v>6.0</v>
      </c>
      <c r="T50" s="19">
        <v>16.0</v>
      </c>
      <c r="U50" s="19">
        <v>8.0</v>
      </c>
      <c r="V50" s="19">
        <v>25.0</v>
      </c>
      <c r="W50" s="19">
        <v>13.0</v>
      </c>
      <c r="X50" s="19">
        <v>12.0</v>
      </c>
      <c r="Y50" s="19">
        <v>12.0</v>
      </c>
      <c r="Z50" s="19">
        <v>10.0</v>
      </c>
      <c r="AA50" s="19">
        <v>22.0</v>
      </c>
      <c r="AB50" s="13">
        <f t="shared" si="14"/>
        <v>261</v>
      </c>
    </row>
    <row r="51" ht="12.75" customHeight="1">
      <c r="A51" s="18"/>
      <c r="B51" s="47" t="s">
        <v>45</v>
      </c>
      <c r="C51" s="61" t="s">
        <v>46</v>
      </c>
      <c r="D51" s="16"/>
      <c r="E51" s="19">
        <v>1.0</v>
      </c>
      <c r="F51" s="19">
        <v>2.0</v>
      </c>
      <c r="G51" s="19">
        <v>2.0</v>
      </c>
      <c r="H51" s="19">
        <v>4.0</v>
      </c>
      <c r="I51" s="19">
        <v>2.0</v>
      </c>
      <c r="J51" s="19">
        <v>6.0</v>
      </c>
      <c r="K51" s="19">
        <v>2.0</v>
      </c>
      <c r="L51" s="19">
        <v>3.0</v>
      </c>
      <c r="M51" s="19">
        <v>4.0</v>
      </c>
      <c r="N51" s="19">
        <v>2.0</v>
      </c>
      <c r="O51" s="19">
        <v>1.0</v>
      </c>
      <c r="P51" s="19">
        <v>1.0</v>
      </c>
      <c r="Q51" s="19">
        <v>3.0</v>
      </c>
      <c r="R51" s="19">
        <v>2.0</v>
      </c>
      <c r="S51" s="19">
        <v>2.0</v>
      </c>
      <c r="T51" s="19">
        <v>0.0</v>
      </c>
      <c r="U51" s="19">
        <v>4.0</v>
      </c>
      <c r="V51" s="19">
        <v>0.0</v>
      </c>
      <c r="W51" s="19">
        <v>2.0</v>
      </c>
      <c r="X51" s="19">
        <v>0.0</v>
      </c>
      <c r="Y51" s="19">
        <v>2.0</v>
      </c>
      <c r="Z51" s="19">
        <v>5.0</v>
      </c>
      <c r="AA51" s="19">
        <v>2.0</v>
      </c>
      <c r="AB51" s="13">
        <f t="shared" si="14"/>
        <v>52</v>
      </c>
    </row>
    <row r="52" ht="12.75" customHeight="1">
      <c r="A52" s="18"/>
      <c r="B52" s="47" t="s">
        <v>47</v>
      </c>
      <c r="C52" s="61" t="s">
        <v>48</v>
      </c>
      <c r="D52" s="16"/>
      <c r="E52" s="19">
        <v>2.0</v>
      </c>
      <c r="F52" s="19">
        <v>1.0</v>
      </c>
      <c r="G52" s="19">
        <v>3.0</v>
      </c>
      <c r="H52" s="19">
        <v>2.0</v>
      </c>
      <c r="I52" s="19">
        <v>2.0</v>
      </c>
      <c r="J52" s="19">
        <v>3.0</v>
      </c>
      <c r="K52" s="19">
        <v>3.0</v>
      </c>
      <c r="L52" s="19">
        <v>3.0</v>
      </c>
      <c r="M52" s="19">
        <v>5.0</v>
      </c>
      <c r="N52" s="19">
        <v>4.0</v>
      </c>
      <c r="O52" s="19">
        <v>3.0</v>
      </c>
      <c r="P52" s="19">
        <v>1.0</v>
      </c>
      <c r="Q52" s="19">
        <v>1.0</v>
      </c>
      <c r="R52" s="19">
        <v>3.0</v>
      </c>
      <c r="S52" s="19">
        <v>3.0</v>
      </c>
      <c r="T52" s="19">
        <v>3.0</v>
      </c>
      <c r="U52" s="19">
        <v>4.0</v>
      </c>
      <c r="V52" s="19">
        <v>1.0</v>
      </c>
      <c r="W52" s="19">
        <v>4.0</v>
      </c>
      <c r="X52" s="19">
        <v>5.0</v>
      </c>
      <c r="Y52" s="19">
        <v>4.0</v>
      </c>
      <c r="Z52" s="19">
        <v>3.0</v>
      </c>
      <c r="AA52" s="19">
        <v>0.0</v>
      </c>
      <c r="AB52" s="13">
        <f t="shared" si="14"/>
        <v>63</v>
      </c>
    </row>
    <row r="53" ht="12.75" customHeight="1">
      <c r="A53" s="18"/>
      <c r="B53" s="47" t="s">
        <v>49</v>
      </c>
      <c r="C53" s="61" t="s">
        <v>50</v>
      </c>
      <c r="D53" s="16"/>
      <c r="E53" s="19">
        <v>1.0</v>
      </c>
      <c r="F53" s="19">
        <v>1.0</v>
      </c>
      <c r="G53" s="19">
        <v>0.0</v>
      </c>
      <c r="H53" s="19">
        <v>2.0</v>
      </c>
      <c r="I53" s="19">
        <v>0.0</v>
      </c>
      <c r="J53" s="19">
        <v>2.0</v>
      </c>
      <c r="K53" s="19">
        <v>0.0</v>
      </c>
      <c r="L53" s="19">
        <v>0.0</v>
      </c>
      <c r="M53" s="19">
        <v>0.0</v>
      </c>
      <c r="N53" s="19">
        <v>1.0</v>
      </c>
      <c r="O53" s="19">
        <v>0.0</v>
      </c>
      <c r="P53" s="19">
        <v>1.0</v>
      </c>
      <c r="Q53" s="19">
        <v>3.0</v>
      </c>
      <c r="R53" s="19">
        <v>0.0</v>
      </c>
      <c r="S53" s="19">
        <v>4.0</v>
      </c>
      <c r="T53" s="19">
        <v>2.0</v>
      </c>
      <c r="U53" s="19">
        <v>0.0</v>
      </c>
      <c r="V53" s="19">
        <v>0.0</v>
      </c>
      <c r="W53" s="19">
        <v>0.0</v>
      </c>
      <c r="X53" s="19">
        <v>0.0</v>
      </c>
      <c r="Y53" s="19">
        <v>0.0</v>
      </c>
      <c r="Z53" s="19">
        <v>2.0</v>
      </c>
      <c r="AA53" s="19">
        <v>1.0</v>
      </c>
      <c r="AB53" s="13">
        <f t="shared" si="14"/>
        <v>20</v>
      </c>
    </row>
    <row r="54" ht="12.75" customHeight="1">
      <c r="A54" s="18"/>
      <c r="B54" s="47" t="s">
        <v>51</v>
      </c>
      <c r="C54" s="61" t="s">
        <v>52</v>
      </c>
      <c r="D54" s="16"/>
      <c r="E54" s="19">
        <v>20.0</v>
      </c>
      <c r="F54" s="19">
        <v>13.0</v>
      </c>
      <c r="G54" s="19">
        <v>17.0</v>
      </c>
      <c r="H54" s="19">
        <v>20.0</v>
      </c>
      <c r="I54" s="19">
        <v>18.0</v>
      </c>
      <c r="J54" s="19">
        <v>20.0</v>
      </c>
      <c r="K54" s="19">
        <v>30.0</v>
      </c>
      <c r="L54" s="19">
        <v>24.0</v>
      </c>
      <c r="M54" s="19">
        <v>18.0</v>
      </c>
      <c r="N54" s="19">
        <v>17.0</v>
      </c>
      <c r="O54" s="19">
        <v>13.0</v>
      </c>
      <c r="P54" s="19">
        <v>20.0</v>
      </c>
      <c r="Q54" s="19">
        <v>13.0</v>
      </c>
      <c r="R54" s="19">
        <v>13.0</v>
      </c>
      <c r="S54" s="19">
        <v>24.0</v>
      </c>
      <c r="T54" s="19">
        <v>21.0</v>
      </c>
      <c r="U54" s="19">
        <v>26.0</v>
      </c>
      <c r="V54" s="19">
        <v>29.0</v>
      </c>
      <c r="W54" s="19">
        <v>11.0</v>
      </c>
      <c r="X54" s="19">
        <v>25.0</v>
      </c>
      <c r="Y54" s="19">
        <v>19.0</v>
      </c>
      <c r="Z54" s="19">
        <v>15.0</v>
      </c>
      <c r="AA54" s="19">
        <v>23.0</v>
      </c>
      <c r="AB54" s="13">
        <f t="shared" si="14"/>
        <v>449</v>
      </c>
    </row>
    <row r="55" ht="12.75" customHeight="1">
      <c r="A55" s="18"/>
      <c r="B55" s="47" t="s">
        <v>53</v>
      </c>
      <c r="C55" s="61" t="s">
        <v>54</v>
      </c>
      <c r="D55" s="16"/>
      <c r="E55" s="19">
        <v>0.0</v>
      </c>
      <c r="F55" s="19">
        <v>0.0</v>
      </c>
      <c r="G55" s="19">
        <v>0.0</v>
      </c>
      <c r="H55" s="19">
        <v>2.0</v>
      </c>
      <c r="I55" s="19">
        <v>2.0</v>
      </c>
      <c r="J55" s="19">
        <v>1.0</v>
      </c>
      <c r="K55" s="19">
        <v>1.0</v>
      </c>
      <c r="L55" s="19">
        <v>0.0</v>
      </c>
      <c r="M55" s="19">
        <v>1.0</v>
      </c>
      <c r="N55" s="19">
        <v>1.0</v>
      </c>
      <c r="O55" s="19">
        <v>0.0</v>
      </c>
      <c r="P55" s="19">
        <v>1.0</v>
      </c>
      <c r="Q55" s="19">
        <v>1.0</v>
      </c>
      <c r="R55" s="19">
        <v>1.0</v>
      </c>
      <c r="S55" s="19">
        <v>1.0</v>
      </c>
      <c r="T55" s="19">
        <v>0.0</v>
      </c>
      <c r="U55" s="19">
        <v>2.0</v>
      </c>
      <c r="V55" s="19">
        <v>1.0</v>
      </c>
      <c r="W55" s="19">
        <v>1.0</v>
      </c>
      <c r="X55" s="19">
        <v>2.0</v>
      </c>
      <c r="Y55" s="19">
        <v>4.0</v>
      </c>
      <c r="Z55" s="19">
        <v>2.0</v>
      </c>
      <c r="AA55" s="19">
        <v>1.0</v>
      </c>
      <c r="AB55" s="13">
        <f t="shared" si="14"/>
        <v>25</v>
      </c>
    </row>
    <row r="56" ht="12.75" customHeight="1">
      <c r="A56" s="18"/>
      <c r="B56" s="47" t="s">
        <v>55</v>
      </c>
      <c r="C56" s="61" t="s">
        <v>56</v>
      </c>
      <c r="D56" s="16"/>
      <c r="E56" s="19">
        <v>20.0</v>
      </c>
      <c r="F56" s="19">
        <v>37.0</v>
      </c>
      <c r="G56" s="19">
        <v>16.0</v>
      </c>
      <c r="H56" s="19">
        <v>16.0</v>
      </c>
      <c r="I56" s="19">
        <v>16.0</v>
      </c>
      <c r="J56" s="19">
        <v>22.0</v>
      </c>
      <c r="K56" s="19">
        <v>18.0</v>
      </c>
      <c r="L56" s="19">
        <v>16.0</v>
      </c>
      <c r="M56" s="19">
        <v>19.0</v>
      </c>
      <c r="N56" s="19">
        <v>17.0</v>
      </c>
      <c r="O56" s="19">
        <v>16.0</v>
      </c>
      <c r="P56" s="19">
        <v>23.0</v>
      </c>
      <c r="Q56" s="19">
        <v>24.0</v>
      </c>
      <c r="R56" s="19">
        <v>14.0</v>
      </c>
      <c r="S56" s="19">
        <v>21.0</v>
      </c>
      <c r="T56" s="19">
        <v>19.0</v>
      </c>
      <c r="U56" s="19">
        <v>12.0</v>
      </c>
      <c r="V56" s="19">
        <v>22.0</v>
      </c>
      <c r="W56" s="19">
        <v>16.0</v>
      </c>
      <c r="X56" s="19">
        <v>23.0</v>
      </c>
      <c r="Y56" s="19">
        <v>25.0</v>
      </c>
      <c r="Z56" s="19">
        <v>14.0</v>
      </c>
      <c r="AA56" s="19">
        <v>25.0</v>
      </c>
      <c r="AB56" s="13">
        <f t="shared" si="14"/>
        <v>451</v>
      </c>
    </row>
    <row r="57" ht="12.75" customHeight="1">
      <c r="A57" s="18"/>
      <c r="B57" s="47" t="s">
        <v>57</v>
      </c>
      <c r="C57" s="61" t="s">
        <v>58</v>
      </c>
      <c r="D57" s="16"/>
      <c r="E57" s="19">
        <v>1.0</v>
      </c>
      <c r="F57" s="19">
        <v>2.0</v>
      </c>
      <c r="G57" s="19">
        <v>1.0</v>
      </c>
      <c r="H57" s="19">
        <v>2.0</v>
      </c>
      <c r="I57" s="19">
        <v>1.0</v>
      </c>
      <c r="J57" s="19">
        <v>1.0</v>
      </c>
      <c r="K57" s="19">
        <v>3.0</v>
      </c>
      <c r="L57" s="19">
        <v>1.0</v>
      </c>
      <c r="M57" s="19">
        <v>3.0</v>
      </c>
      <c r="N57" s="19">
        <v>0.0</v>
      </c>
      <c r="O57" s="19">
        <v>3.0</v>
      </c>
      <c r="P57" s="19">
        <v>1.0</v>
      </c>
      <c r="Q57" s="19">
        <v>0.0</v>
      </c>
      <c r="R57" s="19">
        <v>0.0</v>
      </c>
      <c r="S57" s="19">
        <v>0.0</v>
      </c>
      <c r="T57" s="19">
        <v>2.0</v>
      </c>
      <c r="U57" s="19">
        <v>4.0</v>
      </c>
      <c r="V57" s="19">
        <v>1.0</v>
      </c>
      <c r="W57" s="19">
        <v>2.0</v>
      </c>
      <c r="X57" s="19">
        <v>1.0</v>
      </c>
      <c r="Y57" s="19">
        <v>1.0</v>
      </c>
      <c r="Z57" s="19">
        <v>0.0</v>
      </c>
      <c r="AA57" s="19">
        <v>1.0</v>
      </c>
      <c r="AB57" s="13">
        <f t="shared" si="14"/>
        <v>31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13"/>
      <c r="U59" s="13"/>
      <c r="V59" s="13"/>
      <c r="W59" s="13"/>
      <c r="X59" s="60"/>
      <c r="Y59" s="13"/>
      <c r="Z59" s="13"/>
      <c r="AA59" s="13"/>
      <c r="AB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A60" si="15">SUM(E45:E57)</f>
        <v>121</v>
      </c>
      <c r="F60" s="19">
        <f t="shared" si="15"/>
        <v>153</v>
      </c>
      <c r="G60" s="19">
        <f t="shared" si="15"/>
        <v>155</v>
      </c>
      <c r="H60" s="19">
        <f t="shared" si="15"/>
        <v>177</v>
      </c>
      <c r="I60" s="19">
        <f t="shared" si="15"/>
        <v>177</v>
      </c>
      <c r="J60" s="19">
        <f t="shared" si="15"/>
        <v>162</v>
      </c>
      <c r="K60" s="19">
        <f t="shared" si="15"/>
        <v>184</v>
      </c>
      <c r="L60" s="19">
        <f t="shared" si="15"/>
        <v>172</v>
      </c>
      <c r="M60" s="19">
        <f t="shared" si="15"/>
        <v>152</v>
      </c>
      <c r="N60" s="19">
        <f t="shared" si="15"/>
        <v>144</v>
      </c>
      <c r="O60" s="19">
        <f t="shared" si="15"/>
        <v>136</v>
      </c>
      <c r="P60" s="19">
        <f t="shared" si="15"/>
        <v>134</v>
      </c>
      <c r="Q60" s="19">
        <f t="shared" si="15"/>
        <v>147</v>
      </c>
      <c r="R60" s="19">
        <f t="shared" si="15"/>
        <v>132</v>
      </c>
      <c r="S60" s="19">
        <f t="shared" si="15"/>
        <v>139</v>
      </c>
      <c r="T60" s="19">
        <f t="shared" si="15"/>
        <v>166</v>
      </c>
      <c r="U60" s="19">
        <f t="shared" si="15"/>
        <v>154</v>
      </c>
      <c r="V60" s="19">
        <f t="shared" si="15"/>
        <v>153</v>
      </c>
      <c r="W60" s="19">
        <f t="shared" si="15"/>
        <v>145</v>
      </c>
      <c r="X60" s="19">
        <f t="shared" si="15"/>
        <v>167</v>
      </c>
      <c r="Y60" s="19">
        <f t="shared" si="15"/>
        <v>194</v>
      </c>
      <c r="Z60" s="19">
        <f t="shared" si="15"/>
        <v>176</v>
      </c>
      <c r="AA60" s="19">
        <f t="shared" si="15"/>
        <v>185</v>
      </c>
      <c r="AB60" s="13">
        <f t="shared" ref="AB60:AB62" si="16">SUM(E60:AA60)</f>
        <v>3625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70.0</v>
      </c>
      <c r="F61" s="19">
        <v>41.0</v>
      </c>
      <c r="G61" s="19">
        <v>43.0</v>
      </c>
      <c r="H61" s="19">
        <v>37.0</v>
      </c>
      <c r="I61" s="19">
        <v>38.0</v>
      </c>
      <c r="J61" s="19">
        <v>37.0</v>
      </c>
      <c r="K61" s="19">
        <v>21.0</v>
      </c>
      <c r="L61" s="19">
        <v>44.0</v>
      </c>
      <c r="M61" s="19">
        <v>50.0</v>
      </c>
      <c r="N61" s="19">
        <v>85.0</v>
      </c>
      <c r="O61" s="19">
        <v>63.0</v>
      </c>
      <c r="P61" s="19">
        <v>28.0</v>
      </c>
      <c r="Q61" s="19">
        <v>38.0</v>
      </c>
      <c r="R61" s="19">
        <v>68.0</v>
      </c>
      <c r="S61" s="19">
        <v>10.0</v>
      </c>
      <c r="T61" s="19">
        <v>37.0</v>
      </c>
      <c r="U61" s="19">
        <v>57.0</v>
      </c>
      <c r="V61" s="19">
        <v>67.0</v>
      </c>
      <c r="W61" s="19">
        <v>79.0</v>
      </c>
      <c r="X61" s="19">
        <v>61.0</v>
      </c>
      <c r="Y61" s="19">
        <v>44.0</v>
      </c>
      <c r="Z61" s="19">
        <v>53.0</v>
      </c>
      <c r="AA61" s="19">
        <v>32.0</v>
      </c>
      <c r="AB61" s="13">
        <f t="shared" si="16"/>
        <v>1103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A62" si="17">SUM(E60:E61)</f>
        <v>191</v>
      </c>
      <c r="F62" s="13">
        <f t="shared" si="17"/>
        <v>194</v>
      </c>
      <c r="G62" s="13">
        <f t="shared" si="17"/>
        <v>198</v>
      </c>
      <c r="H62" s="13">
        <f t="shared" si="17"/>
        <v>214</v>
      </c>
      <c r="I62" s="13">
        <f t="shared" si="17"/>
        <v>215</v>
      </c>
      <c r="J62" s="13">
        <f t="shared" si="17"/>
        <v>199</v>
      </c>
      <c r="K62" s="13">
        <f t="shared" si="17"/>
        <v>205</v>
      </c>
      <c r="L62" s="13">
        <f t="shared" si="17"/>
        <v>216</v>
      </c>
      <c r="M62" s="13">
        <f t="shared" si="17"/>
        <v>202</v>
      </c>
      <c r="N62" s="13">
        <f t="shared" si="17"/>
        <v>229</v>
      </c>
      <c r="O62" s="13">
        <f t="shared" si="17"/>
        <v>199</v>
      </c>
      <c r="P62" s="13">
        <f t="shared" si="17"/>
        <v>162</v>
      </c>
      <c r="Q62" s="13">
        <f t="shared" si="17"/>
        <v>185</v>
      </c>
      <c r="R62" s="13">
        <f t="shared" si="17"/>
        <v>200</v>
      </c>
      <c r="S62" s="13">
        <f t="shared" si="17"/>
        <v>149</v>
      </c>
      <c r="T62" s="13">
        <f t="shared" si="17"/>
        <v>203</v>
      </c>
      <c r="U62" s="13">
        <f t="shared" si="17"/>
        <v>211</v>
      </c>
      <c r="V62" s="13">
        <f t="shared" si="17"/>
        <v>220</v>
      </c>
      <c r="W62" s="13">
        <f t="shared" si="17"/>
        <v>224</v>
      </c>
      <c r="X62" s="13">
        <f t="shared" si="17"/>
        <v>228</v>
      </c>
      <c r="Y62" s="13">
        <f t="shared" si="17"/>
        <v>238</v>
      </c>
      <c r="Z62" s="13">
        <f t="shared" si="17"/>
        <v>229</v>
      </c>
      <c r="AA62" s="13">
        <f t="shared" si="17"/>
        <v>217</v>
      </c>
      <c r="AB62" s="13">
        <f t="shared" si="16"/>
        <v>4728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AA34">
    <cfRule type="expression" dxfId="0" priority="1">
      <formula>E34&lt;&gt;#REF!</formula>
    </cfRule>
  </conditionalFormatting>
  <conditionalFormatting sqref="E14:AA15 E45:AA57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60:AA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7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68</v>
      </c>
      <c r="F13" s="13" t="s">
        <v>69</v>
      </c>
      <c r="G13" s="13" t="s">
        <v>70</v>
      </c>
      <c r="H13" s="13" t="s">
        <v>71</v>
      </c>
      <c r="I13" s="13" t="s">
        <v>72</v>
      </c>
      <c r="J13" s="13" t="s">
        <v>73</v>
      </c>
      <c r="K13" s="13" t="s">
        <v>74</v>
      </c>
      <c r="L13" s="13" t="s">
        <v>75</v>
      </c>
      <c r="M13" s="13" t="s">
        <v>76</v>
      </c>
      <c r="N13" s="13" t="s">
        <v>77</v>
      </c>
      <c r="O13" s="13" t="s">
        <v>78</v>
      </c>
      <c r="P13" s="13" t="s">
        <v>79</v>
      </c>
      <c r="Q13" s="13" t="s">
        <v>80</v>
      </c>
      <c r="R13" s="13" t="s">
        <v>81</v>
      </c>
      <c r="S13" s="13" t="s">
        <v>82</v>
      </c>
      <c r="T13" s="13" t="s">
        <v>83</v>
      </c>
      <c r="U13" s="13" t="s">
        <v>84</v>
      </c>
      <c r="V13" s="13" t="s">
        <v>85</v>
      </c>
      <c r="W13" s="13" t="s">
        <v>86</v>
      </c>
      <c r="X13" s="36"/>
    </row>
    <row r="14" ht="12.75" customHeight="1">
      <c r="A14" s="18"/>
      <c r="B14" s="22" t="s">
        <v>10</v>
      </c>
      <c r="C14" s="23"/>
      <c r="D14" s="19" t="s">
        <v>11</v>
      </c>
      <c r="E14" s="19">
        <v>141.0</v>
      </c>
      <c r="F14" s="19">
        <v>142.0</v>
      </c>
      <c r="G14" s="19">
        <v>143.0</v>
      </c>
      <c r="H14" s="19">
        <v>153.0</v>
      </c>
      <c r="I14" s="19">
        <v>149.0</v>
      </c>
      <c r="J14" s="19">
        <v>150.0</v>
      </c>
      <c r="K14" s="19">
        <v>144.0</v>
      </c>
      <c r="L14" s="19">
        <v>146.0</v>
      </c>
      <c r="M14" s="19">
        <v>145.0</v>
      </c>
      <c r="N14" s="19">
        <v>141.0</v>
      </c>
      <c r="O14" s="19">
        <v>79.0</v>
      </c>
      <c r="P14" s="19">
        <v>83.0</v>
      </c>
      <c r="Q14" s="19">
        <v>82.0</v>
      </c>
      <c r="R14" s="19">
        <v>83.0</v>
      </c>
      <c r="S14" s="19">
        <v>141.0</v>
      </c>
      <c r="T14" s="19">
        <v>129.0</v>
      </c>
      <c r="U14" s="19">
        <v>154.0</v>
      </c>
      <c r="V14" s="19">
        <v>101.0</v>
      </c>
      <c r="W14" s="19">
        <v>141.0</v>
      </c>
      <c r="X14" s="13">
        <f t="shared" ref="X14:X16" si="1">SUM(E14:W14)</f>
        <v>2447</v>
      </c>
    </row>
    <row r="15" ht="12.75" customHeight="1">
      <c r="A15" s="18"/>
      <c r="B15" s="26"/>
      <c r="C15" s="27"/>
      <c r="D15" s="19" t="s">
        <v>12</v>
      </c>
      <c r="E15" s="19">
        <v>141.0</v>
      </c>
      <c r="F15" s="19">
        <v>154.0</v>
      </c>
      <c r="G15" s="19">
        <v>147.0</v>
      </c>
      <c r="H15" s="19">
        <v>140.0</v>
      </c>
      <c r="I15" s="19">
        <v>142.0</v>
      </c>
      <c r="J15" s="19">
        <v>145.0</v>
      </c>
      <c r="K15" s="19">
        <v>148.0</v>
      </c>
      <c r="L15" s="19">
        <v>150.0</v>
      </c>
      <c r="M15" s="19">
        <v>149.0</v>
      </c>
      <c r="N15" s="19">
        <v>127.0</v>
      </c>
      <c r="O15" s="19">
        <v>84.0</v>
      </c>
      <c r="P15" s="19">
        <v>90.0</v>
      </c>
      <c r="Q15" s="19">
        <v>87.0</v>
      </c>
      <c r="R15" s="19">
        <v>89.0</v>
      </c>
      <c r="S15" s="19">
        <v>151.0</v>
      </c>
      <c r="T15" s="19">
        <v>157.0</v>
      </c>
      <c r="U15" s="19">
        <v>145.0</v>
      </c>
      <c r="V15" s="19">
        <v>112.0</v>
      </c>
      <c r="W15" s="19">
        <v>155.0</v>
      </c>
      <c r="X15" s="13">
        <f t="shared" si="1"/>
        <v>2513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282</v>
      </c>
      <c r="F16" s="13">
        <f t="shared" si="2"/>
        <v>296</v>
      </c>
      <c r="G16" s="13">
        <f t="shared" si="2"/>
        <v>290</v>
      </c>
      <c r="H16" s="13">
        <f t="shared" si="2"/>
        <v>293</v>
      </c>
      <c r="I16" s="13">
        <f t="shared" si="2"/>
        <v>291</v>
      </c>
      <c r="J16" s="13">
        <f t="shared" si="2"/>
        <v>295</v>
      </c>
      <c r="K16" s="13">
        <f t="shared" si="2"/>
        <v>292</v>
      </c>
      <c r="L16" s="13">
        <f t="shared" si="2"/>
        <v>296</v>
      </c>
      <c r="M16" s="13">
        <f t="shared" si="2"/>
        <v>294</v>
      </c>
      <c r="N16" s="13">
        <f t="shared" si="2"/>
        <v>268</v>
      </c>
      <c r="O16" s="13">
        <f t="shared" si="2"/>
        <v>163</v>
      </c>
      <c r="P16" s="13">
        <f t="shared" si="2"/>
        <v>173</v>
      </c>
      <c r="Q16" s="13">
        <f t="shared" si="2"/>
        <v>169</v>
      </c>
      <c r="R16" s="13">
        <f t="shared" si="2"/>
        <v>172</v>
      </c>
      <c r="S16" s="13">
        <f t="shared" si="2"/>
        <v>292</v>
      </c>
      <c r="T16" s="13">
        <f t="shared" si="2"/>
        <v>286</v>
      </c>
      <c r="U16" s="13">
        <f t="shared" si="2"/>
        <v>299</v>
      </c>
      <c r="V16" s="13">
        <f t="shared" si="2"/>
        <v>213</v>
      </c>
      <c r="W16" s="13">
        <f t="shared" si="2"/>
        <v>296</v>
      </c>
      <c r="X16" s="13">
        <f t="shared" si="1"/>
        <v>4960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9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9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104.0</v>
      </c>
      <c r="F19" s="19">
        <v>109.0</v>
      </c>
      <c r="G19" s="19">
        <v>106.0</v>
      </c>
      <c r="H19" s="19">
        <v>110.0</v>
      </c>
      <c r="I19" s="19">
        <v>113.0</v>
      </c>
      <c r="J19" s="19">
        <v>117.0</v>
      </c>
      <c r="K19" s="19">
        <v>95.0</v>
      </c>
      <c r="L19" s="19">
        <v>120.0</v>
      </c>
      <c r="M19" s="19">
        <v>117.0</v>
      </c>
      <c r="N19" s="19">
        <v>102.0</v>
      </c>
      <c r="O19" s="19">
        <v>63.0</v>
      </c>
      <c r="P19" s="19">
        <v>64.0</v>
      </c>
      <c r="Q19" s="19">
        <v>69.0</v>
      </c>
      <c r="R19" s="19">
        <v>70.0</v>
      </c>
      <c r="S19" s="19">
        <v>123.0</v>
      </c>
      <c r="T19" s="19">
        <v>98.0</v>
      </c>
      <c r="U19" s="19">
        <v>119.0</v>
      </c>
      <c r="V19" s="19">
        <v>78.0</v>
      </c>
      <c r="W19" s="19">
        <v>83.0</v>
      </c>
      <c r="X19" s="13">
        <f t="shared" ref="X19:X30" si="3">SUM(E19:W19)</f>
        <v>1860</v>
      </c>
    </row>
    <row r="20" ht="12.75" customHeight="1">
      <c r="A20" s="33"/>
      <c r="B20" s="27"/>
      <c r="C20" s="34"/>
      <c r="D20" s="19" t="s">
        <v>12</v>
      </c>
      <c r="E20" s="19">
        <v>115.0</v>
      </c>
      <c r="F20" s="19">
        <v>123.0</v>
      </c>
      <c r="G20" s="19">
        <v>123.0</v>
      </c>
      <c r="H20" s="19">
        <v>116.0</v>
      </c>
      <c r="I20" s="19">
        <v>120.0</v>
      </c>
      <c r="J20" s="19">
        <v>112.0</v>
      </c>
      <c r="K20" s="19">
        <v>110.0</v>
      </c>
      <c r="L20" s="19">
        <v>122.0</v>
      </c>
      <c r="M20" s="19">
        <v>116.0</v>
      </c>
      <c r="N20" s="19">
        <v>101.0</v>
      </c>
      <c r="O20" s="19">
        <v>72.0</v>
      </c>
      <c r="P20" s="19">
        <v>79.0</v>
      </c>
      <c r="Q20" s="19">
        <v>73.0</v>
      </c>
      <c r="R20" s="19">
        <v>80.0</v>
      </c>
      <c r="S20" s="19">
        <v>136.0</v>
      </c>
      <c r="T20" s="19">
        <v>128.0</v>
      </c>
      <c r="U20" s="19">
        <v>108.0</v>
      </c>
      <c r="V20" s="19">
        <v>89.0</v>
      </c>
      <c r="W20" s="19">
        <v>104.0</v>
      </c>
      <c r="X20" s="13">
        <f t="shared" si="3"/>
        <v>2027</v>
      </c>
    </row>
    <row r="21" ht="12.75" customHeight="1">
      <c r="A21" s="35"/>
      <c r="B21" s="28"/>
      <c r="C21" s="36"/>
      <c r="D21" s="13" t="s">
        <v>13</v>
      </c>
      <c r="E21" s="13">
        <f t="shared" ref="E21:W21" si="4">SUM(E19:E20)</f>
        <v>219</v>
      </c>
      <c r="F21" s="13">
        <f t="shared" si="4"/>
        <v>232</v>
      </c>
      <c r="G21" s="13">
        <f t="shared" si="4"/>
        <v>229</v>
      </c>
      <c r="H21" s="13">
        <f t="shared" si="4"/>
        <v>226</v>
      </c>
      <c r="I21" s="13">
        <f t="shared" si="4"/>
        <v>233</v>
      </c>
      <c r="J21" s="13">
        <f t="shared" si="4"/>
        <v>229</v>
      </c>
      <c r="K21" s="13">
        <f t="shared" si="4"/>
        <v>205</v>
      </c>
      <c r="L21" s="13">
        <f t="shared" si="4"/>
        <v>242</v>
      </c>
      <c r="M21" s="13">
        <f t="shared" si="4"/>
        <v>233</v>
      </c>
      <c r="N21" s="13">
        <f t="shared" si="4"/>
        <v>203</v>
      </c>
      <c r="O21" s="13">
        <f t="shared" si="4"/>
        <v>135</v>
      </c>
      <c r="P21" s="13">
        <f t="shared" si="4"/>
        <v>143</v>
      </c>
      <c r="Q21" s="13">
        <f t="shared" si="4"/>
        <v>142</v>
      </c>
      <c r="R21" s="13">
        <f t="shared" si="4"/>
        <v>150</v>
      </c>
      <c r="S21" s="13">
        <f t="shared" si="4"/>
        <v>259</v>
      </c>
      <c r="T21" s="13">
        <f t="shared" si="4"/>
        <v>226</v>
      </c>
      <c r="U21" s="13">
        <f t="shared" si="4"/>
        <v>227</v>
      </c>
      <c r="V21" s="13">
        <f t="shared" si="4"/>
        <v>167</v>
      </c>
      <c r="W21" s="13">
        <f t="shared" si="4"/>
        <v>187</v>
      </c>
      <c r="X21" s="13">
        <f t="shared" si="3"/>
        <v>3887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0.0</v>
      </c>
      <c r="X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3"/>
        <v>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2.0</v>
      </c>
      <c r="F25" s="19">
        <v>0.0</v>
      </c>
      <c r="G25" s="19">
        <v>0.0</v>
      </c>
      <c r="H25" s="19">
        <v>3.0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0.0</v>
      </c>
      <c r="R25" s="19">
        <v>0.0</v>
      </c>
      <c r="S25" s="19">
        <v>2.0</v>
      </c>
      <c r="T25" s="19">
        <v>0.0</v>
      </c>
      <c r="U25" s="19">
        <v>2.0</v>
      </c>
      <c r="V25" s="19">
        <v>0.0</v>
      </c>
      <c r="W25" s="19">
        <v>0.0</v>
      </c>
      <c r="X25" s="13">
        <f t="shared" si="3"/>
        <v>11</v>
      </c>
    </row>
    <row r="26" ht="12.75" customHeight="1">
      <c r="A26" s="33"/>
      <c r="B26" s="27"/>
      <c r="C26" s="34"/>
      <c r="D26" s="19" t="s">
        <v>12</v>
      </c>
      <c r="E26" s="19">
        <v>3.0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1.0</v>
      </c>
      <c r="R26" s="19">
        <v>0.0</v>
      </c>
      <c r="S26" s="19">
        <v>5.0</v>
      </c>
      <c r="T26" s="19">
        <v>0.0</v>
      </c>
      <c r="U26" s="19">
        <v>0.0</v>
      </c>
      <c r="V26" s="19">
        <v>0.0</v>
      </c>
      <c r="W26" s="19">
        <v>0.0</v>
      </c>
      <c r="X26" s="13">
        <f t="shared" si="3"/>
        <v>10</v>
      </c>
    </row>
    <row r="27" ht="12.75" customHeight="1">
      <c r="A27" s="35"/>
      <c r="B27" s="28"/>
      <c r="C27" s="36"/>
      <c r="D27" s="13" t="s">
        <v>13</v>
      </c>
      <c r="E27" s="13">
        <f t="shared" ref="E27:W27" si="6">SUM(E25:E26)</f>
        <v>5</v>
      </c>
      <c r="F27" s="13">
        <f t="shared" si="6"/>
        <v>0</v>
      </c>
      <c r="G27" s="13">
        <f t="shared" si="6"/>
        <v>0</v>
      </c>
      <c r="H27" s="13">
        <f t="shared" si="6"/>
        <v>4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7</v>
      </c>
      <c r="T27" s="13">
        <f t="shared" si="6"/>
        <v>0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3"/>
        <v>21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W28" si="7">SUM(E19,E22,E25)</f>
        <v>106</v>
      </c>
      <c r="F28" s="13">
        <f t="shared" si="7"/>
        <v>109</v>
      </c>
      <c r="G28" s="13">
        <f t="shared" si="7"/>
        <v>106</v>
      </c>
      <c r="H28" s="13">
        <f t="shared" si="7"/>
        <v>113</v>
      </c>
      <c r="I28" s="13">
        <f t="shared" si="7"/>
        <v>114</v>
      </c>
      <c r="J28" s="13">
        <f t="shared" si="7"/>
        <v>117</v>
      </c>
      <c r="K28" s="13">
        <f t="shared" si="7"/>
        <v>95</v>
      </c>
      <c r="L28" s="13">
        <f t="shared" si="7"/>
        <v>120</v>
      </c>
      <c r="M28" s="13">
        <f t="shared" si="7"/>
        <v>117</v>
      </c>
      <c r="N28" s="13">
        <f t="shared" si="7"/>
        <v>102</v>
      </c>
      <c r="O28" s="13">
        <f t="shared" si="7"/>
        <v>64</v>
      </c>
      <c r="P28" s="13">
        <f t="shared" si="7"/>
        <v>64</v>
      </c>
      <c r="Q28" s="13">
        <f t="shared" si="7"/>
        <v>69</v>
      </c>
      <c r="R28" s="13">
        <f t="shared" si="7"/>
        <v>70</v>
      </c>
      <c r="S28" s="13">
        <f t="shared" si="7"/>
        <v>125</v>
      </c>
      <c r="T28" s="13">
        <f t="shared" si="7"/>
        <v>98</v>
      </c>
      <c r="U28" s="13">
        <f t="shared" si="7"/>
        <v>122</v>
      </c>
      <c r="V28" s="13">
        <f t="shared" si="7"/>
        <v>78</v>
      </c>
      <c r="W28" s="13">
        <f t="shared" si="7"/>
        <v>83</v>
      </c>
      <c r="X28" s="13">
        <f t="shared" si="3"/>
        <v>1872</v>
      </c>
    </row>
    <row r="29" ht="12.75" customHeight="1">
      <c r="A29" s="35"/>
      <c r="B29" s="27"/>
      <c r="C29" s="34"/>
      <c r="D29" s="13" t="s">
        <v>12</v>
      </c>
      <c r="E29" s="13">
        <f t="shared" ref="E29:W29" si="8">SUM(E20,E23,E26)</f>
        <v>118</v>
      </c>
      <c r="F29" s="13">
        <f t="shared" si="8"/>
        <v>123</v>
      </c>
      <c r="G29" s="13">
        <f t="shared" si="8"/>
        <v>123</v>
      </c>
      <c r="H29" s="13">
        <f t="shared" si="8"/>
        <v>117</v>
      </c>
      <c r="I29" s="13">
        <f t="shared" si="8"/>
        <v>120</v>
      </c>
      <c r="J29" s="13">
        <f t="shared" si="8"/>
        <v>112</v>
      </c>
      <c r="K29" s="13">
        <f t="shared" si="8"/>
        <v>110</v>
      </c>
      <c r="L29" s="13">
        <f t="shared" si="8"/>
        <v>122</v>
      </c>
      <c r="M29" s="13">
        <f t="shared" si="8"/>
        <v>116</v>
      </c>
      <c r="N29" s="13">
        <f t="shared" si="8"/>
        <v>101</v>
      </c>
      <c r="O29" s="13">
        <f t="shared" si="8"/>
        <v>72</v>
      </c>
      <c r="P29" s="13">
        <f t="shared" si="8"/>
        <v>79</v>
      </c>
      <c r="Q29" s="13">
        <f t="shared" si="8"/>
        <v>74</v>
      </c>
      <c r="R29" s="13">
        <f t="shared" si="8"/>
        <v>80</v>
      </c>
      <c r="S29" s="13">
        <f t="shared" si="8"/>
        <v>141</v>
      </c>
      <c r="T29" s="13">
        <f t="shared" si="8"/>
        <v>128</v>
      </c>
      <c r="U29" s="13">
        <f t="shared" si="8"/>
        <v>109</v>
      </c>
      <c r="V29" s="13">
        <f t="shared" si="8"/>
        <v>89</v>
      </c>
      <c r="W29" s="13">
        <f t="shared" si="8"/>
        <v>104</v>
      </c>
      <c r="X29" s="13">
        <f t="shared" si="3"/>
        <v>2038</v>
      </c>
    </row>
    <row r="30" ht="12.75" customHeight="1">
      <c r="A30" s="35"/>
      <c r="B30" s="28"/>
      <c r="C30" s="36"/>
      <c r="D30" s="13" t="s">
        <v>13</v>
      </c>
      <c r="E30" s="13">
        <f t="shared" ref="E30:W30" si="9">SUM(E28:E29)</f>
        <v>224</v>
      </c>
      <c r="F30" s="13">
        <f t="shared" si="9"/>
        <v>232</v>
      </c>
      <c r="G30" s="13">
        <f t="shared" si="9"/>
        <v>229</v>
      </c>
      <c r="H30" s="13">
        <f t="shared" si="9"/>
        <v>230</v>
      </c>
      <c r="I30" s="13">
        <f t="shared" si="9"/>
        <v>234</v>
      </c>
      <c r="J30" s="13">
        <f t="shared" si="9"/>
        <v>229</v>
      </c>
      <c r="K30" s="13">
        <f t="shared" si="9"/>
        <v>205</v>
      </c>
      <c r="L30" s="13">
        <f t="shared" si="9"/>
        <v>242</v>
      </c>
      <c r="M30" s="13">
        <f t="shared" si="9"/>
        <v>233</v>
      </c>
      <c r="N30" s="13">
        <f t="shared" si="9"/>
        <v>203</v>
      </c>
      <c r="O30" s="13">
        <f t="shared" si="9"/>
        <v>136</v>
      </c>
      <c r="P30" s="13">
        <f t="shared" si="9"/>
        <v>143</v>
      </c>
      <c r="Q30" s="13">
        <f t="shared" si="9"/>
        <v>143</v>
      </c>
      <c r="R30" s="13">
        <f t="shared" si="9"/>
        <v>150</v>
      </c>
      <c r="S30" s="13">
        <f t="shared" si="9"/>
        <v>266</v>
      </c>
      <c r="T30" s="13">
        <f t="shared" si="9"/>
        <v>226</v>
      </c>
      <c r="U30" s="13">
        <f t="shared" si="9"/>
        <v>231</v>
      </c>
      <c r="V30" s="13">
        <f t="shared" si="9"/>
        <v>167</v>
      </c>
      <c r="W30" s="13">
        <f t="shared" si="9"/>
        <v>187</v>
      </c>
      <c r="X30" s="13">
        <f t="shared" si="3"/>
        <v>3910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9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59"/>
    </row>
    <row r="33" ht="12.75" customHeight="1">
      <c r="A33" s="19">
        <v>1.0</v>
      </c>
      <c r="B33" s="20" t="s">
        <v>26</v>
      </c>
      <c r="C33" s="15"/>
      <c r="D33" s="16"/>
      <c r="E33" s="19">
        <v>278.0</v>
      </c>
      <c r="F33" s="19">
        <v>289.0</v>
      </c>
      <c r="G33" s="19">
        <v>286.0</v>
      </c>
      <c r="H33" s="19">
        <v>287.0</v>
      </c>
      <c r="I33" s="19">
        <v>285.0</v>
      </c>
      <c r="J33" s="19">
        <v>270.0</v>
      </c>
      <c r="K33" s="19">
        <v>277.0</v>
      </c>
      <c r="L33" s="19">
        <v>293.0</v>
      </c>
      <c r="M33" s="19">
        <v>289.0</v>
      </c>
      <c r="N33" s="19">
        <v>265.0</v>
      </c>
      <c r="O33" s="19">
        <v>168.0</v>
      </c>
      <c r="P33" s="19">
        <v>177.0</v>
      </c>
      <c r="Q33" s="19">
        <v>173.0</v>
      </c>
      <c r="R33" s="19">
        <v>175.0</v>
      </c>
      <c r="S33" s="19">
        <v>298.0</v>
      </c>
      <c r="T33" s="19">
        <v>273.0</v>
      </c>
      <c r="U33" s="19">
        <v>305.0</v>
      </c>
      <c r="V33" s="19">
        <v>210.0</v>
      </c>
      <c r="W33" s="19">
        <v>304.0</v>
      </c>
      <c r="X33" s="13">
        <f t="shared" ref="X33:X36" si="10">SUM(E33:W33)</f>
        <v>4902</v>
      </c>
    </row>
    <row r="34" ht="12.75" customHeight="1">
      <c r="A34" s="19">
        <v>2.0</v>
      </c>
      <c r="B34" s="20" t="s">
        <v>27</v>
      </c>
      <c r="C34" s="15"/>
      <c r="D34" s="16"/>
      <c r="E34" s="13">
        <v>224.0</v>
      </c>
      <c r="F34" s="13">
        <v>232.0</v>
      </c>
      <c r="G34" s="13">
        <v>229.0</v>
      </c>
      <c r="H34" s="13">
        <v>230.0</v>
      </c>
      <c r="I34" s="13">
        <v>234.0</v>
      </c>
      <c r="J34" s="13">
        <v>229.0</v>
      </c>
      <c r="K34" s="13">
        <v>205.0</v>
      </c>
      <c r="L34" s="13">
        <v>242.0</v>
      </c>
      <c r="M34" s="13">
        <v>233.0</v>
      </c>
      <c r="N34" s="13">
        <v>203.0</v>
      </c>
      <c r="O34" s="13">
        <v>136.0</v>
      </c>
      <c r="P34" s="13">
        <v>143.0</v>
      </c>
      <c r="Q34" s="13">
        <v>143.0</v>
      </c>
      <c r="R34" s="13">
        <v>150.0</v>
      </c>
      <c r="S34" s="13">
        <v>266.0</v>
      </c>
      <c r="T34" s="13">
        <v>226.0</v>
      </c>
      <c r="U34" s="13">
        <v>231.0</v>
      </c>
      <c r="V34" s="13">
        <v>167.0</v>
      </c>
      <c r="W34" s="13">
        <v>187.0</v>
      </c>
      <c r="X34" s="13">
        <f t="shared" si="10"/>
        <v>3910</v>
      </c>
    </row>
    <row r="35" ht="12.75" customHeight="1">
      <c r="A35" s="19">
        <v>3.0</v>
      </c>
      <c r="B35" s="20" t="s">
        <v>28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53</v>
      </c>
      <c r="F36" s="13">
        <f t="shared" si="11"/>
        <v>57</v>
      </c>
      <c r="G36" s="13">
        <f t="shared" si="11"/>
        <v>57</v>
      </c>
      <c r="H36" s="13">
        <f t="shared" si="11"/>
        <v>57</v>
      </c>
      <c r="I36" s="13">
        <f t="shared" si="11"/>
        <v>51</v>
      </c>
      <c r="J36" s="13">
        <f t="shared" si="11"/>
        <v>41</v>
      </c>
      <c r="K36" s="13">
        <f t="shared" si="11"/>
        <v>72</v>
      </c>
      <c r="L36" s="13">
        <f t="shared" si="11"/>
        <v>51</v>
      </c>
      <c r="M36" s="13">
        <f t="shared" si="11"/>
        <v>56</v>
      </c>
      <c r="N36" s="13">
        <f t="shared" si="11"/>
        <v>62</v>
      </c>
      <c r="O36" s="13">
        <f t="shared" si="11"/>
        <v>32</v>
      </c>
      <c r="P36" s="13">
        <f t="shared" si="11"/>
        <v>34</v>
      </c>
      <c r="Q36" s="13">
        <f t="shared" si="11"/>
        <v>30</v>
      </c>
      <c r="R36" s="13">
        <f t="shared" si="11"/>
        <v>24</v>
      </c>
      <c r="S36" s="13">
        <f t="shared" si="11"/>
        <v>32</v>
      </c>
      <c r="T36" s="13">
        <f t="shared" si="11"/>
        <v>47</v>
      </c>
      <c r="U36" s="13">
        <f t="shared" si="11"/>
        <v>74</v>
      </c>
      <c r="V36" s="13">
        <f t="shared" si="11"/>
        <v>43</v>
      </c>
      <c r="W36" s="13">
        <f t="shared" si="11"/>
        <v>117</v>
      </c>
      <c r="X36" s="13">
        <f t="shared" si="10"/>
        <v>990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9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59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3">
        <f t="shared" ref="X39:X41" si="12">SUM(E39:W39)</f>
        <v>2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13"/>
    </row>
    <row r="45" ht="12.75" customHeight="1">
      <c r="A45" s="30"/>
      <c r="B45" s="47" t="s">
        <v>16</v>
      </c>
      <c r="C45" s="61" t="s">
        <v>37</v>
      </c>
      <c r="D45" s="16"/>
      <c r="E45" s="19">
        <v>25.0</v>
      </c>
      <c r="F45" s="19">
        <v>12.0</v>
      </c>
      <c r="G45" s="19">
        <v>14.0</v>
      </c>
      <c r="H45" s="19">
        <v>10.0</v>
      </c>
      <c r="I45" s="19">
        <v>27.0</v>
      </c>
      <c r="J45" s="19">
        <v>25.0</v>
      </c>
      <c r="K45" s="19">
        <v>7.0</v>
      </c>
      <c r="L45" s="19">
        <v>25.0</v>
      </c>
      <c r="M45" s="19">
        <v>18.0</v>
      </c>
      <c r="N45" s="19">
        <v>21.0</v>
      </c>
      <c r="O45" s="19">
        <v>18.0</v>
      </c>
      <c r="P45" s="19">
        <v>10.0</v>
      </c>
      <c r="Q45" s="19">
        <v>12.0</v>
      </c>
      <c r="R45" s="19">
        <v>9.0</v>
      </c>
      <c r="S45" s="19">
        <v>27.0</v>
      </c>
      <c r="T45" s="19">
        <v>30.0</v>
      </c>
      <c r="U45" s="19">
        <v>11.0</v>
      </c>
      <c r="V45" s="19">
        <v>10.0</v>
      </c>
      <c r="W45" s="19">
        <v>15.0</v>
      </c>
      <c r="X45" s="13">
        <f t="shared" ref="X45:X57" si="14">SUM(E45:W45)</f>
        <v>326</v>
      </c>
    </row>
    <row r="46" ht="12.75" customHeight="1">
      <c r="A46" s="18"/>
      <c r="B46" s="47" t="s">
        <v>18</v>
      </c>
      <c r="C46" s="61" t="s">
        <v>38</v>
      </c>
      <c r="D46" s="16"/>
      <c r="E46" s="19">
        <v>28.0</v>
      </c>
      <c r="F46" s="19">
        <v>33.0</v>
      </c>
      <c r="G46" s="19">
        <v>27.0</v>
      </c>
      <c r="H46" s="19">
        <v>23.0</v>
      </c>
      <c r="I46" s="19">
        <v>35.0</v>
      </c>
      <c r="J46" s="19">
        <v>35.0</v>
      </c>
      <c r="K46" s="19">
        <v>33.0</v>
      </c>
      <c r="L46" s="19">
        <v>23.0</v>
      </c>
      <c r="M46" s="19">
        <v>50.0</v>
      </c>
      <c r="N46" s="19">
        <v>25.0</v>
      </c>
      <c r="O46" s="19">
        <v>21.0</v>
      </c>
      <c r="P46" s="19">
        <v>21.0</v>
      </c>
      <c r="Q46" s="19">
        <v>20.0</v>
      </c>
      <c r="R46" s="19">
        <v>25.0</v>
      </c>
      <c r="S46" s="19">
        <v>27.0</v>
      </c>
      <c r="T46" s="19">
        <v>35.0</v>
      </c>
      <c r="U46" s="19">
        <v>25.0</v>
      </c>
      <c r="V46" s="19">
        <v>24.0</v>
      </c>
      <c r="W46" s="19">
        <v>36.0</v>
      </c>
      <c r="X46" s="13">
        <f t="shared" si="14"/>
        <v>546</v>
      </c>
    </row>
    <row r="47" ht="12.75" customHeight="1">
      <c r="A47" s="18"/>
      <c r="B47" s="47" t="s">
        <v>20</v>
      </c>
      <c r="C47" s="61" t="s">
        <v>39</v>
      </c>
      <c r="D47" s="16"/>
      <c r="E47" s="19">
        <v>15.0</v>
      </c>
      <c r="F47" s="19">
        <v>11.0</v>
      </c>
      <c r="G47" s="19">
        <v>7.0</v>
      </c>
      <c r="H47" s="19">
        <v>15.0</v>
      </c>
      <c r="I47" s="19">
        <v>20.0</v>
      </c>
      <c r="J47" s="19">
        <v>12.0</v>
      </c>
      <c r="K47" s="19">
        <v>20.0</v>
      </c>
      <c r="L47" s="19">
        <v>13.0</v>
      </c>
      <c r="M47" s="19">
        <v>11.0</v>
      </c>
      <c r="N47" s="19">
        <v>16.0</v>
      </c>
      <c r="O47" s="19">
        <v>4.0</v>
      </c>
      <c r="P47" s="19">
        <v>10.0</v>
      </c>
      <c r="Q47" s="19">
        <v>2.0</v>
      </c>
      <c r="R47" s="19">
        <v>4.0</v>
      </c>
      <c r="S47" s="19">
        <v>13.0</v>
      </c>
      <c r="T47" s="19">
        <v>17.0</v>
      </c>
      <c r="U47" s="19">
        <v>17.0</v>
      </c>
      <c r="V47" s="19">
        <v>14.0</v>
      </c>
      <c r="W47" s="19">
        <v>10.0</v>
      </c>
      <c r="X47" s="13">
        <f t="shared" si="14"/>
        <v>231</v>
      </c>
    </row>
    <row r="48" ht="12.75" customHeight="1">
      <c r="A48" s="18"/>
      <c r="B48" s="47" t="s">
        <v>22</v>
      </c>
      <c r="C48" s="61" t="s">
        <v>40</v>
      </c>
      <c r="D48" s="16"/>
      <c r="E48" s="19">
        <v>27.0</v>
      </c>
      <c r="F48" s="19">
        <v>17.0</v>
      </c>
      <c r="G48" s="19">
        <v>25.0</v>
      </c>
      <c r="H48" s="19">
        <v>26.0</v>
      </c>
      <c r="I48" s="19">
        <v>27.0</v>
      </c>
      <c r="J48" s="19">
        <v>21.0</v>
      </c>
      <c r="K48" s="19">
        <v>32.0</v>
      </c>
      <c r="L48" s="19">
        <v>24.0</v>
      </c>
      <c r="M48" s="19">
        <v>29.0</v>
      </c>
      <c r="N48" s="19">
        <v>24.0</v>
      </c>
      <c r="O48" s="19">
        <v>9.0</v>
      </c>
      <c r="P48" s="19">
        <v>13.0</v>
      </c>
      <c r="Q48" s="19">
        <v>27.0</v>
      </c>
      <c r="R48" s="19">
        <v>13.0</v>
      </c>
      <c r="S48" s="19">
        <v>24.0</v>
      </c>
      <c r="T48" s="19">
        <v>32.0</v>
      </c>
      <c r="U48" s="19">
        <v>37.0</v>
      </c>
      <c r="V48" s="19">
        <v>25.0</v>
      </c>
      <c r="W48" s="19">
        <v>43.0</v>
      </c>
      <c r="X48" s="13">
        <f t="shared" si="14"/>
        <v>475</v>
      </c>
    </row>
    <row r="49" ht="12.75" customHeight="1">
      <c r="A49" s="18"/>
      <c r="B49" s="47" t="s">
        <v>41</v>
      </c>
      <c r="C49" s="61" t="s">
        <v>42</v>
      </c>
      <c r="D49" s="16"/>
      <c r="E49" s="19">
        <v>11.0</v>
      </c>
      <c r="F49" s="19">
        <v>14.0</v>
      </c>
      <c r="G49" s="19">
        <v>17.0</v>
      </c>
      <c r="H49" s="19">
        <v>12.0</v>
      </c>
      <c r="I49" s="19">
        <v>11.0</v>
      </c>
      <c r="J49" s="19">
        <v>23.0</v>
      </c>
      <c r="K49" s="19">
        <v>13.0</v>
      </c>
      <c r="L49" s="19">
        <v>21.0</v>
      </c>
      <c r="M49" s="19">
        <v>12.0</v>
      </c>
      <c r="N49" s="19">
        <v>16.0</v>
      </c>
      <c r="O49" s="19">
        <v>9.0</v>
      </c>
      <c r="P49" s="19">
        <v>8.0</v>
      </c>
      <c r="Q49" s="19">
        <v>13.0</v>
      </c>
      <c r="R49" s="19">
        <v>8.0</v>
      </c>
      <c r="S49" s="19">
        <v>20.0</v>
      </c>
      <c r="T49" s="19">
        <v>14.0</v>
      </c>
      <c r="U49" s="19">
        <v>18.0</v>
      </c>
      <c r="V49" s="19">
        <v>16.0</v>
      </c>
      <c r="W49" s="19">
        <v>15.0</v>
      </c>
      <c r="X49" s="13">
        <f t="shared" si="14"/>
        <v>271</v>
      </c>
    </row>
    <row r="50" ht="12.75" customHeight="1">
      <c r="A50" s="18"/>
      <c r="B50" s="47" t="s">
        <v>43</v>
      </c>
      <c r="C50" s="61" t="s">
        <v>44</v>
      </c>
      <c r="D50" s="16"/>
      <c r="E50" s="19">
        <v>6.0</v>
      </c>
      <c r="F50" s="19">
        <v>5.0</v>
      </c>
      <c r="G50" s="19">
        <v>15.0</v>
      </c>
      <c r="H50" s="19">
        <v>17.0</v>
      </c>
      <c r="I50" s="19">
        <v>21.0</v>
      </c>
      <c r="J50" s="19">
        <v>15.0</v>
      </c>
      <c r="K50" s="19">
        <v>9.0</v>
      </c>
      <c r="L50" s="19">
        <v>24.0</v>
      </c>
      <c r="M50" s="19">
        <v>28.0</v>
      </c>
      <c r="N50" s="19">
        <v>22.0</v>
      </c>
      <c r="O50" s="19">
        <v>10.0</v>
      </c>
      <c r="P50" s="19">
        <v>16.0</v>
      </c>
      <c r="Q50" s="19">
        <v>10.0</v>
      </c>
      <c r="R50" s="19">
        <v>4.0</v>
      </c>
      <c r="S50" s="19">
        <v>23.0</v>
      </c>
      <c r="T50" s="19">
        <v>20.0</v>
      </c>
      <c r="U50" s="19">
        <v>18.0</v>
      </c>
      <c r="V50" s="19">
        <v>9.0</v>
      </c>
      <c r="W50" s="19">
        <v>9.0</v>
      </c>
      <c r="X50" s="13">
        <f t="shared" si="14"/>
        <v>281</v>
      </c>
    </row>
    <row r="51" ht="12.75" customHeight="1">
      <c r="A51" s="18"/>
      <c r="B51" s="47" t="s">
        <v>45</v>
      </c>
      <c r="C51" s="61" t="s">
        <v>46</v>
      </c>
      <c r="D51" s="16"/>
      <c r="E51" s="19">
        <v>5.0</v>
      </c>
      <c r="F51" s="19">
        <v>2.0</v>
      </c>
      <c r="G51" s="19">
        <v>6.0</v>
      </c>
      <c r="H51" s="19">
        <v>2.0</v>
      </c>
      <c r="I51" s="19">
        <v>4.0</v>
      </c>
      <c r="J51" s="19">
        <v>2.0</v>
      </c>
      <c r="K51" s="19">
        <v>4.0</v>
      </c>
      <c r="L51" s="19">
        <v>2.0</v>
      </c>
      <c r="M51" s="19">
        <v>2.0</v>
      </c>
      <c r="N51" s="19">
        <v>1.0</v>
      </c>
      <c r="O51" s="19">
        <v>3.0</v>
      </c>
      <c r="P51" s="19">
        <v>1.0</v>
      </c>
      <c r="Q51" s="19">
        <v>7.0</v>
      </c>
      <c r="R51" s="19">
        <v>0.0</v>
      </c>
      <c r="S51" s="19">
        <v>5.0</v>
      </c>
      <c r="T51" s="19">
        <v>2.0</v>
      </c>
      <c r="U51" s="19">
        <v>3.0</v>
      </c>
      <c r="V51" s="19">
        <v>2.0</v>
      </c>
      <c r="W51" s="19">
        <v>2.0</v>
      </c>
      <c r="X51" s="13">
        <f t="shared" si="14"/>
        <v>55</v>
      </c>
    </row>
    <row r="52" ht="12.75" customHeight="1">
      <c r="A52" s="18"/>
      <c r="B52" s="47" t="s">
        <v>47</v>
      </c>
      <c r="C52" s="61" t="s">
        <v>48</v>
      </c>
      <c r="D52" s="16"/>
      <c r="E52" s="19">
        <v>7.0</v>
      </c>
      <c r="F52" s="19">
        <v>5.0</v>
      </c>
      <c r="G52" s="19">
        <v>3.0</v>
      </c>
      <c r="H52" s="19">
        <v>3.0</v>
      </c>
      <c r="I52" s="19">
        <v>1.0</v>
      </c>
      <c r="J52" s="19">
        <v>5.0</v>
      </c>
      <c r="K52" s="19">
        <v>1.0</v>
      </c>
      <c r="L52" s="19">
        <v>2.0</v>
      </c>
      <c r="M52" s="19">
        <v>4.0</v>
      </c>
      <c r="N52" s="19">
        <v>1.0</v>
      </c>
      <c r="O52" s="19">
        <v>3.0</v>
      </c>
      <c r="P52" s="19">
        <v>2.0</v>
      </c>
      <c r="Q52" s="19">
        <v>3.0</v>
      </c>
      <c r="R52" s="19">
        <v>0.0</v>
      </c>
      <c r="S52" s="19">
        <v>4.0</v>
      </c>
      <c r="T52" s="19">
        <v>0.0</v>
      </c>
      <c r="U52" s="19">
        <v>12.0</v>
      </c>
      <c r="V52" s="19">
        <v>1.0</v>
      </c>
      <c r="W52" s="19">
        <v>4.0</v>
      </c>
      <c r="X52" s="13">
        <f t="shared" si="14"/>
        <v>61</v>
      </c>
    </row>
    <row r="53" ht="12.75" customHeight="1">
      <c r="A53" s="18"/>
      <c r="B53" s="47" t="s">
        <v>49</v>
      </c>
      <c r="C53" s="61" t="s">
        <v>50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1.0</v>
      </c>
      <c r="J53" s="19">
        <v>0.0</v>
      </c>
      <c r="K53" s="19">
        <v>1.0</v>
      </c>
      <c r="L53" s="19">
        <v>0.0</v>
      </c>
      <c r="M53" s="19">
        <v>1.0</v>
      </c>
      <c r="N53" s="19">
        <v>0.0</v>
      </c>
      <c r="O53" s="19">
        <v>0.0</v>
      </c>
      <c r="P53" s="19">
        <v>0.0</v>
      </c>
      <c r="Q53" s="19">
        <v>0.0</v>
      </c>
      <c r="R53" s="19">
        <v>0.0</v>
      </c>
      <c r="S53" s="19">
        <v>1.0</v>
      </c>
      <c r="T53" s="19">
        <v>0.0</v>
      </c>
      <c r="U53" s="19">
        <v>0.0</v>
      </c>
      <c r="V53" s="19">
        <v>0.0</v>
      </c>
      <c r="W53" s="19">
        <v>0.0</v>
      </c>
      <c r="X53" s="13">
        <f t="shared" si="14"/>
        <v>5</v>
      </c>
    </row>
    <row r="54" ht="12.75" customHeight="1">
      <c r="A54" s="18"/>
      <c r="B54" s="47" t="s">
        <v>51</v>
      </c>
      <c r="C54" s="61" t="s">
        <v>52</v>
      </c>
      <c r="D54" s="16"/>
      <c r="E54" s="19">
        <v>32.0</v>
      </c>
      <c r="F54" s="19">
        <v>34.0</v>
      </c>
      <c r="G54" s="19">
        <v>41.0</v>
      </c>
      <c r="H54" s="19">
        <v>35.0</v>
      </c>
      <c r="I54" s="19">
        <v>24.0</v>
      </c>
      <c r="J54" s="19">
        <v>16.0</v>
      </c>
      <c r="K54" s="19">
        <v>21.0</v>
      </c>
      <c r="L54" s="19">
        <v>25.0</v>
      </c>
      <c r="M54" s="19">
        <v>14.0</v>
      </c>
      <c r="N54" s="19">
        <v>15.0</v>
      </c>
      <c r="O54" s="19">
        <v>15.0</v>
      </c>
      <c r="P54" s="19">
        <v>13.0</v>
      </c>
      <c r="Q54" s="19">
        <v>11.0</v>
      </c>
      <c r="R54" s="19">
        <v>11.0</v>
      </c>
      <c r="S54" s="19">
        <v>32.0</v>
      </c>
      <c r="T54" s="19">
        <v>15.0</v>
      </c>
      <c r="U54" s="19">
        <v>22.0</v>
      </c>
      <c r="V54" s="19">
        <v>20.0</v>
      </c>
      <c r="W54" s="19">
        <v>20.0</v>
      </c>
      <c r="X54" s="13">
        <f t="shared" si="14"/>
        <v>416</v>
      </c>
    </row>
    <row r="55" ht="12.75" customHeight="1">
      <c r="A55" s="18"/>
      <c r="B55" s="47" t="s">
        <v>53</v>
      </c>
      <c r="C55" s="61" t="s">
        <v>54</v>
      </c>
      <c r="D55" s="16"/>
      <c r="E55" s="19">
        <v>1.0</v>
      </c>
      <c r="F55" s="19">
        <v>1.0</v>
      </c>
      <c r="G55" s="19">
        <v>2.0</v>
      </c>
      <c r="H55" s="19">
        <v>2.0</v>
      </c>
      <c r="I55" s="19">
        <v>1.0</v>
      </c>
      <c r="J55" s="19">
        <v>2.0</v>
      </c>
      <c r="K55" s="19">
        <v>2.0</v>
      </c>
      <c r="L55" s="19">
        <v>2.0</v>
      </c>
      <c r="M55" s="19">
        <v>2.0</v>
      </c>
      <c r="N55" s="19">
        <v>0.0</v>
      </c>
      <c r="O55" s="19">
        <v>1.0</v>
      </c>
      <c r="P55" s="19">
        <v>1.0</v>
      </c>
      <c r="Q55" s="19">
        <v>3.0</v>
      </c>
      <c r="R55" s="19">
        <v>0.0</v>
      </c>
      <c r="S55" s="19">
        <v>3.0</v>
      </c>
      <c r="T55" s="19">
        <v>2.0</v>
      </c>
      <c r="U55" s="19">
        <v>3.0</v>
      </c>
      <c r="V55" s="19">
        <v>2.0</v>
      </c>
      <c r="W55" s="19">
        <v>0.0</v>
      </c>
      <c r="X55" s="13">
        <f t="shared" si="14"/>
        <v>30</v>
      </c>
    </row>
    <row r="56" ht="12.75" customHeight="1">
      <c r="A56" s="18"/>
      <c r="B56" s="47" t="s">
        <v>55</v>
      </c>
      <c r="C56" s="61" t="s">
        <v>56</v>
      </c>
      <c r="D56" s="16"/>
      <c r="E56" s="19">
        <v>24.0</v>
      </c>
      <c r="F56" s="19">
        <v>62.0</v>
      </c>
      <c r="G56" s="19">
        <v>27.0</v>
      </c>
      <c r="H56" s="19">
        <v>19.0</v>
      </c>
      <c r="I56" s="19">
        <v>15.0</v>
      </c>
      <c r="J56" s="19">
        <v>16.0</v>
      </c>
      <c r="K56" s="19">
        <v>22.0</v>
      </c>
      <c r="L56" s="19">
        <v>34.0</v>
      </c>
      <c r="M56" s="19">
        <v>27.0</v>
      </c>
      <c r="N56" s="19">
        <v>15.0</v>
      </c>
      <c r="O56" s="19">
        <v>7.0</v>
      </c>
      <c r="P56" s="19">
        <v>14.0</v>
      </c>
      <c r="Q56" s="19">
        <v>7.0</v>
      </c>
      <c r="R56" s="19">
        <v>6.0</v>
      </c>
      <c r="S56" s="19">
        <v>14.0</v>
      </c>
      <c r="T56" s="19">
        <v>27.0</v>
      </c>
      <c r="U56" s="19">
        <v>23.0</v>
      </c>
      <c r="V56" s="19">
        <v>6.0</v>
      </c>
      <c r="W56" s="19">
        <v>23.0</v>
      </c>
      <c r="X56" s="13">
        <f t="shared" si="14"/>
        <v>388</v>
      </c>
    </row>
    <row r="57" ht="12.75" customHeight="1">
      <c r="A57" s="18"/>
      <c r="B57" s="47" t="s">
        <v>57</v>
      </c>
      <c r="C57" s="61" t="s">
        <v>58</v>
      </c>
      <c r="D57" s="16"/>
      <c r="E57" s="19">
        <v>2.0</v>
      </c>
      <c r="F57" s="19">
        <v>1.0</v>
      </c>
      <c r="G57" s="19">
        <v>2.0</v>
      </c>
      <c r="H57" s="19">
        <v>3.0</v>
      </c>
      <c r="I57" s="19">
        <v>1.0</v>
      </c>
      <c r="J57" s="19">
        <v>4.0</v>
      </c>
      <c r="K57" s="19">
        <v>1.0</v>
      </c>
      <c r="L57" s="19">
        <v>4.0</v>
      </c>
      <c r="M57" s="19">
        <v>0.0</v>
      </c>
      <c r="N57" s="19">
        <v>2.0</v>
      </c>
      <c r="O57" s="19">
        <v>1.0</v>
      </c>
      <c r="P57" s="19">
        <v>0.0</v>
      </c>
      <c r="Q57" s="19">
        <v>1.0</v>
      </c>
      <c r="R57" s="19">
        <v>1.0</v>
      </c>
      <c r="S57" s="19">
        <v>4.0</v>
      </c>
      <c r="T57" s="19">
        <v>1.0</v>
      </c>
      <c r="U57" s="19">
        <v>1.0</v>
      </c>
      <c r="V57" s="19">
        <v>1.0</v>
      </c>
      <c r="W57" s="19">
        <v>0.0</v>
      </c>
      <c r="X57" s="13">
        <f t="shared" si="14"/>
        <v>30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13"/>
      <c r="U59" s="13"/>
      <c r="V59" s="13"/>
      <c r="W59" s="13"/>
      <c r="X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W60" si="15">SUM(E45:E57)</f>
        <v>183</v>
      </c>
      <c r="F60" s="19">
        <f t="shared" si="15"/>
        <v>197</v>
      </c>
      <c r="G60" s="19">
        <f t="shared" si="15"/>
        <v>186</v>
      </c>
      <c r="H60" s="19">
        <f t="shared" si="15"/>
        <v>168</v>
      </c>
      <c r="I60" s="19">
        <f t="shared" si="15"/>
        <v>188</v>
      </c>
      <c r="J60" s="19">
        <f t="shared" si="15"/>
        <v>176</v>
      </c>
      <c r="K60" s="19">
        <f t="shared" si="15"/>
        <v>166</v>
      </c>
      <c r="L60" s="19">
        <f t="shared" si="15"/>
        <v>199</v>
      </c>
      <c r="M60" s="19">
        <f t="shared" si="15"/>
        <v>198</v>
      </c>
      <c r="N60" s="19">
        <f t="shared" si="15"/>
        <v>158</v>
      </c>
      <c r="O60" s="19">
        <f t="shared" si="15"/>
        <v>101</v>
      </c>
      <c r="P60" s="19">
        <f t="shared" si="15"/>
        <v>109</v>
      </c>
      <c r="Q60" s="19">
        <f t="shared" si="15"/>
        <v>116</v>
      </c>
      <c r="R60" s="19">
        <f t="shared" si="15"/>
        <v>81</v>
      </c>
      <c r="S60" s="19">
        <f t="shared" si="15"/>
        <v>197</v>
      </c>
      <c r="T60" s="19">
        <f t="shared" si="15"/>
        <v>195</v>
      </c>
      <c r="U60" s="19">
        <f t="shared" si="15"/>
        <v>190</v>
      </c>
      <c r="V60" s="19">
        <f t="shared" si="15"/>
        <v>130</v>
      </c>
      <c r="W60" s="19">
        <f t="shared" si="15"/>
        <v>177</v>
      </c>
      <c r="X60" s="13">
        <f t="shared" ref="X60:X62" si="16">SUM(E60:W60)</f>
        <v>3115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41.0</v>
      </c>
      <c r="F61" s="19">
        <v>35.0</v>
      </c>
      <c r="G61" s="19">
        <v>43.0</v>
      </c>
      <c r="H61" s="19">
        <v>62.0</v>
      </c>
      <c r="I61" s="19">
        <v>46.0</v>
      </c>
      <c r="J61" s="19">
        <v>53.0</v>
      </c>
      <c r="K61" s="19">
        <v>39.0</v>
      </c>
      <c r="L61" s="19">
        <v>43.0</v>
      </c>
      <c r="M61" s="19">
        <v>35.0</v>
      </c>
      <c r="N61" s="19">
        <v>45.0</v>
      </c>
      <c r="O61" s="19">
        <v>35.0</v>
      </c>
      <c r="P61" s="19">
        <v>34.0</v>
      </c>
      <c r="Q61" s="19">
        <v>27.0</v>
      </c>
      <c r="R61" s="19">
        <v>69.0</v>
      </c>
      <c r="S61" s="19">
        <v>69.0</v>
      </c>
      <c r="T61" s="19">
        <v>31.0</v>
      </c>
      <c r="U61" s="19">
        <v>41.0</v>
      </c>
      <c r="V61" s="19">
        <v>37.0</v>
      </c>
      <c r="W61" s="19">
        <v>10.0</v>
      </c>
      <c r="X61" s="13">
        <f t="shared" si="16"/>
        <v>795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W62" si="17">SUM(E60:E61)</f>
        <v>224</v>
      </c>
      <c r="F62" s="13">
        <f t="shared" si="17"/>
        <v>232</v>
      </c>
      <c r="G62" s="13">
        <f t="shared" si="17"/>
        <v>229</v>
      </c>
      <c r="H62" s="13">
        <f t="shared" si="17"/>
        <v>230</v>
      </c>
      <c r="I62" s="13">
        <f t="shared" si="17"/>
        <v>234</v>
      </c>
      <c r="J62" s="13">
        <f t="shared" si="17"/>
        <v>229</v>
      </c>
      <c r="K62" s="13">
        <f t="shared" si="17"/>
        <v>205</v>
      </c>
      <c r="L62" s="13">
        <f t="shared" si="17"/>
        <v>242</v>
      </c>
      <c r="M62" s="13">
        <f t="shared" si="17"/>
        <v>233</v>
      </c>
      <c r="N62" s="13">
        <f t="shared" si="17"/>
        <v>203</v>
      </c>
      <c r="O62" s="13">
        <f t="shared" si="17"/>
        <v>136</v>
      </c>
      <c r="P62" s="13">
        <f t="shared" si="17"/>
        <v>143</v>
      </c>
      <c r="Q62" s="13">
        <f t="shared" si="17"/>
        <v>143</v>
      </c>
      <c r="R62" s="13">
        <f t="shared" si="17"/>
        <v>150</v>
      </c>
      <c r="S62" s="13">
        <f t="shared" si="17"/>
        <v>266</v>
      </c>
      <c r="T62" s="13">
        <f t="shared" si="17"/>
        <v>226</v>
      </c>
      <c r="U62" s="13">
        <f t="shared" si="17"/>
        <v>231</v>
      </c>
      <c r="V62" s="13">
        <f t="shared" si="17"/>
        <v>167</v>
      </c>
      <c r="W62" s="13">
        <f t="shared" si="17"/>
        <v>187</v>
      </c>
      <c r="X62" s="13">
        <f t="shared" si="16"/>
        <v>3910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W34">
    <cfRule type="expression" dxfId="0" priority="1">
      <formula>E34&lt;&gt;#REF!</formula>
    </cfRule>
  </conditionalFormatting>
  <conditionalFormatting sqref="E14:W15 E45:W57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E30&lt;&gt;E46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60:W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57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68</v>
      </c>
      <c r="F13" s="13" t="s">
        <v>69</v>
      </c>
      <c r="G13" s="13" t="s">
        <v>70</v>
      </c>
      <c r="H13" s="13" t="s">
        <v>71</v>
      </c>
      <c r="I13" s="13" t="s">
        <v>72</v>
      </c>
      <c r="J13" s="13" t="s">
        <v>73</v>
      </c>
      <c r="K13" s="13" t="s">
        <v>74</v>
      </c>
      <c r="L13" s="13" t="s">
        <v>75</v>
      </c>
      <c r="M13" s="13" t="s">
        <v>76</v>
      </c>
      <c r="N13" s="13" t="s">
        <v>77</v>
      </c>
      <c r="O13" s="13" t="s">
        <v>78</v>
      </c>
      <c r="P13" s="13" t="s">
        <v>79</v>
      </c>
      <c r="Q13" s="36"/>
    </row>
    <row r="14" ht="12.75" customHeight="1">
      <c r="A14" s="18"/>
      <c r="B14" s="22" t="s">
        <v>10</v>
      </c>
      <c r="C14" s="23"/>
      <c r="D14" s="19" t="s">
        <v>11</v>
      </c>
      <c r="E14" s="19">
        <v>147.0</v>
      </c>
      <c r="F14" s="19">
        <v>118.0</v>
      </c>
      <c r="G14" s="19">
        <v>145.0</v>
      </c>
      <c r="H14" s="19">
        <v>140.0</v>
      </c>
      <c r="I14" s="19">
        <v>140.0</v>
      </c>
      <c r="J14" s="19">
        <v>140.0</v>
      </c>
      <c r="K14" s="19">
        <v>140.0</v>
      </c>
      <c r="L14" s="19">
        <v>140.0</v>
      </c>
      <c r="M14" s="19">
        <v>125.0</v>
      </c>
      <c r="N14" s="19">
        <v>147.0</v>
      </c>
      <c r="O14" s="19">
        <v>127.0</v>
      </c>
      <c r="P14" s="19">
        <v>138.0</v>
      </c>
      <c r="Q14" s="13">
        <f t="shared" ref="Q14:Q16" si="1">SUM(E14:P14)</f>
        <v>1647</v>
      </c>
    </row>
    <row r="15" ht="12.75" customHeight="1">
      <c r="A15" s="18"/>
      <c r="B15" s="26"/>
      <c r="C15" s="27"/>
      <c r="D15" s="19" t="s">
        <v>12</v>
      </c>
      <c r="E15" s="19">
        <v>138.0</v>
      </c>
      <c r="F15" s="19">
        <v>136.0</v>
      </c>
      <c r="G15" s="19">
        <v>147.0</v>
      </c>
      <c r="H15" s="19">
        <v>147.0</v>
      </c>
      <c r="I15" s="19">
        <v>148.0</v>
      </c>
      <c r="J15" s="19">
        <v>142.0</v>
      </c>
      <c r="K15" s="19">
        <v>141.0</v>
      </c>
      <c r="L15" s="19">
        <v>133.0</v>
      </c>
      <c r="M15" s="19">
        <v>123.0</v>
      </c>
      <c r="N15" s="19">
        <v>138.0</v>
      </c>
      <c r="O15" s="19">
        <v>122.0</v>
      </c>
      <c r="P15" s="19">
        <v>130.0</v>
      </c>
      <c r="Q15" s="13">
        <f t="shared" si="1"/>
        <v>1645</v>
      </c>
    </row>
    <row r="16" ht="12.75" customHeight="1">
      <c r="A16" s="25"/>
      <c r="B16" s="21"/>
      <c r="C16" s="28"/>
      <c r="D16" s="13" t="s">
        <v>13</v>
      </c>
      <c r="E16" s="13">
        <f t="shared" ref="E16:P16" si="2">SUM(E14:E15)</f>
        <v>285</v>
      </c>
      <c r="F16" s="13">
        <f t="shared" si="2"/>
        <v>254</v>
      </c>
      <c r="G16" s="13">
        <f t="shared" si="2"/>
        <v>292</v>
      </c>
      <c r="H16" s="13">
        <f t="shared" si="2"/>
        <v>287</v>
      </c>
      <c r="I16" s="13">
        <f t="shared" si="2"/>
        <v>288</v>
      </c>
      <c r="J16" s="13">
        <f t="shared" si="2"/>
        <v>282</v>
      </c>
      <c r="K16" s="13">
        <f t="shared" si="2"/>
        <v>281</v>
      </c>
      <c r="L16" s="13">
        <f t="shared" si="2"/>
        <v>273</v>
      </c>
      <c r="M16" s="13">
        <f t="shared" si="2"/>
        <v>248</v>
      </c>
      <c r="N16" s="13">
        <f t="shared" si="2"/>
        <v>285</v>
      </c>
      <c r="O16" s="13">
        <f t="shared" si="2"/>
        <v>249</v>
      </c>
      <c r="P16" s="13">
        <f t="shared" si="2"/>
        <v>268</v>
      </c>
      <c r="Q16" s="13">
        <f t="shared" si="1"/>
        <v>3292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59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59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114.0</v>
      </c>
      <c r="F19" s="19">
        <v>93.0</v>
      </c>
      <c r="G19" s="19">
        <v>106.0</v>
      </c>
      <c r="H19" s="19">
        <v>107.0</v>
      </c>
      <c r="I19" s="19">
        <v>109.0</v>
      </c>
      <c r="J19" s="19">
        <v>108.0</v>
      </c>
      <c r="K19" s="19">
        <v>100.0</v>
      </c>
      <c r="L19" s="19">
        <v>105.0</v>
      </c>
      <c r="M19" s="19">
        <v>94.0</v>
      </c>
      <c r="N19" s="19">
        <v>102.0</v>
      </c>
      <c r="O19" s="19">
        <v>93.0</v>
      </c>
      <c r="P19" s="19">
        <v>101.0</v>
      </c>
      <c r="Q19" s="13">
        <f t="shared" ref="Q19:Q30" si="3">SUM(E19:P19)</f>
        <v>1232</v>
      </c>
    </row>
    <row r="20" ht="12.75" customHeight="1">
      <c r="A20" s="33"/>
      <c r="B20" s="27"/>
      <c r="C20" s="34"/>
      <c r="D20" s="19" t="s">
        <v>12</v>
      </c>
      <c r="E20" s="19">
        <v>112.0</v>
      </c>
      <c r="F20" s="19">
        <v>109.0</v>
      </c>
      <c r="G20" s="19">
        <v>115.0</v>
      </c>
      <c r="H20" s="19">
        <v>113.0</v>
      </c>
      <c r="I20" s="19">
        <v>108.0</v>
      </c>
      <c r="J20" s="19">
        <v>115.0</v>
      </c>
      <c r="K20" s="19">
        <v>105.0</v>
      </c>
      <c r="L20" s="19">
        <v>108.0</v>
      </c>
      <c r="M20" s="19">
        <v>86.0</v>
      </c>
      <c r="N20" s="19">
        <v>104.0</v>
      </c>
      <c r="O20" s="19">
        <v>92.0</v>
      </c>
      <c r="P20" s="19">
        <v>102.0</v>
      </c>
      <c r="Q20" s="13">
        <f t="shared" si="3"/>
        <v>1269</v>
      </c>
    </row>
    <row r="21" ht="12.75" customHeight="1">
      <c r="A21" s="35"/>
      <c r="B21" s="28"/>
      <c r="C21" s="36"/>
      <c r="D21" s="13" t="s">
        <v>13</v>
      </c>
      <c r="E21" s="13">
        <f t="shared" ref="E21:P21" si="4">SUM(E19:E20)</f>
        <v>226</v>
      </c>
      <c r="F21" s="13">
        <f t="shared" si="4"/>
        <v>202</v>
      </c>
      <c r="G21" s="13">
        <f t="shared" si="4"/>
        <v>221</v>
      </c>
      <c r="H21" s="13">
        <f t="shared" si="4"/>
        <v>220</v>
      </c>
      <c r="I21" s="13">
        <f t="shared" si="4"/>
        <v>217</v>
      </c>
      <c r="J21" s="13">
        <f t="shared" si="4"/>
        <v>223</v>
      </c>
      <c r="K21" s="13">
        <f t="shared" si="4"/>
        <v>205</v>
      </c>
      <c r="L21" s="13">
        <f t="shared" si="4"/>
        <v>213</v>
      </c>
      <c r="M21" s="13">
        <f t="shared" si="4"/>
        <v>180</v>
      </c>
      <c r="N21" s="13">
        <f t="shared" si="4"/>
        <v>206</v>
      </c>
      <c r="O21" s="13">
        <f t="shared" si="4"/>
        <v>185</v>
      </c>
      <c r="P21" s="13">
        <f t="shared" si="4"/>
        <v>203</v>
      </c>
      <c r="Q21" s="13">
        <f t="shared" si="3"/>
        <v>2501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P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1.0</v>
      </c>
      <c r="H25" s="19">
        <v>1.0</v>
      </c>
      <c r="I25" s="19">
        <v>2.0</v>
      </c>
      <c r="J25" s="19">
        <v>2.0</v>
      </c>
      <c r="K25" s="19">
        <v>1.0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3">
        <f t="shared" si="3"/>
        <v>8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3.0</v>
      </c>
      <c r="G26" s="19">
        <v>1.0</v>
      </c>
      <c r="H26" s="19">
        <v>1.0</v>
      </c>
      <c r="I26" s="19">
        <v>2.0</v>
      </c>
      <c r="J26" s="19">
        <v>2.0</v>
      </c>
      <c r="K26" s="19">
        <v>0.0</v>
      </c>
      <c r="L26" s="19">
        <v>0.0</v>
      </c>
      <c r="M26" s="19">
        <v>0.0</v>
      </c>
      <c r="N26" s="19">
        <v>2.0</v>
      </c>
      <c r="O26" s="19">
        <v>1.0</v>
      </c>
      <c r="P26" s="19">
        <v>0.0</v>
      </c>
      <c r="Q26" s="13">
        <f t="shared" si="3"/>
        <v>12</v>
      </c>
    </row>
    <row r="27" ht="12.75" customHeight="1">
      <c r="A27" s="35"/>
      <c r="B27" s="28"/>
      <c r="C27" s="36"/>
      <c r="D27" s="13" t="s">
        <v>13</v>
      </c>
      <c r="E27" s="13">
        <f t="shared" ref="E27:P27" si="6">SUM(E25:E26)</f>
        <v>0</v>
      </c>
      <c r="F27" s="13">
        <f t="shared" si="6"/>
        <v>3</v>
      </c>
      <c r="G27" s="13">
        <f t="shared" si="6"/>
        <v>2</v>
      </c>
      <c r="H27" s="13">
        <f t="shared" si="6"/>
        <v>2</v>
      </c>
      <c r="I27" s="13">
        <f t="shared" si="6"/>
        <v>4</v>
      </c>
      <c r="J27" s="13">
        <f t="shared" si="6"/>
        <v>4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1</v>
      </c>
      <c r="P27" s="13">
        <f t="shared" si="6"/>
        <v>1</v>
      </c>
      <c r="Q27" s="13">
        <f t="shared" si="3"/>
        <v>20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P28" si="7">SUM(E19,E22,E25)</f>
        <v>114</v>
      </c>
      <c r="F28" s="13">
        <f t="shared" si="7"/>
        <v>93</v>
      </c>
      <c r="G28" s="13">
        <f t="shared" si="7"/>
        <v>107</v>
      </c>
      <c r="H28" s="13">
        <f t="shared" si="7"/>
        <v>108</v>
      </c>
      <c r="I28" s="13">
        <f t="shared" si="7"/>
        <v>111</v>
      </c>
      <c r="J28" s="13">
        <f t="shared" si="7"/>
        <v>110</v>
      </c>
      <c r="K28" s="13">
        <f t="shared" si="7"/>
        <v>101</v>
      </c>
      <c r="L28" s="13">
        <f t="shared" si="7"/>
        <v>105</v>
      </c>
      <c r="M28" s="13">
        <f t="shared" si="7"/>
        <v>94</v>
      </c>
      <c r="N28" s="13">
        <f t="shared" si="7"/>
        <v>103</v>
      </c>
      <c r="O28" s="13">
        <f t="shared" si="7"/>
        <v>93</v>
      </c>
      <c r="P28" s="13">
        <f t="shared" si="7"/>
        <v>102</v>
      </c>
      <c r="Q28" s="13">
        <f t="shared" si="3"/>
        <v>1241</v>
      </c>
    </row>
    <row r="29" ht="12.75" customHeight="1">
      <c r="A29" s="35"/>
      <c r="B29" s="27"/>
      <c r="C29" s="34"/>
      <c r="D29" s="13" t="s">
        <v>12</v>
      </c>
      <c r="E29" s="13">
        <f t="shared" ref="E29:P29" si="8">SUM(E20,E23,E26)</f>
        <v>112</v>
      </c>
      <c r="F29" s="13">
        <f t="shared" si="8"/>
        <v>112</v>
      </c>
      <c r="G29" s="13">
        <f t="shared" si="8"/>
        <v>116</v>
      </c>
      <c r="H29" s="13">
        <f t="shared" si="8"/>
        <v>114</v>
      </c>
      <c r="I29" s="13">
        <f t="shared" si="8"/>
        <v>110</v>
      </c>
      <c r="J29" s="13">
        <f t="shared" si="8"/>
        <v>117</v>
      </c>
      <c r="K29" s="13">
        <f t="shared" si="8"/>
        <v>105</v>
      </c>
      <c r="L29" s="13">
        <f t="shared" si="8"/>
        <v>108</v>
      </c>
      <c r="M29" s="13">
        <f t="shared" si="8"/>
        <v>86</v>
      </c>
      <c r="N29" s="13">
        <f t="shared" si="8"/>
        <v>106</v>
      </c>
      <c r="O29" s="13">
        <f t="shared" si="8"/>
        <v>93</v>
      </c>
      <c r="P29" s="13">
        <f t="shared" si="8"/>
        <v>102</v>
      </c>
      <c r="Q29" s="13">
        <f t="shared" si="3"/>
        <v>1281</v>
      </c>
    </row>
    <row r="30" ht="12.75" customHeight="1">
      <c r="A30" s="35"/>
      <c r="B30" s="28"/>
      <c r="C30" s="36"/>
      <c r="D30" s="13" t="s">
        <v>13</v>
      </c>
      <c r="E30" s="13">
        <f t="shared" ref="E30:P30" si="9">SUM(E28:E29)</f>
        <v>226</v>
      </c>
      <c r="F30" s="13">
        <f t="shared" si="9"/>
        <v>205</v>
      </c>
      <c r="G30" s="13">
        <f t="shared" si="9"/>
        <v>223</v>
      </c>
      <c r="H30" s="13">
        <f t="shared" si="9"/>
        <v>222</v>
      </c>
      <c r="I30" s="13">
        <f t="shared" si="9"/>
        <v>221</v>
      </c>
      <c r="J30" s="13">
        <f t="shared" si="9"/>
        <v>227</v>
      </c>
      <c r="K30" s="13">
        <f t="shared" si="9"/>
        <v>206</v>
      </c>
      <c r="L30" s="13">
        <f t="shared" si="9"/>
        <v>213</v>
      </c>
      <c r="M30" s="13">
        <f t="shared" si="9"/>
        <v>180</v>
      </c>
      <c r="N30" s="13">
        <f t="shared" si="9"/>
        <v>209</v>
      </c>
      <c r="O30" s="13">
        <f t="shared" si="9"/>
        <v>186</v>
      </c>
      <c r="P30" s="13">
        <f t="shared" si="9"/>
        <v>204</v>
      </c>
      <c r="Q30" s="13">
        <f t="shared" si="3"/>
        <v>2522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59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59"/>
    </row>
    <row r="33" ht="12.75" customHeight="1">
      <c r="A33" s="19">
        <v>1.0</v>
      </c>
      <c r="B33" s="20" t="s">
        <v>26</v>
      </c>
      <c r="C33" s="15"/>
      <c r="D33" s="16"/>
      <c r="E33" s="19">
        <v>282.0</v>
      </c>
      <c r="F33" s="19">
        <v>228.0</v>
      </c>
      <c r="G33" s="19">
        <v>289.0</v>
      </c>
      <c r="H33" s="19">
        <v>279.0</v>
      </c>
      <c r="I33" s="19">
        <v>294.0</v>
      </c>
      <c r="J33" s="19">
        <v>277.0</v>
      </c>
      <c r="K33" s="19">
        <v>275.0</v>
      </c>
      <c r="L33" s="19">
        <v>268.0</v>
      </c>
      <c r="M33" s="19">
        <v>232.0</v>
      </c>
      <c r="N33" s="19">
        <v>280.0</v>
      </c>
      <c r="O33" s="19">
        <v>233.0</v>
      </c>
      <c r="P33" s="19">
        <v>254.0</v>
      </c>
      <c r="Q33" s="13">
        <f t="shared" ref="Q33:Q36" si="10">SUM(E33:P33)</f>
        <v>3191</v>
      </c>
    </row>
    <row r="34" ht="12.75" customHeight="1">
      <c r="A34" s="19">
        <v>2.0</v>
      </c>
      <c r="B34" s="20" t="s">
        <v>27</v>
      </c>
      <c r="C34" s="15"/>
      <c r="D34" s="16"/>
      <c r="E34" s="13">
        <v>226.0</v>
      </c>
      <c r="F34" s="13">
        <v>205.0</v>
      </c>
      <c r="G34" s="13">
        <v>223.0</v>
      </c>
      <c r="H34" s="13">
        <v>222.0</v>
      </c>
      <c r="I34" s="13">
        <v>221.0</v>
      </c>
      <c r="J34" s="13">
        <v>227.0</v>
      </c>
      <c r="K34" s="13">
        <v>206.0</v>
      </c>
      <c r="L34" s="13">
        <v>213.0</v>
      </c>
      <c r="M34" s="13">
        <v>180.0</v>
      </c>
      <c r="N34" s="13">
        <v>209.0</v>
      </c>
      <c r="O34" s="13">
        <v>186.0</v>
      </c>
      <c r="P34" s="13">
        <v>204.0</v>
      </c>
      <c r="Q34" s="13">
        <f t="shared" si="10"/>
        <v>2522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3">
        <f t="shared" si="10"/>
        <v>0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P36" si="11">E33-(E34+E35)</f>
        <v>56</v>
      </c>
      <c r="F36" s="13">
        <f t="shared" si="11"/>
        <v>23</v>
      </c>
      <c r="G36" s="13">
        <f t="shared" si="11"/>
        <v>66</v>
      </c>
      <c r="H36" s="13">
        <f t="shared" si="11"/>
        <v>57</v>
      </c>
      <c r="I36" s="13">
        <f t="shared" si="11"/>
        <v>73</v>
      </c>
      <c r="J36" s="13">
        <f t="shared" si="11"/>
        <v>50</v>
      </c>
      <c r="K36" s="13">
        <f t="shared" si="11"/>
        <v>69</v>
      </c>
      <c r="L36" s="13">
        <f t="shared" si="11"/>
        <v>55</v>
      </c>
      <c r="M36" s="13">
        <f t="shared" si="11"/>
        <v>52</v>
      </c>
      <c r="N36" s="13">
        <f t="shared" si="11"/>
        <v>71</v>
      </c>
      <c r="O36" s="13">
        <f t="shared" si="11"/>
        <v>47</v>
      </c>
      <c r="P36" s="13">
        <f t="shared" si="11"/>
        <v>50</v>
      </c>
      <c r="Q36" s="13">
        <f t="shared" si="10"/>
        <v>669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59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59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3">
        <f t="shared" ref="Q39:Q41" si="12">SUM(E39:P39)</f>
        <v>2</v>
      </c>
    </row>
    <row r="40" ht="12.75" customHeight="1">
      <c r="A40" s="33"/>
      <c r="C40" s="27"/>
      <c r="D40" s="19" t="s">
        <v>12</v>
      </c>
      <c r="E40" s="19">
        <v>0.0</v>
      </c>
      <c r="F40" s="19">
        <v>3.0</v>
      </c>
      <c r="G40" s="19">
        <v>0.0</v>
      </c>
      <c r="H40" s="19">
        <v>0.0</v>
      </c>
      <c r="I40" s="19">
        <v>0.0</v>
      </c>
      <c r="J40" s="19">
        <v>0.0</v>
      </c>
      <c r="K40" s="19">
        <v>2.0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P41" si="13">SUM(E39:E40)</f>
        <v>0</v>
      </c>
      <c r="F41" s="13">
        <f t="shared" si="13"/>
        <v>3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3"/>
    </row>
    <row r="45" ht="12.75" customHeight="1">
      <c r="A45" s="30"/>
      <c r="B45" s="47" t="s">
        <v>16</v>
      </c>
      <c r="C45" s="61" t="s">
        <v>37</v>
      </c>
      <c r="D45" s="16"/>
      <c r="E45" s="19">
        <v>29.0</v>
      </c>
      <c r="F45" s="19">
        <v>14.0</v>
      </c>
      <c r="G45" s="19">
        <v>22.0</v>
      </c>
      <c r="H45" s="19">
        <v>17.0</v>
      </c>
      <c r="I45" s="19">
        <v>16.0</v>
      </c>
      <c r="J45" s="19">
        <v>11.0</v>
      </c>
      <c r="K45" s="19">
        <v>13.0</v>
      </c>
      <c r="L45" s="19">
        <v>17.0</v>
      </c>
      <c r="M45" s="19">
        <v>14.0</v>
      </c>
      <c r="N45" s="19">
        <v>23.0</v>
      </c>
      <c r="O45" s="19">
        <v>23.0</v>
      </c>
      <c r="P45" s="19">
        <v>25.0</v>
      </c>
      <c r="Q45" s="13">
        <f t="shared" ref="Q45:Q57" si="14">SUM(E45:P45)</f>
        <v>224</v>
      </c>
    </row>
    <row r="46" ht="12.75" customHeight="1">
      <c r="A46" s="18"/>
      <c r="B46" s="47" t="s">
        <v>18</v>
      </c>
      <c r="C46" s="61" t="s">
        <v>38</v>
      </c>
      <c r="D46" s="16"/>
      <c r="E46" s="19">
        <v>33.0</v>
      </c>
      <c r="F46" s="19">
        <v>35.0</v>
      </c>
      <c r="G46" s="19">
        <v>31.0</v>
      </c>
      <c r="H46" s="19">
        <v>40.0</v>
      </c>
      <c r="I46" s="19">
        <v>62.0</v>
      </c>
      <c r="J46" s="19">
        <v>32.0</v>
      </c>
      <c r="K46" s="19">
        <v>35.0</v>
      </c>
      <c r="L46" s="19">
        <v>20.0</v>
      </c>
      <c r="M46" s="19">
        <v>35.0</v>
      </c>
      <c r="N46" s="19">
        <v>32.0</v>
      </c>
      <c r="O46" s="19">
        <v>21.0</v>
      </c>
      <c r="P46" s="19">
        <v>25.0</v>
      </c>
      <c r="Q46" s="13">
        <f t="shared" si="14"/>
        <v>401</v>
      </c>
    </row>
    <row r="47" ht="12.75" customHeight="1">
      <c r="A47" s="18"/>
      <c r="B47" s="47" t="s">
        <v>20</v>
      </c>
      <c r="C47" s="61" t="s">
        <v>39</v>
      </c>
      <c r="D47" s="16"/>
      <c r="E47" s="19">
        <v>24.0</v>
      </c>
      <c r="F47" s="19">
        <v>24.0</v>
      </c>
      <c r="G47" s="19">
        <v>19.0</v>
      </c>
      <c r="H47" s="19">
        <v>22.0</v>
      </c>
      <c r="I47" s="19">
        <v>8.0</v>
      </c>
      <c r="J47" s="19">
        <v>15.0</v>
      </c>
      <c r="K47" s="19">
        <v>14.0</v>
      </c>
      <c r="L47" s="19">
        <v>15.0</v>
      </c>
      <c r="M47" s="19">
        <v>13.0</v>
      </c>
      <c r="N47" s="19">
        <v>18.0</v>
      </c>
      <c r="O47" s="19">
        <v>16.0</v>
      </c>
      <c r="P47" s="19">
        <v>12.0</v>
      </c>
      <c r="Q47" s="13">
        <f t="shared" si="14"/>
        <v>200</v>
      </c>
    </row>
    <row r="48" ht="12.75" customHeight="1">
      <c r="A48" s="18"/>
      <c r="B48" s="47" t="s">
        <v>22</v>
      </c>
      <c r="C48" s="61" t="s">
        <v>40</v>
      </c>
      <c r="D48" s="16"/>
      <c r="E48" s="19">
        <v>15.0</v>
      </c>
      <c r="F48" s="19">
        <v>17.0</v>
      </c>
      <c r="G48" s="19">
        <v>22.0</v>
      </c>
      <c r="H48" s="19">
        <v>14.0</v>
      </c>
      <c r="I48" s="19">
        <v>31.0</v>
      </c>
      <c r="J48" s="19">
        <v>16.0</v>
      </c>
      <c r="K48" s="19">
        <v>13.0</v>
      </c>
      <c r="L48" s="19">
        <v>24.0</v>
      </c>
      <c r="M48" s="19">
        <v>17.0</v>
      </c>
      <c r="N48" s="19">
        <v>25.0</v>
      </c>
      <c r="O48" s="19">
        <v>18.0</v>
      </c>
      <c r="P48" s="19">
        <v>20.0</v>
      </c>
      <c r="Q48" s="13">
        <f t="shared" si="14"/>
        <v>232</v>
      </c>
    </row>
    <row r="49" ht="12.75" customHeight="1">
      <c r="A49" s="18"/>
      <c r="B49" s="47" t="s">
        <v>41</v>
      </c>
      <c r="C49" s="61" t="s">
        <v>42</v>
      </c>
      <c r="D49" s="16"/>
      <c r="E49" s="19">
        <v>14.0</v>
      </c>
      <c r="F49" s="19">
        <v>21.0</v>
      </c>
      <c r="G49" s="19">
        <v>19.0</v>
      </c>
      <c r="H49" s="19">
        <v>22.0</v>
      </c>
      <c r="I49" s="19">
        <v>19.0</v>
      </c>
      <c r="J49" s="19">
        <v>19.0</v>
      </c>
      <c r="K49" s="19">
        <v>22.0</v>
      </c>
      <c r="L49" s="19">
        <v>26.0</v>
      </c>
      <c r="M49" s="19">
        <v>10.0</v>
      </c>
      <c r="N49" s="19">
        <v>20.0</v>
      </c>
      <c r="O49" s="19">
        <v>16.0</v>
      </c>
      <c r="P49" s="19">
        <v>20.0</v>
      </c>
      <c r="Q49" s="13">
        <f t="shared" si="14"/>
        <v>228</v>
      </c>
    </row>
    <row r="50" ht="12.75" customHeight="1">
      <c r="A50" s="18"/>
      <c r="B50" s="47" t="s">
        <v>43</v>
      </c>
      <c r="C50" s="61" t="s">
        <v>44</v>
      </c>
      <c r="D50" s="16"/>
      <c r="E50" s="19">
        <v>15.0</v>
      </c>
      <c r="F50" s="19">
        <v>7.0</v>
      </c>
      <c r="G50" s="19">
        <v>19.0</v>
      </c>
      <c r="H50" s="19">
        <v>19.0</v>
      </c>
      <c r="I50" s="19">
        <v>11.0</v>
      </c>
      <c r="J50" s="19">
        <v>27.0</v>
      </c>
      <c r="K50" s="19">
        <v>15.0</v>
      </c>
      <c r="L50" s="19">
        <v>25.0</v>
      </c>
      <c r="M50" s="19">
        <v>7.0</v>
      </c>
      <c r="N50" s="19">
        <v>11.0</v>
      </c>
      <c r="O50" s="19">
        <v>15.0</v>
      </c>
      <c r="P50" s="19">
        <v>15.0</v>
      </c>
      <c r="Q50" s="13">
        <f t="shared" si="14"/>
        <v>186</v>
      </c>
    </row>
    <row r="51" ht="12.75" customHeight="1">
      <c r="A51" s="18"/>
      <c r="B51" s="47" t="s">
        <v>45</v>
      </c>
      <c r="C51" s="61" t="s">
        <v>46</v>
      </c>
      <c r="D51" s="16"/>
      <c r="E51" s="19">
        <v>7.0</v>
      </c>
      <c r="F51" s="19">
        <v>1.0</v>
      </c>
      <c r="G51" s="19">
        <v>2.0</v>
      </c>
      <c r="H51" s="19">
        <v>4.0</v>
      </c>
      <c r="I51" s="19">
        <v>2.0</v>
      </c>
      <c r="J51" s="19">
        <v>4.0</v>
      </c>
      <c r="K51" s="19">
        <v>4.0</v>
      </c>
      <c r="L51" s="19">
        <v>6.0</v>
      </c>
      <c r="M51" s="19">
        <v>5.0</v>
      </c>
      <c r="N51" s="19">
        <v>1.0</v>
      </c>
      <c r="O51" s="19">
        <v>3.0</v>
      </c>
      <c r="P51" s="19">
        <v>7.0</v>
      </c>
      <c r="Q51" s="13">
        <f t="shared" si="14"/>
        <v>46</v>
      </c>
    </row>
    <row r="52" ht="12.75" customHeight="1">
      <c r="A52" s="18"/>
      <c r="B52" s="47" t="s">
        <v>47</v>
      </c>
      <c r="C52" s="61" t="s">
        <v>48</v>
      </c>
      <c r="D52" s="16"/>
      <c r="E52" s="19">
        <v>3.0</v>
      </c>
      <c r="F52" s="19">
        <v>3.0</v>
      </c>
      <c r="G52" s="19">
        <v>6.0</v>
      </c>
      <c r="H52" s="19">
        <v>3.0</v>
      </c>
      <c r="I52" s="19">
        <v>2.0</v>
      </c>
      <c r="J52" s="19">
        <v>1.0</v>
      </c>
      <c r="K52" s="19">
        <v>4.0</v>
      </c>
      <c r="L52" s="19">
        <v>6.0</v>
      </c>
      <c r="M52" s="19">
        <v>6.0</v>
      </c>
      <c r="N52" s="19">
        <v>2.0</v>
      </c>
      <c r="O52" s="19">
        <v>5.0</v>
      </c>
      <c r="P52" s="19">
        <v>5.0</v>
      </c>
      <c r="Q52" s="13">
        <f t="shared" si="14"/>
        <v>46</v>
      </c>
    </row>
    <row r="53" ht="12.75" customHeight="1">
      <c r="A53" s="18"/>
      <c r="B53" s="47" t="s">
        <v>49</v>
      </c>
      <c r="C53" s="61" t="s">
        <v>50</v>
      </c>
      <c r="D53" s="16"/>
      <c r="E53" s="19">
        <v>1.0</v>
      </c>
      <c r="F53" s="19">
        <v>2.0</v>
      </c>
      <c r="G53" s="19">
        <v>1.0</v>
      </c>
      <c r="H53" s="19">
        <v>1.0</v>
      </c>
      <c r="I53" s="19">
        <v>0.0</v>
      </c>
      <c r="J53" s="19">
        <v>0.0</v>
      </c>
      <c r="K53" s="19">
        <v>1.0</v>
      </c>
      <c r="L53" s="19">
        <v>0.0</v>
      </c>
      <c r="M53" s="19">
        <v>1.0</v>
      </c>
      <c r="N53" s="19">
        <v>0.0</v>
      </c>
      <c r="O53" s="19">
        <v>1.0</v>
      </c>
      <c r="P53" s="19">
        <v>0.0</v>
      </c>
      <c r="Q53" s="13">
        <f t="shared" si="14"/>
        <v>8</v>
      </c>
    </row>
    <row r="54" ht="12.75" customHeight="1">
      <c r="A54" s="18"/>
      <c r="B54" s="47" t="s">
        <v>51</v>
      </c>
      <c r="C54" s="61" t="s">
        <v>52</v>
      </c>
      <c r="D54" s="16"/>
      <c r="E54" s="19">
        <v>24.0</v>
      </c>
      <c r="F54" s="19">
        <v>32.0</v>
      </c>
      <c r="G54" s="19">
        <v>22.0</v>
      </c>
      <c r="H54" s="19">
        <v>21.0</v>
      </c>
      <c r="I54" s="19">
        <v>18.0</v>
      </c>
      <c r="J54" s="19">
        <v>27.0</v>
      </c>
      <c r="K54" s="19">
        <v>24.0</v>
      </c>
      <c r="L54" s="19">
        <v>11.0</v>
      </c>
      <c r="M54" s="19">
        <v>10.0</v>
      </c>
      <c r="N54" s="19">
        <v>25.0</v>
      </c>
      <c r="O54" s="19">
        <v>18.0</v>
      </c>
      <c r="P54" s="19">
        <v>22.0</v>
      </c>
      <c r="Q54" s="13">
        <f t="shared" si="14"/>
        <v>254</v>
      </c>
    </row>
    <row r="55" ht="12.75" customHeight="1">
      <c r="A55" s="18"/>
      <c r="B55" s="47" t="s">
        <v>53</v>
      </c>
      <c r="C55" s="61" t="s">
        <v>54</v>
      </c>
      <c r="D55" s="16"/>
      <c r="E55" s="19">
        <v>2.0</v>
      </c>
      <c r="F55" s="19">
        <v>0.0</v>
      </c>
      <c r="G55" s="19">
        <v>0.0</v>
      </c>
      <c r="H55" s="19">
        <v>0.0</v>
      </c>
      <c r="I55" s="19">
        <v>0.0</v>
      </c>
      <c r="J55" s="19">
        <v>1.0</v>
      </c>
      <c r="K55" s="19">
        <v>0.0</v>
      </c>
      <c r="L55" s="19">
        <v>1.0</v>
      </c>
      <c r="M55" s="19">
        <v>4.0</v>
      </c>
      <c r="N55" s="19">
        <v>1.0</v>
      </c>
      <c r="O55" s="19">
        <v>2.0</v>
      </c>
      <c r="P55" s="19">
        <v>2.0</v>
      </c>
      <c r="Q55" s="13">
        <f t="shared" si="14"/>
        <v>13</v>
      </c>
    </row>
    <row r="56" ht="12.75" customHeight="1">
      <c r="A56" s="18"/>
      <c r="B56" s="47" t="s">
        <v>55</v>
      </c>
      <c r="C56" s="61" t="s">
        <v>56</v>
      </c>
      <c r="D56" s="16"/>
      <c r="E56" s="19">
        <v>25.0</v>
      </c>
      <c r="F56" s="19">
        <v>15.0</v>
      </c>
      <c r="G56" s="19">
        <v>23.0</v>
      </c>
      <c r="H56" s="19">
        <v>21.0</v>
      </c>
      <c r="I56" s="19">
        <v>11.0</v>
      </c>
      <c r="J56" s="19">
        <v>18.0</v>
      </c>
      <c r="K56" s="19">
        <v>24.0</v>
      </c>
      <c r="L56" s="19">
        <v>21.0</v>
      </c>
      <c r="M56" s="19">
        <v>12.0</v>
      </c>
      <c r="N56" s="19">
        <v>18.0</v>
      </c>
      <c r="O56" s="19">
        <v>15.0</v>
      </c>
      <c r="P56" s="19">
        <v>21.0</v>
      </c>
      <c r="Q56" s="13">
        <f t="shared" si="14"/>
        <v>224</v>
      </c>
    </row>
    <row r="57" ht="12.75" customHeight="1">
      <c r="A57" s="18"/>
      <c r="B57" s="47" t="s">
        <v>57</v>
      </c>
      <c r="C57" s="61" t="s">
        <v>58</v>
      </c>
      <c r="D57" s="16"/>
      <c r="E57" s="19">
        <v>1.0</v>
      </c>
      <c r="F57" s="19">
        <v>2.0</v>
      </c>
      <c r="G57" s="19">
        <v>1.0</v>
      </c>
      <c r="H57" s="19">
        <v>2.0</v>
      </c>
      <c r="I57" s="19">
        <v>0.0</v>
      </c>
      <c r="J57" s="19">
        <v>4.0</v>
      </c>
      <c r="K57" s="19">
        <v>2.0</v>
      </c>
      <c r="L57" s="19">
        <v>3.0</v>
      </c>
      <c r="M57" s="19">
        <v>2.0</v>
      </c>
      <c r="N57" s="19">
        <v>1.0</v>
      </c>
      <c r="O57" s="19">
        <v>1.0</v>
      </c>
      <c r="P57" s="19">
        <v>2.0</v>
      </c>
      <c r="Q57" s="13">
        <f t="shared" si="14"/>
        <v>21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P60" si="15">SUM(E45:E57)</f>
        <v>193</v>
      </c>
      <c r="F60" s="19">
        <f t="shared" si="15"/>
        <v>173</v>
      </c>
      <c r="G60" s="19">
        <f t="shared" si="15"/>
        <v>187</v>
      </c>
      <c r="H60" s="19">
        <f t="shared" si="15"/>
        <v>186</v>
      </c>
      <c r="I60" s="19">
        <f t="shared" si="15"/>
        <v>180</v>
      </c>
      <c r="J60" s="19">
        <f t="shared" si="15"/>
        <v>175</v>
      </c>
      <c r="K60" s="19">
        <f t="shared" si="15"/>
        <v>171</v>
      </c>
      <c r="L60" s="19">
        <f t="shared" si="15"/>
        <v>175</v>
      </c>
      <c r="M60" s="19">
        <f t="shared" si="15"/>
        <v>136</v>
      </c>
      <c r="N60" s="19">
        <f t="shared" si="15"/>
        <v>177</v>
      </c>
      <c r="O60" s="19">
        <f t="shared" si="15"/>
        <v>154</v>
      </c>
      <c r="P60" s="19">
        <f t="shared" si="15"/>
        <v>176</v>
      </c>
      <c r="Q60" s="13">
        <f t="shared" ref="Q60:Q62" si="16">SUM(E60:P60)</f>
        <v>2083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33.0</v>
      </c>
      <c r="F61" s="19">
        <v>32.0</v>
      </c>
      <c r="G61" s="19">
        <v>36.0</v>
      </c>
      <c r="H61" s="19">
        <v>36.0</v>
      </c>
      <c r="I61" s="19">
        <v>41.0</v>
      </c>
      <c r="J61" s="19">
        <v>52.0</v>
      </c>
      <c r="K61" s="19">
        <v>35.0</v>
      </c>
      <c r="L61" s="19">
        <v>38.0</v>
      </c>
      <c r="M61" s="19">
        <v>44.0</v>
      </c>
      <c r="N61" s="19">
        <v>32.0</v>
      </c>
      <c r="O61" s="19">
        <v>32.0</v>
      </c>
      <c r="P61" s="19">
        <v>28.0</v>
      </c>
      <c r="Q61" s="13">
        <f t="shared" si="16"/>
        <v>439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P62" si="17">SUM(E60:E61)</f>
        <v>226</v>
      </c>
      <c r="F62" s="13">
        <f t="shared" si="17"/>
        <v>205</v>
      </c>
      <c r="G62" s="13">
        <f t="shared" si="17"/>
        <v>223</v>
      </c>
      <c r="H62" s="13">
        <f t="shared" si="17"/>
        <v>222</v>
      </c>
      <c r="I62" s="13">
        <f t="shared" si="17"/>
        <v>221</v>
      </c>
      <c r="J62" s="13">
        <f t="shared" si="17"/>
        <v>227</v>
      </c>
      <c r="K62" s="13">
        <f t="shared" si="17"/>
        <v>206</v>
      </c>
      <c r="L62" s="13">
        <f t="shared" si="17"/>
        <v>213</v>
      </c>
      <c r="M62" s="13">
        <f t="shared" si="17"/>
        <v>180</v>
      </c>
      <c r="N62" s="13">
        <f t="shared" si="17"/>
        <v>209</v>
      </c>
      <c r="O62" s="13">
        <f t="shared" si="17"/>
        <v>186</v>
      </c>
      <c r="P62" s="13">
        <f t="shared" si="17"/>
        <v>204</v>
      </c>
      <c r="Q62" s="13">
        <f t="shared" si="16"/>
        <v>2522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P34">
    <cfRule type="expression" dxfId="0" priority="1">
      <formula>E34&lt;&gt;#REF!</formula>
    </cfRule>
  </conditionalFormatting>
  <conditionalFormatting sqref="E14:P15 E45:P57">
    <cfRule type="containsBlanks" dxfId="1" priority="2">
      <formula>LEN(TRIM(E14))=0</formula>
    </cfRule>
  </conditionalFormatting>
  <conditionalFormatting sqref="E19:P20">
    <cfRule type="containsBlanks" dxfId="1" priority="3">
      <formula>LEN(TRIM(E19))=0</formula>
    </cfRule>
  </conditionalFormatting>
  <conditionalFormatting sqref="E22:P23 E25:P26 E33:P33 E35:P35 E39:P40">
    <cfRule type="containsBlanks" dxfId="1" priority="4">
      <formula>LEN(TRIM(E22))=0</formula>
    </cfRule>
  </conditionalFormatting>
  <conditionalFormatting sqref="E30:P30">
    <cfRule type="expression" dxfId="0" priority="5">
      <formula>E30&lt;&gt;E46</formula>
    </cfRule>
  </conditionalFormatting>
  <conditionalFormatting sqref="E30:P30">
    <cfRule type="expression" dxfId="0" priority="6">
      <formula>E30&lt;&gt;E34</formula>
    </cfRule>
  </conditionalFormatting>
  <conditionalFormatting sqref="E34:P34">
    <cfRule type="expression" dxfId="2" priority="7">
      <formula>E30&lt;&gt;E34</formula>
    </cfRule>
  </conditionalFormatting>
  <conditionalFormatting sqref="E34:P34">
    <cfRule type="expression" dxfId="3" priority="8">
      <formula>E30=E34</formula>
    </cfRule>
  </conditionalFormatting>
  <conditionalFormatting sqref="E34:P34">
    <cfRule type="expression" dxfId="0" priority="9">
      <formula>E34&lt;&gt;E30</formula>
    </cfRule>
  </conditionalFormatting>
  <conditionalFormatting sqref="E60:P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57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68</v>
      </c>
      <c r="F13" s="13" t="s">
        <v>69</v>
      </c>
      <c r="G13" s="13" t="s">
        <v>70</v>
      </c>
      <c r="H13" s="13" t="s">
        <v>71</v>
      </c>
      <c r="I13" s="13" t="s">
        <v>72</v>
      </c>
      <c r="J13" s="13" t="s">
        <v>73</v>
      </c>
      <c r="K13" s="13" t="s">
        <v>74</v>
      </c>
      <c r="L13" s="13" t="s">
        <v>75</v>
      </c>
      <c r="M13" s="13" t="s">
        <v>76</v>
      </c>
      <c r="N13" s="13" t="s">
        <v>77</v>
      </c>
      <c r="O13" s="36"/>
    </row>
    <row r="14" ht="12.75" customHeight="1">
      <c r="A14" s="18"/>
      <c r="B14" s="22" t="s">
        <v>10</v>
      </c>
      <c r="C14" s="23"/>
      <c r="D14" s="19" t="s">
        <v>11</v>
      </c>
      <c r="E14" s="19">
        <v>135.0</v>
      </c>
      <c r="F14" s="19">
        <v>147.0</v>
      </c>
      <c r="G14" s="19">
        <v>136.0</v>
      </c>
      <c r="H14" s="19">
        <v>128.0</v>
      </c>
      <c r="I14" s="19">
        <v>133.0</v>
      </c>
      <c r="J14" s="19">
        <v>133.0</v>
      </c>
      <c r="K14" s="19">
        <v>150.0</v>
      </c>
      <c r="L14" s="19">
        <v>144.0</v>
      </c>
      <c r="M14" s="19">
        <v>152.0</v>
      </c>
      <c r="N14" s="19">
        <v>140.0</v>
      </c>
      <c r="O14" s="13">
        <f t="shared" ref="O14:O16" si="1">SUM(E14:N14)</f>
        <v>1398</v>
      </c>
    </row>
    <row r="15" ht="12.75" customHeight="1">
      <c r="A15" s="18"/>
      <c r="B15" s="26"/>
      <c r="C15" s="27"/>
      <c r="D15" s="19" t="s">
        <v>12</v>
      </c>
      <c r="E15" s="19">
        <v>143.0</v>
      </c>
      <c r="F15" s="19">
        <v>138.0</v>
      </c>
      <c r="G15" s="19">
        <v>141.0</v>
      </c>
      <c r="H15" s="19">
        <v>127.0</v>
      </c>
      <c r="I15" s="19">
        <v>138.0</v>
      </c>
      <c r="J15" s="19">
        <v>150.0</v>
      </c>
      <c r="K15" s="19">
        <v>135.0</v>
      </c>
      <c r="L15" s="19">
        <v>138.0</v>
      </c>
      <c r="M15" s="19">
        <v>145.0</v>
      </c>
      <c r="N15" s="19">
        <v>126.0</v>
      </c>
      <c r="O15" s="13">
        <f t="shared" si="1"/>
        <v>1381</v>
      </c>
    </row>
    <row r="16" ht="12.75" customHeight="1">
      <c r="A16" s="25"/>
      <c r="B16" s="21"/>
      <c r="C16" s="28"/>
      <c r="D16" s="13" t="s">
        <v>13</v>
      </c>
      <c r="E16" s="13">
        <f t="shared" ref="E16:N16" si="2">SUM(E14:E15)</f>
        <v>278</v>
      </c>
      <c r="F16" s="13">
        <f t="shared" si="2"/>
        <v>285</v>
      </c>
      <c r="G16" s="13">
        <f t="shared" si="2"/>
        <v>277</v>
      </c>
      <c r="H16" s="13">
        <f t="shared" si="2"/>
        <v>255</v>
      </c>
      <c r="I16" s="13">
        <f t="shared" si="2"/>
        <v>271</v>
      </c>
      <c r="J16" s="13">
        <f t="shared" si="2"/>
        <v>283</v>
      </c>
      <c r="K16" s="13">
        <f t="shared" si="2"/>
        <v>285</v>
      </c>
      <c r="L16" s="13">
        <f t="shared" si="2"/>
        <v>282</v>
      </c>
      <c r="M16" s="13">
        <f t="shared" si="2"/>
        <v>297</v>
      </c>
      <c r="N16" s="13">
        <f t="shared" si="2"/>
        <v>266</v>
      </c>
      <c r="O16" s="13">
        <f t="shared" si="1"/>
        <v>2779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9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9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97.0</v>
      </c>
      <c r="F19" s="19">
        <v>103.0</v>
      </c>
      <c r="G19" s="19">
        <v>85.0</v>
      </c>
      <c r="H19" s="19">
        <v>93.0</v>
      </c>
      <c r="I19" s="19">
        <v>101.0</v>
      </c>
      <c r="J19" s="19">
        <v>99.0</v>
      </c>
      <c r="K19" s="19">
        <v>109.0</v>
      </c>
      <c r="L19" s="19">
        <v>93.0</v>
      </c>
      <c r="M19" s="19">
        <v>115.0</v>
      </c>
      <c r="N19" s="19">
        <v>91.0</v>
      </c>
      <c r="O19" s="13">
        <f t="shared" ref="O19:O30" si="3">SUM(E19:N19)</f>
        <v>986</v>
      </c>
    </row>
    <row r="20" ht="12.75" customHeight="1">
      <c r="A20" s="33"/>
      <c r="B20" s="27"/>
      <c r="C20" s="34"/>
      <c r="D20" s="19" t="s">
        <v>12</v>
      </c>
      <c r="E20" s="19">
        <v>105.0</v>
      </c>
      <c r="F20" s="19">
        <v>103.0</v>
      </c>
      <c r="G20" s="19">
        <v>104.0</v>
      </c>
      <c r="H20" s="19">
        <v>98.0</v>
      </c>
      <c r="I20" s="19">
        <v>104.0</v>
      </c>
      <c r="J20" s="19">
        <v>113.0</v>
      </c>
      <c r="K20" s="19">
        <v>108.0</v>
      </c>
      <c r="L20" s="19">
        <v>106.0</v>
      </c>
      <c r="M20" s="19">
        <v>120.0</v>
      </c>
      <c r="N20" s="19">
        <v>108.0</v>
      </c>
      <c r="O20" s="13">
        <f t="shared" si="3"/>
        <v>1069</v>
      </c>
    </row>
    <row r="21" ht="12.75" customHeight="1">
      <c r="A21" s="35"/>
      <c r="B21" s="28"/>
      <c r="C21" s="36"/>
      <c r="D21" s="13" t="s">
        <v>13</v>
      </c>
      <c r="E21" s="13">
        <f t="shared" ref="E21:N21" si="4">SUM(E19:E20)</f>
        <v>202</v>
      </c>
      <c r="F21" s="13">
        <f t="shared" si="4"/>
        <v>206</v>
      </c>
      <c r="G21" s="13">
        <f t="shared" si="4"/>
        <v>189</v>
      </c>
      <c r="H21" s="13">
        <f t="shared" si="4"/>
        <v>191</v>
      </c>
      <c r="I21" s="13">
        <f t="shared" si="4"/>
        <v>205</v>
      </c>
      <c r="J21" s="13">
        <f t="shared" si="4"/>
        <v>212</v>
      </c>
      <c r="K21" s="13">
        <f t="shared" si="4"/>
        <v>217</v>
      </c>
      <c r="L21" s="13">
        <f t="shared" si="4"/>
        <v>199</v>
      </c>
      <c r="M21" s="13">
        <f t="shared" si="4"/>
        <v>235</v>
      </c>
      <c r="N21" s="13">
        <f t="shared" si="4"/>
        <v>199</v>
      </c>
      <c r="O21" s="13">
        <f t="shared" si="3"/>
        <v>2055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2.0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1.0</v>
      </c>
      <c r="O25" s="13">
        <f t="shared" si="3"/>
        <v>5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1.0</v>
      </c>
      <c r="G26" s="19">
        <v>0.0</v>
      </c>
      <c r="H26" s="19">
        <v>2.0</v>
      </c>
      <c r="I26" s="19">
        <v>0.0</v>
      </c>
      <c r="J26" s="19">
        <v>0.0</v>
      </c>
      <c r="K26" s="19">
        <v>1.0</v>
      </c>
      <c r="L26" s="19">
        <v>0.0</v>
      </c>
      <c r="M26" s="19">
        <v>1.0</v>
      </c>
      <c r="N26" s="19">
        <v>1.0</v>
      </c>
      <c r="O26" s="13">
        <f t="shared" si="3"/>
        <v>7</v>
      </c>
    </row>
    <row r="27" ht="12.75" customHeight="1">
      <c r="A27" s="35"/>
      <c r="B27" s="28"/>
      <c r="C27" s="36"/>
      <c r="D27" s="13" t="s">
        <v>13</v>
      </c>
      <c r="E27" s="13">
        <f t="shared" ref="E27:N27" si="6">SUM(E25:E26)</f>
        <v>1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6"/>
        <v>2</v>
      </c>
      <c r="N27" s="13">
        <f t="shared" si="6"/>
        <v>2</v>
      </c>
      <c r="O27" s="13">
        <f t="shared" si="3"/>
        <v>12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N28" si="7">SUM(E19,E22,E25)</f>
        <v>97</v>
      </c>
      <c r="F28" s="13">
        <f t="shared" si="7"/>
        <v>105</v>
      </c>
      <c r="G28" s="13">
        <f t="shared" si="7"/>
        <v>85</v>
      </c>
      <c r="H28" s="13">
        <f t="shared" si="7"/>
        <v>94</v>
      </c>
      <c r="I28" s="13">
        <f t="shared" si="7"/>
        <v>102</v>
      </c>
      <c r="J28" s="13">
        <f t="shared" si="7"/>
        <v>99</v>
      </c>
      <c r="K28" s="13">
        <f t="shared" si="7"/>
        <v>109</v>
      </c>
      <c r="L28" s="13">
        <f t="shared" si="7"/>
        <v>93</v>
      </c>
      <c r="M28" s="13">
        <f t="shared" si="7"/>
        <v>116</v>
      </c>
      <c r="N28" s="13">
        <f t="shared" si="7"/>
        <v>92</v>
      </c>
      <c r="O28" s="13">
        <f t="shared" si="3"/>
        <v>992</v>
      </c>
    </row>
    <row r="29" ht="12.75" customHeight="1">
      <c r="A29" s="35"/>
      <c r="B29" s="27"/>
      <c r="C29" s="34"/>
      <c r="D29" s="13" t="s">
        <v>12</v>
      </c>
      <c r="E29" s="13">
        <f t="shared" ref="E29:N29" si="8">SUM(E20,E23,E26)</f>
        <v>106</v>
      </c>
      <c r="F29" s="13">
        <f t="shared" si="8"/>
        <v>104</v>
      </c>
      <c r="G29" s="13">
        <f t="shared" si="8"/>
        <v>104</v>
      </c>
      <c r="H29" s="13">
        <f t="shared" si="8"/>
        <v>100</v>
      </c>
      <c r="I29" s="13">
        <f t="shared" si="8"/>
        <v>104</v>
      </c>
      <c r="J29" s="13">
        <f t="shared" si="8"/>
        <v>113</v>
      </c>
      <c r="K29" s="13">
        <f t="shared" si="8"/>
        <v>109</v>
      </c>
      <c r="L29" s="13">
        <f t="shared" si="8"/>
        <v>106</v>
      </c>
      <c r="M29" s="13">
        <f t="shared" si="8"/>
        <v>121</v>
      </c>
      <c r="N29" s="13">
        <f t="shared" si="8"/>
        <v>109</v>
      </c>
      <c r="O29" s="13">
        <f t="shared" si="3"/>
        <v>1076</v>
      </c>
    </row>
    <row r="30" ht="12.75" customHeight="1">
      <c r="A30" s="35"/>
      <c r="B30" s="28"/>
      <c r="C30" s="36"/>
      <c r="D30" s="13" t="s">
        <v>13</v>
      </c>
      <c r="E30" s="13">
        <f t="shared" ref="E30:N30" si="9">SUM(E28:E29)</f>
        <v>203</v>
      </c>
      <c r="F30" s="13">
        <f t="shared" si="9"/>
        <v>209</v>
      </c>
      <c r="G30" s="13">
        <f t="shared" si="9"/>
        <v>189</v>
      </c>
      <c r="H30" s="13">
        <f t="shared" si="9"/>
        <v>194</v>
      </c>
      <c r="I30" s="13">
        <f t="shared" si="9"/>
        <v>206</v>
      </c>
      <c r="J30" s="13">
        <f t="shared" si="9"/>
        <v>212</v>
      </c>
      <c r="K30" s="13">
        <f t="shared" si="9"/>
        <v>218</v>
      </c>
      <c r="L30" s="13">
        <f t="shared" si="9"/>
        <v>199</v>
      </c>
      <c r="M30" s="13">
        <f t="shared" si="9"/>
        <v>237</v>
      </c>
      <c r="N30" s="13">
        <f t="shared" si="9"/>
        <v>201</v>
      </c>
      <c r="O30" s="13">
        <f t="shared" si="3"/>
        <v>2068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9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59"/>
    </row>
    <row r="33" ht="12.75" customHeight="1">
      <c r="A33" s="19">
        <v>1.0</v>
      </c>
      <c r="B33" s="20" t="s">
        <v>26</v>
      </c>
      <c r="C33" s="15"/>
      <c r="D33" s="16"/>
      <c r="E33" s="19">
        <v>284.0</v>
      </c>
      <c r="F33" s="19">
        <v>291.0</v>
      </c>
      <c r="G33" s="19">
        <v>284.0</v>
      </c>
      <c r="H33" s="19">
        <v>261.0</v>
      </c>
      <c r="I33" s="19">
        <v>277.0</v>
      </c>
      <c r="J33" s="19">
        <v>289.0</v>
      </c>
      <c r="K33" s="19">
        <v>291.0</v>
      </c>
      <c r="L33" s="19">
        <v>288.0</v>
      </c>
      <c r="M33" s="19">
        <v>304.0</v>
      </c>
      <c r="N33" s="19">
        <v>272.0</v>
      </c>
      <c r="O33" s="13">
        <f t="shared" ref="O33:O36" si="10">SUM(E33:N33)</f>
        <v>2841</v>
      </c>
    </row>
    <row r="34" ht="12.75" customHeight="1">
      <c r="A34" s="19">
        <v>2.0</v>
      </c>
      <c r="B34" s="20" t="s">
        <v>27</v>
      </c>
      <c r="C34" s="15"/>
      <c r="D34" s="16"/>
      <c r="E34" s="13">
        <v>203.0</v>
      </c>
      <c r="F34" s="13">
        <v>209.0</v>
      </c>
      <c r="G34" s="13">
        <v>189.0</v>
      </c>
      <c r="H34" s="13">
        <v>194.0</v>
      </c>
      <c r="I34" s="13">
        <v>206.0</v>
      </c>
      <c r="J34" s="13">
        <v>212.0</v>
      </c>
      <c r="K34" s="13">
        <v>218.0</v>
      </c>
      <c r="L34" s="13">
        <v>199.0</v>
      </c>
      <c r="M34" s="13">
        <v>237.0</v>
      </c>
      <c r="N34" s="13">
        <v>201.0</v>
      </c>
      <c r="O34" s="13">
        <f t="shared" si="10"/>
        <v>2068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3">
        <f t="shared" si="10"/>
        <v>0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N36" si="11">E33-(E34+E35)</f>
        <v>81</v>
      </c>
      <c r="F36" s="13">
        <f t="shared" si="11"/>
        <v>82</v>
      </c>
      <c r="G36" s="13">
        <f t="shared" si="11"/>
        <v>95</v>
      </c>
      <c r="H36" s="13">
        <f t="shared" si="11"/>
        <v>67</v>
      </c>
      <c r="I36" s="13">
        <f t="shared" si="11"/>
        <v>71</v>
      </c>
      <c r="J36" s="13">
        <f t="shared" si="11"/>
        <v>77</v>
      </c>
      <c r="K36" s="13">
        <f t="shared" si="11"/>
        <v>73</v>
      </c>
      <c r="L36" s="13">
        <f t="shared" si="11"/>
        <v>89</v>
      </c>
      <c r="M36" s="13">
        <f t="shared" si="11"/>
        <v>67</v>
      </c>
      <c r="N36" s="13">
        <f t="shared" si="11"/>
        <v>71</v>
      </c>
      <c r="O36" s="13">
        <f t="shared" si="10"/>
        <v>773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59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59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3">
        <f t="shared" ref="O39:O41" si="12">SUM(E39:N39)</f>
        <v>1</v>
      </c>
    </row>
    <row r="40" ht="12.75" customHeight="1">
      <c r="A40" s="33"/>
      <c r="C40" s="27"/>
      <c r="D40" s="19" t="s">
        <v>12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N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3"/>
    </row>
    <row r="45" ht="12.75" customHeight="1">
      <c r="A45" s="30"/>
      <c r="B45" s="47" t="s">
        <v>16</v>
      </c>
      <c r="C45" s="61" t="s">
        <v>37</v>
      </c>
      <c r="D45" s="16"/>
      <c r="E45" s="19">
        <v>23.0</v>
      </c>
      <c r="F45" s="19">
        <v>20.0</v>
      </c>
      <c r="G45" s="19">
        <v>9.0</v>
      </c>
      <c r="H45" s="19">
        <v>16.0</v>
      </c>
      <c r="I45" s="19">
        <v>23.0</v>
      </c>
      <c r="J45" s="19">
        <v>11.0</v>
      </c>
      <c r="K45" s="19">
        <v>15.0</v>
      </c>
      <c r="L45" s="19">
        <v>23.0</v>
      </c>
      <c r="M45" s="19">
        <v>21.0</v>
      </c>
      <c r="N45" s="19">
        <v>21.0</v>
      </c>
      <c r="O45" s="13">
        <f t="shared" ref="O45:O57" si="14">SUM(E45:N45)</f>
        <v>182</v>
      </c>
    </row>
    <row r="46" ht="12.75" customHeight="1">
      <c r="A46" s="18"/>
      <c r="B46" s="47" t="s">
        <v>18</v>
      </c>
      <c r="C46" s="61" t="s">
        <v>38</v>
      </c>
      <c r="D46" s="16"/>
      <c r="E46" s="19">
        <v>40.0</v>
      </c>
      <c r="F46" s="19">
        <v>33.0</v>
      </c>
      <c r="G46" s="19">
        <v>40.0</v>
      </c>
      <c r="H46" s="19">
        <v>39.0</v>
      </c>
      <c r="I46" s="19">
        <v>27.0</v>
      </c>
      <c r="J46" s="19">
        <v>42.0</v>
      </c>
      <c r="K46" s="19">
        <v>36.0</v>
      </c>
      <c r="L46" s="19">
        <v>31.0</v>
      </c>
      <c r="M46" s="19">
        <v>42.0</v>
      </c>
      <c r="N46" s="19">
        <v>45.0</v>
      </c>
      <c r="O46" s="13">
        <f t="shared" si="14"/>
        <v>375</v>
      </c>
    </row>
    <row r="47" ht="12.75" customHeight="1">
      <c r="A47" s="18"/>
      <c r="B47" s="47" t="s">
        <v>20</v>
      </c>
      <c r="C47" s="61" t="s">
        <v>39</v>
      </c>
      <c r="D47" s="16"/>
      <c r="E47" s="19">
        <v>8.0</v>
      </c>
      <c r="F47" s="19">
        <v>13.0</v>
      </c>
      <c r="G47" s="19">
        <v>14.0</v>
      </c>
      <c r="H47" s="19">
        <v>13.0</v>
      </c>
      <c r="I47" s="19">
        <v>13.0</v>
      </c>
      <c r="J47" s="19">
        <v>13.0</v>
      </c>
      <c r="K47" s="19">
        <v>18.0</v>
      </c>
      <c r="L47" s="19">
        <v>17.0</v>
      </c>
      <c r="M47" s="19">
        <v>21.0</v>
      </c>
      <c r="N47" s="19">
        <v>13.0</v>
      </c>
      <c r="O47" s="13">
        <f t="shared" si="14"/>
        <v>143</v>
      </c>
    </row>
    <row r="48" ht="12.75" customHeight="1">
      <c r="A48" s="18"/>
      <c r="B48" s="47" t="s">
        <v>22</v>
      </c>
      <c r="C48" s="61" t="s">
        <v>40</v>
      </c>
      <c r="D48" s="16"/>
      <c r="E48" s="19">
        <v>31.0</v>
      </c>
      <c r="F48" s="19">
        <v>22.0</v>
      </c>
      <c r="G48" s="19">
        <v>17.0</v>
      </c>
      <c r="H48" s="19">
        <v>14.0</v>
      </c>
      <c r="I48" s="19">
        <v>20.0</v>
      </c>
      <c r="J48" s="19">
        <v>25.0</v>
      </c>
      <c r="K48" s="19">
        <v>29.0</v>
      </c>
      <c r="L48" s="19">
        <v>13.0</v>
      </c>
      <c r="M48" s="19">
        <v>26.0</v>
      </c>
      <c r="N48" s="19">
        <v>27.0</v>
      </c>
      <c r="O48" s="13">
        <f t="shared" si="14"/>
        <v>224</v>
      </c>
    </row>
    <row r="49" ht="12.75" customHeight="1">
      <c r="A49" s="18"/>
      <c r="B49" s="47" t="s">
        <v>41</v>
      </c>
      <c r="C49" s="61" t="s">
        <v>42</v>
      </c>
      <c r="D49" s="16"/>
      <c r="E49" s="19">
        <v>15.0</v>
      </c>
      <c r="F49" s="19">
        <v>14.0</v>
      </c>
      <c r="G49" s="19">
        <v>12.0</v>
      </c>
      <c r="H49" s="19">
        <v>10.0</v>
      </c>
      <c r="I49" s="19">
        <v>13.0</v>
      </c>
      <c r="J49" s="19">
        <v>8.0</v>
      </c>
      <c r="K49" s="19">
        <v>24.0</v>
      </c>
      <c r="L49" s="19">
        <v>19.0</v>
      </c>
      <c r="M49" s="19">
        <v>13.0</v>
      </c>
      <c r="N49" s="19">
        <v>13.0</v>
      </c>
      <c r="O49" s="13">
        <f t="shared" si="14"/>
        <v>141</v>
      </c>
    </row>
    <row r="50" ht="12.75" customHeight="1">
      <c r="A50" s="18"/>
      <c r="B50" s="47" t="s">
        <v>43</v>
      </c>
      <c r="C50" s="61" t="s">
        <v>44</v>
      </c>
      <c r="D50" s="16"/>
      <c r="E50" s="19">
        <v>8.0</v>
      </c>
      <c r="F50" s="19">
        <v>14.0</v>
      </c>
      <c r="G50" s="19">
        <v>6.0</v>
      </c>
      <c r="H50" s="19">
        <v>15.0</v>
      </c>
      <c r="I50" s="19">
        <v>15.0</v>
      </c>
      <c r="J50" s="19">
        <v>7.0</v>
      </c>
      <c r="K50" s="19">
        <v>10.0</v>
      </c>
      <c r="L50" s="19">
        <v>12.0</v>
      </c>
      <c r="M50" s="19">
        <v>17.0</v>
      </c>
      <c r="N50" s="19">
        <v>14.0</v>
      </c>
      <c r="O50" s="13">
        <f t="shared" si="14"/>
        <v>118</v>
      </c>
    </row>
    <row r="51" ht="12.75" customHeight="1">
      <c r="A51" s="18"/>
      <c r="B51" s="47" t="s">
        <v>45</v>
      </c>
      <c r="C51" s="61" t="s">
        <v>46</v>
      </c>
      <c r="D51" s="16"/>
      <c r="E51" s="19">
        <v>3.0</v>
      </c>
      <c r="F51" s="19">
        <v>1.0</v>
      </c>
      <c r="G51" s="19">
        <v>1.0</v>
      </c>
      <c r="H51" s="19">
        <v>5.0</v>
      </c>
      <c r="I51" s="19">
        <v>5.0</v>
      </c>
      <c r="J51" s="19">
        <v>6.0</v>
      </c>
      <c r="K51" s="19">
        <v>3.0</v>
      </c>
      <c r="L51" s="19">
        <v>4.0</v>
      </c>
      <c r="M51" s="19">
        <v>3.0</v>
      </c>
      <c r="N51" s="19">
        <v>3.0</v>
      </c>
      <c r="O51" s="13">
        <f t="shared" si="14"/>
        <v>34</v>
      </c>
    </row>
    <row r="52" ht="12.75" customHeight="1">
      <c r="A52" s="18"/>
      <c r="B52" s="47" t="s">
        <v>47</v>
      </c>
      <c r="C52" s="61" t="s">
        <v>48</v>
      </c>
      <c r="D52" s="16"/>
      <c r="E52" s="19">
        <v>7.0</v>
      </c>
      <c r="F52" s="19">
        <v>3.0</v>
      </c>
      <c r="G52" s="19">
        <v>10.0</v>
      </c>
      <c r="H52" s="19">
        <v>1.0</v>
      </c>
      <c r="I52" s="19">
        <v>1.0</v>
      </c>
      <c r="J52" s="19">
        <v>3.0</v>
      </c>
      <c r="K52" s="19">
        <v>2.0</v>
      </c>
      <c r="L52" s="19">
        <v>3.0</v>
      </c>
      <c r="M52" s="19">
        <v>7.0</v>
      </c>
      <c r="N52" s="19">
        <v>3.0</v>
      </c>
      <c r="O52" s="13">
        <f t="shared" si="14"/>
        <v>40</v>
      </c>
    </row>
    <row r="53" ht="12.75" customHeight="1">
      <c r="A53" s="18"/>
      <c r="B53" s="47" t="s">
        <v>49</v>
      </c>
      <c r="C53" s="61" t="s">
        <v>50</v>
      </c>
      <c r="D53" s="16"/>
      <c r="E53" s="19">
        <v>0.0</v>
      </c>
      <c r="F53" s="19">
        <v>0.0</v>
      </c>
      <c r="G53" s="19">
        <v>2.0</v>
      </c>
      <c r="H53" s="19">
        <v>1.0</v>
      </c>
      <c r="I53" s="19">
        <v>3.0</v>
      </c>
      <c r="J53" s="19">
        <v>1.0</v>
      </c>
      <c r="K53" s="19">
        <v>1.0</v>
      </c>
      <c r="L53" s="19">
        <v>0.0</v>
      </c>
      <c r="M53" s="19">
        <v>0.0</v>
      </c>
      <c r="N53" s="19">
        <v>1.0</v>
      </c>
      <c r="O53" s="13">
        <f t="shared" si="14"/>
        <v>9</v>
      </c>
    </row>
    <row r="54" ht="12.75" customHeight="1">
      <c r="A54" s="18"/>
      <c r="B54" s="47" t="s">
        <v>51</v>
      </c>
      <c r="C54" s="61" t="s">
        <v>52</v>
      </c>
      <c r="D54" s="16"/>
      <c r="E54" s="19">
        <v>6.0</v>
      </c>
      <c r="F54" s="19">
        <v>28.0</v>
      </c>
      <c r="G54" s="19">
        <v>22.0</v>
      </c>
      <c r="H54" s="19">
        <v>23.0</v>
      </c>
      <c r="I54" s="19">
        <v>29.0</v>
      </c>
      <c r="J54" s="19">
        <v>21.0</v>
      </c>
      <c r="K54" s="19">
        <v>26.0</v>
      </c>
      <c r="L54" s="19">
        <v>26.0</v>
      </c>
      <c r="M54" s="19">
        <v>27.0</v>
      </c>
      <c r="N54" s="19">
        <v>19.0</v>
      </c>
      <c r="O54" s="13">
        <f t="shared" si="14"/>
        <v>227</v>
      </c>
    </row>
    <row r="55" ht="12.75" customHeight="1">
      <c r="A55" s="18"/>
      <c r="B55" s="47" t="s">
        <v>53</v>
      </c>
      <c r="C55" s="61" t="s">
        <v>54</v>
      </c>
      <c r="D55" s="16"/>
      <c r="E55" s="19">
        <v>0.0</v>
      </c>
      <c r="F55" s="19">
        <v>1.0</v>
      </c>
      <c r="G55" s="19">
        <v>2.0</v>
      </c>
      <c r="H55" s="19">
        <v>0.0</v>
      </c>
      <c r="I55" s="19">
        <v>1.0</v>
      </c>
      <c r="J55" s="19">
        <v>1.0</v>
      </c>
      <c r="K55" s="19">
        <v>0.0</v>
      </c>
      <c r="L55" s="19">
        <v>0.0</v>
      </c>
      <c r="M55" s="19">
        <v>1.0</v>
      </c>
      <c r="N55" s="19">
        <v>1.0</v>
      </c>
      <c r="O55" s="13">
        <f t="shared" si="14"/>
        <v>7</v>
      </c>
    </row>
    <row r="56" ht="12.75" customHeight="1">
      <c r="A56" s="18"/>
      <c r="B56" s="47" t="s">
        <v>55</v>
      </c>
      <c r="C56" s="61" t="s">
        <v>56</v>
      </c>
      <c r="D56" s="16"/>
      <c r="E56" s="19">
        <v>20.0</v>
      </c>
      <c r="F56" s="19">
        <v>37.0</v>
      </c>
      <c r="G56" s="19">
        <v>22.0</v>
      </c>
      <c r="H56" s="19">
        <v>20.0</v>
      </c>
      <c r="I56" s="19">
        <v>22.0</v>
      </c>
      <c r="J56" s="19">
        <v>17.0</v>
      </c>
      <c r="K56" s="19">
        <v>14.0</v>
      </c>
      <c r="L56" s="19">
        <v>22.0</v>
      </c>
      <c r="M56" s="19">
        <v>37.0</v>
      </c>
      <c r="N56" s="19">
        <v>22.0</v>
      </c>
      <c r="O56" s="13">
        <f t="shared" si="14"/>
        <v>233</v>
      </c>
    </row>
    <row r="57" ht="12.75" customHeight="1">
      <c r="A57" s="18"/>
      <c r="B57" s="47" t="s">
        <v>57</v>
      </c>
      <c r="C57" s="61" t="s">
        <v>58</v>
      </c>
      <c r="D57" s="16"/>
      <c r="E57" s="19">
        <v>2.0</v>
      </c>
      <c r="F57" s="19">
        <v>2.0</v>
      </c>
      <c r="G57" s="19">
        <v>0.0</v>
      </c>
      <c r="H57" s="19">
        <v>1.0</v>
      </c>
      <c r="I57" s="19">
        <v>2.0</v>
      </c>
      <c r="J57" s="19">
        <v>1.0</v>
      </c>
      <c r="K57" s="19">
        <v>1.0</v>
      </c>
      <c r="L57" s="19">
        <v>0.0</v>
      </c>
      <c r="M57" s="19">
        <v>0.0</v>
      </c>
      <c r="N57" s="19">
        <v>0.0</v>
      </c>
      <c r="O57" s="13">
        <f t="shared" si="14"/>
        <v>9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N60" si="15">SUM(E45:E57)</f>
        <v>163</v>
      </c>
      <c r="F60" s="19">
        <f t="shared" si="15"/>
        <v>188</v>
      </c>
      <c r="G60" s="19">
        <f t="shared" si="15"/>
        <v>157</v>
      </c>
      <c r="H60" s="19">
        <f t="shared" si="15"/>
        <v>158</v>
      </c>
      <c r="I60" s="19">
        <f t="shared" si="15"/>
        <v>174</v>
      </c>
      <c r="J60" s="19">
        <f t="shared" si="15"/>
        <v>156</v>
      </c>
      <c r="K60" s="19">
        <f t="shared" si="15"/>
        <v>179</v>
      </c>
      <c r="L60" s="19">
        <f t="shared" si="15"/>
        <v>170</v>
      </c>
      <c r="M60" s="19">
        <f t="shared" si="15"/>
        <v>215</v>
      </c>
      <c r="N60" s="19">
        <f t="shared" si="15"/>
        <v>182</v>
      </c>
      <c r="O60" s="13">
        <f t="shared" ref="O60:O62" si="16">SUM(E60:N60)</f>
        <v>1742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40.0</v>
      </c>
      <c r="F61" s="19">
        <v>21.0</v>
      </c>
      <c r="G61" s="19">
        <v>32.0</v>
      </c>
      <c r="H61" s="19">
        <v>36.0</v>
      </c>
      <c r="I61" s="19">
        <v>32.0</v>
      </c>
      <c r="J61" s="19">
        <v>56.0</v>
      </c>
      <c r="K61" s="19">
        <v>39.0</v>
      </c>
      <c r="L61" s="19">
        <v>29.0</v>
      </c>
      <c r="M61" s="19">
        <v>22.0</v>
      </c>
      <c r="N61" s="19">
        <v>19.0</v>
      </c>
      <c r="O61" s="13">
        <f t="shared" si="16"/>
        <v>326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N62" si="17">SUM(E60:E61)</f>
        <v>203</v>
      </c>
      <c r="F62" s="13">
        <f t="shared" si="17"/>
        <v>209</v>
      </c>
      <c r="G62" s="13">
        <f t="shared" si="17"/>
        <v>189</v>
      </c>
      <c r="H62" s="13">
        <f t="shared" si="17"/>
        <v>194</v>
      </c>
      <c r="I62" s="13">
        <f t="shared" si="17"/>
        <v>206</v>
      </c>
      <c r="J62" s="13">
        <f t="shared" si="17"/>
        <v>212</v>
      </c>
      <c r="K62" s="13">
        <f t="shared" si="17"/>
        <v>218</v>
      </c>
      <c r="L62" s="13">
        <f t="shared" si="17"/>
        <v>199</v>
      </c>
      <c r="M62" s="13">
        <f t="shared" si="17"/>
        <v>237</v>
      </c>
      <c r="N62" s="13">
        <f t="shared" si="17"/>
        <v>201</v>
      </c>
      <c r="O62" s="13">
        <f t="shared" si="16"/>
        <v>2068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N34">
    <cfRule type="expression" dxfId="0" priority="1">
      <formula>E34&lt;&gt;#REF!</formula>
    </cfRule>
  </conditionalFormatting>
  <conditionalFormatting sqref="E14:N15 E45:N57">
    <cfRule type="containsBlanks" dxfId="1" priority="2">
      <formula>LEN(TRIM(E14))=0</formula>
    </cfRule>
  </conditionalFormatting>
  <conditionalFormatting sqref="E19:N20">
    <cfRule type="containsBlanks" dxfId="1" priority="3">
      <formula>LEN(TRIM(E19))=0</formula>
    </cfRule>
  </conditionalFormatting>
  <conditionalFormatting sqref="E22:N23 E25:N26 E33:N33 E35:N35 E39:N40">
    <cfRule type="containsBlanks" dxfId="1" priority="4">
      <formula>LEN(TRIM(E22))=0</formula>
    </cfRule>
  </conditionalFormatting>
  <conditionalFormatting sqref="E30:N30">
    <cfRule type="expression" dxfId="0" priority="5">
      <formula>E30&lt;&gt;E46</formula>
    </cfRule>
  </conditionalFormatting>
  <conditionalFormatting sqref="E30:N30">
    <cfRule type="expression" dxfId="0" priority="6">
      <formula>E30&lt;&gt;E34</formula>
    </cfRule>
  </conditionalFormatting>
  <conditionalFormatting sqref="E34:N34">
    <cfRule type="expression" dxfId="2" priority="7">
      <formula>E30&lt;&gt;E34</formula>
    </cfRule>
  </conditionalFormatting>
  <conditionalFormatting sqref="E34:N34">
    <cfRule type="expression" dxfId="3" priority="8">
      <formula>E30=E34</formula>
    </cfRule>
  </conditionalFormatting>
  <conditionalFormatting sqref="E34:N34">
    <cfRule type="expression" dxfId="0" priority="9">
      <formula>E34&lt;&gt;E30</formula>
    </cfRule>
  </conditionalFormatting>
  <conditionalFormatting sqref="E60:N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57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68</v>
      </c>
      <c r="F13" s="13" t="s">
        <v>69</v>
      </c>
      <c r="G13" s="13" t="s">
        <v>70</v>
      </c>
      <c r="H13" s="13" t="s">
        <v>71</v>
      </c>
      <c r="I13" s="13" t="s">
        <v>72</v>
      </c>
      <c r="J13" s="13" t="s">
        <v>73</v>
      </c>
      <c r="K13" s="13" t="s">
        <v>74</v>
      </c>
      <c r="L13" s="13" t="s">
        <v>75</v>
      </c>
      <c r="M13" s="13" t="s">
        <v>76</v>
      </c>
      <c r="N13" s="13" t="s">
        <v>77</v>
      </c>
      <c r="O13" s="36"/>
    </row>
    <row r="14" ht="12.75" customHeight="1">
      <c r="A14" s="18"/>
      <c r="B14" s="22" t="s">
        <v>10</v>
      </c>
      <c r="C14" s="23"/>
      <c r="D14" s="19" t="s">
        <v>11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3">
        <f t="shared" ref="O14:O16" si="1">SUM(E14:N14)</f>
        <v>0</v>
      </c>
    </row>
    <row r="15" ht="12.75" customHeight="1">
      <c r="A15" s="18"/>
      <c r="B15" s="26"/>
      <c r="C15" s="27"/>
      <c r="D15" s="19" t="s">
        <v>12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3">
        <f t="shared" si="1"/>
        <v>0</v>
      </c>
    </row>
    <row r="16" ht="12.75" customHeight="1">
      <c r="A16" s="25"/>
      <c r="B16" s="21"/>
      <c r="C16" s="28"/>
      <c r="D16" s="13" t="s">
        <v>13</v>
      </c>
      <c r="E16" s="13">
        <f t="shared" ref="E16:N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1"/>
        <v>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9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9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3">
        <f t="shared" ref="O19:O30" si="3">SUM(E19:N19)</f>
        <v>0</v>
      </c>
    </row>
    <row r="20" ht="12.75" customHeight="1">
      <c r="A20" s="33"/>
      <c r="B20" s="27"/>
      <c r="C20" s="34"/>
      <c r="D20" s="19" t="s">
        <v>12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3">
        <f t="shared" si="3"/>
        <v>0</v>
      </c>
    </row>
    <row r="21" ht="12.75" customHeight="1">
      <c r="A21" s="35"/>
      <c r="B21" s="28"/>
      <c r="C21" s="36"/>
      <c r="D21" s="13" t="s">
        <v>13</v>
      </c>
      <c r="E21" s="13">
        <f t="shared" ref="E21:N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3"/>
        <v>0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3">
        <f t="shared" si="3"/>
        <v>0</v>
      </c>
    </row>
    <row r="26" ht="12.75" customHeight="1">
      <c r="A26" s="33"/>
      <c r="B26" s="27"/>
      <c r="C26" s="34"/>
      <c r="D26" s="19" t="s">
        <v>12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3">
        <f t="shared" si="3"/>
        <v>0</v>
      </c>
    </row>
    <row r="27" ht="12.75" customHeight="1">
      <c r="A27" s="35"/>
      <c r="B27" s="28"/>
      <c r="C27" s="36"/>
      <c r="D27" s="13" t="s">
        <v>13</v>
      </c>
      <c r="E27" s="13">
        <f t="shared" ref="E27:N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N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3"/>
        <v>0</v>
      </c>
    </row>
    <row r="29" ht="12.75" customHeight="1">
      <c r="A29" s="35"/>
      <c r="B29" s="27"/>
      <c r="C29" s="34"/>
      <c r="D29" s="13" t="s">
        <v>12</v>
      </c>
      <c r="E29" s="13">
        <f t="shared" ref="E29:N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3"/>
        <v>0</v>
      </c>
    </row>
    <row r="30" ht="12.75" customHeight="1">
      <c r="A30" s="35"/>
      <c r="B30" s="28"/>
      <c r="C30" s="36"/>
      <c r="D30" s="13" t="s">
        <v>13</v>
      </c>
      <c r="E30" s="13">
        <f t="shared" ref="E30:N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3"/>
        <v>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9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59"/>
    </row>
    <row r="33" ht="12.75" customHeight="1">
      <c r="A33" s="19">
        <v>1.0</v>
      </c>
      <c r="B33" s="20" t="s">
        <v>26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3">
        <f t="shared" ref="O33:O36" si="10">SUM(E33:N33)</f>
        <v>0</v>
      </c>
    </row>
    <row r="34" ht="12.75" customHeight="1">
      <c r="A34" s="19">
        <v>2.0</v>
      </c>
      <c r="B34" s="20" t="s">
        <v>27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>
        <f t="shared" si="10"/>
        <v>0</v>
      </c>
    </row>
    <row r="35" ht="12.75" customHeight="1">
      <c r="A35" s="19">
        <v>3.0</v>
      </c>
      <c r="B35" s="20" t="s">
        <v>28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3">
        <f t="shared" si="10"/>
        <v>0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N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0"/>
        <v>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59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59"/>
    </row>
    <row r="39" ht="12.75" customHeight="1">
      <c r="A39" s="30"/>
      <c r="B39" s="43" t="s">
        <v>32</v>
      </c>
      <c r="C39" s="23"/>
      <c r="D39" s="19" t="s">
        <v>11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3">
        <f t="shared" ref="O39:O41" si="12">SUM(E39:N39)</f>
        <v>0</v>
      </c>
    </row>
    <row r="40" ht="12.75" customHeight="1">
      <c r="A40" s="33"/>
      <c r="C40" s="27"/>
      <c r="D40" s="19" t="s">
        <v>12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3"/>
    </row>
    <row r="45" ht="12.75" customHeight="1">
      <c r="A45" s="30"/>
      <c r="B45" s="47" t="s">
        <v>16</v>
      </c>
      <c r="C45" s="61" t="s">
        <v>37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3">
        <f t="shared" ref="O45:O57" si="14">SUM(E45:N45)</f>
        <v>0</v>
      </c>
    </row>
    <row r="46" ht="12.75" customHeight="1">
      <c r="A46" s="18"/>
      <c r="B46" s="47" t="s">
        <v>18</v>
      </c>
      <c r="C46" s="61" t="s">
        <v>38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3">
        <f t="shared" si="14"/>
        <v>0</v>
      </c>
    </row>
    <row r="47" ht="12.75" customHeight="1">
      <c r="A47" s="18"/>
      <c r="B47" s="47" t="s">
        <v>20</v>
      </c>
      <c r="C47" s="61" t="s">
        <v>39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3">
        <f t="shared" si="14"/>
        <v>0</v>
      </c>
    </row>
    <row r="48" ht="12.75" customHeight="1">
      <c r="A48" s="18"/>
      <c r="B48" s="47" t="s">
        <v>22</v>
      </c>
      <c r="C48" s="61" t="s">
        <v>40</v>
      </c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3">
        <f t="shared" si="14"/>
        <v>0</v>
      </c>
    </row>
    <row r="49" ht="12.75" customHeight="1">
      <c r="A49" s="18"/>
      <c r="B49" s="47" t="s">
        <v>41</v>
      </c>
      <c r="C49" s="61" t="s">
        <v>42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3">
        <f t="shared" si="14"/>
        <v>0</v>
      </c>
    </row>
    <row r="50" ht="12.75" customHeight="1">
      <c r="A50" s="18"/>
      <c r="B50" s="47" t="s">
        <v>43</v>
      </c>
      <c r="C50" s="61" t="s">
        <v>44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3">
        <f t="shared" si="14"/>
        <v>0</v>
      </c>
    </row>
    <row r="51" ht="12.75" customHeight="1">
      <c r="A51" s="18"/>
      <c r="B51" s="47" t="s">
        <v>45</v>
      </c>
      <c r="C51" s="61" t="s">
        <v>46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3">
        <f t="shared" si="14"/>
        <v>0</v>
      </c>
    </row>
    <row r="52" ht="12.75" customHeight="1">
      <c r="A52" s="18"/>
      <c r="B52" s="47" t="s">
        <v>47</v>
      </c>
      <c r="C52" s="61" t="s">
        <v>48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3">
        <f t="shared" si="14"/>
        <v>0</v>
      </c>
    </row>
    <row r="53" ht="12.75" customHeight="1">
      <c r="A53" s="18"/>
      <c r="B53" s="47" t="s">
        <v>49</v>
      </c>
      <c r="C53" s="61" t="s">
        <v>50</v>
      </c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3">
        <f t="shared" si="14"/>
        <v>0</v>
      </c>
    </row>
    <row r="54" ht="12.75" customHeight="1">
      <c r="A54" s="18"/>
      <c r="B54" s="47" t="s">
        <v>51</v>
      </c>
      <c r="C54" s="61" t="s">
        <v>52</v>
      </c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3">
        <f t="shared" si="14"/>
        <v>0</v>
      </c>
    </row>
    <row r="55" ht="12.75" customHeight="1">
      <c r="A55" s="18"/>
      <c r="B55" s="47" t="s">
        <v>53</v>
      </c>
      <c r="C55" s="61" t="s">
        <v>54</v>
      </c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3">
        <f t="shared" si="14"/>
        <v>0</v>
      </c>
    </row>
    <row r="56" ht="12.75" customHeight="1">
      <c r="A56" s="18"/>
      <c r="B56" s="47" t="s">
        <v>55</v>
      </c>
      <c r="C56" s="61" t="s">
        <v>56</v>
      </c>
      <c r="D56" s="1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3">
        <f t="shared" si="14"/>
        <v>0</v>
      </c>
    </row>
    <row r="57" ht="12.75" customHeight="1">
      <c r="A57" s="18"/>
      <c r="B57" s="47" t="s">
        <v>57</v>
      </c>
      <c r="C57" s="61" t="s">
        <v>58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3">
        <f t="shared" si="14"/>
        <v>0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</row>
    <row r="60" ht="12.75" customHeight="1">
      <c r="A60" s="42"/>
      <c r="B60" s="53" t="s">
        <v>61</v>
      </c>
      <c r="C60" s="54" t="s">
        <v>62</v>
      </c>
      <c r="D60" s="16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3">
        <f t="shared" ref="O60:O62" si="15">SUM(E60:N60)</f>
        <v>0</v>
      </c>
    </row>
    <row r="61" ht="12.75" customHeight="1">
      <c r="A61" s="35"/>
      <c r="B61" s="53" t="s">
        <v>63</v>
      </c>
      <c r="C61" s="54" t="s">
        <v>64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3">
        <f t="shared" si="15"/>
        <v>0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N62" si="16">SUM(E60:E61)</f>
        <v>0</v>
      </c>
      <c r="F62" s="13">
        <f t="shared" si="16"/>
        <v>0</v>
      </c>
      <c r="G62" s="13">
        <f t="shared" si="16"/>
        <v>0</v>
      </c>
      <c r="H62" s="13">
        <f t="shared" si="16"/>
        <v>0</v>
      </c>
      <c r="I62" s="13">
        <f t="shared" si="16"/>
        <v>0</v>
      </c>
      <c r="J62" s="13">
        <f t="shared" si="16"/>
        <v>0</v>
      </c>
      <c r="K62" s="13">
        <f t="shared" si="16"/>
        <v>0</v>
      </c>
      <c r="L62" s="13">
        <f t="shared" si="16"/>
        <v>0</v>
      </c>
      <c r="M62" s="13">
        <f t="shared" si="16"/>
        <v>0</v>
      </c>
      <c r="N62" s="13">
        <f t="shared" si="16"/>
        <v>0</v>
      </c>
      <c r="O62" s="13">
        <f t="shared" si="15"/>
        <v>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N34">
    <cfRule type="expression" dxfId="0" priority="1">
      <formula>E34&lt;&gt;#REF!</formula>
    </cfRule>
  </conditionalFormatting>
  <conditionalFormatting sqref="E14:N15 E45:N57">
    <cfRule type="containsBlanks" dxfId="1" priority="2">
      <formula>LEN(TRIM(E14))=0</formula>
    </cfRule>
  </conditionalFormatting>
  <conditionalFormatting sqref="E19:N20">
    <cfRule type="containsBlanks" dxfId="1" priority="3">
      <formula>LEN(TRIM(E19))=0</formula>
    </cfRule>
  </conditionalFormatting>
  <conditionalFormatting sqref="E22:N23 E25:N26 E33:N33 E35:N35 E39:N40">
    <cfRule type="containsBlanks" dxfId="1" priority="4">
      <formula>LEN(TRIM(E22))=0</formula>
    </cfRule>
  </conditionalFormatting>
  <conditionalFormatting sqref="E30:N30">
    <cfRule type="expression" dxfId="0" priority="5">
      <formula>E30&lt;&gt;E46</formula>
    </cfRule>
  </conditionalFormatting>
  <conditionalFormatting sqref="E30:N30">
    <cfRule type="expression" dxfId="0" priority="6">
      <formula>E30&lt;&gt;E34</formula>
    </cfRule>
  </conditionalFormatting>
  <conditionalFormatting sqref="E34:N34">
    <cfRule type="expression" dxfId="2" priority="7">
      <formula>E30&lt;&gt;E34</formula>
    </cfRule>
  </conditionalFormatting>
  <conditionalFormatting sqref="E34:N34">
    <cfRule type="expression" dxfId="3" priority="8">
      <formula>E30=E34</formula>
    </cfRule>
  </conditionalFormatting>
  <conditionalFormatting sqref="E34:N34">
    <cfRule type="expression" dxfId="0" priority="9">
      <formula>E34&lt;&gt;E30</formula>
    </cfRule>
  </conditionalFormatting>
  <conditionalFormatting sqref="E60:N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