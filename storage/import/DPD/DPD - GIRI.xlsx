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PD" sheetId="1" r:id="rId4"/>
    <sheet state="visible" name="BOYOLANGU" sheetId="2" r:id="rId5"/>
    <sheet state="visible" name="GIRI" sheetId="3" r:id="rId6"/>
    <sheet state="visible" name="GROGOL" sheetId="4" r:id="rId7"/>
    <sheet state="visible" name="JAMBESARI" sheetId="5" r:id="rId8"/>
    <sheet state="visible" name="MOJOPANGGUNG" sheetId="6" r:id="rId9"/>
    <sheet state="visible" name="PENATABAN" sheetId="7" r:id="rId10"/>
  </sheets>
  <definedNames/>
  <calcPr/>
  <extLst>
    <ext uri="GoogleSheetsCustomDataVersion2">
      <go:sheetsCustomData xmlns:go="http://customooxmlschemas.google.com/" r:id="rId11" roundtripDataChecksum="opcQvV0q9U04G5YWyzymxVwzsKJVHRytmkAi1Jf0MN8="/>
    </ext>
  </extLst>
</workbook>
</file>

<file path=xl/sharedStrings.xml><?xml version="1.0" encoding="utf-8"?>
<sst xmlns="http://schemas.openxmlformats.org/spreadsheetml/2006/main" count="708" uniqueCount="94">
  <si>
    <t>Kecamatan</t>
  </si>
  <si>
    <t>GIRI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</si>
  <si>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</si>
  <si>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</si>
  <si>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</si>
  <si>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</si>
  <si>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</si>
  <si>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</si>
  <si>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</si>
  <si>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</si>
  <si>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</si>
  <si>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</si>
  <si>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</si>
  <si>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</si>
  <si>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</si>
  <si>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</si>
  <si>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</si>
  <si>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</si>
  <si>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</si>
  <si>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</si>
  <si>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</si>
  <si>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</si>
  <si>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</si>
  <si>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</si>
  <si>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</si>
  <si>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</si>
  <si>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</si>
  <si>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</si>
  <si>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</si>
  <si>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</si>
  <si>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</si>
  <si>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</si>
  <si>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</si>
  <si>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</si>
  <si>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</si>
  <si>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</si>
  <si>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</si>
  <si>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AA. AHMAD NAWARDI</t>
  </si>
  <si>
    <t>Ir. H. AA LA NYALLA MAHMUD MATTALITI, M.HP.</t>
  </si>
  <si>
    <t>ABDUL QADIR AMIR HARTONO, S.E., S.H., M.H.</t>
  </si>
  <si>
    <t>ADILLA AZIS, S.E.</t>
  </si>
  <si>
    <t>5.</t>
  </si>
  <si>
    <t>Ir. H. AGUS RAHARDJO, MSc.M.</t>
  </si>
  <si>
    <t>6.</t>
  </si>
  <si>
    <t>Drs. AYUB KHAN</t>
  </si>
  <si>
    <t>7.</t>
  </si>
  <si>
    <t>BAMBANG HARIANTO</t>
  </si>
  <si>
    <t>8.</t>
  </si>
  <si>
    <t>CATUR RUDI UTANTO, S.Sos.</t>
  </si>
  <si>
    <t>9.</t>
  </si>
  <si>
    <t>DODDY DWI NUGROHO</t>
  </si>
  <si>
    <t>10.</t>
  </si>
  <si>
    <t>KONDANG KUSUMANING AYU</t>
  </si>
  <si>
    <t>11.</t>
  </si>
  <si>
    <t>KUNJUNG WAHYUDI</t>
  </si>
  <si>
    <t>12.</t>
  </si>
  <si>
    <t>Dr. LIA ISTIFHAMA</t>
  </si>
  <si>
    <t>13.</t>
  </si>
  <si>
    <t>MOHAMMAD TRIJANTO, S.H., M.M., M.H.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</si>
  <si>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</si>
  <si>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</si>
  <si>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</si>
  <si>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</si>
  <si>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</si>
  <si>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</si>
  <si>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</si>
  <si>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</si>
  <si>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</si>
  <si>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BOYOLANGU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</si>
  <si>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</si>
  <si>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</si>
  <si>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</si>
  <si>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</si>
  <si>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</si>
  <si>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</si>
  <si>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</si>
  <si>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</si>
  <si>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</si>
  <si>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</si>
  <si>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</si>
  <si>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</si>
  <si>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</si>
  <si>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</si>
  <si>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</si>
  <si>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</si>
  <si>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</si>
  <si>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GROGOL</t>
  </si>
  <si>
    <t>JAMBESARI</t>
  </si>
  <si>
    <t>MOJOPANGGUNG</t>
  </si>
  <si>
    <t>PENATABAN</t>
  </si>
  <si>
    <t>TPS 901</t>
  </si>
  <si>
    <t>TPS 902</t>
  </si>
  <si>
    <t>TPS 903</t>
  </si>
  <si>
    <t>TPS 904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</si>
</sst>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b/>
      <sz val="10.0"/>
      <color rgb="FF000000"/>
      <name val="Bookman Old Style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6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7" numFmtId="0" xfId="0" applyBorder="1" applyFont="1"/>
    <xf borderId="1" fillId="0" fontId="1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BOYOLANGU!U14+GIRI!V14+GROGOL!V14+JAMBESARI!O14+MOJOPANGGUNG!V14+PENATABAN!V14</f>
        <v>12715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BOYOLANGU!U15+GIRI!V15+GROGOL!V15+JAMBESARI!O15+MOJOPANGGUNG!V15+PENATABAN!V15</f>
        <v>12285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25000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BOYOLANGU!U19+GIRI!V19+GROGOL!V19+JAMBESARI!O19+MOJOPANGGUNG!V19+PENATABAN!V19</f>
        <v>9732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BOYOLANGU!U20+GIRI!V20+GROGOL!V20+JAMBESARI!O20+MOJOPANGGUNG!V20+PENATABAN!V20</f>
        <v>10226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19958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BOYOLANGU!U22+GIRI!V22+GROGOL!V22+JAMBESARI!O22+MOJOPANGGUNG!V22+PENATABAN!V22</f>
        <v>338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BOYOLANGU!U23+GIRI!V23+GROGOL!V23+JAMBESARI!O23+MOJOPANGGUNG!V23+PENATABAN!V23</f>
        <v>56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394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BOYOLANGU!U25+GIRI!V25+GROGOL!V25+JAMBESARI!O25+MOJOPANGGUNG!V25+PENATABAN!V25</f>
        <v>52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BOYOLANGU!U26+GIRI!V26+GROGOL!V26+JAMBESARI!O26+MOJOPANGGUNG!V26+PENATABAN!V26</f>
        <v>95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147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10122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10377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20499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BOYOLANGU!U33+GIRI!V33+GROGOL!V33+JAMBESARI!O33+MOJOPANGGUNG!V33+PENATABAN!V33</f>
        <v>25445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BOYOLANGU!U34+GIRI!V34+GROGOL!V34+JAMBESARI!O34+MOJOPANGGUNG!V34+PENATABAN!V34</f>
        <v>20499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BOYOLANGU!U35+GIRI!V35+GROGOL!V35+JAMBESARI!O35+MOJOPANGGUNG!V35+PENATABAN!V35</f>
        <v>48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4898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BOYOLANGU!U39+GIRI!V39+GROGOL!V39+JAMBESARI!O39+MOJOPANGGUNG!V39+PENATABAN!V39</f>
        <v>28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BOYOLANGU!U40+GIRI!V40+GROGOL!V40+JAMBESARI!O40+MOJOPANGGUNG!V40+PENATABAN!V40</f>
        <v>20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48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/>
      <c r="B45" s="47" t="s">
        <v>17</v>
      </c>
      <c r="C45" s="48" t="s">
        <v>37</v>
      </c>
      <c r="D45" s="16"/>
      <c r="E45" s="24">
        <f>BOYOLANGU!U45+GIRI!V45+GROGOL!V45+JAMBESARI!O45+MOJOPANGGUNG!V45+PENATABAN!V45</f>
        <v>1845</v>
      </c>
      <c r="F45" s="49"/>
      <c r="G45" s="50"/>
      <c r="H45" s="50"/>
      <c r="I45" s="50"/>
      <c r="J45" s="50"/>
      <c r="K45" s="50"/>
      <c r="L45" s="50"/>
      <c r="M45" s="50"/>
      <c r="N45" s="50"/>
      <c r="O45" s="50"/>
      <c r="P45" s="51"/>
      <c r="Q45" s="3"/>
      <c r="R45" s="3"/>
      <c r="S45" s="3"/>
      <c r="T45" s="3"/>
      <c r="U45" s="3"/>
      <c r="V45" s="3"/>
      <c r="W45" s="52"/>
      <c r="X45" s="3"/>
      <c r="Y45" s="3"/>
      <c r="Z45" s="3"/>
    </row>
    <row r="46" ht="15.75" customHeight="1">
      <c r="A46" s="18"/>
      <c r="B46" s="47" t="s">
        <v>19</v>
      </c>
      <c r="C46" s="48" t="s">
        <v>38</v>
      </c>
      <c r="D46" s="16"/>
      <c r="E46" s="24">
        <f>BOYOLANGU!U46+GIRI!V46+GROGOL!V46+JAMBESARI!O46+MOJOPANGGUNG!V46+PENATABAN!V46</f>
        <v>3189</v>
      </c>
      <c r="F46" s="18"/>
      <c r="G46" s="5"/>
      <c r="H46" s="5"/>
      <c r="I46" s="5"/>
      <c r="J46" s="5"/>
      <c r="K46" s="5"/>
      <c r="L46" s="5"/>
      <c r="M46" s="5"/>
      <c r="N46" s="5"/>
      <c r="O46" s="5"/>
      <c r="P46" s="6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8"/>
      <c r="B47" s="47" t="s">
        <v>21</v>
      </c>
      <c r="C47" s="48" t="s">
        <v>39</v>
      </c>
      <c r="D47" s="16"/>
      <c r="E47" s="24">
        <f>BOYOLANGU!U47+GIRI!V47+GROGOL!V47+JAMBESARI!O47+MOJOPANGGUNG!V47+PENATABAN!V47</f>
        <v>1278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47" t="s">
        <v>23</v>
      </c>
      <c r="C48" s="48" t="s">
        <v>40</v>
      </c>
      <c r="D48" s="16"/>
      <c r="E48" s="24">
        <f>BOYOLANGU!U48+GIRI!V48+GROGOL!V48+JAMBESARI!O48+MOJOPANGGUNG!V48+PENATABAN!V48</f>
        <v>1870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47" t="s">
        <v>41</v>
      </c>
      <c r="C49" s="48" t="s">
        <v>42</v>
      </c>
      <c r="D49" s="16"/>
      <c r="E49" s="24">
        <f>BOYOLANGU!U49+GIRI!V49+GROGOL!V49+JAMBESARI!O49+MOJOPANGGUNG!V49+PENATABAN!V49</f>
        <v>1943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47" t="s">
        <v>43</v>
      </c>
      <c r="C50" s="48" t="s">
        <v>44</v>
      </c>
      <c r="D50" s="16"/>
      <c r="E50" s="24">
        <f>BOYOLANGU!U50+GIRI!V50+GROGOL!V50+JAMBESARI!O50+MOJOPANGGUNG!V50+PENATABAN!V50</f>
        <v>1223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47" t="s">
        <v>45</v>
      </c>
      <c r="C51" s="48" t="s">
        <v>46</v>
      </c>
      <c r="D51" s="16"/>
      <c r="E51" s="24">
        <f>BOYOLANGU!U51+GIRI!V51+GROGOL!V51+JAMBESARI!O51+MOJOPANGGUNG!V51+PENATABAN!V51</f>
        <v>215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47" t="s">
        <v>47</v>
      </c>
      <c r="C52" s="48" t="s">
        <v>48</v>
      </c>
      <c r="D52" s="16"/>
      <c r="E52" s="24">
        <f>BOYOLANGU!U52+GIRI!V52+GROGOL!V52+JAMBESARI!O52+MOJOPANGGUNG!V52+PENATABAN!V52</f>
        <v>299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47" t="s">
        <v>49</v>
      </c>
      <c r="C53" s="48" t="s">
        <v>50</v>
      </c>
      <c r="D53" s="16"/>
      <c r="E53" s="24">
        <f>BOYOLANGU!U53+GIRI!V53+GROGOL!V53+JAMBESARI!O53+MOJOPANGGUNG!V53+PENATABAN!V53</f>
        <v>99</v>
      </c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47" t="s">
        <v>51</v>
      </c>
      <c r="C54" s="48" t="s">
        <v>52</v>
      </c>
      <c r="D54" s="16"/>
      <c r="E54" s="24">
        <f>BOYOLANGU!U54+GIRI!V54+GROGOL!V54+JAMBESARI!O54+MOJOPANGGUNG!V54+PENATABAN!V54</f>
        <v>2201</v>
      </c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8"/>
      <c r="B55" s="47" t="s">
        <v>53</v>
      </c>
      <c r="C55" s="48" t="s">
        <v>54</v>
      </c>
      <c r="D55" s="16"/>
      <c r="E55" s="24">
        <f>BOYOLANGU!U55+GIRI!V55+GROGOL!V55+JAMBESARI!O55+MOJOPANGGUNG!V55+PENATABAN!V55</f>
        <v>117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18"/>
      <c r="B56" s="47" t="s">
        <v>55</v>
      </c>
      <c r="C56" s="48" t="s">
        <v>56</v>
      </c>
      <c r="D56" s="16"/>
      <c r="E56" s="24">
        <f>BOYOLANGU!U56+GIRI!V56+GROGOL!V56+JAMBESARI!O56+MOJOPANGGUNG!V56+PENATABAN!V56</f>
        <v>2049</v>
      </c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18"/>
      <c r="B57" s="47" t="s">
        <v>57</v>
      </c>
      <c r="C57" s="48" t="s">
        <v>58</v>
      </c>
      <c r="D57" s="16"/>
      <c r="E57" s="24">
        <f>BOYOLANGU!U57+GIRI!V57+GROGOL!V57+JAMBESARI!O57+MOJOPANGGUNG!V57+PENATABAN!V57</f>
        <v>190</v>
      </c>
      <c r="F57" s="18"/>
      <c r="G57" s="5"/>
      <c r="H57" s="5"/>
      <c r="I57" s="5"/>
      <c r="J57" s="5"/>
      <c r="K57" s="5"/>
      <c r="L57" s="5"/>
      <c r="M57" s="5"/>
      <c r="N57" s="5"/>
      <c r="O57" s="5"/>
      <c r="P57" s="6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F58" s="18"/>
      <c r="G58" s="5"/>
      <c r="H58" s="5"/>
      <c r="I58" s="5"/>
      <c r="J58" s="5"/>
      <c r="K58" s="5"/>
      <c r="L58" s="5"/>
      <c r="M58" s="5"/>
      <c r="N58" s="5"/>
      <c r="O58" s="5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2" t="s">
        <v>59</v>
      </c>
      <c r="B59" s="14" t="s">
        <v>60</v>
      </c>
      <c r="C59" s="15"/>
      <c r="D59" s="16"/>
      <c r="E59" s="13"/>
      <c r="F59" s="18"/>
      <c r="G59" s="5"/>
      <c r="H59" s="5"/>
      <c r="I59" s="5"/>
      <c r="J59" s="5"/>
      <c r="K59" s="5"/>
      <c r="L59" s="5"/>
      <c r="M59" s="5"/>
      <c r="N59" s="5"/>
      <c r="O59" s="5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2"/>
      <c r="B60" s="53" t="s">
        <v>61</v>
      </c>
      <c r="C60" s="54" t="s">
        <v>62</v>
      </c>
      <c r="D60" s="16"/>
      <c r="E60" s="24">
        <f>BOYOLANGU!U60+GIRI!V60+GROGOL!V60+JAMBESARI!O60+MOJOPANGGUNG!V60+PENATABAN!V60</f>
        <v>16518</v>
      </c>
      <c r="F60" s="18"/>
      <c r="G60" s="5"/>
      <c r="H60" s="5"/>
      <c r="I60" s="5"/>
      <c r="J60" s="5"/>
      <c r="K60" s="5"/>
      <c r="L60" s="5"/>
      <c r="M60" s="5"/>
      <c r="N60" s="5"/>
      <c r="O60" s="1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5"/>
      <c r="B61" s="53" t="s">
        <v>63</v>
      </c>
      <c r="C61" s="54" t="s">
        <v>64</v>
      </c>
      <c r="D61" s="16"/>
      <c r="E61" s="24">
        <f>BOYOLANGU!U61+GIRI!V61+GROGOL!V61+JAMBESARI!O61+MOJOPANGGUNG!V61+PENATABAN!V61</f>
        <v>3981</v>
      </c>
      <c r="F61" s="18"/>
      <c r="G61" s="5"/>
      <c r="H61" s="5"/>
      <c r="I61" s="5"/>
      <c r="J61" s="5"/>
      <c r="K61" s="5"/>
      <c r="L61" s="5"/>
      <c r="M61" s="5"/>
      <c r="N61" s="5"/>
      <c r="O61" s="1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1"/>
      <c r="B62" s="53" t="s">
        <v>65</v>
      </c>
      <c r="C62" s="54" t="s">
        <v>66</v>
      </c>
      <c r="D62" s="16"/>
      <c r="E62" s="13">
        <f>SUM(E60:E61)</f>
        <v>20499</v>
      </c>
      <c r="F62" s="18"/>
      <c r="G62" s="5"/>
      <c r="H62" s="5"/>
      <c r="I62" s="5"/>
      <c r="J62" s="5"/>
      <c r="K62" s="5"/>
      <c r="L62" s="5"/>
      <c r="M62" s="5"/>
      <c r="N62" s="5"/>
      <c r="O62" s="10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5"/>
      <c r="B63" s="55"/>
      <c r="C63" s="56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0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5"/>
      <c r="B64" s="55"/>
      <c r="C64" s="56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0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5"/>
      <c r="B65" s="55"/>
      <c r="C65" s="56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hidden="1" customHeight="1">
      <c r="A66" s="5"/>
      <c r="B66" s="55"/>
      <c r="C66" s="56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0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hidden="1" customHeight="1">
      <c r="A67" s="5"/>
      <c r="B67" s="55"/>
      <c r="C67" s="56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0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hidden="1" customHeight="1">
      <c r="A68" s="5"/>
      <c r="B68" s="55"/>
      <c r="C68" s="56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0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hidden="1" customHeight="1">
      <c r="A69" s="5"/>
      <c r="B69" s="55"/>
      <c r="C69" s="5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0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hidden="1" customHeight="1">
      <c r="A70" s="5"/>
      <c r="B70" s="55"/>
      <c r="C70" s="5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hidden="1" customHeight="1">
      <c r="A71" s="5"/>
      <c r="B71" s="55"/>
      <c r="C71" s="5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hidden="1" customHeight="1">
      <c r="A72" s="5"/>
      <c r="B72" s="55"/>
      <c r="C72" s="56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hidden="1" customHeight="1">
      <c r="A73" s="5"/>
      <c r="B73" s="55"/>
      <c r="C73" s="5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0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hidden="1" customHeight="1">
      <c r="A74" s="5"/>
      <c r="B74" s="55"/>
      <c r="C74" s="5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0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hidden="1" customHeight="1">
      <c r="A75" s="5"/>
      <c r="B75" s="55"/>
      <c r="C75" s="56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0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hidden="1" customHeight="1">
      <c r="A76" s="5"/>
      <c r="B76" s="55"/>
      <c r="C76" s="56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0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hidden="1" customHeight="1">
      <c r="A77" s="5"/>
      <c r="B77" s="55"/>
      <c r="C77" s="5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0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hidden="1" customHeight="1">
      <c r="A78" s="5"/>
      <c r="B78" s="55"/>
      <c r="C78" s="56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0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hidden="1" customHeight="1">
      <c r="A79" s="5"/>
      <c r="B79" s="55"/>
      <c r="C79" s="56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0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hidden="1" customHeight="1">
      <c r="A80" s="5"/>
      <c r="B80" s="55"/>
      <c r="C80" s="56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hidden="1" customHeight="1">
      <c r="A81" s="5"/>
      <c r="B81" s="55"/>
      <c r="C81" s="5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0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hidden="1" customHeight="1">
      <c r="A82" s="5"/>
      <c r="B82" s="55"/>
      <c r="C82" s="5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0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hidden="1" customHeight="1">
      <c r="A83" s="5"/>
      <c r="B83" s="55"/>
      <c r="C83" s="5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0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hidden="1" customHeight="1">
      <c r="A84" s="5"/>
      <c r="B84" s="55"/>
      <c r="C84" s="5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0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hidden="1" customHeight="1">
      <c r="A85" s="5"/>
      <c r="B85" s="55"/>
      <c r="C85" s="5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0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hidden="1" customHeight="1">
      <c r="A86" s="5"/>
      <c r="B86" s="55"/>
      <c r="C86" s="5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0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hidden="1" customHeight="1">
      <c r="A87" s="5"/>
      <c r="B87" s="55"/>
      <c r="C87" s="5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0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hidden="1" customHeight="1">
      <c r="A88" s="5"/>
      <c r="B88" s="55"/>
      <c r="C88" s="5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0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hidden="1" customHeight="1">
      <c r="A89" s="5"/>
      <c r="B89" s="55"/>
      <c r="C89" s="5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0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hidden="1" customHeight="1">
      <c r="A90" s="5"/>
      <c r="B90" s="55"/>
      <c r="C90" s="5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hidden="1" customHeight="1">
      <c r="A91" s="5"/>
      <c r="B91" s="55"/>
      <c r="C91" s="5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0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hidden="1" customHeight="1">
      <c r="A92" s="5"/>
      <c r="B92" s="55"/>
      <c r="C92" s="5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0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hidden="1" customHeight="1">
      <c r="A93" s="5"/>
      <c r="B93" s="55"/>
      <c r="C93" s="5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0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hidden="1" customHeight="1">
      <c r="A94" s="5"/>
      <c r="B94" s="55"/>
      <c r="C94" s="5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0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hidden="1" customHeight="1">
      <c r="A95" s="5"/>
      <c r="B95" s="55"/>
      <c r="C95" s="5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0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hidden="1" customHeight="1">
      <c r="A96" s="5"/>
      <c r="B96" s="55"/>
      <c r="C96" s="5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0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hidden="1" customHeight="1">
      <c r="A97" s="5"/>
      <c r="B97" s="55"/>
      <c r="C97" s="5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0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hidden="1" customHeight="1">
      <c r="A98" s="5"/>
      <c r="B98" s="55"/>
      <c r="C98" s="5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0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hidden="1" customHeight="1">
      <c r="A99" s="5"/>
      <c r="B99" s="55"/>
      <c r="C99" s="5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0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hidden="1" customHeight="1">
      <c r="A100" s="5"/>
      <c r="B100" s="55"/>
      <c r="C100" s="5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hidden="1" customHeight="1">
      <c r="A101" s="5"/>
      <c r="B101" s="55"/>
      <c r="C101" s="5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10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hidden="1" customHeight="1">
      <c r="A102" s="5"/>
      <c r="B102" s="55"/>
      <c r="C102" s="5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10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hidden="1" customHeight="1">
      <c r="A103" s="5"/>
      <c r="B103" s="55"/>
      <c r="C103" s="5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hidden="1" customHeight="1">
      <c r="A104" s="5"/>
      <c r="B104" s="55"/>
      <c r="C104" s="5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hidden="1" customHeight="1">
      <c r="A105" s="5"/>
      <c r="B105" s="55"/>
      <c r="C105" s="5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0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hidden="1" customHeight="1">
      <c r="A106" s="5"/>
      <c r="B106" s="55"/>
      <c r="C106" s="5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0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hidden="1" customHeight="1">
      <c r="A107" s="5"/>
      <c r="B107" s="55"/>
      <c r="C107" s="5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10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hidden="1" customHeight="1">
      <c r="A108" s="5"/>
      <c r="B108" s="55"/>
      <c r="C108" s="5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0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hidden="1" customHeight="1">
      <c r="A109" s="5"/>
      <c r="B109" s="55"/>
      <c r="C109" s="5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10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hidden="1" customHeight="1">
      <c r="A110" s="5"/>
      <c r="B110" s="55"/>
      <c r="C110" s="5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hidden="1" customHeight="1">
      <c r="A111" s="5"/>
      <c r="B111" s="55"/>
      <c r="C111" s="5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0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hidden="1" customHeight="1">
      <c r="A112" s="5"/>
      <c r="B112" s="55"/>
      <c r="C112" s="5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10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hidden="1" customHeight="1">
      <c r="A113" s="5"/>
      <c r="B113" s="55"/>
      <c r="C113" s="5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10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hidden="1" customHeight="1">
      <c r="A114" s="5"/>
      <c r="B114" s="55"/>
      <c r="C114" s="5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0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hidden="1" customHeight="1">
      <c r="A115" s="5"/>
      <c r="B115" s="55"/>
      <c r="C115" s="5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0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hidden="1" customHeight="1">
      <c r="A116" s="5"/>
      <c r="B116" s="55"/>
      <c r="C116" s="5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0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hidden="1" customHeight="1">
      <c r="A117" s="5"/>
      <c r="B117" s="55"/>
      <c r="C117" s="5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0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hidden="1" customHeight="1">
      <c r="A118" s="5"/>
      <c r="B118" s="55"/>
      <c r="C118" s="5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0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hidden="1" customHeight="1">
      <c r="A119" s="5"/>
      <c r="B119" s="55"/>
      <c r="C119" s="5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0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hidden="1" customHeight="1">
      <c r="A120" s="5"/>
      <c r="B120" s="55"/>
      <c r="C120" s="5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0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hidden="1" customHeight="1">
      <c r="A121" s="5"/>
      <c r="B121" s="55"/>
      <c r="C121" s="5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0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hidden="1" customHeight="1">
      <c r="A122" s="5"/>
      <c r="B122" s="55"/>
      <c r="C122" s="5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0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hidden="1" customHeight="1">
      <c r="A123" s="5"/>
      <c r="B123" s="55"/>
      <c r="C123" s="5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0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hidden="1" customHeight="1">
      <c r="A124" s="5"/>
      <c r="B124" s="55"/>
      <c r="C124" s="5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0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hidden="1" customHeight="1">
      <c r="A125" s="5"/>
      <c r="B125" s="55"/>
      <c r="C125" s="5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0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hidden="1" customHeight="1">
      <c r="A126" s="5"/>
      <c r="B126" s="55"/>
      <c r="C126" s="5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0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hidden="1" customHeight="1">
      <c r="A127" s="5"/>
      <c r="B127" s="55"/>
      <c r="C127" s="5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0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hidden="1" customHeight="1">
      <c r="A128" s="5"/>
      <c r="B128" s="55"/>
      <c r="C128" s="5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0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hidden="1" customHeight="1">
      <c r="A129" s="5"/>
      <c r="B129" s="55"/>
      <c r="C129" s="5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0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hidden="1" customHeight="1">
      <c r="A130" s="5"/>
      <c r="B130" s="55"/>
      <c r="C130" s="5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0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hidden="1" customHeight="1">
      <c r="A131" s="5"/>
      <c r="B131" s="55"/>
      <c r="C131" s="5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0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hidden="1" customHeight="1">
      <c r="A132" s="5"/>
      <c r="B132" s="55"/>
      <c r="C132" s="5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0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hidden="1" customHeight="1">
      <c r="A133" s="5"/>
      <c r="B133" s="55"/>
      <c r="C133" s="5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0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hidden="1" customHeight="1">
      <c r="A134" s="5"/>
      <c r="B134" s="55"/>
      <c r="C134" s="5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0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hidden="1" customHeight="1">
      <c r="A135" s="5"/>
      <c r="B135" s="55"/>
      <c r="C135" s="5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0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hidden="1" customHeight="1">
      <c r="A136" s="5"/>
      <c r="B136" s="55"/>
      <c r="C136" s="5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0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hidden="1" customHeight="1">
      <c r="A137" s="5"/>
      <c r="B137" s="55"/>
      <c r="C137" s="5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0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hidden="1" customHeight="1">
      <c r="A138" s="5"/>
      <c r="B138" s="55"/>
      <c r="C138" s="5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hidden="1" customHeight="1">
      <c r="A139" s="5"/>
      <c r="B139" s="55"/>
      <c r="C139" s="5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0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hidden="1" customHeight="1">
      <c r="A140" s="5"/>
      <c r="B140" s="55"/>
      <c r="C140" s="5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0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hidden="1" customHeight="1">
      <c r="A141" s="5"/>
      <c r="B141" s="55"/>
      <c r="C141" s="5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0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hidden="1" customHeight="1">
      <c r="A142" s="5"/>
      <c r="B142" s="55"/>
      <c r="C142" s="5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0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hidden="1" customHeight="1">
      <c r="A143" s="5"/>
      <c r="B143" s="55"/>
      <c r="C143" s="5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0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hidden="1" customHeight="1">
      <c r="A144" s="5"/>
      <c r="B144" s="55"/>
      <c r="C144" s="5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0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hidden="1" customHeight="1">
      <c r="A145" s="5"/>
      <c r="B145" s="55"/>
      <c r="C145" s="5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0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hidden="1" customHeight="1">
      <c r="A146" s="5"/>
      <c r="B146" s="55"/>
      <c r="C146" s="5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0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hidden="1" customHeight="1">
      <c r="A147" s="5"/>
      <c r="B147" s="55"/>
      <c r="C147" s="5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0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hidden="1" customHeight="1">
      <c r="A148" s="5"/>
      <c r="B148" s="55"/>
      <c r="C148" s="5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0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hidden="1" customHeight="1">
      <c r="A149" s="5"/>
      <c r="B149" s="55"/>
      <c r="C149" s="5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0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hidden="1" customHeight="1">
      <c r="A150" s="5"/>
      <c r="B150" s="55"/>
      <c r="C150" s="5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0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hidden="1" customHeight="1">
      <c r="A151" s="5"/>
      <c r="B151" s="55"/>
      <c r="C151" s="5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0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hidden="1" customHeight="1">
      <c r="A152" s="5"/>
      <c r="B152" s="55"/>
      <c r="C152" s="5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0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hidden="1" customHeight="1">
      <c r="A153" s="5"/>
      <c r="B153" s="55"/>
      <c r="C153" s="5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0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hidden="1" customHeight="1">
      <c r="A154" s="5"/>
      <c r="B154" s="55"/>
      <c r="C154" s="5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0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hidden="1" customHeight="1">
      <c r="A155" s="5"/>
      <c r="B155" s="55"/>
      <c r="C155" s="5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0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hidden="1" customHeight="1">
      <c r="A156" s="5"/>
      <c r="B156" s="55"/>
      <c r="C156" s="5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0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hidden="1" customHeight="1">
      <c r="A157" s="5"/>
      <c r="B157" s="55"/>
      <c r="C157" s="5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0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hidden="1" customHeight="1">
      <c r="A158" s="5"/>
      <c r="B158" s="55"/>
      <c r="C158" s="5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0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hidden="1" customHeight="1">
      <c r="A159" s="5"/>
      <c r="B159" s="55"/>
      <c r="C159" s="5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0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hidden="1" customHeight="1">
      <c r="A160" s="5"/>
      <c r="B160" s="55"/>
      <c r="C160" s="5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0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hidden="1" customHeight="1">
      <c r="A161" s="5"/>
      <c r="B161" s="55"/>
      <c r="C161" s="5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0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hidden="1" customHeight="1">
      <c r="A162" s="5"/>
      <c r="B162" s="55"/>
      <c r="C162" s="5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0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hidden="1" customHeight="1">
      <c r="A163" s="5"/>
      <c r="B163" s="55"/>
      <c r="C163" s="5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0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hidden="1" customHeight="1">
      <c r="A164" s="5"/>
      <c r="B164" s="55"/>
      <c r="C164" s="5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0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hidden="1" customHeight="1">
      <c r="A165" s="5"/>
      <c r="B165" s="55"/>
      <c r="C165" s="5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0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hidden="1" customHeight="1">
      <c r="A166" s="5"/>
      <c r="B166" s="55"/>
      <c r="C166" s="5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0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hidden="1" customHeight="1">
      <c r="A167" s="5"/>
      <c r="B167" s="55"/>
      <c r="C167" s="5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0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hidden="1" customHeight="1">
      <c r="A168" s="5"/>
      <c r="B168" s="55"/>
      <c r="C168" s="5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0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hidden="1" customHeight="1">
      <c r="A169" s="5"/>
      <c r="B169" s="55"/>
      <c r="C169" s="5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0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hidden="1" customHeight="1">
      <c r="A170" s="5"/>
      <c r="B170" s="55"/>
      <c r="C170" s="5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0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hidden="1" customHeight="1">
      <c r="A171" s="5"/>
      <c r="B171" s="55"/>
      <c r="C171" s="5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0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hidden="1" customHeight="1">
      <c r="A172" s="5"/>
      <c r="B172" s="55"/>
      <c r="C172" s="5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hidden="1" customHeight="1">
      <c r="A173" s="5"/>
      <c r="B173" s="55"/>
      <c r="C173" s="5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0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hidden="1" customHeight="1">
      <c r="A174" s="5"/>
      <c r="B174" s="55"/>
      <c r="C174" s="5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0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hidden="1" customHeight="1">
      <c r="A175" s="5"/>
      <c r="B175" s="55"/>
      <c r="C175" s="5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0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hidden="1" customHeight="1">
      <c r="A176" s="5"/>
      <c r="B176" s="55"/>
      <c r="C176" s="5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0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hidden="1" customHeight="1">
      <c r="A177" s="5"/>
      <c r="B177" s="55"/>
      <c r="C177" s="5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0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hidden="1" customHeight="1">
      <c r="A178" s="5"/>
      <c r="B178" s="55"/>
      <c r="C178" s="5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0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hidden="1" customHeight="1">
      <c r="A179" s="5"/>
      <c r="B179" s="55"/>
      <c r="C179" s="5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0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hidden="1" customHeight="1">
      <c r="A180" s="5"/>
      <c r="B180" s="55"/>
      <c r="C180" s="5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0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hidden="1" customHeight="1">
      <c r="A181" s="5"/>
      <c r="B181" s="55"/>
      <c r="C181" s="5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0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hidden="1" customHeight="1">
      <c r="A182" s="5"/>
      <c r="B182" s="55"/>
      <c r="C182" s="5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0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hidden="1" customHeight="1">
      <c r="A183" s="5"/>
      <c r="B183" s="55"/>
      <c r="C183" s="5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0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hidden="1" customHeight="1">
      <c r="A184" s="5"/>
      <c r="B184" s="55"/>
      <c r="C184" s="5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0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hidden="1" customHeight="1">
      <c r="A185" s="5"/>
      <c r="B185" s="55"/>
      <c r="C185" s="5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0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hidden="1" customHeight="1">
      <c r="A186" s="5"/>
      <c r="B186" s="55"/>
      <c r="C186" s="5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0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hidden="1" customHeight="1">
      <c r="A187" s="5"/>
      <c r="B187" s="55"/>
      <c r="C187" s="5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hidden="1" customHeight="1">
      <c r="A188" s="5"/>
      <c r="B188" s="55"/>
      <c r="C188" s="5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5"/>
      <c r="B189" s="55"/>
      <c r="C189" s="5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5"/>
      <c r="B190" s="55"/>
      <c r="C190" s="5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5"/>
      <c r="B191" s="55"/>
      <c r="C191" s="5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5"/>
      <c r="B192" s="55"/>
      <c r="C192" s="5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5"/>
      <c r="B193" s="55"/>
      <c r="C193" s="5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5"/>
      <c r="B194" s="55"/>
      <c r="C194" s="5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5"/>
      <c r="B195" s="55"/>
      <c r="C195" s="5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5"/>
      <c r="B196" s="55"/>
      <c r="C196" s="5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5"/>
      <c r="B197" s="55"/>
      <c r="C197" s="5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5"/>
      <c r="B198" s="55"/>
      <c r="C198" s="5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5"/>
      <c r="B199" s="55"/>
      <c r="C199" s="5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5"/>
      <c r="B200" s="55"/>
      <c r="C200" s="5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5"/>
      <c r="B201" s="55"/>
      <c r="C201" s="5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5"/>
      <c r="B202" s="55"/>
      <c r="C202" s="5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5"/>
      <c r="B203" s="55"/>
      <c r="C203" s="5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5"/>
      <c r="B204" s="55"/>
      <c r="C204" s="5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5"/>
      <c r="B205" s="55"/>
      <c r="C205" s="5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5"/>
      <c r="B206" s="55"/>
      <c r="C206" s="5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5"/>
      <c r="B207" s="55"/>
      <c r="C207" s="5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5"/>
      <c r="B208" s="55"/>
      <c r="C208" s="5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5"/>
      <c r="B209" s="55"/>
      <c r="C209" s="5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5"/>
      <c r="B210" s="55"/>
      <c r="C210" s="5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5"/>
      <c r="B211" s="55"/>
      <c r="C211" s="5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5"/>
      <c r="B212" s="55"/>
      <c r="C212" s="5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5"/>
      <c r="B213" s="55"/>
      <c r="C213" s="5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5"/>
      <c r="B214" s="55"/>
      <c r="C214" s="5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5"/>
      <c r="B215" s="55"/>
      <c r="C215" s="5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5"/>
      <c r="B216" s="55"/>
      <c r="C216" s="5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5"/>
      <c r="B217" s="55"/>
      <c r="C217" s="5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5"/>
      <c r="B218" s="55"/>
      <c r="C218" s="5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5"/>
      <c r="B219" s="55"/>
      <c r="C219" s="5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5"/>
      <c r="B220" s="55"/>
      <c r="C220" s="5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5"/>
      <c r="B221" s="55"/>
      <c r="C221" s="5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5"/>
      <c r="B222" s="55"/>
      <c r="C222" s="5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5"/>
      <c r="B223" s="55"/>
      <c r="C223" s="5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55"/>
      <c r="C224" s="5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55"/>
      <c r="C225" s="5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55"/>
      <c r="C226" s="5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55"/>
      <c r="C227" s="5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55"/>
      <c r="C228" s="5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55"/>
      <c r="C229" s="5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55"/>
      <c r="C230" s="5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55"/>
      <c r="C231" s="5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55"/>
      <c r="C232" s="5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55"/>
      <c r="C233" s="5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55"/>
      <c r="C234" s="5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55"/>
      <c r="C235" s="5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55"/>
      <c r="C236" s="5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55"/>
      <c r="C237" s="5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55"/>
      <c r="C238" s="5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55"/>
      <c r="C239" s="5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55"/>
      <c r="C240" s="5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55"/>
      <c r="C241" s="5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55"/>
      <c r="C242" s="5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55"/>
      <c r="C243" s="5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55"/>
      <c r="C244" s="5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55"/>
      <c r="C245" s="5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55"/>
      <c r="C246" s="5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55"/>
      <c r="C247" s="5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55"/>
      <c r="C248" s="5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55"/>
      <c r="C249" s="5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55"/>
      <c r="C250" s="5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10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55"/>
      <c r="C251" s="5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10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55"/>
      <c r="C252" s="5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10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hidden="1" customHeight="1">
      <c r="A253" s="5"/>
      <c r="B253" s="55"/>
      <c r="C253" s="5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10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hidden="1" customHeight="1">
      <c r="A254" s="5"/>
      <c r="B254" s="55"/>
      <c r="C254" s="5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10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hidden="1" customHeight="1">
      <c r="A255" s="5"/>
      <c r="B255" s="55"/>
      <c r="C255" s="5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hidden="1" customHeight="1">
      <c r="A256" s="5"/>
      <c r="B256" s="55"/>
      <c r="C256" s="5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hidden="1" customHeight="1">
      <c r="A257" s="5"/>
      <c r="B257" s="55"/>
      <c r="C257" s="5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hidden="1" customHeight="1">
      <c r="A258" s="5"/>
      <c r="B258" s="55"/>
      <c r="C258" s="5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hidden="1" customHeight="1">
      <c r="A259" s="5"/>
      <c r="B259" s="55"/>
      <c r="C259" s="5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10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hidden="1" customHeight="1">
      <c r="A260" s="5"/>
      <c r="B260" s="55"/>
      <c r="C260" s="56"/>
      <c r="D260" s="5"/>
      <c r="E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hidden="1" customHeight="1">
      <c r="A261" s="5"/>
      <c r="B261" s="55"/>
      <c r="C261" s="56"/>
      <c r="D261" s="5"/>
      <c r="E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hidden="1" customHeight="1">
      <c r="A262" s="5"/>
      <c r="B262" s="55"/>
      <c r="C262" s="56"/>
      <c r="D262" s="5"/>
      <c r="E262" s="5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C46:D46"/>
    <mergeCell ref="C54:D54"/>
    <mergeCell ref="C55:D55"/>
    <mergeCell ref="C56:D56"/>
    <mergeCell ref="C57:D57"/>
    <mergeCell ref="B59:D59"/>
    <mergeCell ref="C60:D60"/>
    <mergeCell ref="C61:D61"/>
    <mergeCell ref="C62:D62"/>
    <mergeCell ref="C47:D47"/>
    <mergeCell ref="C48:D48"/>
    <mergeCell ref="C49:D49"/>
    <mergeCell ref="C50:D50"/>
    <mergeCell ref="C51:D51"/>
    <mergeCell ref="C52:D52"/>
    <mergeCell ref="C53:D53"/>
  </mergeCells>
  <conditionalFormatting sqref="E30">
    <cfRule type="expression" dxfId="0" priority="1">
      <formula>E30&lt;&gt;E62</formula>
    </cfRule>
  </conditionalFormatting>
  <conditionalFormatting sqref="E30">
    <cfRule type="expression" dxfId="0" priority="2">
      <formula>E30&lt;&gt;E34</formula>
    </cfRule>
  </conditionalFormatting>
  <conditionalFormatting sqref="F58:O59">
    <cfRule type="cellIs" dxfId="0" priority="3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0" width="8.71"/>
    <col customWidth="1" min="21" max="21" width="13.29"/>
    <col customWidth="1" min="22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68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1"/>
      <c r="T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36"/>
    </row>
    <row r="14" ht="12.75" customHeight="1">
      <c r="A14" s="18"/>
      <c r="B14" s="22" t="s">
        <v>11</v>
      </c>
      <c r="C14" s="23"/>
      <c r="D14" s="19" t="s">
        <v>12</v>
      </c>
      <c r="E14" s="19">
        <v>137.0</v>
      </c>
      <c r="F14" s="19">
        <v>142.0</v>
      </c>
      <c r="G14" s="19">
        <v>142.0</v>
      </c>
      <c r="H14" s="19">
        <v>141.0</v>
      </c>
      <c r="I14" s="19">
        <v>150.0</v>
      </c>
      <c r="J14" s="19">
        <v>155.0</v>
      </c>
      <c r="K14" s="19">
        <v>146.0</v>
      </c>
      <c r="L14" s="19">
        <v>155.0</v>
      </c>
      <c r="M14" s="19">
        <v>152.0</v>
      </c>
      <c r="N14" s="19">
        <v>139.0</v>
      </c>
      <c r="O14" s="19">
        <v>110.0</v>
      </c>
      <c r="P14" s="19">
        <v>125.0</v>
      </c>
      <c r="Q14" s="19">
        <v>110.0</v>
      </c>
      <c r="R14" s="19">
        <v>108.0</v>
      </c>
      <c r="S14" s="19">
        <v>70.0</v>
      </c>
      <c r="T14" s="19">
        <v>139.0</v>
      </c>
      <c r="U14" s="13">
        <f t="shared" ref="U14:U16" si="1">SUM(E14:T14)</f>
        <v>2121</v>
      </c>
    </row>
    <row r="15" ht="12.75" customHeight="1">
      <c r="A15" s="18"/>
      <c r="B15" s="26"/>
      <c r="C15" s="27"/>
      <c r="D15" s="19" t="s">
        <v>13</v>
      </c>
      <c r="E15" s="19">
        <v>158.0</v>
      </c>
      <c r="F15" s="19">
        <v>154.0</v>
      </c>
      <c r="G15" s="19">
        <v>155.0</v>
      </c>
      <c r="H15" s="19">
        <v>156.0</v>
      </c>
      <c r="I15" s="19">
        <v>146.0</v>
      </c>
      <c r="J15" s="19">
        <v>142.0</v>
      </c>
      <c r="K15" s="19">
        <v>152.0</v>
      </c>
      <c r="L15" s="19">
        <v>143.0</v>
      </c>
      <c r="M15" s="19">
        <v>145.0</v>
      </c>
      <c r="N15" s="19">
        <v>159.0</v>
      </c>
      <c r="O15" s="19">
        <v>111.0</v>
      </c>
      <c r="P15" s="19">
        <v>133.0</v>
      </c>
      <c r="Q15" s="19">
        <v>117.0</v>
      </c>
      <c r="R15" s="19">
        <v>117.0</v>
      </c>
      <c r="S15" s="19">
        <v>78.0</v>
      </c>
      <c r="T15" s="19">
        <v>128.0</v>
      </c>
      <c r="U15" s="13">
        <f t="shared" si="1"/>
        <v>2194</v>
      </c>
    </row>
    <row r="16" ht="12.75" customHeight="1">
      <c r="A16" s="25"/>
      <c r="B16" s="21"/>
      <c r="C16" s="28"/>
      <c r="D16" s="13" t="s">
        <v>14</v>
      </c>
      <c r="E16" s="13">
        <f t="shared" ref="E16:T16" si="2">SUM(E14:E15)</f>
        <v>295</v>
      </c>
      <c r="F16" s="13">
        <f t="shared" si="2"/>
        <v>296</v>
      </c>
      <c r="G16" s="13">
        <f t="shared" si="2"/>
        <v>297</v>
      </c>
      <c r="H16" s="13">
        <f t="shared" si="2"/>
        <v>297</v>
      </c>
      <c r="I16" s="13">
        <f t="shared" si="2"/>
        <v>296</v>
      </c>
      <c r="J16" s="13">
        <f t="shared" si="2"/>
        <v>297</v>
      </c>
      <c r="K16" s="13">
        <f t="shared" si="2"/>
        <v>298</v>
      </c>
      <c r="L16" s="13">
        <f t="shared" si="2"/>
        <v>298</v>
      </c>
      <c r="M16" s="13">
        <f t="shared" si="2"/>
        <v>297</v>
      </c>
      <c r="N16" s="13">
        <f t="shared" si="2"/>
        <v>298</v>
      </c>
      <c r="O16" s="13">
        <f t="shared" si="2"/>
        <v>221</v>
      </c>
      <c r="P16" s="13">
        <f t="shared" si="2"/>
        <v>258</v>
      </c>
      <c r="Q16" s="13">
        <f t="shared" si="2"/>
        <v>227</v>
      </c>
      <c r="R16" s="13">
        <f t="shared" si="2"/>
        <v>225</v>
      </c>
      <c r="S16" s="13">
        <f t="shared" si="2"/>
        <v>148</v>
      </c>
      <c r="T16" s="13">
        <f t="shared" si="2"/>
        <v>267</v>
      </c>
      <c r="U16" s="13">
        <f t="shared" si="1"/>
        <v>4315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19"/>
      <c r="R17" s="19"/>
      <c r="S17" s="19"/>
      <c r="T17" s="19"/>
      <c r="U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19"/>
      <c r="R18" s="19"/>
      <c r="S18" s="19"/>
      <c r="T18" s="19"/>
      <c r="U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89.0</v>
      </c>
      <c r="F19" s="19">
        <v>113.0</v>
      </c>
      <c r="G19" s="19">
        <v>117.0</v>
      </c>
      <c r="H19" s="19">
        <v>118.0</v>
      </c>
      <c r="I19" s="19">
        <v>115.0</v>
      </c>
      <c r="J19" s="19">
        <v>121.0</v>
      </c>
      <c r="K19" s="19">
        <v>107.0</v>
      </c>
      <c r="L19" s="19">
        <v>115.0</v>
      </c>
      <c r="M19" s="19">
        <v>129.0</v>
      </c>
      <c r="N19" s="19">
        <v>105.0</v>
      </c>
      <c r="O19" s="19">
        <v>88.0</v>
      </c>
      <c r="P19" s="19">
        <v>101.0</v>
      </c>
      <c r="Q19" s="19">
        <v>99.0</v>
      </c>
      <c r="R19" s="19">
        <v>90.0</v>
      </c>
      <c r="S19" s="19">
        <v>51.0</v>
      </c>
      <c r="T19" s="19">
        <v>106.0</v>
      </c>
      <c r="U19" s="13">
        <f t="shared" ref="U19:U30" si="3">SUM(E19:T19)</f>
        <v>1664</v>
      </c>
    </row>
    <row r="20" ht="12.75" customHeight="1">
      <c r="A20" s="33"/>
      <c r="B20" s="27"/>
      <c r="C20" s="34"/>
      <c r="D20" s="19" t="s">
        <v>13</v>
      </c>
      <c r="E20" s="19">
        <v>117.0</v>
      </c>
      <c r="F20" s="19">
        <v>120.0</v>
      </c>
      <c r="G20" s="19">
        <v>134.0</v>
      </c>
      <c r="H20" s="19">
        <v>136.0</v>
      </c>
      <c r="I20" s="19">
        <v>114.0</v>
      </c>
      <c r="J20" s="19">
        <v>123.0</v>
      </c>
      <c r="K20" s="19">
        <v>135.0</v>
      </c>
      <c r="L20" s="19">
        <v>121.0</v>
      </c>
      <c r="M20" s="19">
        <v>131.0</v>
      </c>
      <c r="N20" s="19">
        <v>128.0</v>
      </c>
      <c r="O20" s="19">
        <v>103.0</v>
      </c>
      <c r="P20" s="19">
        <v>112.0</v>
      </c>
      <c r="Q20" s="19">
        <v>110.0</v>
      </c>
      <c r="R20" s="19">
        <v>100.0</v>
      </c>
      <c r="S20" s="19">
        <v>68.0</v>
      </c>
      <c r="T20" s="19">
        <v>109.0</v>
      </c>
      <c r="U20" s="13">
        <f t="shared" si="3"/>
        <v>1861</v>
      </c>
    </row>
    <row r="21" ht="12.75" customHeight="1">
      <c r="A21" s="35"/>
      <c r="B21" s="28"/>
      <c r="C21" s="36"/>
      <c r="D21" s="13" t="s">
        <v>14</v>
      </c>
      <c r="E21" s="13">
        <f t="shared" ref="E21:T21" si="4">SUM(E19:E20)</f>
        <v>206</v>
      </c>
      <c r="F21" s="13">
        <f t="shared" si="4"/>
        <v>233</v>
      </c>
      <c r="G21" s="13">
        <f t="shared" si="4"/>
        <v>251</v>
      </c>
      <c r="H21" s="13">
        <f t="shared" si="4"/>
        <v>254</v>
      </c>
      <c r="I21" s="13">
        <f t="shared" si="4"/>
        <v>229</v>
      </c>
      <c r="J21" s="13">
        <f t="shared" si="4"/>
        <v>244</v>
      </c>
      <c r="K21" s="13">
        <f t="shared" si="4"/>
        <v>242</v>
      </c>
      <c r="L21" s="13">
        <f t="shared" si="4"/>
        <v>236</v>
      </c>
      <c r="M21" s="13">
        <f t="shared" si="4"/>
        <v>260</v>
      </c>
      <c r="N21" s="13">
        <f t="shared" si="4"/>
        <v>233</v>
      </c>
      <c r="O21" s="13">
        <f t="shared" si="4"/>
        <v>191</v>
      </c>
      <c r="P21" s="13">
        <f t="shared" si="4"/>
        <v>213</v>
      </c>
      <c r="Q21" s="13">
        <f t="shared" si="4"/>
        <v>209</v>
      </c>
      <c r="R21" s="13">
        <f t="shared" si="4"/>
        <v>190</v>
      </c>
      <c r="S21" s="13">
        <f t="shared" si="4"/>
        <v>119</v>
      </c>
      <c r="T21" s="13">
        <f t="shared" si="4"/>
        <v>215</v>
      </c>
      <c r="U21" s="13">
        <f t="shared" si="3"/>
        <v>3525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/>
      <c r="U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>
        <v>2.0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/>
      <c r="U23" s="13">
        <f t="shared" si="3"/>
        <v>2</v>
      </c>
    </row>
    <row r="24" ht="12.75" customHeight="1">
      <c r="A24" s="35"/>
      <c r="B24" s="28"/>
      <c r="C24" s="36"/>
      <c r="D24" s="13" t="s">
        <v>14</v>
      </c>
      <c r="E24" s="13">
        <f t="shared" ref="E24:T24" si="5">SUM(E22:E23)</f>
        <v>3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3"/>
        <v>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3.0</v>
      </c>
      <c r="F25" s="19">
        <v>2.0</v>
      </c>
      <c r="G25" s="19">
        <v>0.0</v>
      </c>
      <c r="H25" s="19">
        <v>2.0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1.0</v>
      </c>
      <c r="O25" s="19">
        <v>0.0</v>
      </c>
      <c r="P25" s="19">
        <v>0.0</v>
      </c>
      <c r="Q25" s="19">
        <v>0.0</v>
      </c>
      <c r="R25" s="19">
        <v>0.0</v>
      </c>
      <c r="S25" s="19">
        <v>1.0</v>
      </c>
      <c r="T25" s="19"/>
      <c r="U25" s="13">
        <f t="shared" si="3"/>
        <v>9</v>
      </c>
    </row>
    <row r="26" ht="12.75" customHeight="1">
      <c r="A26" s="33"/>
      <c r="B26" s="27"/>
      <c r="C26" s="34"/>
      <c r="D26" s="19" t="s">
        <v>13</v>
      </c>
      <c r="E26" s="19">
        <v>5.0</v>
      </c>
      <c r="F26" s="19">
        <v>0.0</v>
      </c>
      <c r="G26" s="19">
        <v>0.0</v>
      </c>
      <c r="H26" s="19">
        <v>1.0</v>
      </c>
      <c r="I26" s="19">
        <v>1.0</v>
      </c>
      <c r="J26" s="19">
        <v>0.0</v>
      </c>
      <c r="K26" s="19">
        <v>0.0</v>
      </c>
      <c r="L26" s="19">
        <v>1.0</v>
      </c>
      <c r="M26" s="19">
        <v>0.0</v>
      </c>
      <c r="N26" s="19">
        <v>1.0</v>
      </c>
      <c r="O26" s="19">
        <v>0.0</v>
      </c>
      <c r="P26" s="19">
        <v>0.0</v>
      </c>
      <c r="Q26" s="19">
        <v>0.0</v>
      </c>
      <c r="R26" s="19">
        <v>1.0</v>
      </c>
      <c r="S26" s="19">
        <v>0.0</v>
      </c>
      <c r="T26" s="19"/>
      <c r="U26" s="13">
        <f t="shared" si="3"/>
        <v>10</v>
      </c>
    </row>
    <row r="27" ht="12.75" customHeight="1">
      <c r="A27" s="35"/>
      <c r="B27" s="28"/>
      <c r="C27" s="36"/>
      <c r="D27" s="13" t="s">
        <v>14</v>
      </c>
      <c r="E27" s="13">
        <f t="shared" ref="E27:T27" si="6">SUM(E25:E26)</f>
        <v>8</v>
      </c>
      <c r="F27" s="13">
        <f t="shared" si="6"/>
        <v>2</v>
      </c>
      <c r="G27" s="13">
        <f t="shared" si="6"/>
        <v>0</v>
      </c>
      <c r="H27" s="13">
        <f t="shared" si="6"/>
        <v>3</v>
      </c>
      <c r="I27" s="13">
        <f t="shared" si="6"/>
        <v>1</v>
      </c>
      <c r="J27" s="13">
        <f t="shared" si="6"/>
        <v>0</v>
      </c>
      <c r="K27" s="13">
        <f t="shared" si="6"/>
        <v>0</v>
      </c>
      <c r="L27" s="13">
        <f t="shared" si="6"/>
        <v>1</v>
      </c>
      <c r="M27" s="13">
        <f t="shared" si="6"/>
        <v>0</v>
      </c>
      <c r="N27" s="13">
        <f t="shared" si="6"/>
        <v>2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1</v>
      </c>
      <c r="S27" s="13">
        <f t="shared" si="6"/>
        <v>1</v>
      </c>
      <c r="T27" s="13">
        <f t="shared" si="6"/>
        <v>0</v>
      </c>
      <c r="U27" s="13">
        <f t="shared" si="3"/>
        <v>19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T28" si="7">SUM(E19,E22,E25)</f>
        <v>93</v>
      </c>
      <c r="F28" s="13">
        <f t="shared" si="7"/>
        <v>115</v>
      </c>
      <c r="G28" s="13">
        <f t="shared" si="7"/>
        <v>117</v>
      </c>
      <c r="H28" s="13">
        <f t="shared" si="7"/>
        <v>120</v>
      </c>
      <c r="I28" s="13">
        <f t="shared" si="7"/>
        <v>115</v>
      </c>
      <c r="J28" s="13">
        <f t="shared" si="7"/>
        <v>121</v>
      </c>
      <c r="K28" s="13">
        <f t="shared" si="7"/>
        <v>107</v>
      </c>
      <c r="L28" s="13">
        <f t="shared" si="7"/>
        <v>115</v>
      </c>
      <c r="M28" s="13">
        <f t="shared" si="7"/>
        <v>129</v>
      </c>
      <c r="N28" s="13">
        <f t="shared" si="7"/>
        <v>106</v>
      </c>
      <c r="O28" s="13">
        <f t="shared" si="7"/>
        <v>88</v>
      </c>
      <c r="P28" s="13">
        <f t="shared" si="7"/>
        <v>101</v>
      </c>
      <c r="Q28" s="13">
        <f t="shared" si="7"/>
        <v>99</v>
      </c>
      <c r="R28" s="13">
        <f t="shared" si="7"/>
        <v>90</v>
      </c>
      <c r="S28" s="13">
        <f t="shared" si="7"/>
        <v>52</v>
      </c>
      <c r="T28" s="13">
        <f t="shared" si="7"/>
        <v>106</v>
      </c>
      <c r="U28" s="13">
        <f t="shared" si="3"/>
        <v>1674</v>
      </c>
    </row>
    <row r="29" ht="12.75" customHeight="1">
      <c r="A29" s="35"/>
      <c r="B29" s="27"/>
      <c r="C29" s="34"/>
      <c r="D29" s="13" t="s">
        <v>13</v>
      </c>
      <c r="E29" s="13">
        <f t="shared" ref="E29:T29" si="8">SUM(E20,E23,E26)</f>
        <v>124</v>
      </c>
      <c r="F29" s="13">
        <f t="shared" si="8"/>
        <v>120</v>
      </c>
      <c r="G29" s="13">
        <f t="shared" si="8"/>
        <v>134</v>
      </c>
      <c r="H29" s="13">
        <f t="shared" si="8"/>
        <v>137</v>
      </c>
      <c r="I29" s="13">
        <f t="shared" si="8"/>
        <v>115</v>
      </c>
      <c r="J29" s="13">
        <f t="shared" si="8"/>
        <v>123</v>
      </c>
      <c r="K29" s="13">
        <f t="shared" si="8"/>
        <v>135</v>
      </c>
      <c r="L29" s="13">
        <f t="shared" si="8"/>
        <v>122</v>
      </c>
      <c r="M29" s="13">
        <f t="shared" si="8"/>
        <v>131</v>
      </c>
      <c r="N29" s="13">
        <f t="shared" si="8"/>
        <v>129</v>
      </c>
      <c r="O29" s="13">
        <f t="shared" si="8"/>
        <v>103</v>
      </c>
      <c r="P29" s="13">
        <f t="shared" si="8"/>
        <v>112</v>
      </c>
      <c r="Q29" s="13">
        <f t="shared" si="8"/>
        <v>110</v>
      </c>
      <c r="R29" s="13">
        <f t="shared" si="8"/>
        <v>101</v>
      </c>
      <c r="S29" s="13">
        <f t="shared" si="8"/>
        <v>68</v>
      </c>
      <c r="T29" s="13">
        <f t="shared" si="8"/>
        <v>109</v>
      </c>
      <c r="U29" s="13">
        <f t="shared" si="3"/>
        <v>1873</v>
      </c>
    </row>
    <row r="30" ht="12.75" customHeight="1">
      <c r="A30" s="35"/>
      <c r="B30" s="28"/>
      <c r="C30" s="36"/>
      <c r="D30" s="13" t="s">
        <v>14</v>
      </c>
      <c r="E30" s="13">
        <f t="shared" ref="E30:T30" si="9">SUM(E28:E29)</f>
        <v>217</v>
      </c>
      <c r="F30" s="13">
        <f t="shared" si="9"/>
        <v>235</v>
      </c>
      <c r="G30" s="13">
        <f t="shared" si="9"/>
        <v>251</v>
      </c>
      <c r="H30" s="13">
        <f t="shared" si="9"/>
        <v>257</v>
      </c>
      <c r="I30" s="13">
        <f t="shared" si="9"/>
        <v>230</v>
      </c>
      <c r="J30" s="13">
        <f t="shared" si="9"/>
        <v>244</v>
      </c>
      <c r="K30" s="13">
        <f t="shared" si="9"/>
        <v>242</v>
      </c>
      <c r="L30" s="13">
        <f t="shared" si="9"/>
        <v>237</v>
      </c>
      <c r="M30" s="13">
        <f t="shared" si="9"/>
        <v>260</v>
      </c>
      <c r="N30" s="13">
        <f t="shared" si="9"/>
        <v>235</v>
      </c>
      <c r="O30" s="13">
        <f t="shared" si="9"/>
        <v>191</v>
      </c>
      <c r="P30" s="13">
        <f t="shared" si="9"/>
        <v>213</v>
      </c>
      <c r="Q30" s="13">
        <f t="shared" si="9"/>
        <v>209</v>
      </c>
      <c r="R30" s="13">
        <f t="shared" si="9"/>
        <v>191</v>
      </c>
      <c r="S30" s="13">
        <f t="shared" si="9"/>
        <v>120</v>
      </c>
      <c r="T30" s="13">
        <f t="shared" si="9"/>
        <v>215</v>
      </c>
      <c r="U30" s="13">
        <f t="shared" si="3"/>
        <v>3547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19"/>
      <c r="R31" s="19"/>
      <c r="S31" s="19"/>
      <c r="T31" s="19"/>
      <c r="U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13"/>
      <c r="S32" s="13"/>
      <c r="T32" s="13"/>
      <c r="U32" s="59"/>
    </row>
    <row r="33" ht="12.75" customHeight="1">
      <c r="A33" s="19">
        <v>1.0</v>
      </c>
      <c r="B33" s="20" t="s">
        <v>27</v>
      </c>
      <c r="C33" s="15"/>
      <c r="D33" s="16"/>
      <c r="E33" s="19">
        <v>301.0</v>
      </c>
      <c r="F33" s="19">
        <v>301.0</v>
      </c>
      <c r="G33" s="19">
        <v>302.0</v>
      </c>
      <c r="H33" s="19">
        <v>295.0</v>
      </c>
      <c r="I33" s="19">
        <v>302.0</v>
      </c>
      <c r="J33" s="19">
        <v>303.0</v>
      </c>
      <c r="K33" s="19">
        <v>284.0</v>
      </c>
      <c r="L33" s="19">
        <v>304.0</v>
      </c>
      <c r="M33" s="19">
        <v>303.0</v>
      </c>
      <c r="N33" s="19">
        <v>304.0</v>
      </c>
      <c r="O33" s="19">
        <v>226.0</v>
      </c>
      <c r="P33" s="19">
        <v>264.0</v>
      </c>
      <c r="Q33" s="19">
        <v>233.0</v>
      </c>
      <c r="R33" s="19">
        <v>230.0</v>
      </c>
      <c r="S33" s="19">
        <v>152.0</v>
      </c>
      <c r="T33" s="19">
        <v>273.0</v>
      </c>
      <c r="U33" s="13">
        <f t="shared" ref="U33:U36" si="10">SUM(E33:T33)</f>
        <v>4377</v>
      </c>
    </row>
    <row r="34" ht="12.75" customHeight="1">
      <c r="A34" s="19">
        <v>2.0</v>
      </c>
      <c r="B34" s="20" t="s">
        <v>28</v>
      </c>
      <c r="C34" s="15"/>
      <c r="D34" s="16"/>
      <c r="E34" s="13">
        <v>217.0</v>
      </c>
      <c r="F34" s="13">
        <v>235.0</v>
      </c>
      <c r="G34" s="13">
        <v>251.0</v>
      </c>
      <c r="H34" s="13">
        <v>257.0</v>
      </c>
      <c r="I34" s="13">
        <v>230.0</v>
      </c>
      <c r="J34" s="13">
        <v>244.0</v>
      </c>
      <c r="K34" s="13">
        <v>242.0</v>
      </c>
      <c r="L34" s="13">
        <v>237.0</v>
      </c>
      <c r="M34" s="13">
        <v>260.0</v>
      </c>
      <c r="N34" s="13">
        <v>235.0</v>
      </c>
      <c r="O34" s="13">
        <v>191.0</v>
      </c>
      <c r="P34" s="13">
        <v>213.0</v>
      </c>
      <c r="Q34" s="13">
        <v>209.0</v>
      </c>
      <c r="R34" s="13">
        <v>191.0</v>
      </c>
      <c r="S34" s="13">
        <v>120.0</v>
      </c>
      <c r="T34" s="13">
        <v>215.0</v>
      </c>
      <c r="U34" s="13">
        <f t="shared" si="10"/>
        <v>3547</v>
      </c>
    </row>
    <row r="35" ht="12.75" customHeight="1">
      <c r="A35" s="19">
        <v>3.0</v>
      </c>
      <c r="B35" s="20" t="s">
        <v>29</v>
      </c>
      <c r="C35" s="15"/>
      <c r="D35" s="16"/>
      <c r="E35" s="19">
        <v>1.0</v>
      </c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T36" si="11">E33-(E34+E35)</f>
        <v>83</v>
      </c>
      <c r="F36" s="13">
        <f t="shared" si="11"/>
        <v>66</v>
      </c>
      <c r="G36" s="13">
        <f t="shared" si="11"/>
        <v>51</v>
      </c>
      <c r="H36" s="13">
        <f t="shared" si="11"/>
        <v>38</v>
      </c>
      <c r="I36" s="13">
        <f t="shared" si="11"/>
        <v>72</v>
      </c>
      <c r="J36" s="13">
        <f t="shared" si="11"/>
        <v>59</v>
      </c>
      <c r="K36" s="13">
        <f t="shared" si="11"/>
        <v>42</v>
      </c>
      <c r="L36" s="13">
        <f t="shared" si="11"/>
        <v>67</v>
      </c>
      <c r="M36" s="13">
        <f t="shared" si="11"/>
        <v>43</v>
      </c>
      <c r="N36" s="13">
        <f t="shared" si="11"/>
        <v>69</v>
      </c>
      <c r="O36" s="13">
        <f t="shared" si="11"/>
        <v>35</v>
      </c>
      <c r="P36" s="13">
        <f t="shared" si="11"/>
        <v>51</v>
      </c>
      <c r="Q36" s="13">
        <f t="shared" si="11"/>
        <v>24</v>
      </c>
      <c r="R36" s="13">
        <f t="shared" si="11"/>
        <v>39</v>
      </c>
      <c r="S36" s="13">
        <f t="shared" si="11"/>
        <v>32</v>
      </c>
      <c r="T36" s="13">
        <f t="shared" si="11"/>
        <v>58</v>
      </c>
      <c r="U36" s="13">
        <f t="shared" si="10"/>
        <v>829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13"/>
      <c r="S38" s="13"/>
      <c r="T38" s="13"/>
      <c r="U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>
        <v>1.0</v>
      </c>
      <c r="G39" s="19"/>
      <c r="H39" s="19"/>
      <c r="I39" s="19">
        <v>1.0</v>
      </c>
      <c r="J39" s="19"/>
      <c r="K39" s="19"/>
      <c r="L39" s="19"/>
      <c r="M39" s="19"/>
      <c r="N39" s="19"/>
      <c r="O39" s="19"/>
      <c r="P39" s="19"/>
      <c r="Q39" s="19">
        <v>2.0</v>
      </c>
      <c r="R39" s="19"/>
      <c r="S39" s="19"/>
      <c r="T39" s="19"/>
      <c r="U39" s="13">
        <f t="shared" ref="U39:U41" si="12">SUM(E39:T39)</f>
        <v>4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>
        <v>1.0</v>
      </c>
      <c r="N40" s="19"/>
      <c r="O40" s="19"/>
      <c r="P40" s="19"/>
      <c r="Q40" s="19"/>
      <c r="R40" s="19"/>
      <c r="S40" s="19"/>
      <c r="T40" s="19"/>
      <c r="U40" s="13">
        <f t="shared" si="12"/>
        <v>1</v>
      </c>
    </row>
    <row r="41" ht="12.75" customHeight="1">
      <c r="A41" s="41"/>
      <c r="B41" s="44"/>
      <c r="C41" s="28"/>
      <c r="D41" s="13" t="s">
        <v>14</v>
      </c>
      <c r="E41" s="13">
        <f t="shared" ref="E41:T41" si="13">SUM(E39:E40)</f>
        <v>0</v>
      </c>
      <c r="F41" s="13">
        <f t="shared" si="13"/>
        <v>1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1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2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2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13"/>
      <c r="S43" s="13"/>
      <c r="T43" s="13"/>
      <c r="U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19"/>
      <c r="S44" s="19"/>
      <c r="T44" s="19"/>
      <c r="U44" s="13"/>
    </row>
    <row r="45" ht="12.75" customHeight="1">
      <c r="A45" s="30"/>
      <c r="B45" s="47" t="s">
        <v>17</v>
      </c>
      <c r="C45" s="48" t="s">
        <v>37</v>
      </c>
      <c r="D45" s="16"/>
      <c r="E45" s="19">
        <v>9.0</v>
      </c>
      <c r="F45" s="19">
        <v>6.0</v>
      </c>
      <c r="G45" s="19">
        <v>18.0</v>
      </c>
      <c r="H45" s="19">
        <v>27.0</v>
      </c>
      <c r="I45" s="19">
        <v>16.0</v>
      </c>
      <c r="J45" s="19">
        <v>14.0</v>
      </c>
      <c r="K45" s="19">
        <v>14.0</v>
      </c>
      <c r="L45" s="19">
        <v>24.0</v>
      </c>
      <c r="M45" s="19">
        <v>28.0</v>
      </c>
      <c r="N45" s="19">
        <v>21.0</v>
      </c>
      <c r="O45" s="19">
        <v>24.0</v>
      </c>
      <c r="P45" s="19">
        <v>30.0</v>
      </c>
      <c r="Q45" s="19">
        <v>17.0</v>
      </c>
      <c r="R45" s="19">
        <v>12.0</v>
      </c>
      <c r="S45" s="19">
        <v>7.0</v>
      </c>
      <c r="T45" s="19">
        <v>13.0</v>
      </c>
      <c r="U45" s="13">
        <f t="shared" ref="U45:U57" si="14">SUM(E45:T45)</f>
        <v>280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34.0</v>
      </c>
      <c r="F46" s="19">
        <v>33.0</v>
      </c>
      <c r="G46" s="19">
        <v>31.0</v>
      </c>
      <c r="H46" s="19">
        <v>38.0</v>
      </c>
      <c r="I46" s="19">
        <v>27.0</v>
      </c>
      <c r="J46" s="19">
        <v>27.0</v>
      </c>
      <c r="K46" s="19">
        <v>26.0</v>
      </c>
      <c r="L46" s="19">
        <v>31.0</v>
      </c>
      <c r="M46" s="19">
        <v>29.0</v>
      </c>
      <c r="N46" s="19">
        <v>38.0</v>
      </c>
      <c r="O46" s="19">
        <v>26.0</v>
      </c>
      <c r="P46" s="19">
        <v>36.0</v>
      </c>
      <c r="Q46" s="19">
        <v>46.0</v>
      </c>
      <c r="R46" s="19">
        <v>45.0</v>
      </c>
      <c r="S46" s="19">
        <v>17.0</v>
      </c>
      <c r="T46" s="19">
        <v>28.0</v>
      </c>
      <c r="U46" s="13">
        <f t="shared" si="14"/>
        <v>512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9.0</v>
      </c>
      <c r="F47" s="19">
        <v>12.0</v>
      </c>
      <c r="G47" s="19">
        <v>15.0</v>
      </c>
      <c r="H47" s="19">
        <v>15.0</v>
      </c>
      <c r="I47" s="19">
        <v>24.0</v>
      </c>
      <c r="J47" s="19">
        <v>14.0</v>
      </c>
      <c r="K47" s="19">
        <v>19.0</v>
      </c>
      <c r="L47" s="19">
        <v>9.0</v>
      </c>
      <c r="M47" s="19">
        <v>15.0</v>
      </c>
      <c r="N47" s="19">
        <v>15.0</v>
      </c>
      <c r="O47" s="19">
        <v>13.0</v>
      </c>
      <c r="P47" s="19">
        <v>13.0</v>
      </c>
      <c r="Q47" s="19">
        <v>13.0</v>
      </c>
      <c r="R47" s="19">
        <v>16.0</v>
      </c>
      <c r="S47" s="19">
        <v>9.0</v>
      </c>
      <c r="T47" s="19">
        <v>18.0</v>
      </c>
      <c r="U47" s="13">
        <f t="shared" si="14"/>
        <v>229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16.0</v>
      </c>
      <c r="F48" s="19">
        <v>17.0</v>
      </c>
      <c r="G48" s="19">
        <v>24.0</v>
      </c>
      <c r="H48" s="19">
        <v>19.0</v>
      </c>
      <c r="I48" s="19">
        <v>19.0</v>
      </c>
      <c r="J48" s="19">
        <v>32.0</v>
      </c>
      <c r="K48" s="19">
        <v>19.0</v>
      </c>
      <c r="L48" s="19">
        <v>33.0</v>
      </c>
      <c r="M48" s="19">
        <v>28.0</v>
      </c>
      <c r="N48" s="19">
        <v>25.0</v>
      </c>
      <c r="O48" s="19">
        <v>21.0</v>
      </c>
      <c r="P48" s="19">
        <v>18.0</v>
      </c>
      <c r="Q48" s="19">
        <v>24.0</v>
      </c>
      <c r="R48" s="19">
        <v>21.0</v>
      </c>
      <c r="S48" s="19">
        <v>11.0</v>
      </c>
      <c r="T48" s="19">
        <v>18.0</v>
      </c>
      <c r="U48" s="13">
        <f t="shared" si="14"/>
        <v>345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36.0</v>
      </c>
      <c r="F49" s="19">
        <v>25.0</v>
      </c>
      <c r="G49" s="19">
        <v>22.0</v>
      </c>
      <c r="H49" s="19">
        <v>31.0</v>
      </c>
      <c r="I49" s="19">
        <v>22.0</v>
      </c>
      <c r="J49" s="19">
        <v>18.0</v>
      </c>
      <c r="K49" s="19">
        <v>24.0</v>
      </c>
      <c r="L49" s="19">
        <v>22.0</v>
      </c>
      <c r="M49" s="19">
        <v>24.0</v>
      </c>
      <c r="N49" s="19">
        <v>13.0</v>
      </c>
      <c r="O49" s="19">
        <v>11.0</v>
      </c>
      <c r="P49" s="19">
        <v>15.0</v>
      </c>
      <c r="Q49" s="19">
        <v>17.0</v>
      </c>
      <c r="R49" s="19">
        <v>9.0</v>
      </c>
      <c r="S49" s="19">
        <v>21.0</v>
      </c>
      <c r="T49" s="19">
        <v>20.0</v>
      </c>
      <c r="U49" s="13">
        <f t="shared" si="14"/>
        <v>330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9.0</v>
      </c>
      <c r="F50" s="19">
        <v>11.0</v>
      </c>
      <c r="G50" s="19">
        <v>12.0</v>
      </c>
      <c r="H50" s="19">
        <v>26.0</v>
      </c>
      <c r="I50" s="19">
        <v>15.0</v>
      </c>
      <c r="J50" s="19">
        <v>10.0</v>
      </c>
      <c r="K50" s="19">
        <v>8.0</v>
      </c>
      <c r="L50" s="19">
        <v>16.0</v>
      </c>
      <c r="M50" s="19">
        <v>17.0</v>
      </c>
      <c r="N50" s="19">
        <v>13.0</v>
      </c>
      <c r="O50" s="19">
        <v>20.0</v>
      </c>
      <c r="P50" s="19">
        <v>13.0</v>
      </c>
      <c r="Q50" s="19">
        <v>10.0</v>
      </c>
      <c r="R50" s="19">
        <v>13.0</v>
      </c>
      <c r="S50" s="19">
        <v>6.0</v>
      </c>
      <c r="T50" s="19">
        <v>15.0</v>
      </c>
      <c r="U50" s="13">
        <f t="shared" si="14"/>
        <v>214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3.0</v>
      </c>
      <c r="F51" s="19">
        <v>2.0</v>
      </c>
      <c r="G51" s="19">
        <v>4.0</v>
      </c>
      <c r="H51" s="19">
        <v>1.0</v>
      </c>
      <c r="I51" s="19">
        <v>2.0</v>
      </c>
      <c r="J51" s="19">
        <v>1.0</v>
      </c>
      <c r="K51" s="19">
        <v>4.0</v>
      </c>
      <c r="L51" s="19">
        <v>1.0</v>
      </c>
      <c r="M51" s="19">
        <v>2.0</v>
      </c>
      <c r="N51" s="19">
        <v>3.0</v>
      </c>
      <c r="O51" s="19">
        <v>2.0</v>
      </c>
      <c r="P51" s="19">
        <v>0.0</v>
      </c>
      <c r="Q51" s="19">
        <v>1.0</v>
      </c>
      <c r="R51" s="19">
        <v>1.0</v>
      </c>
      <c r="S51" s="19">
        <v>0.0</v>
      </c>
      <c r="T51" s="19">
        <v>1.0</v>
      </c>
      <c r="U51" s="13">
        <f t="shared" si="14"/>
        <v>28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6.0</v>
      </c>
      <c r="F52" s="19">
        <v>1.0</v>
      </c>
      <c r="G52" s="19">
        <v>2.0</v>
      </c>
      <c r="H52" s="19">
        <v>3.0</v>
      </c>
      <c r="I52" s="19">
        <v>3.0</v>
      </c>
      <c r="J52" s="19">
        <v>4.0</v>
      </c>
      <c r="K52" s="19">
        <v>2.0</v>
      </c>
      <c r="L52" s="19">
        <v>2.0</v>
      </c>
      <c r="M52" s="19">
        <v>2.0</v>
      </c>
      <c r="N52" s="19">
        <v>2.0</v>
      </c>
      <c r="O52" s="19">
        <v>2.0</v>
      </c>
      <c r="P52" s="19">
        <v>1.0</v>
      </c>
      <c r="Q52" s="19">
        <v>2.0</v>
      </c>
      <c r="R52" s="19">
        <v>3.0</v>
      </c>
      <c r="S52" s="19">
        <v>2.0</v>
      </c>
      <c r="T52" s="19">
        <v>7.0</v>
      </c>
      <c r="U52" s="13">
        <f t="shared" si="14"/>
        <v>44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2.0</v>
      </c>
      <c r="F53" s="19">
        <v>1.0</v>
      </c>
      <c r="G53" s="19">
        <v>1.0</v>
      </c>
      <c r="H53" s="19">
        <v>0.0</v>
      </c>
      <c r="I53" s="19">
        <v>0.0</v>
      </c>
      <c r="J53" s="19">
        <v>2.0</v>
      </c>
      <c r="K53" s="19">
        <v>1.0</v>
      </c>
      <c r="L53" s="19">
        <v>1.0</v>
      </c>
      <c r="M53" s="19">
        <v>0.0</v>
      </c>
      <c r="N53" s="19">
        <v>0.0</v>
      </c>
      <c r="O53" s="19">
        <v>0.0</v>
      </c>
      <c r="P53" s="19">
        <v>1.0</v>
      </c>
      <c r="Q53" s="19">
        <v>0.0</v>
      </c>
      <c r="R53" s="19">
        <v>0.0</v>
      </c>
      <c r="S53" s="19">
        <v>1.0</v>
      </c>
      <c r="T53" s="19">
        <v>1.0</v>
      </c>
      <c r="U53" s="13">
        <f t="shared" si="14"/>
        <v>11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30.0</v>
      </c>
      <c r="F54" s="19">
        <v>29.0</v>
      </c>
      <c r="G54" s="19">
        <v>22.0</v>
      </c>
      <c r="H54" s="19">
        <v>19.0</v>
      </c>
      <c r="I54" s="19">
        <v>21.0</v>
      </c>
      <c r="J54" s="19">
        <v>26.0</v>
      </c>
      <c r="K54" s="19">
        <v>35.0</v>
      </c>
      <c r="L54" s="19">
        <v>20.0</v>
      </c>
      <c r="M54" s="19">
        <v>27.0</v>
      </c>
      <c r="N54" s="19">
        <v>22.0</v>
      </c>
      <c r="O54" s="19">
        <v>18.0</v>
      </c>
      <c r="P54" s="19">
        <v>22.0</v>
      </c>
      <c r="Q54" s="19">
        <v>22.0</v>
      </c>
      <c r="R54" s="19">
        <v>18.0</v>
      </c>
      <c r="S54" s="19">
        <v>10.0</v>
      </c>
      <c r="T54" s="19">
        <v>29.0</v>
      </c>
      <c r="U54" s="13">
        <f t="shared" si="14"/>
        <v>370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2.0</v>
      </c>
      <c r="F55" s="19">
        <v>4.0</v>
      </c>
      <c r="G55" s="19">
        <v>3.0</v>
      </c>
      <c r="H55" s="19">
        <v>1.0</v>
      </c>
      <c r="I55" s="19">
        <v>1.0</v>
      </c>
      <c r="J55" s="19">
        <v>1.0</v>
      </c>
      <c r="K55" s="19">
        <v>4.0</v>
      </c>
      <c r="L55" s="19">
        <v>2.0</v>
      </c>
      <c r="M55" s="19">
        <v>1.0</v>
      </c>
      <c r="N55" s="19">
        <v>1.0</v>
      </c>
      <c r="O55" s="19">
        <v>1.0</v>
      </c>
      <c r="P55" s="19">
        <v>1.0</v>
      </c>
      <c r="Q55" s="19">
        <v>2.0</v>
      </c>
      <c r="R55" s="19">
        <v>1.0</v>
      </c>
      <c r="S55" s="19">
        <v>0.0</v>
      </c>
      <c r="T55" s="19">
        <v>2.0</v>
      </c>
      <c r="U55" s="13">
        <f t="shared" si="14"/>
        <v>27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19.0</v>
      </c>
      <c r="F56" s="19">
        <v>17.0</v>
      </c>
      <c r="G56" s="19">
        <v>30.0</v>
      </c>
      <c r="H56" s="19">
        <v>24.0</v>
      </c>
      <c r="I56" s="19">
        <v>16.0</v>
      </c>
      <c r="J56" s="19">
        <v>29.0</v>
      </c>
      <c r="K56" s="19">
        <v>20.0</v>
      </c>
      <c r="L56" s="19">
        <v>25.0</v>
      </c>
      <c r="M56" s="19">
        <v>21.0</v>
      </c>
      <c r="N56" s="19">
        <v>17.0</v>
      </c>
      <c r="O56" s="19">
        <v>23.0</v>
      </c>
      <c r="P56" s="19">
        <v>14.0</v>
      </c>
      <c r="Q56" s="19">
        <v>33.0</v>
      </c>
      <c r="R56" s="19">
        <v>17.0</v>
      </c>
      <c r="S56" s="19">
        <v>13.0</v>
      </c>
      <c r="T56" s="19">
        <v>29.0</v>
      </c>
      <c r="U56" s="13">
        <f t="shared" si="14"/>
        <v>347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3.0</v>
      </c>
      <c r="F57" s="19">
        <v>3.0</v>
      </c>
      <c r="G57" s="19">
        <v>0.0</v>
      </c>
      <c r="H57" s="19">
        <v>5.0</v>
      </c>
      <c r="I57" s="19">
        <v>6.0</v>
      </c>
      <c r="J57" s="19">
        <v>2.0</v>
      </c>
      <c r="K57" s="19">
        <v>2.0</v>
      </c>
      <c r="L57" s="19">
        <v>0.0</v>
      </c>
      <c r="M57" s="19">
        <v>1.0</v>
      </c>
      <c r="N57" s="19">
        <v>1.0</v>
      </c>
      <c r="O57" s="19">
        <v>1.0</v>
      </c>
      <c r="P57" s="19">
        <v>0.0</v>
      </c>
      <c r="Q57" s="19">
        <v>3.0</v>
      </c>
      <c r="R57" s="19">
        <v>1.0</v>
      </c>
      <c r="S57" s="19">
        <v>0.0</v>
      </c>
      <c r="T57" s="19"/>
      <c r="U57" s="13">
        <f t="shared" si="14"/>
        <v>28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13"/>
      <c r="P59" s="13"/>
      <c r="Q59" s="13"/>
      <c r="R59" s="13"/>
      <c r="S59" s="13"/>
      <c r="T59" s="13"/>
      <c r="U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T60" si="15">SUM(E45:E57)</f>
        <v>178</v>
      </c>
      <c r="F60" s="19">
        <f t="shared" si="15"/>
        <v>161</v>
      </c>
      <c r="G60" s="19">
        <f t="shared" si="15"/>
        <v>184</v>
      </c>
      <c r="H60" s="19">
        <f t="shared" si="15"/>
        <v>209</v>
      </c>
      <c r="I60" s="19">
        <f t="shared" si="15"/>
        <v>172</v>
      </c>
      <c r="J60" s="19">
        <f t="shared" si="15"/>
        <v>180</v>
      </c>
      <c r="K60" s="19">
        <f t="shared" si="15"/>
        <v>178</v>
      </c>
      <c r="L60" s="19">
        <f t="shared" si="15"/>
        <v>186</v>
      </c>
      <c r="M60" s="19">
        <f t="shared" si="15"/>
        <v>195</v>
      </c>
      <c r="N60" s="19">
        <f t="shared" si="15"/>
        <v>171</v>
      </c>
      <c r="O60" s="19">
        <f t="shared" si="15"/>
        <v>162</v>
      </c>
      <c r="P60" s="19">
        <f t="shared" si="15"/>
        <v>164</v>
      </c>
      <c r="Q60" s="19">
        <f t="shared" si="15"/>
        <v>190</v>
      </c>
      <c r="R60" s="19">
        <f t="shared" si="15"/>
        <v>157</v>
      </c>
      <c r="S60" s="19">
        <f t="shared" si="15"/>
        <v>97</v>
      </c>
      <c r="T60" s="19">
        <f t="shared" si="15"/>
        <v>181</v>
      </c>
      <c r="U60" s="13">
        <f t="shared" ref="U60:U62" si="16">SUM(E60:T60)</f>
        <v>2765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39.0</v>
      </c>
      <c r="F61" s="19">
        <v>74.0</v>
      </c>
      <c r="G61" s="19">
        <v>67.0</v>
      </c>
      <c r="H61" s="19">
        <v>48.0</v>
      </c>
      <c r="I61" s="19">
        <v>58.0</v>
      </c>
      <c r="J61" s="19">
        <v>64.0</v>
      </c>
      <c r="K61" s="19">
        <v>64.0</v>
      </c>
      <c r="L61" s="19">
        <v>51.0</v>
      </c>
      <c r="M61" s="19">
        <v>65.0</v>
      </c>
      <c r="N61" s="19">
        <v>64.0</v>
      </c>
      <c r="O61" s="19">
        <v>29.0</v>
      </c>
      <c r="P61" s="19">
        <v>49.0</v>
      </c>
      <c r="Q61" s="19">
        <v>19.0</v>
      </c>
      <c r="R61" s="19">
        <v>34.0</v>
      </c>
      <c r="S61" s="19">
        <v>23.0</v>
      </c>
      <c r="T61" s="19">
        <v>34.0</v>
      </c>
      <c r="U61" s="13">
        <f t="shared" si="16"/>
        <v>782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T62" si="17">SUM(E60:E61)</f>
        <v>217</v>
      </c>
      <c r="F62" s="13">
        <f t="shared" si="17"/>
        <v>235</v>
      </c>
      <c r="G62" s="13">
        <f t="shared" si="17"/>
        <v>251</v>
      </c>
      <c r="H62" s="13">
        <f t="shared" si="17"/>
        <v>257</v>
      </c>
      <c r="I62" s="13">
        <f t="shared" si="17"/>
        <v>230</v>
      </c>
      <c r="J62" s="13">
        <f t="shared" si="17"/>
        <v>244</v>
      </c>
      <c r="K62" s="13">
        <f t="shared" si="17"/>
        <v>242</v>
      </c>
      <c r="L62" s="13">
        <f t="shared" si="17"/>
        <v>237</v>
      </c>
      <c r="M62" s="13">
        <f t="shared" si="17"/>
        <v>260</v>
      </c>
      <c r="N62" s="13">
        <f t="shared" si="17"/>
        <v>235</v>
      </c>
      <c r="O62" s="13">
        <f t="shared" si="17"/>
        <v>191</v>
      </c>
      <c r="P62" s="13">
        <f t="shared" si="17"/>
        <v>213</v>
      </c>
      <c r="Q62" s="13">
        <f t="shared" si="17"/>
        <v>209</v>
      </c>
      <c r="R62" s="13">
        <f t="shared" si="17"/>
        <v>191</v>
      </c>
      <c r="S62" s="13">
        <f t="shared" si="17"/>
        <v>120</v>
      </c>
      <c r="T62" s="13">
        <f t="shared" si="17"/>
        <v>215</v>
      </c>
      <c r="U62" s="13">
        <f t="shared" si="16"/>
        <v>3547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T12"/>
    <mergeCell ref="U12:U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T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T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T15 E19:T20 E22:T23 E25:T26 E33:T33 E35:T35 E39:T40 E45:T57 E60:T61">
    <cfRule type="containsBlanks" dxfId="1" priority="1">
      <formula>LEN(TRIM(E14))=0</formula>
    </cfRule>
  </conditionalFormatting>
  <conditionalFormatting sqref="E30:T30">
    <cfRule type="expression" dxfId="0" priority="2">
      <formula>E30&lt;&gt;E46</formula>
    </cfRule>
  </conditionalFormatting>
  <conditionalFormatting sqref="E30:T30">
    <cfRule type="expression" dxfId="0" priority="3">
      <formula>E30&lt;&gt;E34</formula>
    </cfRule>
  </conditionalFormatting>
  <conditionalFormatting sqref="E34:T34">
    <cfRule type="expression" dxfId="2" priority="4">
      <formula>E30&lt;&gt;E34</formula>
    </cfRule>
  </conditionalFormatting>
  <conditionalFormatting sqref="E34:T34">
    <cfRule type="expression" dxfId="3" priority="5">
      <formula>E30=E34</formula>
    </cfRule>
  </conditionalFormatting>
  <conditionalFormatting sqref="E34:T34">
    <cfRule type="expression" dxfId="0" priority="6">
      <formula>E34&lt;&gt;E30</formula>
    </cfRule>
  </conditionalFormatting>
  <conditionalFormatting sqref="E34:T34">
    <cfRule type="expression" dxfId="0" priority="7">
      <formula>E34&lt;&gt;E55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1" width="8.71"/>
    <col customWidth="1" min="22" max="22" width="13.29"/>
    <col customWidth="1" min="23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36"/>
    </row>
    <row r="14" ht="12.75" customHeight="1">
      <c r="A14" s="18"/>
      <c r="B14" s="22" t="s">
        <v>11</v>
      </c>
      <c r="C14" s="23"/>
      <c r="D14" s="19" t="s">
        <v>12</v>
      </c>
      <c r="E14" s="19">
        <v>140.0</v>
      </c>
      <c r="F14" s="19">
        <v>148.0</v>
      </c>
      <c r="G14" s="19">
        <v>141.0</v>
      </c>
      <c r="H14" s="19">
        <v>141.0</v>
      </c>
      <c r="I14" s="19">
        <v>140.0</v>
      </c>
      <c r="J14" s="19">
        <v>132.0</v>
      </c>
      <c r="K14" s="19">
        <v>121.0</v>
      </c>
      <c r="L14" s="19">
        <v>134.0</v>
      </c>
      <c r="M14" s="19">
        <v>142.0</v>
      </c>
      <c r="N14" s="19">
        <v>112.0</v>
      </c>
      <c r="O14" s="19">
        <v>135.0</v>
      </c>
      <c r="P14" s="19">
        <v>125.0</v>
      </c>
      <c r="Q14" s="19">
        <v>110.0</v>
      </c>
      <c r="R14" s="19">
        <v>128.0</v>
      </c>
      <c r="S14" s="19">
        <v>139.0</v>
      </c>
      <c r="T14" s="19">
        <v>134.0</v>
      </c>
      <c r="U14" s="19">
        <v>141.0</v>
      </c>
      <c r="V14" s="13">
        <f t="shared" ref="V14:V16" si="1">SUM(E14:U14)</f>
        <v>2263</v>
      </c>
    </row>
    <row r="15" ht="12.75" customHeight="1">
      <c r="A15" s="18"/>
      <c r="B15" s="26"/>
      <c r="C15" s="27"/>
      <c r="D15" s="19" t="s">
        <v>13</v>
      </c>
      <c r="E15" s="19">
        <v>148.0</v>
      </c>
      <c r="F15" s="19">
        <v>140.0</v>
      </c>
      <c r="G15" s="19">
        <v>148.0</v>
      </c>
      <c r="H15" s="19">
        <v>145.0</v>
      </c>
      <c r="I15" s="19">
        <v>148.0</v>
      </c>
      <c r="J15" s="19">
        <v>147.0</v>
      </c>
      <c r="K15" s="19">
        <v>124.0</v>
      </c>
      <c r="L15" s="19">
        <v>143.0</v>
      </c>
      <c r="M15" s="19">
        <v>135.0</v>
      </c>
      <c r="N15" s="19">
        <v>122.0</v>
      </c>
      <c r="O15" s="19">
        <v>151.0</v>
      </c>
      <c r="P15" s="19">
        <v>147.0</v>
      </c>
      <c r="Q15" s="19">
        <v>111.0</v>
      </c>
      <c r="R15" s="19">
        <v>137.0</v>
      </c>
      <c r="S15" s="19">
        <v>138.0</v>
      </c>
      <c r="T15" s="19">
        <v>135.0</v>
      </c>
      <c r="U15" s="19">
        <v>143.0</v>
      </c>
      <c r="V15" s="13">
        <f t="shared" si="1"/>
        <v>2362</v>
      </c>
    </row>
    <row r="16" ht="12.75" customHeight="1">
      <c r="A16" s="25"/>
      <c r="B16" s="21"/>
      <c r="C16" s="28"/>
      <c r="D16" s="13" t="s">
        <v>14</v>
      </c>
      <c r="E16" s="13">
        <f t="shared" ref="E16:U16" si="2">SUM(E14:E15)</f>
        <v>288</v>
      </c>
      <c r="F16" s="13">
        <f t="shared" si="2"/>
        <v>288</v>
      </c>
      <c r="G16" s="13">
        <f t="shared" si="2"/>
        <v>289</v>
      </c>
      <c r="H16" s="13">
        <f t="shared" si="2"/>
        <v>286</v>
      </c>
      <c r="I16" s="13">
        <f t="shared" si="2"/>
        <v>288</v>
      </c>
      <c r="J16" s="13">
        <f t="shared" si="2"/>
        <v>279</v>
      </c>
      <c r="K16" s="13">
        <f t="shared" si="2"/>
        <v>245</v>
      </c>
      <c r="L16" s="13">
        <f t="shared" si="2"/>
        <v>277</v>
      </c>
      <c r="M16" s="13">
        <f t="shared" si="2"/>
        <v>277</v>
      </c>
      <c r="N16" s="13">
        <f t="shared" si="2"/>
        <v>234</v>
      </c>
      <c r="O16" s="13">
        <f t="shared" si="2"/>
        <v>286</v>
      </c>
      <c r="P16" s="13">
        <f t="shared" si="2"/>
        <v>272</v>
      </c>
      <c r="Q16" s="13">
        <f t="shared" si="2"/>
        <v>221</v>
      </c>
      <c r="R16" s="13">
        <f t="shared" si="2"/>
        <v>265</v>
      </c>
      <c r="S16" s="13">
        <f t="shared" si="2"/>
        <v>277</v>
      </c>
      <c r="T16" s="13">
        <f t="shared" si="2"/>
        <v>269</v>
      </c>
      <c r="U16" s="13">
        <f t="shared" si="2"/>
        <v>284</v>
      </c>
      <c r="V16" s="13">
        <f t="shared" si="1"/>
        <v>4625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92.0</v>
      </c>
      <c r="F19" s="19">
        <v>99.0</v>
      </c>
      <c r="G19" s="19">
        <v>107.0</v>
      </c>
      <c r="H19" s="19">
        <v>107.0</v>
      </c>
      <c r="I19" s="19">
        <v>90.0</v>
      </c>
      <c r="J19" s="19">
        <v>96.0</v>
      </c>
      <c r="K19" s="19">
        <v>99.0</v>
      </c>
      <c r="L19" s="19">
        <v>101.0</v>
      </c>
      <c r="M19" s="19">
        <v>114.0</v>
      </c>
      <c r="N19" s="19">
        <v>76.0</v>
      </c>
      <c r="O19" s="19">
        <v>98.0</v>
      </c>
      <c r="P19" s="19">
        <v>95.0</v>
      </c>
      <c r="Q19" s="19">
        <v>84.0</v>
      </c>
      <c r="R19" s="19">
        <v>94.0</v>
      </c>
      <c r="S19" s="19">
        <v>110.0</v>
      </c>
      <c r="T19" s="19">
        <v>93.0</v>
      </c>
      <c r="U19" s="19">
        <v>119.0</v>
      </c>
      <c r="V19" s="13">
        <f t="shared" ref="V19:V30" si="3">SUM(E19:U19)</f>
        <v>1674</v>
      </c>
    </row>
    <row r="20" ht="12.75" customHeight="1">
      <c r="A20" s="33"/>
      <c r="B20" s="27"/>
      <c r="C20" s="34"/>
      <c r="D20" s="19" t="s">
        <v>13</v>
      </c>
      <c r="E20" s="19">
        <v>118.0</v>
      </c>
      <c r="F20" s="19">
        <v>105.0</v>
      </c>
      <c r="G20" s="19">
        <v>129.0</v>
      </c>
      <c r="H20" s="19">
        <v>117.0</v>
      </c>
      <c r="I20" s="19">
        <v>116.0</v>
      </c>
      <c r="J20" s="19">
        <v>122.0</v>
      </c>
      <c r="K20" s="19">
        <v>103.0</v>
      </c>
      <c r="L20" s="19">
        <v>128.0</v>
      </c>
      <c r="M20" s="19">
        <v>108.0</v>
      </c>
      <c r="N20" s="19">
        <v>84.0</v>
      </c>
      <c r="O20" s="19">
        <v>123.0</v>
      </c>
      <c r="P20" s="19">
        <v>122.0</v>
      </c>
      <c r="Q20" s="19">
        <v>91.0</v>
      </c>
      <c r="R20" s="19">
        <v>104.0</v>
      </c>
      <c r="S20" s="19">
        <v>104.0</v>
      </c>
      <c r="T20" s="19">
        <v>107.0</v>
      </c>
      <c r="U20" s="19">
        <v>124.0</v>
      </c>
      <c r="V20" s="13">
        <f t="shared" si="3"/>
        <v>1905</v>
      </c>
    </row>
    <row r="21" ht="12.75" customHeight="1">
      <c r="A21" s="35"/>
      <c r="B21" s="28"/>
      <c r="C21" s="36"/>
      <c r="D21" s="13" t="s">
        <v>14</v>
      </c>
      <c r="E21" s="13">
        <f t="shared" ref="E21:U21" si="4">SUM(E19:E20)</f>
        <v>210</v>
      </c>
      <c r="F21" s="13">
        <f t="shared" si="4"/>
        <v>204</v>
      </c>
      <c r="G21" s="13">
        <f t="shared" si="4"/>
        <v>236</v>
      </c>
      <c r="H21" s="13">
        <f t="shared" si="4"/>
        <v>224</v>
      </c>
      <c r="I21" s="13">
        <f t="shared" si="4"/>
        <v>206</v>
      </c>
      <c r="J21" s="13">
        <f t="shared" si="4"/>
        <v>218</v>
      </c>
      <c r="K21" s="13">
        <f t="shared" si="4"/>
        <v>202</v>
      </c>
      <c r="L21" s="13">
        <f t="shared" si="4"/>
        <v>229</v>
      </c>
      <c r="M21" s="13">
        <f t="shared" si="4"/>
        <v>222</v>
      </c>
      <c r="N21" s="13">
        <f t="shared" si="4"/>
        <v>160</v>
      </c>
      <c r="O21" s="13">
        <f t="shared" si="4"/>
        <v>221</v>
      </c>
      <c r="P21" s="13">
        <f t="shared" si="4"/>
        <v>217</v>
      </c>
      <c r="Q21" s="13">
        <f t="shared" si="4"/>
        <v>175</v>
      </c>
      <c r="R21" s="13">
        <f t="shared" si="4"/>
        <v>198</v>
      </c>
      <c r="S21" s="13">
        <f t="shared" si="4"/>
        <v>214</v>
      </c>
      <c r="T21" s="13">
        <f t="shared" si="4"/>
        <v>200</v>
      </c>
      <c r="U21" s="13">
        <f t="shared" si="4"/>
        <v>243</v>
      </c>
      <c r="V21" s="13">
        <f t="shared" si="3"/>
        <v>3579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1.0</v>
      </c>
      <c r="F22" s="19">
        <v>2.0</v>
      </c>
      <c r="G22" s="19">
        <v>2.0</v>
      </c>
      <c r="H22" s="19">
        <v>1.0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1.0</v>
      </c>
      <c r="O22" s="19">
        <v>0.0</v>
      </c>
      <c r="P22" s="19">
        <v>4.0</v>
      </c>
      <c r="Q22" s="19">
        <v>2.0</v>
      </c>
      <c r="R22" s="19">
        <v>1.0</v>
      </c>
      <c r="S22" s="19">
        <v>0.0</v>
      </c>
      <c r="T22" s="19"/>
      <c r="U22" s="19"/>
      <c r="V22" s="13">
        <f t="shared" si="3"/>
        <v>14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2.0</v>
      </c>
      <c r="G23" s="19">
        <v>3.0</v>
      </c>
      <c r="H23" s="19">
        <v>1.0</v>
      </c>
      <c r="I23" s="19">
        <v>0.0</v>
      </c>
      <c r="J23" s="19">
        <v>0.0</v>
      </c>
      <c r="K23" s="19">
        <v>1.0</v>
      </c>
      <c r="L23" s="19">
        <v>0.0</v>
      </c>
      <c r="M23" s="19">
        <v>0.0</v>
      </c>
      <c r="N23" s="19">
        <v>1.0</v>
      </c>
      <c r="O23" s="19">
        <v>1.0</v>
      </c>
      <c r="P23" s="19">
        <v>2.0</v>
      </c>
      <c r="Q23" s="19">
        <v>1.0</v>
      </c>
      <c r="R23" s="19">
        <v>3.0</v>
      </c>
      <c r="S23" s="19">
        <v>0.0</v>
      </c>
      <c r="T23" s="19"/>
      <c r="U23" s="19"/>
      <c r="V23" s="13">
        <f t="shared" si="3"/>
        <v>15</v>
      </c>
    </row>
    <row r="24" ht="12.75" customHeight="1">
      <c r="A24" s="35"/>
      <c r="B24" s="28"/>
      <c r="C24" s="36"/>
      <c r="D24" s="13" t="s">
        <v>14</v>
      </c>
      <c r="E24" s="13">
        <f t="shared" ref="E24:U24" si="5">SUM(E22:E23)</f>
        <v>1</v>
      </c>
      <c r="F24" s="13">
        <f t="shared" si="5"/>
        <v>4</v>
      </c>
      <c r="G24" s="13">
        <f t="shared" si="5"/>
        <v>5</v>
      </c>
      <c r="H24" s="13">
        <f t="shared" si="5"/>
        <v>2</v>
      </c>
      <c r="I24" s="13">
        <f t="shared" si="5"/>
        <v>0</v>
      </c>
      <c r="J24" s="13">
        <f t="shared" si="5"/>
        <v>0</v>
      </c>
      <c r="K24" s="13">
        <f t="shared" si="5"/>
        <v>1</v>
      </c>
      <c r="L24" s="13">
        <f t="shared" si="5"/>
        <v>0</v>
      </c>
      <c r="M24" s="13">
        <f t="shared" si="5"/>
        <v>0</v>
      </c>
      <c r="N24" s="13">
        <f t="shared" si="5"/>
        <v>2</v>
      </c>
      <c r="O24" s="13">
        <f t="shared" si="5"/>
        <v>1</v>
      </c>
      <c r="P24" s="13">
        <f t="shared" si="5"/>
        <v>6</v>
      </c>
      <c r="Q24" s="13">
        <f t="shared" si="5"/>
        <v>3</v>
      </c>
      <c r="R24" s="13">
        <f t="shared" si="5"/>
        <v>4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3"/>
        <v>29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2.0</v>
      </c>
      <c r="G25" s="19">
        <v>3.0</v>
      </c>
      <c r="H25" s="19">
        <v>3.0</v>
      </c>
      <c r="I25" s="19">
        <v>0.0</v>
      </c>
      <c r="J25" s="19">
        <v>0.0</v>
      </c>
      <c r="K25" s="19">
        <v>0.0</v>
      </c>
      <c r="L25" s="19">
        <v>1.0</v>
      </c>
      <c r="M25" s="19">
        <v>0.0</v>
      </c>
      <c r="N25" s="19">
        <v>0.0</v>
      </c>
      <c r="O25" s="19">
        <v>0.0</v>
      </c>
      <c r="P25" s="19">
        <v>0.0</v>
      </c>
      <c r="Q25" s="19">
        <v>2.0</v>
      </c>
      <c r="R25" s="19">
        <v>3.0</v>
      </c>
      <c r="S25" s="19">
        <v>0.0</v>
      </c>
      <c r="T25" s="19"/>
      <c r="U25" s="19"/>
      <c r="V25" s="13">
        <f t="shared" si="3"/>
        <v>14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4.0</v>
      </c>
      <c r="G26" s="19">
        <v>3.0</v>
      </c>
      <c r="H26" s="19">
        <v>3.0</v>
      </c>
      <c r="I26" s="19">
        <v>0.0</v>
      </c>
      <c r="J26" s="19">
        <v>0.0</v>
      </c>
      <c r="K26" s="19">
        <v>1.0</v>
      </c>
      <c r="L26" s="19">
        <v>0.0</v>
      </c>
      <c r="M26" s="19">
        <v>0.0</v>
      </c>
      <c r="N26" s="19">
        <v>0.0</v>
      </c>
      <c r="O26" s="19">
        <v>0.0</v>
      </c>
      <c r="P26" s="19">
        <v>3.0</v>
      </c>
      <c r="Q26" s="19">
        <v>2.0</v>
      </c>
      <c r="R26" s="19">
        <v>6.0</v>
      </c>
      <c r="S26" s="19">
        <v>1.0</v>
      </c>
      <c r="T26" s="19">
        <v>2.0</v>
      </c>
      <c r="U26" s="19">
        <v>1.0</v>
      </c>
      <c r="V26" s="13">
        <f t="shared" si="3"/>
        <v>28</v>
      </c>
    </row>
    <row r="27" ht="12.75" customHeight="1">
      <c r="A27" s="35"/>
      <c r="B27" s="28"/>
      <c r="C27" s="36"/>
      <c r="D27" s="13" t="s">
        <v>14</v>
      </c>
      <c r="E27" s="13">
        <f t="shared" ref="E27:U27" si="6">SUM(E25:E26)</f>
        <v>2</v>
      </c>
      <c r="F27" s="13">
        <f t="shared" si="6"/>
        <v>6</v>
      </c>
      <c r="G27" s="13">
        <f t="shared" si="6"/>
        <v>6</v>
      </c>
      <c r="H27" s="13">
        <f t="shared" si="6"/>
        <v>6</v>
      </c>
      <c r="I27" s="13">
        <f t="shared" si="6"/>
        <v>0</v>
      </c>
      <c r="J27" s="13">
        <f t="shared" si="6"/>
        <v>0</v>
      </c>
      <c r="K27" s="13">
        <f t="shared" si="6"/>
        <v>1</v>
      </c>
      <c r="L27" s="13">
        <f t="shared" si="6"/>
        <v>1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3</v>
      </c>
      <c r="Q27" s="13">
        <f t="shared" si="6"/>
        <v>4</v>
      </c>
      <c r="R27" s="13">
        <f t="shared" si="6"/>
        <v>9</v>
      </c>
      <c r="S27" s="13">
        <f t="shared" si="6"/>
        <v>1</v>
      </c>
      <c r="T27" s="13">
        <f t="shared" si="6"/>
        <v>2</v>
      </c>
      <c r="U27" s="13">
        <f t="shared" si="6"/>
        <v>1</v>
      </c>
      <c r="V27" s="13">
        <f t="shared" si="3"/>
        <v>42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U28" si="7">SUM(E19,E22,E25)</f>
        <v>93</v>
      </c>
      <c r="F28" s="13">
        <f t="shared" si="7"/>
        <v>103</v>
      </c>
      <c r="G28" s="13">
        <f t="shared" si="7"/>
        <v>112</v>
      </c>
      <c r="H28" s="13">
        <f t="shared" si="7"/>
        <v>111</v>
      </c>
      <c r="I28" s="13">
        <f t="shared" si="7"/>
        <v>90</v>
      </c>
      <c r="J28" s="13">
        <f t="shared" si="7"/>
        <v>96</v>
      </c>
      <c r="K28" s="13">
        <f t="shared" si="7"/>
        <v>99</v>
      </c>
      <c r="L28" s="13">
        <f t="shared" si="7"/>
        <v>102</v>
      </c>
      <c r="M28" s="13">
        <f t="shared" si="7"/>
        <v>114</v>
      </c>
      <c r="N28" s="13">
        <f t="shared" si="7"/>
        <v>77</v>
      </c>
      <c r="O28" s="13">
        <f t="shared" si="7"/>
        <v>98</v>
      </c>
      <c r="P28" s="13">
        <f t="shared" si="7"/>
        <v>99</v>
      </c>
      <c r="Q28" s="13">
        <f t="shared" si="7"/>
        <v>88</v>
      </c>
      <c r="R28" s="13">
        <f t="shared" si="7"/>
        <v>98</v>
      </c>
      <c r="S28" s="13">
        <f t="shared" si="7"/>
        <v>110</v>
      </c>
      <c r="T28" s="13">
        <f t="shared" si="7"/>
        <v>93</v>
      </c>
      <c r="U28" s="13">
        <f t="shared" si="7"/>
        <v>119</v>
      </c>
      <c r="V28" s="13">
        <f t="shared" si="3"/>
        <v>1702</v>
      </c>
    </row>
    <row r="29" ht="12.75" customHeight="1">
      <c r="A29" s="35"/>
      <c r="B29" s="27"/>
      <c r="C29" s="34"/>
      <c r="D29" s="13" t="s">
        <v>13</v>
      </c>
      <c r="E29" s="13">
        <f t="shared" ref="E29:U29" si="8">SUM(E20,E23,E26)</f>
        <v>120</v>
      </c>
      <c r="F29" s="13">
        <f t="shared" si="8"/>
        <v>111</v>
      </c>
      <c r="G29" s="13">
        <f t="shared" si="8"/>
        <v>135</v>
      </c>
      <c r="H29" s="13">
        <f t="shared" si="8"/>
        <v>121</v>
      </c>
      <c r="I29" s="13">
        <f t="shared" si="8"/>
        <v>116</v>
      </c>
      <c r="J29" s="13">
        <f t="shared" si="8"/>
        <v>122</v>
      </c>
      <c r="K29" s="13">
        <f t="shared" si="8"/>
        <v>105</v>
      </c>
      <c r="L29" s="13">
        <f t="shared" si="8"/>
        <v>128</v>
      </c>
      <c r="M29" s="13">
        <f t="shared" si="8"/>
        <v>108</v>
      </c>
      <c r="N29" s="13">
        <f t="shared" si="8"/>
        <v>85</v>
      </c>
      <c r="O29" s="13">
        <f t="shared" si="8"/>
        <v>124</v>
      </c>
      <c r="P29" s="13">
        <f t="shared" si="8"/>
        <v>127</v>
      </c>
      <c r="Q29" s="13">
        <f t="shared" si="8"/>
        <v>94</v>
      </c>
      <c r="R29" s="13">
        <f t="shared" si="8"/>
        <v>113</v>
      </c>
      <c r="S29" s="13">
        <f t="shared" si="8"/>
        <v>105</v>
      </c>
      <c r="T29" s="13">
        <f t="shared" si="8"/>
        <v>109</v>
      </c>
      <c r="U29" s="13">
        <f t="shared" si="8"/>
        <v>125</v>
      </c>
      <c r="V29" s="13">
        <f t="shared" si="3"/>
        <v>1948</v>
      </c>
    </row>
    <row r="30" ht="12.75" customHeight="1">
      <c r="A30" s="35"/>
      <c r="B30" s="28"/>
      <c r="C30" s="36"/>
      <c r="D30" s="13" t="s">
        <v>14</v>
      </c>
      <c r="E30" s="13">
        <f t="shared" ref="E30:U30" si="9">SUM(E28:E29)</f>
        <v>213</v>
      </c>
      <c r="F30" s="13">
        <f t="shared" si="9"/>
        <v>214</v>
      </c>
      <c r="G30" s="13">
        <f t="shared" si="9"/>
        <v>247</v>
      </c>
      <c r="H30" s="13">
        <f t="shared" si="9"/>
        <v>232</v>
      </c>
      <c r="I30" s="13">
        <f t="shared" si="9"/>
        <v>206</v>
      </c>
      <c r="J30" s="13">
        <f t="shared" si="9"/>
        <v>218</v>
      </c>
      <c r="K30" s="13">
        <f t="shared" si="9"/>
        <v>204</v>
      </c>
      <c r="L30" s="13">
        <f t="shared" si="9"/>
        <v>230</v>
      </c>
      <c r="M30" s="13">
        <f t="shared" si="9"/>
        <v>222</v>
      </c>
      <c r="N30" s="13">
        <f t="shared" si="9"/>
        <v>162</v>
      </c>
      <c r="O30" s="13">
        <f t="shared" si="9"/>
        <v>222</v>
      </c>
      <c r="P30" s="13">
        <f t="shared" si="9"/>
        <v>226</v>
      </c>
      <c r="Q30" s="13">
        <f t="shared" si="9"/>
        <v>182</v>
      </c>
      <c r="R30" s="13">
        <f t="shared" si="9"/>
        <v>211</v>
      </c>
      <c r="S30" s="13">
        <f t="shared" si="9"/>
        <v>215</v>
      </c>
      <c r="T30" s="13">
        <f t="shared" si="9"/>
        <v>202</v>
      </c>
      <c r="U30" s="13">
        <f t="shared" si="9"/>
        <v>244</v>
      </c>
      <c r="V30" s="13">
        <f t="shared" si="3"/>
        <v>3650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59"/>
    </row>
    <row r="33" ht="12.75" customHeight="1">
      <c r="A33" s="19">
        <v>1.0</v>
      </c>
      <c r="B33" s="20" t="s">
        <v>27</v>
      </c>
      <c r="C33" s="15"/>
      <c r="D33" s="16"/>
      <c r="E33" s="19">
        <v>293.0</v>
      </c>
      <c r="F33" s="19">
        <v>293.0</v>
      </c>
      <c r="G33" s="19">
        <v>293.0</v>
      </c>
      <c r="H33" s="19">
        <v>292.0</v>
      </c>
      <c r="I33" s="19">
        <v>292.0</v>
      </c>
      <c r="J33" s="19">
        <v>285.0</v>
      </c>
      <c r="K33" s="19">
        <v>248.0</v>
      </c>
      <c r="L33" s="19">
        <v>281.0</v>
      </c>
      <c r="M33" s="19">
        <v>283.0</v>
      </c>
      <c r="N33" s="19">
        <v>239.0</v>
      </c>
      <c r="O33" s="19">
        <v>290.0</v>
      </c>
      <c r="P33" s="19">
        <v>276.0</v>
      </c>
      <c r="Q33" s="19">
        <v>225.0</v>
      </c>
      <c r="R33" s="19">
        <v>269.0</v>
      </c>
      <c r="S33" s="19">
        <v>281.0</v>
      </c>
      <c r="T33" s="19">
        <v>273.0</v>
      </c>
      <c r="U33" s="19">
        <v>290.0</v>
      </c>
      <c r="V33" s="13">
        <f t="shared" ref="V33:V36" si="10">SUM(E33:U33)</f>
        <v>4703</v>
      </c>
    </row>
    <row r="34" ht="12.75" customHeight="1">
      <c r="A34" s="19">
        <v>2.0</v>
      </c>
      <c r="B34" s="20" t="s">
        <v>28</v>
      </c>
      <c r="C34" s="15"/>
      <c r="D34" s="16"/>
      <c r="E34" s="13">
        <v>213.0</v>
      </c>
      <c r="F34" s="13">
        <v>214.0</v>
      </c>
      <c r="G34" s="13">
        <v>247.0</v>
      </c>
      <c r="H34" s="13">
        <v>232.0</v>
      </c>
      <c r="I34" s="13">
        <v>206.0</v>
      </c>
      <c r="J34" s="13">
        <v>218.0</v>
      </c>
      <c r="K34" s="13">
        <v>204.0</v>
      </c>
      <c r="L34" s="13">
        <v>230.0</v>
      </c>
      <c r="M34" s="13">
        <v>222.0</v>
      </c>
      <c r="N34" s="13">
        <v>162.0</v>
      </c>
      <c r="O34" s="13">
        <v>222.0</v>
      </c>
      <c r="P34" s="13">
        <v>226.0</v>
      </c>
      <c r="Q34" s="13">
        <v>182.0</v>
      </c>
      <c r="R34" s="13">
        <v>211.0</v>
      </c>
      <c r="S34" s="13">
        <v>215.0</v>
      </c>
      <c r="T34" s="13">
        <v>202.0</v>
      </c>
      <c r="U34" s="13">
        <v>244.0</v>
      </c>
      <c r="V34" s="13">
        <f t="shared" si="10"/>
        <v>3650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>
        <v>1.0</v>
      </c>
      <c r="G35" s="19"/>
      <c r="H35" s="19">
        <v>2.0</v>
      </c>
      <c r="I35" s="19"/>
      <c r="J35" s="19"/>
      <c r="K35" s="19"/>
      <c r="L35" s="19"/>
      <c r="M35" s="19">
        <v>1.0</v>
      </c>
      <c r="N35" s="19">
        <v>1.0</v>
      </c>
      <c r="O35" s="19"/>
      <c r="P35" s="19"/>
      <c r="Q35" s="19"/>
      <c r="R35" s="19"/>
      <c r="S35" s="19"/>
      <c r="T35" s="19">
        <v>1.0</v>
      </c>
      <c r="U35" s="19"/>
      <c r="V35" s="13">
        <f t="shared" si="10"/>
        <v>6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U36" si="11">E33-(E34+E35)</f>
        <v>80</v>
      </c>
      <c r="F36" s="13">
        <f t="shared" si="11"/>
        <v>78</v>
      </c>
      <c r="G36" s="13">
        <f t="shared" si="11"/>
        <v>46</v>
      </c>
      <c r="H36" s="13">
        <f t="shared" si="11"/>
        <v>58</v>
      </c>
      <c r="I36" s="13">
        <f t="shared" si="11"/>
        <v>86</v>
      </c>
      <c r="J36" s="13">
        <f t="shared" si="11"/>
        <v>67</v>
      </c>
      <c r="K36" s="13">
        <f t="shared" si="11"/>
        <v>44</v>
      </c>
      <c r="L36" s="13">
        <f t="shared" si="11"/>
        <v>51</v>
      </c>
      <c r="M36" s="13">
        <f t="shared" si="11"/>
        <v>60</v>
      </c>
      <c r="N36" s="13">
        <f t="shared" si="11"/>
        <v>76</v>
      </c>
      <c r="O36" s="13">
        <f t="shared" si="11"/>
        <v>68</v>
      </c>
      <c r="P36" s="13">
        <f t="shared" si="11"/>
        <v>50</v>
      </c>
      <c r="Q36" s="13">
        <f t="shared" si="11"/>
        <v>43</v>
      </c>
      <c r="R36" s="13">
        <f t="shared" si="11"/>
        <v>58</v>
      </c>
      <c r="S36" s="13">
        <f t="shared" si="11"/>
        <v>66</v>
      </c>
      <c r="T36" s="13">
        <f t="shared" si="11"/>
        <v>70</v>
      </c>
      <c r="U36" s="13">
        <f t="shared" si="11"/>
        <v>46</v>
      </c>
      <c r="V36" s="13">
        <f t="shared" si="10"/>
        <v>1047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6"/>
      <c r="S37" s="19"/>
      <c r="T37" s="19"/>
      <c r="U37" s="19"/>
      <c r="V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59"/>
    </row>
    <row r="39" ht="12.75" customHeight="1">
      <c r="A39" s="30"/>
      <c r="B39" s="43" t="s">
        <v>33</v>
      </c>
      <c r="C39" s="23"/>
      <c r="D39" s="19" t="s">
        <v>12</v>
      </c>
      <c r="E39" s="19">
        <v>2.0</v>
      </c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>
        <v>1.0</v>
      </c>
      <c r="T39" s="19"/>
      <c r="U39" s="19"/>
      <c r="V39" s="13">
        <f t="shared" ref="V39:V41" si="12">SUM(E39:U39)</f>
        <v>3</v>
      </c>
    </row>
    <row r="40" ht="12.75" customHeight="1">
      <c r="A40" s="33"/>
      <c r="C40" s="27"/>
      <c r="D40" s="19" t="s">
        <v>13</v>
      </c>
      <c r="E40" s="19">
        <v>2.0</v>
      </c>
      <c r="F40" s="19"/>
      <c r="G40" s="19"/>
      <c r="H40" s="19"/>
      <c r="I40" s="19"/>
      <c r="J40" s="19">
        <v>1.0</v>
      </c>
      <c r="K40" s="19"/>
      <c r="L40" s="19"/>
      <c r="M40" s="19"/>
      <c r="N40" s="19"/>
      <c r="O40" s="19"/>
      <c r="P40" s="19"/>
      <c r="Q40" s="19"/>
      <c r="R40" s="19"/>
      <c r="S40" s="19">
        <v>1.0</v>
      </c>
      <c r="T40" s="19"/>
      <c r="U40" s="19"/>
      <c r="V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U41" si="13">SUM(E39:E40)</f>
        <v>4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1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2</v>
      </c>
      <c r="T41" s="13">
        <f t="shared" si="13"/>
        <v>0</v>
      </c>
      <c r="U41" s="13">
        <f t="shared" si="13"/>
        <v>0</v>
      </c>
      <c r="V41" s="13">
        <f t="shared" si="12"/>
        <v>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6"/>
      <c r="S42" s="19"/>
      <c r="T42" s="19"/>
      <c r="U42" s="19"/>
      <c r="V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3"/>
    </row>
    <row r="45" ht="12.75" customHeight="1">
      <c r="A45" s="30"/>
      <c r="B45" s="47" t="s">
        <v>17</v>
      </c>
      <c r="C45" s="48" t="s">
        <v>37</v>
      </c>
      <c r="D45" s="16"/>
      <c r="E45" s="19">
        <v>17.0</v>
      </c>
      <c r="F45" s="19">
        <v>10.0</v>
      </c>
      <c r="G45" s="19">
        <v>8.0</v>
      </c>
      <c r="H45" s="19">
        <v>8.0</v>
      </c>
      <c r="I45" s="19">
        <v>11.0</v>
      </c>
      <c r="J45" s="19">
        <v>11.0</v>
      </c>
      <c r="K45" s="19">
        <v>20.0</v>
      </c>
      <c r="L45" s="19">
        <v>12.0</v>
      </c>
      <c r="M45" s="19">
        <v>19.0</v>
      </c>
      <c r="N45" s="19">
        <v>16.0</v>
      </c>
      <c r="O45" s="19">
        <v>11.0</v>
      </c>
      <c r="P45" s="19">
        <v>12.0</v>
      </c>
      <c r="Q45" s="19">
        <v>16.0</v>
      </c>
      <c r="R45" s="19">
        <v>21.0</v>
      </c>
      <c r="S45" s="19">
        <v>24.0</v>
      </c>
      <c r="T45" s="19">
        <v>20.0</v>
      </c>
      <c r="U45" s="19">
        <v>32.0</v>
      </c>
      <c r="V45" s="13">
        <f t="shared" ref="V45:V57" si="14">SUM(E45:U45)</f>
        <v>268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18.0</v>
      </c>
      <c r="F46" s="19">
        <v>36.0</v>
      </c>
      <c r="G46" s="19">
        <v>32.0</v>
      </c>
      <c r="H46" s="19">
        <v>24.0</v>
      </c>
      <c r="I46" s="19">
        <v>19.0</v>
      </c>
      <c r="J46" s="19">
        <v>35.0</v>
      </c>
      <c r="K46" s="19">
        <v>20.0</v>
      </c>
      <c r="L46" s="19">
        <v>30.0</v>
      </c>
      <c r="M46" s="19">
        <v>37.0</v>
      </c>
      <c r="N46" s="19">
        <v>20.0</v>
      </c>
      <c r="O46" s="19">
        <v>28.0</v>
      </c>
      <c r="P46" s="19">
        <v>46.0</v>
      </c>
      <c r="Q46" s="19">
        <v>18.0</v>
      </c>
      <c r="R46" s="19">
        <v>29.0</v>
      </c>
      <c r="S46" s="19">
        <v>39.0</v>
      </c>
      <c r="T46" s="19">
        <v>46.0</v>
      </c>
      <c r="U46" s="19">
        <v>47.0</v>
      </c>
      <c r="V46" s="13">
        <f t="shared" si="14"/>
        <v>524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17.0</v>
      </c>
      <c r="F47" s="19">
        <v>8.0</v>
      </c>
      <c r="G47" s="19">
        <v>12.0</v>
      </c>
      <c r="H47" s="19">
        <v>17.0</v>
      </c>
      <c r="I47" s="19">
        <v>19.0</v>
      </c>
      <c r="J47" s="19">
        <v>12.0</v>
      </c>
      <c r="K47" s="19">
        <v>10.0</v>
      </c>
      <c r="L47" s="19">
        <v>17.0</v>
      </c>
      <c r="M47" s="19">
        <v>13.0</v>
      </c>
      <c r="N47" s="19">
        <v>8.0</v>
      </c>
      <c r="O47" s="19">
        <v>14.0</v>
      </c>
      <c r="P47" s="19">
        <v>9.0</v>
      </c>
      <c r="Q47" s="19">
        <v>9.0</v>
      </c>
      <c r="R47" s="19">
        <v>14.0</v>
      </c>
      <c r="S47" s="19">
        <v>22.0</v>
      </c>
      <c r="T47" s="19">
        <v>21.0</v>
      </c>
      <c r="U47" s="19">
        <v>16.0</v>
      </c>
      <c r="V47" s="13">
        <f t="shared" si="14"/>
        <v>238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26.0</v>
      </c>
      <c r="F48" s="19">
        <v>17.0</v>
      </c>
      <c r="G48" s="19">
        <v>19.0</v>
      </c>
      <c r="H48" s="19">
        <v>20.0</v>
      </c>
      <c r="I48" s="19">
        <v>19.0</v>
      </c>
      <c r="J48" s="19">
        <v>16.0</v>
      </c>
      <c r="K48" s="19">
        <v>16.0</v>
      </c>
      <c r="L48" s="19">
        <v>28.0</v>
      </c>
      <c r="M48" s="19">
        <v>25.0</v>
      </c>
      <c r="N48" s="19">
        <v>21.0</v>
      </c>
      <c r="O48" s="19">
        <v>25.0</v>
      </c>
      <c r="P48" s="19">
        <v>18.0</v>
      </c>
      <c r="Q48" s="19">
        <v>24.0</v>
      </c>
      <c r="R48" s="19">
        <v>28.0</v>
      </c>
      <c r="S48" s="19">
        <v>26.0</v>
      </c>
      <c r="T48" s="19">
        <v>24.0</v>
      </c>
      <c r="U48" s="19">
        <v>29.0</v>
      </c>
      <c r="V48" s="13">
        <f t="shared" si="14"/>
        <v>381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32.0</v>
      </c>
      <c r="F49" s="19">
        <v>28.0</v>
      </c>
      <c r="G49" s="19">
        <v>29.0</v>
      </c>
      <c r="H49" s="19">
        <v>31.0</v>
      </c>
      <c r="I49" s="19">
        <v>24.0</v>
      </c>
      <c r="J49" s="19">
        <v>30.0</v>
      </c>
      <c r="K49" s="19">
        <v>22.0</v>
      </c>
      <c r="L49" s="19">
        <v>10.0</v>
      </c>
      <c r="M49" s="19">
        <v>25.0</v>
      </c>
      <c r="N49" s="19">
        <v>16.0</v>
      </c>
      <c r="O49" s="19">
        <v>18.0</v>
      </c>
      <c r="P49" s="19">
        <v>36.0</v>
      </c>
      <c r="Q49" s="19">
        <v>26.0</v>
      </c>
      <c r="R49" s="19">
        <v>12.0</v>
      </c>
      <c r="S49" s="19">
        <v>11.0</v>
      </c>
      <c r="T49" s="19">
        <v>14.0</v>
      </c>
      <c r="U49" s="19">
        <v>18.0</v>
      </c>
      <c r="V49" s="13">
        <f t="shared" si="14"/>
        <v>382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10.0</v>
      </c>
      <c r="F50" s="19">
        <v>10.0</v>
      </c>
      <c r="G50" s="19">
        <v>18.0</v>
      </c>
      <c r="H50" s="19">
        <v>12.0</v>
      </c>
      <c r="I50" s="19">
        <v>16.0</v>
      </c>
      <c r="J50" s="19">
        <v>11.0</v>
      </c>
      <c r="K50" s="19">
        <v>15.0</v>
      </c>
      <c r="L50" s="19">
        <v>16.0</v>
      </c>
      <c r="M50" s="19">
        <v>24.0</v>
      </c>
      <c r="N50" s="19">
        <v>6.0</v>
      </c>
      <c r="O50" s="19">
        <v>6.0</v>
      </c>
      <c r="P50" s="19">
        <v>17.0</v>
      </c>
      <c r="Q50" s="19">
        <v>14.0</v>
      </c>
      <c r="R50" s="19">
        <v>18.0</v>
      </c>
      <c r="S50" s="19">
        <v>12.0</v>
      </c>
      <c r="T50" s="19">
        <v>8.0</v>
      </c>
      <c r="U50" s="19">
        <v>14.0</v>
      </c>
      <c r="V50" s="13">
        <f t="shared" si="14"/>
        <v>227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4.0</v>
      </c>
      <c r="F51" s="19">
        <v>3.0</v>
      </c>
      <c r="G51" s="19">
        <v>6.0</v>
      </c>
      <c r="H51" s="19">
        <v>3.0</v>
      </c>
      <c r="I51" s="19">
        <v>1.0</v>
      </c>
      <c r="J51" s="19">
        <v>5.0</v>
      </c>
      <c r="K51" s="19">
        <v>2.0</v>
      </c>
      <c r="L51" s="19">
        <v>4.0</v>
      </c>
      <c r="M51" s="19">
        <v>5.0</v>
      </c>
      <c r="N51" s="19">
        <v>0.0</v>
      </c>
      <c r="O51" s="19">
        <v>2.0</v>
      </c>
      <c r="P51" s="19">
        <v>2.0</v>
      </c>
      <c r="Q51" s="19">
        <v>2.0</v>
      </c>
      <c r="R51" s="19">
        <v>1.0</v>
      </c>
      <c r="S51" s="19">
        <v>2.0</v>
      </c>
      <c r="T51" s="19">
        <v>5.0</v>
      </c>
      <c r="U51" s="19">
        <v>1.0</v>
      </c>
      <c r="V51" s="13">
        <f t="shared" si="14"/>
        <v>48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5.0</v>
      </c>
      <c r="F52" s="19">
        <v>3.0</v>
      </c>
      <c r="G52" s="19">
        <v>3.0</v>
      </c>
      <c r="H52" s="19">
        <v>7.0</v>
      </c>
      <c r="I52" s="19">
        <v>7.0</v>
      </c>
      <c r="J52" s="19">
        <v>3.0</v>
      </c>
      <c r="K52" s="19">
        <v>1.0</v>
      </c>
      <c r="L52" s="19">
        <v>3.0</v>
      </c>
      <c r="M52" s="19">
        <v>1.0</v>
      </c>
      <c r="N52" s="19">
        <v>3.0</v>
      </c>
      <c r="O52" s="19">
        <v>12.0</v>
      </c>
      <c r="P52" s="19">
        <v>2.0</v>
      </c>
      <c r="Q52" s="19">
        <v>5.0</v>
      </c>
      <c r="R52" s="19">
        <v>1.0</v>
      </c>
      <c r="S52" s="19">
        <v>4.0</v>
      </c>
      <c r="T52" s="19">
        <v>1.0</v>
      </c>
      <c r="U52" s="19">
        <v>1.0</v>
      </c>
      <c r="V52" s="13">
        <f t="shared" si="14"/>
        <v>62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4.0</v>
      </c>
      <c r="F53" s="19">
        <v>2.0</v>
      </c>
      <c r="G53" s="19">
        <v>2.0</v>
      </c>
      <c r="H53" s="19">
        <v>1.0</v>
      </c>
      <c r="I53" s="19">
        <v>0.0</v>
      </c>
      <c r="J53" s="19">
        <v>1.0</v>
      </c>
      <c r="K53" s="19">
        <v>2.0</v>
      </c>
      <c r="L53" s="19">
        <v>0.0</v>
      </c>
      <c r="M53" s="19">
        <v>2.0</v>
      </c>
      <c r="N53" s="19">
        <v>3.0</v>
      </c>
      <c r="O53" s="19">
        <v>1.0</v>
      </c>
      <c r="P53" s="19">
        <v>2.0</v>
      </c>
      <c r="Q53" s="19">
        <v>0.0</v>
      </c>
      <c r="R53" s="19">
        <v>1.0</v>
      </c>
      <c r="S53" s="19">
        <v>1.0</v>
      </c>
      <c r="T53" s="19">
        <v>0.0</v>
      </c>
      <c r="U53" s="19">
        <v>0.0</v>
      </c>
      <c r="V53" s="13">
        <f t="shared" si="14"/>
        <v>22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31.0</v>
      </c>
      <c r="F54" s="19">
        <v>41.0</v>
      </c>
      <c r="G54" s="19">
        <v>41.0</v>
      </c>
      <c r="H54" s="19">
        <v>28.0</v>
      </c>
      <c r="I54" s="19">
        <v>16.0</v>
      </c>
      <c r="J54" s="19">
        <v>26.0</v>
      </c>
      <c r="K54" s="19">
        <v>18.0</v>
      </c>
      <c r="L54" s="19">
        <v>21.0</v>
      </c>
      <c r="M54" s="19">
        <v>20.0</v>
      </c>
      <c r="N54" s="19">
        <v>20.0</v>
      </c>
      <c r="O54" s="19">
        <v>36.0</v>
      </c>
      <c r="P54" s="19">
        <v>20.0</v>
      </c>
      <c r="Q54" s="19">
        <v>29.0</v>
      </c>
      <c r="R54" s="19">
        <v>29.0</v>
      </c>
      <c r="S54" s="19">
        <v>21.0</v>
      </c>
      <c r="T54" s="19">
        <v>21.0</v>
      </c>
      <c r="U54" s="19">
        <v>21.0</v>
      </c>
      <c r="V54" s="13">
        <f t="shared" si="14"/>
        <v>439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1.0</v>
      </c>
      <c r="F55" s="19">
        <v>4.0</v>
      </c>
      <c r="G55" s="19">
        <v>3.0</v>
      </c>
      <c r="H55" s="19">
        <v>5.0</v>
      </c>
      <c r="I55" s="19">
        <v>0.0</v>
      </c>
      <c r="J55" s="19">
        <v>4.0</v>
      </c>
      <c r="K55" s="19">
        <v>1.0</v>
      </c>
      <c r="L55" s="19">
        <v>1.0</v>
      </c>
      <c r="M55" s="19">
        <v>1.0</v>
      </c>
      <c r="N55" s="19">
        <v>2.0</v>
      </c>
      <c r="O55" s="19">
        <v>0.0</v>
      </c>
      <c r="P55" s="19">
        <v>1.0</v>
      </c>
      <c r="Q55" s="19">
        <v>0.0</v>
      </c>
      <c r="R55" s="19">
        <v>0.0</v>
      </c>
      <c r="S55" s="19">
        <v>3.0</v>
      </c>
      <c r="T55" s="19">
        <v>0.0</v>
      </c>
      <c r="U55" s="19">
        <v>1.0</v>
      </c>
      <c r="V55" s="13">
        <f t="shared" si="14"/>
        <v>27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17.0</v>
      </c>
      <c r="F56" s="19">
        <v>15.0</v>
      </c>
      <c r="G56" s="19">
        <v>26.0</v>
      </c>
      <c r="H56" s="19">
        <v>24.0</v>
      </c>
      <c r="I56" s="19">
        <v>14.0</v>
      </c>
      <c r="J56" s="19">
        <v>20.0</v>
      </c>
      <c r="K56" s="19">
        <v>23.0</v>
      </c>
      <c r="L56" s="19">
        <v>21.0</v>
      </c>
      <c r="M56" s="19">
        <v>15.0</v>
      </c>
      <c r="N56" s="19">
        <v>19.0</v>
      </c>
      <c r="O56" s="19">
        <v>22.0</v>
      </c>
      <c r="P56" s="19">
        <v>20.0</v>
      </c>
      <c r="Q56" s="19">
        <v>19.0</v>
      </c>
      <c r="R56" s="19">
        <v>23.0</v>
      </c>
      <c r="S56" s="19">
        <v>23.0</v>
      </c>
      <c r="T56" s="19">
        <v>15.0</v>
      </c>
      <c r="U56" s="19">
        <v>24.0</v>
      </c>
      <c r="V56" s="13">
        <f t="shared" si="14"/>
        <v>340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4.0</v>
      </c>
      <c r="F57" s="19">
        <v>3.0</v>
      </c>
      <c r="G57" s="19">
        <v>4.0</v>
      </c>
      <c r="H57" s="19">
        <v>1.0</v>
      </c>
      <c r="I57" s="19">
        <v>1.0</v>
      </c>
      <c r="J57" s="19">
        <v>5.0</v>
      </c>
      <c r="K57" s="19">
        <v>0.0</v>
      </c>
      <c r="L57" s="19">
        <v>2.0</v>
      </c>
      <c r="M57" s="19">
        <v>1.0</v>
      </c>
      <c r="N57" s="19">
        <v>1.0</v>
      </c>
      <c r="O57" s="19">
        <v>2.0</v>
      </c>
      <c r="P57" s="19">
        <v>1.0</v>
      </c>
      <c r="Q57" s="19">
        <v>1.0</v>
      </c>
      <c r="R57" s="19">
        <v>1.0</v>
      </c>
      <c r="S57" s="19">
        <v>0.0</v>
      </c>
      <c r="T57" s="19">
        <v>0.0</v>
      </c>
      <c r="U57" s="19">
        <v>1.0</v>
      </c>
      <c r="V57" s="13">
        <f t="shared" si="14"/>
        <v>28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U60" si="15">SUM(E45:E57)</f>
        <v>186</v>
      </c>
      <c r="F60" s="19">
        <f t="shared" si="15"/>
        <v>180</v>
      </c>
      <c r="G60" s="19">
        <f t="shared" si="15"/>
        <v>203</v>
      </c>
      <c r="H60" s="19">
        <f t="shared" si="15"/>
        <v>181</v>
      </c>
      <c r="I60" s="19">
        <f t="shared" si="15"/>
        <v>147</v>
      </c>
      <c r="J60" s="19">
        <f t="shared" si="15"/>
        <v>179</v>
      </c>
      <c r="K60" s="19">
        <f t="shared" si="15"/>
        <v>150</v>
      </c>
      <c r="L60" s="19">
        <f t="shared" si="15"/>
        <v>165</v>
      </c>
      <c r="M60" s="19">
        <f t="shared" si="15"/>
        <v>188</v>
      </c>
      <c r="N60" s="19">
        <f t="shared" si="15"/>
        <v>135</v>
      </c>
      <c r="O60" s="19">
        <f t="shared" si="15"/>
        <v>177</v>
      </c>
      <c r="P60" s="19">
        <f t="shared" si="15"/>
        <v>186</v>
      </c>
      <c r="Q60" s="19">
        <f t="shared" si="15"/>
        <v>163</v>
      </c>
      <c r="R60" s="19">
        <f t="shared" si="15"/>
        <v>178</v>
      </c>
      <c r="S60" s="19">
        <f t="shared" si="15"/>
        <v>188</v>
      </c>
      <c r="T60" s="19">
        <f t="shared" si="15"/>
        <v>175</v>
      </c>
      <c r="U60" s="19">
        <f t="shared" si="15"/>
        <v>205</v>
      </c>
      <c r="V60" s="13">
        <f t="shared" ref="V60:V62" si="16">SUM(E60:U60)</f>
        <v>2986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27.0</v>
      </c>
      <c r="F61" s="19">
        <v>34.0</v>
      </c>
      <c r="G61" s="19">
        <v>44.0</v>
      </c>
      <c r="H61" s="19">
        <v>51.0</v>
      </c>
      <c r="I61" s="19">
        <v>59.0</v>
      </c>
      <c r="J61" s="19">
        <v>39.0</v>
      </c>
      <c r="K61" s="19">
        <v>54.0</v>
      </c>
      <c r="L61" s="19">
        <v>65.0</v>
      </c>
      <c r="M61" s="19">
        <v>34.0</v>
      </c>
      <c r="N61" s="19">
        <v>27.0</v>
      </c>
      <c r="O61" s="19">
        <v>45.0</v>
      </c>
      <c r="P61" s="19">
        <v>40.0</v>
      </c>
      <c r="Q61" s="19">
        <v>19.0</v>
      </c>
      <c r="R61" s="19">
        <v>33.0</v>
      </c>
      <c r="S61" s="19">
        <v>27.0</v>
      </c>
      <c r="T61" s="19">
        <v>27.0</v>
      </c>
      <c r="U61" s="19">
        <v>39.0</v>
      </c>
      <c r="V61" s="13">
        <f t="shared" si="16"/>
        <v>664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U62" si="17">SUM(E60:E61)</f>
        <v>213</v>
      </c>
      <c r="F62" s="13">
        <f t="shared" si="17"/>
        <v>214</v>
      </c>
      <c r="G62" s="13">
        <f t="shared" si="17"/>
        <v>247</v>
      </c>
      <c r="H62" s="13">
        <f t="shared" si="17"/>
        <v>232</v>
      </c>
      <c r="I62" s="13">
        <f t="shared" si="17"/>
        <v>206</v>
      </c>
      <c r="J62" s="13">
        <f t="shared" si="17"/>
        <v>218</v>
      </c>
      <c r="K62" s="13">
        <f t="shared" si="17"/>
        <v>204</v>
      </c>
      <c r="L62" s="13">
        <f t="shared" si="17"/>
        <v>230</v>
      </c>
      <c r="M62" s="13">
        <f t="shared" si="17"/>
        <v>222</v>
      </c>
      <c r="N62" s="13">
        <f t="shared" si="17"/>
        <v>162</v>
      </c>
      <c r="O62" s="13">
        <f t="shared" si="17"/>
        <v>222</v>
      </c>
      <c r="P62" s="13">
        <f t="shared" si="17"/>
        <v>226</v>
      </c>
      <c r="Q62" s="13">
        <f t="shared" si="17"/>
        <v>182</v>
      </c>
      <c r="R62" s="13">
        <f t="shared" si="17"/>
        <v>211</v>
      </c>
      <c r="S62" s="13">
        <f t="shared" si="17"/>
        <v>215</v>
      </c>
      <c r="T62" s="13">
        <f t="shared" si="17"/>
        <v>202</v>
      </c>
      <c r="U62" s="13">
        <f t="shared" si="17"/>
        <v>244</v>
      </c>
      <c r="V62" s="13">
        <f t="shared" si="16"/>
        <v>3650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U12"/>
    <mergeCell ref="V12:V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R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R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U15 E45:U57">
    <cfRule type="containsBlanks" dxfId="1" priority="1">
      <formula>LEN(TRIM(E14))=0</formula>
    </cfRule>
  </conditionalFormatting>
  <conditionalFormatting sqref="E19:U20">
    <cfRule type="containsBlanks" dxfId="1" priority="2">
      <formula>LEN(TRIM(E19))=0</formula>
    </cfRule>
  </conditionalFormatting>
  <conditionalFormatting sqref="E22:U23 E25:U26 E33:U33 E35:U35 E39:U40">
    <cfRule type="containsBlanks" dxfId="1" priority="3">
      <formula>LEN(TRIM(E22))=0</formula>
    </cfRule>
  </conditionalFormatting>
  <conditionalFormatting sqref="E30:U30">
    <cfRule type="expression" dxfId="0" priority="4">
      <formula>E30&lt;&gt;E46</formula>
    </cfRule>
  </conditionalFormatting>
  <conditionalFormatting sqref="E30:U30">
    <cfRule type="expression" dxfId="0" priority="5">
      <formula>E30&lt;&gt;E34</formula>
    </cfRule>
  </conditionalFormatting>
  <conditionalFormatting sqref="E34:U34">
    <cfRule type="expression" dxfId="2" priority="6">
      <formula>E30&lt;&gt;E34</formula>
    </cfRule>
  </conditionalFormatting>
  <conditionalFormatting sqref="E34:U34">
    <cfRule type="expression" dxfId="3" priority="7">
      <formula>E30=E34</formula>
    </cfRule>
  </conditionalFormatting>
  <conditionalFormatting sqref="E34:U34">
    <cfRule type="expression" dxfId="0" priority="8">
      <formula>E34&lt;&gt;E30</formula>
    </cfRule>
  </conditionalFormatting>
  <conditionalFormatting sqref="E34:U34">
    <cfRule type="expression" dxfId="0" priority="9">
      <formula>E34&lt;&gt;E55</formula>
    </cfRule>
  </conditionalFormatting>
  <conditionalFormatting sqref="E60:U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1" width="8.71"/>
    <col customWidth="1" min="22" max="22" width="13.29"/>
    <col customWidth="1" min="23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86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36"/>
    </row>
    <row r="14" ht="12.75" customHeight="1">
      <c r="A14" s="18"/>
      <c r="B14" s="22" t="s">
        <v>11</v>
      </c>
      <c r="C14" s="23"/>
      <c r="D14" s="19" t="s">
        <v>12</v>
      </c>
      <c r="E14" s="19">
        <v>139.0</v>
      </c>
      <c r="F14" s="19">
        <v>128.0</v>
      </c>
      <c r="G14" s="19">
        <v>99.0</v>
      </c>
      <c r="H14" s="19">
        <v>119.0</v>
      </c>
      <c r="I14" s="19">
        <v>112.0</v>
      </c>
      <c r="J14" s="19">
        <v>141.0</v>
      </c>
      <c r="K14" s="19">
        <v>133.0</v>
      </c>
      <c r="L14" s="19">
        <v>137.0</v>
      </c>
      <c r="M14" s="19">
        <v>126.0</v>
      </c>
      <c r="N14" s="19">
        <v>121.0</v>
      </c>
      <c r="O14" s="19">
        <v>109.0</v>
      </c>
      <c r="P14" s="19">
        <v>113.0</v>
      </c>
      <c r="Q14" s="19">
        <v>144.0</v>
      </c>
      <c r="R14" s="19">
        <v>122.0</v>
      </c>
      <c r="S14" s="19">
        <v>93.0</v>
      </c>
      <c r="T14" s="19">
        <v>96.0</v>
      </c>
      <c r="U14" s="19">
        <v>116.0</v>
      </c>
      <c r="V14" s="13">
        <f t="shared" ref="V14:V16" si="1">SUM(E14:U14)</f>
        <v>2048</v>
      </c>
    </row>
    <row r="15" ht="12.75" customHeight="1">
      <c r="A15" s="18"/>
      <c r="B15" s="26"/>
      <c r="C15" s="27"/>
      <c r="D15" s="19" t="s">
        <v>13</v>
      </c>
      <c r="E15" s="19">
        <v>146.0</v>
      </c>
      <c r="F15" s="19">
        <v>135.0</v>
      </c>
      <c r="G15" s="19">
        <v>104.0</v>
      </c>
      <c r="H15" s="19">
        <v>131.0</v>
      </c>
      <c r="I15" s="19">
        <v>104.0</v>
      </c>
      <c r="J15" s="19">
        <v>148.0</v>
      </c>
      <c r="K15" s="19">
        <v>146.0</v>
      </c>
      <c r="L15" s="19">
        <v>151.0</v>
      </c>
      <c r="M15" s="19">
        <v>144.0</v>
      </c>
      <c r="N15" s="19">
        <v>123.0</v>
      </c>
      <c r="O15" s="19">
        <v>119.0</v>
      </c>
      <c r="P15" s="19">
        <v>114.0</v>
      </c>
      <c r="Q15" s="19">
        <v>132.0</v>
      </c>
      <c r="R15" s="19">
        <v>128.0</v>
      </c>
      <c r="S15" s="19">
        <v>108.0</v>
      </c>
      <c r="T15" s="19">
        <v>102.0</v>
      </c>
      <c r="U15" s="19">
        <v>103.0</v>
      </c>
      <c r="V15" s="13">
        <f t="shared" si="1"/>
        <v>2138</v>
      </c>
    </row>
    <row r="16" ht="12.75" customHeight="1">
      <c r="A16" s="25"/>
      <c r="B16" s="21"/>
      <c r="C16" s="28"/>
      <c r="D16" s="13" t="s">
        <v>14</v>
      </c>
      <c r="E16" s="13">
        <f t="shared" ref="E16:U16" si="2">SUM(E14:E15)</f>
        <v>285</v>
      </c>
      <c r="F16" s="13">
        <f t="shared" si="2"/>
        <v>263</v>
      </c>
      <c r="G16" s="13">
        <f t="shared" si="2"/>
        <v>203</v>
      </c>
      <c r="H16" s="13">
        <f t="shared" si="2"/>
        <v>250</v>
      </c>
      <c r="I16" s="13">
        <f t="shared" si="2"/>
        <v>216</v>
      </c>
      <c r="J16" s="13">
        <f t="shared" si="2"/>
        <v>289</v>
      </c>
      <c r="K16" s="13">
        <f t="shared" si="2"/>
        <v>279</v>
      </c>
      <c r="L16" s="13">
        <f t="shared" si="2"/>
        <v>288</v>
      </c>
      <c r="M16" s="13">
        <f t="shared" si="2"/>
        <v>270</v>
      </c>
      <c r="N16" s="13">
        <f t="shared" si="2"/>
        <v>244</v>
      </c>
      <c r="O16" s="13">
        <f t="shared" si="2"/>
        <v>228</v>
      </c>
      <c r="P16" s="13">
        <f t="shared" si="2"/>
        <v>227</v>
      </c>
      <c r="Q16" s="13">
        <f t="shared" si="2"/>
        <v>276</v>
      </c>
      <c r="R16" s="13">
        <f t="shared" si="2"/>
        <v>250</v>
      </c>
      <c r="S16" s="13">
        <f t="shared" si="2"/>
        <v>201</v>
      </c>
      <c r="T16" s="13">
        <f t="shared" si="2"/>
        <v>198</v>
      </c>
      <c r="U16" s="13">
        <f t="shared" si="2"/>
        <v>219</v>
      </c>
      <c r="V16" s="13">
        <f t="shared" si="1"/>
        <v>4186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8"/>
      <c r="U17" s="58"/>
      <c r="V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8"/>
      <c r="U18" s="58"/>
      <c r="V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113.0</v>
      </c>
      <c r="F19" s="19">
        <v>109.0</v>
      </c>
      <c r="G19" s="19">
        <v>76.0</v>
      </c>
      <c r="H19" s="19">
        <v>89.0</v>
      </c>
      <c r="I19" s="19">
        <v>99.0</v>
      </c>
      <c r="J19" s="19">
        <v>106.0</v>
      </c>
      <c r="K19" s="19">
        <v>94.0</v>
      </c>
      <c r="L19" s="19">
        <v>105.0</v>
      </c>
      <c r="M19" s="19">
        <v>99.0</v>
      </c>
      <c r="N19" s="19">
        <v>90.0</v>
      </c>
      <c r="O19" s="19">
        <v>88.0</v>
      </c>
      <c r="P19" s="19">
        <v>96.0</v>
      </c>
      <c r="Q19" s="19">
        <v>120.0</v>
      </c>
      <c r="R19" s="19">
        <v>95.0</v>
      </c>
      <c r="S19" s="19">
        <v>75.0</v>
      </c>
      <c r="T19" s="19">
        <v>80.0</v>
      </c>
      <c r="U19" s="19">
        <v>87.0</v>
      </c>
      <c r="V19" s="13">
        <f t="shared" ref="V19:V30" si="3">SUM(E19:U19)</f>
        <v>1621</v>
      </c>
    </row>
    <row r="20" ht="12.75" customHeight="1">
      <c r="A20" s="33"/>
      <c r="B20" s="27"/>
      <c r="C20" s="34"/>
      <c r="D20" s="19" t="s">
        <v>13</v>
      </c>
      <c r="E20" s="19">
        <v>117.0</v>
      </c>
      <c r="F20" s="19">
        <v>113.0</v>
      </c>
      <c r="G20" s="19">
        <v>83.0</v>
      </c>
      <c r="H20" s="19">
        <v>110.0</v>
      </c>
      <c r="I20" s="19">
        <v>96.0</v>
      </c>
      <c r="J20" s="19">
        <v>117.0</v>
      </c>
      <c r="K20" s="19">
        <v>127.0</v>
      </c>
      <c r="L20" s="19">
        <v>127.0</v>
      </c>
      <c r="M20" s="19">
        <v>122.0</v>
      </c>
      <c r="N20" s="19">
        <v>102.0</v>
      </c>
      <c r="O20" s="19">
        <v>99.0</v>
      </c>
      <c r="P20" s="19">
        <v>102.0</v>
      </c>
      <c r="Q20" s="19">
        <v>109.0</v>
      </c>
      <c r="R20" s="19">
        <v>109.0</v>
      </c>
      <c r="S20" s="19">
        <v>94.0</v>
      </c>
      <c r="T20" s="19">
        <v>85.0</v>
      </c>
      <c r="U20" s="19">
        <v>79.0</v>
      </c>
      <c r="V20" s="13">
        <f t="shared" si="3"/>
        <v>1791</v>
      </c>
    </row>
    <row r="21" ht="12.75" customHeight="1">
      <c r="A21" s="35"/>
      <c r="B21" s="28"/>
      <c r="C21" s="36"/>
      <c r="D21" s="13" t="s">
        <v>14</v>
      </c>
      <c r="E21" s="13">
        <f t="shared" ref="E21:U21" si="4">SUM(E19:E20)</f>
        <v>230</v>
      </c>
      <c r="F21" s="13">
        <f t="shared" si="4"/>
        <v>222</v>
      </c>
      <c r="G21" s="13">
        <f t="shared" si="4"/>
        <v>159</v>
      </c>
      <c r="H21" s="13">
        <f t="shared" si="4"/>
        <v>199</v>
      </c>
      <c r="I21" s="13">
        <f t="shared" si="4"/>
        <v>195</v>
      </c>
      <c r="J21" s="13">
        <f t="shared" si="4"/>
        <v>223</v>
      </c>
      <c r="K21" s="13">
        <f t="shared" si="4"/>
        <v>221</v>
      </c>
      <c r="L21" s="13">
        <f t="shared" si="4"/>
        <v>232</v>
      </c>
      <c r="M21" s="13">
        <f t="shared" si="4"/>
        <v>221</v>
      </c>
      <c r="N21" s="13">
        <f t="shared" si="4"/>
        <v>192</v>
      </c>
      <c r="O21" s="13">
        <f t="shared" si="4"/>
        <v>187</v>
      </c>
      <c r="P21" s="13">
        <f t="shared" si="4"/>
        <v>198</v>
      </c>
      <c r="Q21" s="13">
        <f t="shared" si="4"/>
        <v>229</v>
      </c>
      <c r="R21" s="13">
        <f t="shared" si="4"/>
        <v>204</v>
      </c>
      <c r="S21" s="13">
        <f t="shared" si="4"/>
        <v>169</v>
      </c>
      <c r="T21" s="13">
        <f t="shared" si="4"/>
        <v>165</v>
      </c>
      <c r="U21" s="13">
        <f t="shared" si="4"/>
        <v>166</v>
      </c>
      <c r="V21" s="13">
        <f t="shared" si="3"/>
        <v>3412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1.0</v>
      </c>
      <c r="R22" s="19">
        <v>0.0</v>
      </c>
      <c r="S22" s="19">
        <v>0.0</v>
      </c>
      <c r="T22" s="19"/>
      <c r="U22" s="19"/>
      <c r="V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1.0</v>
      </c>
      <c r="P23" s="19">
        <v>0.0</v>
      </c>
      <c r="Q23" s="19">
        <v>1.0</v>
      </c>
      <c r="R23" s="19">
        <v>0.0</v>
      </c>
      <c r="S23" s="19">
        <v>0.0</v>
      </c>
      <c r="T23" s="19"/>
      <c r="U23" s="19"/>
      <c r="V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f t="shared" ref="E24:U24" si="5">SUM(E22:E23)</f>
        <v>2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1</v>
      </c>
      <c r="P24" s="13">
        <f t="shared" si="5"/>
        <v>0</v>
      </c>
      <c r="Q24" s="13">
        <f t="shared" si="5"/>
        <v>2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3"/>
        <v>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1.0</v>
      </c>
      <c r="I25" s="19">
        <v>1.0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1.0</v>
      </c>
      <c r="R25" s="19">
        <v>0.0</v>
      </c>
      <c r="S25" s="19">
        <v>0.0</v>
      </c>
      <c r="T25" s="19"/>
      <c r="U25" s="19"/>
      <c r="V25" s="13">
        <f t="shared" si="3"/>
        <v>3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1.0</v>
      </c>
      <c r="G26" s="19">
        <v>0.0</v>
      </c>
      <c r="H26" s="19">
        <v>1.0</v>
      </c>
      <c r="I26" s="19">
        <v>1.0</v>
      </c>
      <c r="J26" s="19">
        <v>0.0</v>
      </c>
      <c r="K26" s="19">
        <v>0.0</v>
      </c>
      <c r="L26" s="19">
        <v>0.0</v>
      </c>
      <c r="M26" s="19">
        <v>1.0</v>
      </c>
      <c r="N26" s="19">
        <v>3.0</v>
      </c>
      <c r="O26" s="19">
        <v>1.0</v>
      </c>
      <c r="P26" s="19">
        <v>2.0</v>
      </c>
      <c r="Q26" s="19">
        <v>0.0</v>
      </c>
      <c r="R26" s="19">
        <v>0.0</v>
      </c>
      <c r="S26" s="19">
        <v>1.0</v>
      </c>
      <c r="T26" s="19">
        <v>2.0</v>
      </c>
      <c r="U26" s="19"/>
      <c r="V26" s="13">
        <f t="shared" si="3"/>
        <v>14</v>
      </c>
    </row>
    <row r="27" ht="12.75" customHeight="1">
      <c r="A27" s="35"/>
      <c r="B27" s="28"/>
      <c r="C27" s="36"/>
      <c r="D27" s="13" t="s">
        <v>14</v>
      </c>
      <c r="E27" s="13">
        <f t="shared" ref="E27:U27" si="6">SUM(E25:E26)</f>
        <v>1</v>
      </c>
      <c r="F27" s="13">
        <f t="shared" si="6"/>
        <v>1</v>
      </c>
      <c r="G27" s="13">
        <f t="shared" si="6"/>
        <v>0</v>
      </c>
      <c r="H27" s="13">
        <f t="shared" si="6"/>
        <v>2</v>
      </c>
      <c r="I27" s="13">
        <f t="shared" si="6"/>
        <v>2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1</v>
      </c>
      <c r="N27" s="13">
        <f t="shared" si="6"/>
        <v>3</v>
      </c>
      <c r="O27" s="13">
        <f t="shared" si="6"/>
        <v>1</v>
      </c>
      <c r="P27" s="13">
        <f t="shared" si="6"/>
        <v>2</v>
      </c>
      <c r="Q27" s="13">
        <f t="shared" si="6"/>
        <v>1</v>
      </c>
      <c r="R27" s="13">
        <f t="shared" si="6"/>
        <v>0</v>
      </c>
      <c r="S27" s="13">
        <f t="shared" si="6"/>
        <v>1</v>
      </c>
      <c r="T27" s="13">
        <f t="shared" si="6"/>
        <v>2</v>
      </c>
      <c r="U27" s="13">
        <f t="shared" si="6"/>
        <v>0</v>
      </c>
      <c r="V27" s="13">
        <f t="shared" si="3"/>
        <v>17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U28" si="7">SUM(E19,E22,E25)</f>
        <v>114</v>
      </c>
      <c r="F28" s="13">
        <f t="shared" si="7"/>
        <v>109</v>
      </c>
      <c r="G28" s="13">
        <f t="shared" si="7"/>
        <v>76</v>
      </c>
      <c r="H28" s="13">
        <f t="shared" si="7"/>
        <v>90</v>
      </c>
      <c r="I28" s="13">
        <f t="shared" si="7"/>
        <v>100</v>
      </c>
      <c r="J28" s="13">
        <f t="shared" si="7"/>
        <v>106</v>
      </c>
      <c r="K28" s="13">
        <f t="shared" si="7"/>
        <v>94</v>
      </c>
      <c r="L28" s="13">
        <f t="shared" si="7"/>
        <v>105</v>
      </c>
      <c r="M28" s="13">
        <f t="shared" si="7"/>
        <v>99</v>
      </c>
      <c r="N28" s="13">
        <f t="shared" si="7"/>
        <v>90</v>
      </c>
      <c r="O28" s="13">
        <f t="shared" si="7"/>
        <v>88</v>
      </c>
      <c r="P28" s="13">
        <f t="shared" si="7"/>
        <v>96</v>
      </c>
      <c r="Q28" s="13">
        <f t="shared" si="7"/>
        <v>122</v>
      </c>
      <c r="R28" s="13">
        <f t="shared" si="7"/>
        <v>95</v>
      </c>
      <c r="S28" s="13">
        <f t="shared" si="7"/>
        <v>75</v>
      </c>
      <c r="T28" s="13">
        <f t="shared" si="7"/>
        <v>80</v>
      </c>
      <c r="U28" s="13">
        <f t="shared" si="7"/>
        <v>87</v>
      </c>
      <c r="V28" s="13">
        <f t="shared" si="3"/>
        <v>1626</v>
      </c>
    </row>
    <row r="29" ht="12.75" customHeight="1">
      <c r="A29" s="35"/>
      <c r="B29" s="27"/>
      <c r="C29" s="34"/>
      <c r="D29" s="13" t="s">
        <v>13</v>
      </c>
      <c r="E29" s="13">
        <f t="shared" ref="E29:U29" si="8">SUM(E20,E23,E26)</f>
        <v>119</v>
      </c>
      <c r="F29" s="13">
        <f t="shared" si="8"/>
        <v>114</v>
      </c>
      <c r="G29" s="13">
        <f t="shared" si="8"/>
        <v>83</v>
      </c>
      <c r="H29" s="13">
        <f t="shared" si="8"/>
        <v>111</v>
      </c>
      <c r="I29" s="13">
        <f t="shared" si="8"/>
        <v>97</v>
      </c>
      <c r="J29" s="13">
        <f t="shared" si="8"/>
        <v>117</v>
      </c>
      <c r="K29" s="13">
        <f t="shared" si="8"/>
        <v>127</v>
      </c>
      <c r="L29" s="13">
        <f t="shared" si="8"/>
        <v>127</v>
      </c>
      <c r="M29" s="13">
        <f t="shared" si="8"/>
        <v>123</v>
      </c>
      <c r="N29" s="13">
        <f t="shared" si="8"/>
        <v>105</v>
      </c>
      <c r="O29" s="13">
        <f t="shared" si="8"/>
        <v>101</v>
      </c>
      <c r="P29" s="13">
        <f t="shared" si="8"/>
        <v>104</v>
      </c>
      <c r="Q29" s="13">
        <f t="shared" si="8"/>
        <v>110</v>
      </c>
      <c r="R29" s="13">
        <f t="shared" si="8"/>
        <v>109</v>
      </c>
      <c r="S29" s="13">
        <f t="shared" si="8"/>
        <v>95</v>
      </c>
      <c r="T29" s="13">
        <f t="shared" si="8"/>
        <v>87</v>
      </c>
      <c r="U29" s="13">
        <f t="shared" si="8"/>
        <v>79</v>
      </c>
      <c r="V29" s="13">
        <f t="shared" si="3"/>
        <v>1808</v>
      </c>
    </row>
    <row r="30" ht="12.75" customHeight="1">
      <c r="A30" s="35"/>
      <c r="B30" s="28"/>
      <c r="C30" s="36"/>
      <c r="D30" s="13" t="s">
        <v>14</v>
      </c>
      <c r="E30" s="13">
        <f t="shared" ref="E30:U30" si="9">SUM(E28:E29)</f>
        <v>233</v>
      </c>
      <c r="F30" s="13">
        <f t="shared" si="9"/>
        <v>223</v>
      </c>
      <c r="G30" s="13">
        <f t="shared" si="9"/>
        <v>159</v>
      </c>
      <c r="H30" s="13">
        <f t="shared" si="9"/>
        <v>201</v>
      </c>
      <c r="I30" s="13">
        <f t="shared" si="9"/>
        <v>197</v>
      </c>
      <c r="J30" s="13">
        <f t="shared" si="9"/>
        <v>223</v>
      </c>
      <c r="K30" s="13">
        <f t="shared" si="9"/>
        <v>221</v>
      </c>
      <c r="L30" s="13">
        <f t="shared" si="9"/>
        <v>232</v>
      </c>
      <c r="M30" s="13">
        <f t="shared" si="9"/>
        <v>222</v>
      </c>
      <c r="N30" s="13">
        <f t="shared" si="9"/>
        <v>195</v>
      </c>
      <c r="O30" s="13">
        <f t="shared" si="9"/>
        <v>189</v>
      </c>
      <c r="P30" s="13">
        <f t="shared" si="9"/>
        <v>200</v>
      </c>
      <c r="Q30" s="13">
        <f t="shared" si="9"/>
        <v>232</v>
      </c>
      <c r="R30" s="13">
        <f t="shared" si="9"/>
        <v>204</v>
      </c>
      <c r="S30" s="13">
        <f t="shared" si="9"/>
        <v>170</v>
      </c>
      <c r="T30" s="13">
        <f t="shared" si="9"/>
        <v>167</v>
      </c>
      <c r="U30" s="13">
        <f t="shared" si="9"/>
        <v>166</v>
      </c>
      <c r="V30" s="13">
        <f t="shared" si="3"/>
        <v>3434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8"/>
      <c r="U31" s="58"/>
      <c r="V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60"/>
      <c r="V32" s="59"/>
    </row>
    <row r="33" ht="12.75" customHeight="1">
      <c r="A33" s="19">
        <v>1.0</v>
      </c>
      <c r="B33" s="20" t="s">
        <v>27</v>
      </c>
      <c r="C33" s="15"/>
      <c r="D33" s="16"/>
      <c r="E33" s="19">
        <v>289.0</v>
      </c>
      <c r="F33" s="19">
        <v>267.0</v>
      </c>
      <c r="G33" s="19">
        <v>206.0</v>
      </c>
      <c r="H33" s="19">
        <v>253.0</v>
      </c>
      <c r="I33" s="19">
        <v>220.0</v>
      </c>
      <c r="J33" s="19">
        <v>294.0</v>
      </c>
      <c r="K33" s="19">
        <v>283.0</v>
      </c>
      <c r="L33" s="19">
        <v>292.0</v>
      </c>
      <c r="M33" s="19">
        <v>276.0</v>
      </c>
      <c r="N33" s="19">
        <v>248.0</v>
      </c>
      <c r="O33" s="19">
        <v>232.0</v>
      </c>
      <c r="P33" s="19">
        <v>232.0</v>
      </c>
      <c r="Q33" s="19">
        <v>280.0</v>
      </c>
      <c r="R33" s="19">
        <v>252.0</v>
      </c>
      <c r="S33" s="19">
        <v>204.0</v>
      </c>
      <c r="T33" s="19">
        <v>200.0</v>
      </c>
      <c r="U33" s="19">
        <v>222.0</v>
      </c>
      <c r="V33" s="13">
        <f t="shared" ref="V33:V36" si="10">SUM(E33:U33)</f>
        <v>4250</v>
      </c>
    </row>
    <row r="34" ht="12.75" customHeight="1">
      <c r="A34" s="19">
        <v>2.0</v>
      </c>
      <c r="B34" s="20" t="s">
        <v>28</v>
      </c>
      <c r="C34" s="15"/>
      <c r="D34" s="16"/>
      <c r="E34" s="13">
        <v>233.0</v>
      </c>
      <c r="F34" s="13">
        <v>223.0</v>
      </c>
      <c r="G34" s="13">
        <v>159.0</v>
      </c>
      <c r="H34" s="13">
        <v>201.0</v>
      </c>
      <c r="I34" s="13">
        <v>197.0</v>
      </c>
      <c r="J34" s="13">
        <v>223.0</v>
      </c>
      <c r="K34" s="13">
        <v>221.0</v>
      </c>
      <c r="L34" s="13">
        <v>232.0</v>
      </c>
      <c r="M34" s="13">
        <v>222.0</v>
      </c>
      <c r="N34" s="13">
        <v>195.0</v>
      </c>
      <c r="O34" s="13">
        <v>189.0</v>
      </c>
      <c r="P34" s="13">
        <v>200.0</v>
      </c>
      <c r="Q34" s="13">
        <v>232.0</v>
      </c>
      <c r="R34" s="13">
        <v>204.0</v>
      </c>
      <c r="S34" s="13">
        <v>170.0</v>
      </c>
      <c r="T34" s="13">
        <v>167.0</v>
      </c>
      <c r="U34" s="13">
        <v>166.0</v>
      </c>
      <c r="V34" s="13">
        <f t="shared" si="10"/>
        <v>3434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/>
      <c r="H35" s="19"/>
      <c r="I35" s="19"/>
      <c r="J35" s="19"/>
      <c r="K35" s="19"/>
      <c r="L35" s="19">
        <v>1.0</v>
      </c>
      <c r="M35" s="19"/>
      <c r="N35" s="19"/>
      <c r="O35" s="19"/>
      <c r="P35" s="19"/>
      <c r="Q35" s="19"/>
      <c r="R35" s="19"/>
      <c r="S35" s="19"/>
      <c r="T35" s="19"/>
      <c r="U35" s="19"/>
      <c r="V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U36" si="11">E33-(E34+E35)</f>
        <v>56</v>
      </c>
      <c r="F36" s="13">
        <f t="shared" si="11"/>
        <v>44</v>
      </c>
      <c r="G36" s="13">
        <f t="shared" si="11"/>
        <v>47</v>
      </c>
      <c r="H36" s="13">
        <f t="shared" si="11"/>
        <v>52</v>
      </c>
      <c r="I36" s="13">
        <f t="shared" si="11"/>
        <v>23</v>
      </c>
      <c r="J36" s="13">
        <f t="shared" si="11"/>
        <v>71</v>
      </c>
      <c r="K36" s="13">
        <f t="shared" si="11"/>
        <v>62</v>
      </c>
      <c r="L36" s="13">
        <f t="shared" si="11"/>
        <v>59</v>
      </c>
      <c r="M36" s="13">
        <f t="shared" si="11"/>
        <v>54</v>
      </c>
      <c r="N36" s="13">
        <f t="shared" si="11"/>
        <v>53</v>
      </c>
      <c r="O36" s="13">
        <f t="shared" si="11"/>
        <v>43</v>
      </c>
      <c r="P36" s="13">
        <f t="shared" si="11"/>
        <v>32</v>
      </c>
      <c r="Q36" s="13">
        <f t="shared" si="11"/>
        <v>48</v>
      </c>
      <c r="R36" s="13">
        <f t="shared" si="11"/>
        <v>48</v>
      </c>
      <c r="S36" s="13">
        <f t="shared" si="11"/>
        <v>34</v>
      </c>
      <c r="T36" s="13">
        <f t="shared" si="11"/>
        <v>33</v>
      </c>
      <c r="U36" s="13">
        <f t="shared" si="11"/>
        <v>56</v>
      </c>
      <c r="V36" s="13">
        <f t="shared" si="10"/>
        <v>815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61"/>
      <c r="T37" s="61"/>
      <c r="U37" s="61"/>
      <c r="V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60"/>
      <c r="V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>
        <v>3.0</v>
      </c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3">
        <f t="shared" ref="V39:V41" si="12">SUM(E39:U39)</f>
        <v>3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>
        <v>1.0</v>
      </c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3">
        <f t="shared" si="12"/>
        <v>1</v>
      </c>
    </row>
    <row r="41" ht="12.75" customHeight="1">
      <c r="A41" s="41"/>
      <c r="B41" s="44"/>
      <c r="C41" s="28"/>
      <c r="D41" s="13" t="s">
        <v>14</v>
      </c>
      <c r="E41" s="13">
        <f t="shared" ref="E41:U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4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2"/>
        <v>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9"/>
      <c r="T42" s="58"/>
      <c r="U42" s="19"/>
      <c r="V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60"/>
      <c r="U43" s="13"/>
      <c r="V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58"/>
      <c r="U44" s="19"/>
      <c r="V44" s="13"/>
    </row>
    <row r="45" ht="12.75" customHeight="1">
      <c r="A45" s="30"/>
      <c r="B45" s="47" t="s">
        <v>17</v>
      </c>
      <c r="C45" s="48" t="s">
        <v>37</v>
      </c>
      <c r="D45" s="16"/>
      <c r="E45" s="19">
        <v>16.0</v>
      </c>
      <c r="F45" s="19">
        <v>7.0</v>
      </c>
      <c r="G45" s="19">
        <v>19.0</v>
      </c>
      <c r="H45" s="19">
        <v>23.0</v>
      </c>
      <c r="I45" s="19">
        <v>34.0</v>
      </c>
      <c r="J45" s="19">
        <v>28.0</v>
      </c>
      <c r="K45" s="19">
        <v>43.0</v>
      </c>
      <c r="L45" s="19">
        <v>30.0</v>
      </c>
      <c r="M45" s="19">
        <v>29.0</v>
      </c>
      <c r="N45" s="19">
        <v>43.0</v>
      </c>
      <c r="O45" s="19">
        <v>31.0</v>
      </c>
      <c r="P45" s="19">
        <v>30.0</v>
      </c>
      <c r="Q45" s="19">
        <v>35.0</v>
      </c>
      <c r="R45" s="19">
        <v>37.0</v>
      </c>
      <c r="S45" s="19">
        <v>34.0</v>
      </c>
      <c r="T45" s="19">
        <v>35.0</v>
      </c>
      <c r="U45" s="19">
        <v>19.0</v>
      </c>
      <c r="V45" s="13">
        <f t="shared" ref="V45:V57" si="14">SUM(E45:U45)</f>
        <v>493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33.0</v>
      </c>
      <c r="F46" s="19">
        <v>32.0</v>
      </c>
      <c r="G46" s="19">
        <v>29.0</v>
      </c>
      <c r="H46" s="19">
        <v>32.0</v>
      </c>
      <c r="I46" s="19">
        <v>23.0</v>
      </c>
      <c r="J46" s="19">
        <v>41.0</v>
      </c>
      <c r="K46" s="19">
        <v>34.0</v>
      </c>
      <c r="L46" s="19">
        <v>33.0</v>
      </c>
      <c r="M46" s="19">
        <v>31.0</v>
      </c>
      <c r="N46" s="19">
        <v>30.0</v>
      </c>
      <c r="O46" s="19">
        <v>36.0</v>
      </c>
      <c r="P46" s="19">
        <v>38.0</v>
      </c>
      <c r="Q46" s="19">
        <v>45.0</v>
      </c>
      <c r="R46" s="19">
        <v>45.0</v>
      </c>
      <c r="S46" s="19">
        <v>55.0</v>
      </c>
      <c r="T46" s="19">
        <v>33.0</v>
      </c>
      <c r="U46" s="19">
        <v>27.0</v>
      </c>
      <c r="V46" s="13">
        <f t="shared" si="14"/>
        <v>597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14.0</v>
      </c>
      <c r="F47" s="19">
        <v>10.0</v>
      </c>
      <c r="G47" s="19">
        <v>3.0</v>
      </c>
      <c r="H47" s="19">
        <v>15.0</v>
      </c>
      <c r="I47" s="19">
        <v>21.0</v>
      </c>
      <c r="J47" s="19">
        <v>8.0</v>
      </c>
      <c r="K47" s="19">
        <v>13.0</v>
      </c>
      <c r="L47" s="19">
        <v>12.0</v>
      </c>
      <c r="M47" s="19">
        <v>18.0</v>
      </c>
      <c r="N47" s="19">
        <v>10.0</v>
      </c>
      <c r="O47" s="19">
        <v>13.0</v>
      </c>
      <c r="P47" s="19">
        <v>7.0</v>
      </c>
      <c r="Q47" s="19">
        <v>15.0</v>
      </c>
      <c r="R47" s="19">
        <v>12.0</v>
      </c>
      <c r="S47" s="19">
        <v>10.0</v>
      </c>
      <c r="T47" s="19">
        <v>12.0</v>
      </c>
      <c r="U47" s="19">
        <v>12.0</v>
      </c>
      <c r="V47" s="13">
        <f t="shared" si="14"/>
        <v>205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20.0</v>
      </c>
      <c r="F48" s="19">
        <v>17.0</v>
      </c>
      <c r="G48" s="19">
        <v>23.0</v>
      </c>
      <c r="H48" s="19">
        <v>14.0</v>
      </c>
      <c r="I48" s="19">
        <v>20.0</v>
      </c>
      <c r="J48" s="19">
        <v>30.0</v>
      </c>
      <c r="K48" s="19">
        <v>26.0</v>
      </c>
      <c r="L48" s="19">
        <v>29.0</v>
      </c>
      <c r="M48" s="19">
        <v>23.0</v>
      </c>
      <c r="N48" s="19">
        <v>14.0</v>
      </c>
      <c r="O48" s="19">
        <v>18.0</v>
      </c>
      <c r="P48" s="19">
        <v>34.0</v>
      </c>
      <c r="Q48" s="19">
        <v>21.0</v>
      </c>
      <c r="R48" s="19">
        <v>20.0</v>
      </c>
      <c r="S48" s="19">
        <v>11.0</v>
      </c>
      <c r="T48" s="19">
        <v>18.0</v>
      </c>
      <c r="U48" s="19">
        <v>14.0</v>
      </c>
      <c r="V48" s="13">
        <f t="shared" si="14"/>
        <v>352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25.0</v>
      </c>
      <c r="F49" s="19">
        <v>25.0</v>
      </c>
      <c r="G49" s="19">
        <v>12.0</v>
      </c>
      <c r="H49" s="19">
        <v>10.0</v>
      </c>
      <c r="I49" s="19">
        <v>13.0</v>
      </c>
      <c r="J49" s="19">
        <v>16.0</v>
      </c>
      <c r="K49" s="19">
        <v>10.0</v>
      </c>
      <c r="L49" s="19">
        <v>39.0</v>
      </c>
      <c r="M49" s="19">
        <v>14.0</v>
      </c>
      <c r="N49" s="19">
        <v>17.0</v>
      </c>
      <c r="O49" s="19">
        <v>11.0</v>
      </c>
      <c r="P49" s="19">
        <v>17.0</v>
      </c>
      <c r="Q49" s="19">
        <v>12.0</v>
      </c>
      <c r="R49" s="19">
        <v>6.0</v>
      </c>
      <c r="S49" s="19">
        <v>8.0</v>
      </c>
      <c r="T49" s="19">
        <v>9.0</v>
      </c>
      <c r="U49" s="19">
        <v>20.0</v>
      </c>
      <c r="V49" s="13">
        <f t="shared" si="14"/>
        <v>264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14.0</v>
      </c>
      <c r="F50" s="19">
        <v>16.0</v>
      </c>
      <c r="G50" s="19">
        <v>11.0</v>
      </c>
      <c r="H50" s="19">
        <v>15.0</v>
      </c>
      <c r="I50" s="19">
        <v>16.0</v>
      </c>
      <c r="J50" s="19">
        <v>8.0</v>
      </c>
      <c r="K50" s="19">
        <v>13.0</v>
      </c>
      <c r="L50" s="19">
        <v>17.0</v>
      </c>
      <c r="M50" s="19">
        <v>21.0</v>
      </c>
      <c r="N50" s="19">
        <v>10.0</v>
      </c>
      <c r="O50" s="19">
        <v>21.0</v>
      </c>
      <c r="P50" s="19">
        <v>14.0</v>
      </c>
      <c r="Q50" s="19">
        <v>16.0</v>
      </c>
      <c r="R50" s="19">
        <v>12.0</v>
      </c>
      <c r="S50" s="19">
        <v>7.0</v>
      </c>
      <c r="T50" s="19">
        <v>7.0</v>
      </c>
      <c r="U50" s="19">
        <v>8.0</v>
      </c>
      <c r="V50" s="13">
        <f t="shared" si="14"/>
        <v>226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1.0</v>
      </c>
      <c r="F51" s="19">
        <v>1.0</v>
      </c>
      <c r="G51" s="19">
        <v>1.0</v>
      </c>
      <c r="H51" s="19">
        <v>5.0</v>
      </c>
      <c r="I51" s="19">
        <v>1.0</v>
      </c>
      <c r="J51" s="19">
        <v>3.0</v>
      </c>
      <c r="K51" s="19">
        <v>1.0</v>
      </c>
      <c r="L51" s="19">
        <v>8.0</v>
      </c>
      <c r="M51" s="19">
        <v>3.0</v>
      </c>
      <c r="N51" s="19">
        <v>0.0</v>
      </c>
      <c r="O51" s="19">
        <v>0.0</v>
      </c>
      <c r="P51" s="19">
        <v>1.0</v>
      </c>
      <c r="Q51" s="19">
        <v>4.0</v>
      </c>
      <c r="R51" s="19">
        <v>2.0</v>
      </c>
      <c r="S51" s="19">
        <v>2.0</v>
      </c>
      <c r="T51" s="19">
        <v>2.0</v>
      </c>
      <c r="U51" s="19">
        <v>2.0</v>
      </c>
      <c r="V51" s="13">
        <f t="shared" si="14"/>
        <v>37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5.0</v>
      </c>
      <c r="F52" s="19">
        <v>3.0</v>
      </c>
      <c r="G52" s="19">
        <v>1.0</v>
      </c>
      <c r="H52" s="19">
        <v>4.0</v>
      </c>
      <c r="I52" s="19">
        <v>2.0</v>
      </c>
      <c r="J52" s="19">
        <v>5.0</v>
      </c>
      <c r="K52" s="19">
        <v>4.0</v>
      </c>
      <c r="L52" s="19">
        <v>1.0</v>
      </c>
      <c r="M52" s="19">
        <v>2.0</v>
      </c>
      <c r="N52" s="19">
        <v>4.0</v>
      </c>
      <c r="O52" s="19">
        <v>0.0</v>
      </c>
      <c r="P52" s="19">
        <v>2.0</v>
      </c>
      <c r="Q52" s="19">
        <v>0.0</v>
      </c>
      <c r="R52" s="19">
        <v>1.0</v>
      </c>
      <c r="S52" s="19">
        <v>3.0</v>
      </c>
      <c r="T52" s="19">
        <v>0.0</v>
      </c>
      <c r="U52" s="19">
        <v>0.0</v>
      </c>
      <c r="V52" s="13">
        <f t="shared" si="14"/>
        <v>37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0.0</v>
      </c>
      <c r="F53" s="19">
        <v>2.0</v>
      </c>
      <c r="G53" s="19">
        <v>0.0</v>
      </c>
      <c r="H53" s="19">
        <v>0.0</v>
      </c>
      <c r="I53" s="19">
        <v>2.0</v>
      </c>
      <c r="J53" s="19">
        <v>0.0</v>
      </c>
      <c r="K53" s="19">
        <v>0.0</v>
      </c>
      <c r="L53" s="19">
        <v>1.0</v>
      </c>
      <c r="M53" s="19">
        <v>0.0</v>
      </c>
      <c r="N53" s="19">
        <v>1.0</v>
      </c>
      <c r="O53" s="19">
        <v>0.0</v>
      </c>
      <c r="P53" s="19">
        <v>0.0</v>
      </c>
      <c r="Q53" s="19">
        <v>1.0</v>
      </c>
      <c r="R53" s="19">
        <v>1.0</v>
      </c>
      <c r="S53" s="19">
        <v>1.0</v>
      </c>
      <c r="T53" s="19">
        <v>0.0</v>
      </c>
      <c r="U53" s="19">
        <v>1.0</v>
      </c>
      <c r="V53" s="13">
        <f t="shared" si="14"/>
        <v>10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26.0</v>
      </c>
      <c r="F54" s="19">
        <v>15.0</v>
      </c>
      <c r="G54" s="19">
        <v>8.0</v>
      </c>
      <c r="H54" s="19">
        <v>12.0</v>
      </c>
      <c r="I54" s="19">
        <v>24.0</v>
      </c>
      <c r="J54" s="19">
        <v>15.0</v>
      </c>
      <c r="K54" s="19">
        <v>23.0</v>
      </c>
      <c r="L54" s="19">
        <v>8.0</v>
      </c>
      <c r="M54" s="19">
        <v>14.0</v>
      </c>
      <c r="N54" s="19">
        <v>11.0</v>
      </c>
      <c r="O54" s="19">
        <v>11.0</v>
      </c>
      <c r="P54" s="19">
        <v>10.0</v>
      </c>
      <c r="Q54" s="19">
        <v>19.0</v>
      </c>
      <c r="R54" s="19">
        <v>12.0</v>
      </c>
      <c r="S54" s="19">
        <v>12.0</v>
      </c>
      <c r="T54" s="19">
        <v>10.0</v>
      </c>
      <c r="U54" s="19">
        <v>15.0</v>
      </c>
      <c r="V54" s="13">
        <f t="shared" si="14"/>
        <v>245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0.0</v>
      </c>
      <c r="F55" s="19">
        <v>1.0</v>
      </c>
      <c r="G55" s="19">
        <v>0.0</v>
      </c>
      <c r="H55" s="19">
        <v>1.0</v>
      </c>
      <c r="I55" s="19">
        <v>2.0</v>
      </c>
      <c r="J55" s="19">
        <v>1.0</v>
      </c>
      <c r="K55" s="19">
        <v>0.0</v>
      </c>
      <c r="L55" s="19">
        <v>1.0</v>
      </c>
      <c r="M55" s="19">
        <v>1.0</v>
      </c>
      <c r="N55" s="19">
        <v>0.0</v>
      </c>
      <c r="O55" s="19">
        <v>0.0</v>
      </c>
      <c r="P55" s="19">
        <v>0.0</v>
      </c>
      <c r="Q55" s="19">
        <v>0.0</v>
      </c>
      <c r="R55" s="19">
        <v>0.0</v>
      </c>
      <c r="S55" s="19">
        <v>1.0</v>
      </c>
      <c r="T55" s="19">
        <v>0.0</v>
      </c>
      <c r="U55" s="19">
        <v>0.0</v>
      </c>
      <c r="V55" s="13">
        <f t="shared" si="14"/>
        <v>8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18.0</v>
      </c>
      <c r="F56" s="19">
        <v>25.0</v>
      </c>
      <c r="G56" s="19">
        <v>19.0</v>
      </c>
      <c r="H56" s="19">
        <v>26.0</v>
      </c>
      <c r="I56" s="19">
        <v>20.0</v>
      </c>
      <c r="J56" s="19">
        <v>21.0</v>
      </c>
      <c r="K56" s="19">
        <v>24.0</v>
      </c>
      <c r="L56" s="19">
        <v>32.0</v>
      </c>
      <c r="M56" s="19">
        <v>18.0</v>
      </c>
      <c r="N56" s="19">
        <v>15.0</v>
      </c>
      <c r="O56" s="19">
        <v>22.0</v>
      </c>
      <c r="P56" s="19">
        <v>17.0</v>
      </c>
      <c r="Q56" s="19">
        <v>37.0</v>
      </c>
      <c r="R56" s="19">
        <v>17.0</v>
      </c>
      <c r="S56" s="19">
        <v>9.0</v>
      </c>
      <c r="T56" s="19">
        <v>18.0</v>
      </c>
      <c r="U56" s="19">
        <v>21.0</v>
      </c>
      <c r="V56" s="13">
        <f t="shared" si="14"/>
        <v>359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2.0</v>
      </c>
      <c r="F57" s="19">
        <v>0.0</v>
      </c>
      <c r="G57" s="19">
        <v>1.0</v>
      </c>
      <c r="H57" s="19">
        <v>0.0</v>
      </c>
      <c r="I57" s="19">
        <v>1.0</v>
      </c>
      <c r="J57" s="19">
        <v>0.0</v>
      </c>
      <c r="K57" s="19">
        <v>2.0</v>
      </c>
      <c r="L57" s="19">
        <v>1.0</v>
      </c>
      <c r="M57" s="19">
        <v>2.0</v>
      </c>
      <c r="N57" s="19">
        <v>1.0</v>
      </c>
      <c r="O57" s="19">
        <v>1.0</v>
      </c>
      <c r="P57" s="19">
        <v>0.0</v>
      </c>
      <c r="Q57" s="19">
        <v>3.0</v>
      </c>
      <c r="R57" s="19">
        <v>3.0</v>
      </c>
      <c r="S57" s="19">
        <v>1.0</v>
      </c>
      <c r="T57" s="19">
        <v>0.0</v>
      </c>
      <c r="U57" s="19">
        <v>0.0</v>
      </c>
      <c r="V57" s="13">
        <f t="shared" si="14"/>
        <v>18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60"/>
      <c r="T59" s="60"/>
      <c r="U59" s="60"/>
      <c r="V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U60" si="15">SUM(E45:E57)</f>
        <v>174</v>
      </c>
      <c r="F60" s="19">
        <f t="shared" si="15"/>
        <v>154</v>
      </c>
      <c r="G60" s="19">
        <f t="shared" si="15"/>
        <v>127</v>
      </c>
      <c r="H60" s="19">
        <f t="shared" si="15"/>
        <v>157</v>
      </c>
      <c r="I60" s="19">
        <f t="shared" si="15"/>
        <v>179</v>
      </c>
      <c r="J60" s="19">
        <f t="shared" si="15"/>
        <v>176</v>
      </c>
      <c r="K60" s="19">
        <f t="shared" si="15"/>
        <v>193</v>
      </c>
      <c r="L60" s="19">
        <f t="shared" si="15"/>
        <v>212</v>
      </c>
      <c r="M60" s="19">
        <f t="shared" si="15"/>
        <v>176</v>
      </c>
      <c r="N60" s="19">
        <f t="shared" si="15"/>
        <v>156</v>
      </c>
      <c r="O60" s="19">
        <f t="shared" si="15"/>
        <v>164</v>
      </c>
      <c r="P60" s="19">
        <f t="shared" si="15"/>
        <v>170</v>
      </c>
      <c r="Q60" s="19">
        <f t="shared" si="15"/>
        <v>208</v>
      </c>
      <c r="R60" s="19">
        <f t="shared" si="15"/>
        <v>168</v>
      </c>
      <c r="S60" s="19">
        <f t="shared" si="15"/>
        <v>154</v>
      </c>
      <c r="T60" s="19">
        <f t="shared" si="15"/>
        <v>144</v>
      </c>
      <c r="U60" s="19">
        <f t="shared" si="15"/>
        <v>139</v>
      </c>
      <c r="V60" s="13">
        <f t="shared" ref="V60:V62" si="16">SUM(E60:U60)</f>
        <v>2851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59.0</v>
      </c>
      <c r="F61" s="19">
        <v>69.0</v>
      </c>
      <c r="G61" s="19">
        <v>32.0</v>
      </c>
      <c r="H61" s="19">
        <v>44.0</v>
      </c>
      <c r="I61" s="19">
        <v>18.0</v>
      </c>
      <c r="J61" s="19">
        <v>47.0</v>
      </c>
      <c r="K61" s="19">
        <v>28.0</v>
      </c>
      <c r="L61" s="19">
        <v>20.0</v>
      </c>
      <c r="M61" s="19">
        <v>46.0</v>
      </c>
      <c r="N61" s="19">
        <v>39.0</v>
      </c>
      <c r="O61" s="19">
        <v>25.0</v>
      </c>
      <c r="P61" s="19">
        <v>30.0</v>
      </c>
      <c r="Q61" s="19">
        <v>24.0</v>
      </c>
      <c r="R61" s="19">
        <v>36.0</v>
      </c>
      <c r="S61" s="19">
        <v>16.0</v>
      </c>
      <c r="T61" s="19">
        <v>23.0</v>
      </c>
      <c r="U61" s="19">
        <v>27.0</v>
      </c>
      <c r="V61" s="13">
        <f t="shared" si="16"/>
        <v>583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U62" si="17">SUM(E60:E61)</f>
        <v>233</v>
      </c>
      <c r="F62" s="13">
        <f t="shared" si="17"/>
        <v>223</v>
      </c>
      <c r="G62" s="13">
        <f t="shared" si="17"/>
        <v>159</v>
      </c>
      <c r="H62" s="13">
        <f t="shared" si="17"/>
        <v>201</v>
      </c>
      <c r="I62" s="13">
        <f t="shared" si="17"/>
        <v>197</v>
      </c>
      <c r="J62" s="13">
        <f t="shared" si="17"/>
        <v>223</v>
      </c>
      <c r="K62" s="13">
        <f t="shared" si="17"/>
        <v>221</v>
      </c>
      <c r="L62" s="13">
        <f t="shared" si="17"/>
        <v>232</v>
      </c>
      <c r="M62" s="13">
        <f t="shared" si="17"/>
        <v>222</v>
      </c>
      <c r="N62" s="13">
        <f t="shared" si="17"/>
        <v>195</v>
      </c>
      <c r="O62" s="13">
        <f t="shared" si="17"/>
        <v>189</v>
      </c>
      <c r="P62" s="13">
        <f t="shared" si="17"/>
        <v>200</v>
      </c>
      <c r="Q62" s="13">
        <f t="shared" si="17"/>
        <v>232</v>
      </c>
      <c r="R62" s="13">
        <f t="shared" si="17"/>
        <v>204</v>
      </c>
      <c r="S62" s="13">
        <f t="shared" si="17"/>
        <v>170</v>
      </c>
      <c r="T62" s="13">
        <f t="shared" si="17"/>
        <v>167</v>
      </c>
      <c r="U62" s="13">
        <f t="shared" si="17"/>
        <v>166</v>
      </c>
      <c r="V62" s="13">
        <f t="shared" si="16"/>
        <v>3434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U12"/>
    <mergeCell ref="V12:V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U15 E45:U57">
    <cfRule type="containsBlanks" dxfId="1" priority="1">
      <formula>LEN(TRIM(E14))=0</formula>
    </cfRule>
  </conditionalFormatting>
  <conditionalFormatting sqref="E19:U20">
    <cfRule type="containsBlanks" dxfId="1" priority="2">
      <formula>LEN(TRIM(E19))=0</formula>
    </cfRule>
  </conditionalFormatting>
  <conditionalFormatting sqref="E22:U23 E25:U26 E33:U33 E35:U35 E39:U40">
    <cfRule type="containsBlanks" dxfId="1" priority="3">
      <formula>LEN(TRIM(E22))=0</formula>
    </cfRule>
  </conditionalFormatting>
  <conditionalFormatting sqref="E30:U30">
    <cfRule type="expression" dxfId="0" priority="4">
      <formula>E30&lt;&gt;E46</formula>
    </cfRule>
  </conditionalFormatting>
  <conditionalFormatting sqref="E30:U30">
    <cfRule type="expression" dxfId="0" priority="5">
      <formula>E30&lt;&gt;E34</formula>
    </cfRule>
  </conditionalFormatting>
  <conditionalFormatting sqref="E34:U34">
    <cfRule type="expression" dxfId="2" priority="6">
      <formula>E30&lt;&gt;E34</formula>
    </cfRule>
  </conditionalFormatting>
  <conditionalFormatting sqref="E34:U34">
    <cfRule type="expression" dxfId="3" priority="7">
      <formula>E30=E34</formula>
    </cfRule>
  </conditionalFormatting>
  <conditionalFormatting sqref="E34:U34">
    <cfRule type="expression" dxfId="0" priority="8">
      <formula>E34&lt;&gt;E30</formula>
    </cfRule>
  </conditionalFormatting>
  <conditionalFormatting sqref="E34:U34">
    <cfRule type="expression" dxfId="0" priority="9">
      <formula>E34&lt;&gt;E55</formula>
    </cfRule>
  </conditionalFormatting>
  <conditionalFormatting sqref="E60:U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4" width="8.71"/>
    <col customWidth="1" min="15" max="15" width="13.29"/>
    <col customWidth="1" min="16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87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36"/>
    </row>
    <row r="14" ht="12.75" customHeight="1">
      <c r="A14" s="18"/>
      <c r="B14" s="22" t="s">
        <v>11</v>
      </c>
      <c r="C14" s="23"/>
      <c r="D14" s="19" t="s">
        <v>12</v>
      </c>
      <c r="E14" s="19">
        <v>151.0</v>
      </c>
      <c r="F14" s="19">
        <v>137.0</v>
      </c>
      <c r="G14" s="19">
        <v>145.0</v>
      </c>
      <c r="H14" s="19">
        <v>145.0</v>
      </c>
      <c r="I14" s="19">
        <v>147.0</v>
      </c>
      <c r="J14" s="19">
        <v>141.0</v>
      </c>
      <c r="K14" s="19">
        <v>124.0</v>
      </c>
      <c r="L14" s="19">
        <v>133.0</v>
      </c>
      <c r="M14" s="19">
        <v>123.0</v>
      </c>
      <c r="N14" s="19">
        <v>90.0</v>
      </c>
      <c r="O14" s="13">
        <f t="shared" ref="O14:O16" si="1">SUM(E14:N14)</f>
        <v>1336</v>
      </c>
    </row>
    <row r="15" ht="12.75" customHeight="1">
      <c r="A15" s="18"/>
      <c r="B15" s="26"/>
      <c r="C15" s="27"/>
      <c r="D15" s="19" t="s">
        <v>13</v>
      </c>
      <c r="E15" s="19">
        <v>144.0</v>
      </c>
      <c r="F15" s="19">
        <v>156.0</v>
      </c>
      <c r="G15" s="19">
        <v>151.0</v>
      </c>
      <c r="H15" s="19">
        <v>150.0</v>
      </c>
      <c r="I15" s="19">
        <v>145.0</v>
      </c>
      <c r="J15" s="19">
        <v>145.0</v>
      </c>
      <c r="K15" s="19">
        <v>136.0</v>
      </c>
      <c r="L15" s="19">
        <v>127.0</v>
      </c>
      <c r="M15" s="19">
        <v>125.0</v>
      </c>
      <c r="N15" s="19">
        <v>96.0</v>
      </c>
      <c r="O15" s="13">
        <f t="shared" si="1"/>
        <v>1375</v>
      </c>
    </row>
    <row r="16" ht="12.75" customHeight="1">
      <c r="A16" s="25"/>
      <c r="B16" s="21"/>
      <c r="C16" s="28"/>
      <c r="D16" s="13" t="s">
        <v>14</v>
      </c>
      <c r="E16" s="13">
        <f t="shared" ref="E16:N16" si="2">SUM(E14:E15)</f>
        <v>295</v>
      </c>
      <c r="F16" s="13">
        <f t="shared" si="2"/>
        <v>293</v>
      </c>
      <c r="G16" s="13">
        <f t="shared" si="2"/>
        <v>296</v>
      </c>
      <c r="H16" s="13">
        <f t="shared" si="2"/>
        <v>295</v>
      </c>
      <c r="I16" s="13">
        <f t="shared" si="2"/>
        <v>292</v>
      </c>
      <c r="J16" s="13">
        <f t="shared" si="2"/>
        <v>286</v>
      </c>
      <c r="K16" s="13">
        <f t="shared" si="2"/>
        <v>260</v>
      </c>
      <c r="L16" s="13">
        <f t="shared" si="2"/>
        <v>260</v>
      </c>
      <c r="M16" s="13">
        <f t="shared" si="2"/>
        <v>248</v>
      </c>
      <c r="N16" s="13">
        <f t="shared" si="2"/>
        <v>186</v>
      </c>
      <c r="O16" s="13">
        <f t="shared" si="1"/>
        <v>2711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122.0</v>
      </c>
      <c r="F19" s="19">
        <v>119.0</v>
      </c>
      <c r="G19" s="19">
        <v>129.0</v>
      </c>
      <c r="H19" s="19">
        <v>118.0</v>
      </c>
      <c r="I19" s="19">
        <v>122.0</v>
      </c>
      <c r="J19" s="19">
        <v>114.0</v>
      </c>
      <c r="K19" s="19">
        <v>103.0</v>
      </c>
      <c r="L19" s="19">
        <v>114.0</v>
      </c>
      <c r="M19" s="19">
        <v>101.0</v>
      </c>
      <c r="N19" s="19">
        <v>76.0</v>
      </c>
      <c r="O19" s="13">
        <f t="shared" ref="O19:O30" si="3">SUM(E19:N19)</f>
        <v>1118</v>
      </c>
    </row>
    <row r="20" ht="12.75" customHeight="1">
      <c r="A20" s="33"/>
      <c r="B20" s="27"/>
      <c r="C20" s="34"/>
      <c r="D20" s="19" t="s">
        <v>13</v>
      </c>
      <c r="E20" s="19">
        <v>126.0</v>
      </c>
      <c r="F20" s="19">
        <v>131.0</v>
      </c>
      <c r="G20" s="19">
        <v>138.0</v>
      </c>
      <c r="H20" s="19">
        <v>134.0</v>
      </c>
      <c r="I20" s="19">
        <v>117.0</v>
      </c>
      <c r="J20" s="19">
        <v>128.0</v>
      </c>
      <c r="K20" s="19">
        <v>118.0</v>
      </c>
      <c r="L20" s="19">
        <v>115.0</v>
      </c>
      <c r="M20" s="19">
        <v>110.0</v>
      </c>
      <c r="N20" s="19">
        <v>86.0</v>
      </c>
      <c r="O20" s="13">
        <f t="shared" si="3"/>
        <v>1203</v>
      </c>
    </row>
    <row r="21" ht="12.75" customHeight="1">
      <c r="A21" s="35"/>
      <c r="B21" s="28"/>
      <c r="C21" s="36"/>
      <c r="D21" s="13" t="s">
        <v>14</v>
      </c>
      <c r="E21" s="13">
        <f t="shared" ref="E21:N21" si="4">SUM(E19:E20)</f>
        <v>248</v>
      </c>
      <c r="F21" s="13">
        <f t="shared" si="4"/>
        <v>250</v>
      </c>
      <c r="G21" s="13">
        <f t="shared" si="4"/>
        <v>267</v>
      </c>
      <c r="H21" s="13">
        <f t="shared" si="4"/>
        <v>252</v>
      </c>
      <c r="I21" s="13">
        <f t="shared" si="4"/>
        <v>239</v>
      </c>
      <c r="J21" s="13">
        <f t="shared" si="4"/>
        <v>242</v>
      </c>
      <c r="K21" s="13">
        <f t="shared" si="4"/>
        <v>221</v>
      </c>
      <c r="L21" s="13">
        <f t="shared" si="4"/>
        <v>229</v>
      </c>
      <c r="M21" s="13">
        <f t="shared" si="4"/>
        <v>211</v>
      </c>
      <c r="N21" s="13">
        <f t="shared" si="4"/>
        <v>162</v>
      </c>
      <c r="O21" s="13">
        <f t="shared" si="3"/>
        <v>2321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1.0</v>
      </c>
      <c r="M22" s="19">
        <v>0.0</v>
      </c>
      <c r="N22" s="19">
        <v>0.0</v>
      </c>
      <c r="O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1.0</v>
      </c>
      <c r="M23" s="19">
        <v>0.0</v>
      </c>
      <c r="N23" s="19">
        <v>0.0</v>
      </c>
      <c r="O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N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2</v>
      </c>
      <c r="M24" s="13">
        <f t="shared" si="5"/>
        <v>0</v>
      </c>
      <c r="N24" s="13">
        <f t="shared" si="5"/>
        <v>0</v>
      </c>
      <c r="O24" s="13">
        <f t="shared" si="3"/>
        <v>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1.0</v>
      </c>
      <c r="H25" s="19">
        <v>0.0</v>
      </c>
      <c r="I25" s="19">
        <v>0.0</v>
      </c>
      <c r="J25" s="19">
        <v>0.0</v>
      </c>
      <c r="K25" s="19">
        <v>0.0</v>
      </c>
      <c r="L25" s="19">
        <v>1.0</v>
      </c>
      <c r="M25" s="19">
        <v>0.0</v>
      </c>
      <c r="N25" s="19">
        <v>0.0</v>
      </c>
      <c r="O25" s="13">
        <f t="shared" si="3"/>
        <v>2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2.0</v>
      </c>
      <c r="G26" s="19">
        <v>0.0</v>
      </c>
      <c r="H26" s="19">
        <v>0.0</v>
      </c>
      <c r="I26" s="19">
        <v>0.0</v>
      </c>
      <c r="J26" s="19">
        <v>1.0</v>
      </c>
      <c r="K26" s="19">
        <v>0.0</v>
      </c>
      <c r="L26" s="19">
        <v>2.0</v>
      </c>
      <c r="M26" s="19">
        <v>1.0</v>
      </c>
      <c r="N26" s="19">
        <v>0.0</v>
      </c>
      <c r="O26" s="13">
        <f t="shared" si="3"/>
        <v>6</v>
      </c>
    </row>
    <row r="27" ht="12.75" customHeight="1">
      <c r="A27" s="35"/>
      <c r="B27" s="28"/>
      <c r="C27" s="36"/>
      <c r="D27" s="13" t="s">
        <v>14</v>
      </c>
      <c r="E27" s="13">
        <f t="shared" ref="E27:N27" si="6">SUM(E25:E26)</f>
        <v>0</v>
      </c>
      <c r="F27" s="13">
        <f t="shared" si="6"/>
        <v>2</v>
      </c>
      <c r="G27" s="13">
        <f t="shared" si="6"/>
        <v>1</v>
      </c>
      <c r="H27" s="13">
        <f t="shared" si="6"/>
        <v>0</v>
      </c>
      <c r="I27" s="13">
        <f t="shared" si="6"/>
        <v>0</v>
      </c>
      <c r="J27" s="13">
        <f t="shared" si="6"/>
        <v>1</v>
      </c>
      <c r="K27" s="13">
        <f t="shared" si="6"/>
        <v>0</v>
      </c>
      <c r="L27" s="13">
        <f t="shared" si="6"/>
        <v>3</v>
      </c>
      <c r="M27" s="13">
        <f t="shared" si="6"/>
        <v>1</v>
      </c>
      <c r="N27" s="13">
        <f t="shared" si="6"/>
        <v>0</v>
      </c>
      <c r="O27" s="13">
        <f t="shared" si="3"/>
        <v>8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N28" si="7">SUM(E19,E22,E25)</f>
        <v>122</v>
      </c>
      <c r="F28" s="13">
        <f t="shared" si="7"/>
        <v>119</v>
      </c>
      <c r="G28" s="13">
        <f t="shared" si="7"/>
        <v>130</v>
      </c>
      <c r="H28" s="13">
        <f t="shared" si="7"/>
        <v>118</v>
      </c>
      <c r="I28" s="13">
        <f t="shared" si="7"/>
        <v>122</v>
      </c>
      <c r="J28" s="13">
        <f t="shared" si="7"/>
        <v>114</v>
      </c>
      <c r="K28" s="13">
        <f t="shared" si="7"/>
        <v>103</v>
      </c>
      <c r="L28" s="13">
        <f t="shared" si="7"/>
        <v>116</v>
      </c>
      <c r="M28" s="13">
        <f t="shared" si="7"/>
        <v>101</v>
      </c>
      <c r="N28" s="13">
        <f t="shared" si="7"/>
        <v>76</v>
      </c>
      <c r="O28" s="13">
        <f t="shared" si="3"/>
        <v>1121</v>
      </c>
    </row>
    <row r="29" ht="12.75" customHeight="1">
      <c r="A29" s="35"/>
      <c r="B29" s="27"/>
      <c r="C29" s="34"/>
      <c r="D29" s="13" t="s">
        <v>13</v>
      </c>
      <c r="E29" s="13">
        <f t="shared" ref="E29:N29" si="8">SUM(E20,E23,E26)</f>
        <v>126</v>
      </c>
      <c r="F29" s="13">
        <f t="shared" si="8"/>
        <v>133</v>
      </c>
      <c r="G29" s="13">
        <f t="shared" si="8"/>
        <v>138</v>
      </c>
      <c r="H29" s="13">
        <f t="shared" si="8"/>
        <v>134</v>
      </c>
      <c r="I29" s="13">
        <f t="shared" si="8"/>
        <v>117</v>
      </c>
      <c r="J29" s="13">
        <f t="shared" si="8"/>
        <v>129</v>
      </c>
      <c r="K29" s="13">
        <f t="shared" si="8"/>
        <v>118</v>
      </c>
      <c r="L29" s="13">
        <f t="shared" si="8"/>
        <v>118</v>
      </c>
      <c r="M29" s="13">
        <f t="shared" si="8"/>
        <v>111</v>
      </c>
      <c r="N29" s="13">
        <f t="shared" si="8"/>
        <v>86</v>
      </c>
      <c r="O29" s="13">
        <f t="shared" si="3"/>
        <v>1210</v>
      </c>
    </row>
    <row r="30" ht="12.75" customHeight="1">
      <c r="A30" s="35"/>
      <c r="B30" s="28"/>
      <c r="C30" s="36"/>
      <c r="D30" s="13" t="s">
        <v>14</v>
      </c>
      <c r="E30" s="13">
        <f t="shared" ref="E30:N30" si="9">SUM(E28:E29)</f>
        <v>248</v>
      </c>
      <c r="F30" s="13">
        <f t="shared" si="9"/>
        <v>252</v>
      </c>
      <c r="G30" s="13">
        <f t="shared" si="9"/>
        <v>268</v>
      </c>
      <c r="H30" s="13">
        <f t="shared" si="9"/>
        <v>252</v>
      </c>
      <c r="I30" s="13">
        <f t="shared" si="9"/>
        <v>239</v>
      </c>
      <c r="J30" s="13">
        <f t="shared" si="9"/>
        <v>243</v>
      </c>
      <c r="K30" s="13">
        <f t="shared" si="9"/>
        <v>221</v>
      </c>
      <c r="L30" s="13">
        <f t="shared" si="9"/>
        <v>234</v>
      </c>
      <c r="M30" s="13">
        <f t="shared" si="9"/>
        <v>212</v>
      </c>
      <c r="N30" s="13">
        <f t="shared" si="9"/>
        <v>162</v>
      </c>
      <c r="O30" s="13">
        <f t="shared" si="3"/>
        <v>2331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59"/>
    </row>
    <row r="33" ht="12.75" customHeight="1">
      <c r="A33" s="19">
        <v>1.0</v>
      </c>
      <c r="B33" s="20" t="s">
        <v>27</v>
      </c>
      <c r="C33" s="15"/>
      <c r="D33" s="16"/>
      <c r="E33" s="19">
        <v>311.0</v>
      </c>
      <c r="F33" s="19">
        <v>299.0</v>
      </c>
      <c r="G33" s="19">
        <v>292.0</v>
      </c>
      <c r="H33" s="19">
        <v>302.0</v>
      </c>
      <c r="I33" s="19">
        <v>309.0</v>
      </c>
      <c r="J33" s="19">
        <v>295.0</v>
      </c>
      <c r="K33" s="19">
        <v>266.0</v>
      </c>
      <c r="L33" s="19">
        <v>266.0</v>
      </c>
      <c r="M33" s="19">
        <v>253.0</v>
      </c>
      <c r="N33" s="19">
        <v>190.0</v>
      </c>
      <c r="O33" s="13">
        <f t="shared" ref="O33:O36" si="10">SUM(E33:N33)</f>
        <v>2783</v>
      </c>
    </row>
    <row r="34" ht="12.75" customHeight="1">
      <c r="A34" s="19">
        <v>2.0</v>
      </c>
      <c r="B34" s="20" t="s">
        <v>28</v>
      </c>
      <c r="C34" s="15"/>
      <c r="D34" s="16"/>
      <c r="E34" s="13">
        <v>248.0</v>
      </c>
      <c r="F34" s="13">
        <v>252.0</v>
      </c>
      <c r="G34" s="13">
        <v>268.0</v>
      </c>
      <c r="H34" s="13">
        <v>252.0</v>
      </c>
      <c r="I34" s="13">
        <v>239.0</v>
      </c>
      <c r="J34" s="13">
        <v>243.0</v>
      </c>
      <c r="K34" s="13">
        <v>221.0</v>
      </c>
      <c r="L34" s="13">
        <v>234.0</v>
      </c>
      <c r="M34" s="13">
        <v>212.0</v>
      </c>
      <c r="N34" s="13">
        <v>162.0</v>
      </c>
      <c r="O34" s="13">
        <f t="shared" si="10"/>
        <v>2331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/>
      <c r="H35" s="19"/>
      <c r="I35" s="19"/>
      <c r="J35" s="19"/>
      <c r="K35" s="19"/>
      <c r="L35" s="19"/>
      <c r="M35" s="19">
        <v>39.0</v>
      </c>
      <c r="N35" s="19"/>
      <c r="O35" s="13">
        <f t="shared" si="10"/>
        <v>39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N36" si="11">E33-(E34+E35)</f>
        <v>63</v>
      </c>
      <c r="F36" s="13">
        <f t="shared" si="11"/>
        <v>47</v>
      </c>
      <c r="G36" s="13">
        <f t="shared" si="11"/>
        <v>24</v>
      </c>
      <c r="H36" s="13">
        <f t="shared" si="11"/>
        <v>50</v>
      </c>
      <c r="I36" s="13">
        <f t="shared" si="11"/>
        <v>70</v>
      </c>
      <c r="J36" s="13">
        <f t="shared" si="11"/>
        <v>52</v>
      </c>
      <c r="K36" s="13">
        <f t="shared" si="11"/>
        <v>45</v>
      </c>
      <c r="L36" s="13">
        <f t="shared" si="11"/>
        <v>32</v>
      </c>
      <c r="M36" s="13">
        <f t="shared" si="11"/>
        <v>2</v>
      </c>
      <c r="N36" s="13">
        <f t="shared" si="11"/>
        <v>28</v>
      </c>
      <c r="O36" s="13">
        <f t="shared" si="10"/>
        <v>413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19"/>
      <c r="O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59"/>
    </row>
    <row r="39" ht="12.75" customHeight="1">
      <c r="A39" s="30"/>
      <c r="B39" s="43" t="s">
        <v>33</v>
      </c>
      <c r="C39" s="23"/>
      <c r="D39" s="19" t="s">
        <v>12</v>
      </c>
      <c r="E39" s="19">
        <v>2.0</v>
      </c>
      <c r="F39" s="19">
        <v>1.0</v>
      </c>
      <c r="G39" s="19"/>
      <c r="H39" s="19"/>
      <c r="I39" s="19"/>
      <c r="J39" s="19"/>
      <c r="K39" s="19"/>
      <c r="L39" s="19"/>
      <c r="M39" s="19"/>
      <c r="N39" s="19"/>
      <c r="O39" s="13">
        <f t="shared" ref="O39:O41" si="12">SUM(E39:N39)</f>
        <v>3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>
        <v>1.0</v>
      </c>
      <c r="J40" s="19">
        <v>1.0</v>
      </c>
      <c r="K40" s="19"/>
      <c r="L40" s="19"/>
      <c r="M40" s="19"/>
      <c r="N40" s="19"/>
      <c r="O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N41" si="13">SUM(E39:E40)</f>
        <v>2</v>
      </c>
      <c r="F41" s="13">
        <f t="shared" si="13"/>
        <v>1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1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2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19"/>
      <c r="O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3"/>
    </row>
    <row r="45" ht="12.75" customHeight="1">
      <c r="A45" s="30"/>
      <c r="B45" s="47" t="s">
        <v>17</v>
      </c>
      <c r="C45" s="48" t="s">
        <v>37</v>
      </c>
      <c r="D45" s="16"/>
      <c r="E45" s="19">
        <v>12.0</v>
      </c>
      <c r="F45" s="19">
        <v>21.0</v>
      </c>
      <c r="G45" s="19">
        <v>35.0</v>
      </c>
      <c r="H45" s="19">
        <v>38.0</v>
      </c>
      <c r="I45" s="19">
        <v>47.0</v>
      </c>
      <c r="J45" s="19">
        <v>45.0</v>
      </c>
      <c r="K45" s="19">
        <v>30.0</v>
      </c>
      <c r="L45" s="19">
        <v>42.0</v>
      </c>
      <c r="M45" s="19">
        <v>52.0</v>
      </c>
      <c r="N45" s="19">
        <v>29.0</v>
      </c>
      <c r="O45" s="13">
        <f t="shared" ref="O45:O57" si="14">SUM(E45:N45)</f>
        <v>351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46.0</v>
      </c>
      <c r="F46" s="19">
        <v>55.0</v>
      </c>
      <c r="G46" s="19">
        <v>38.0</v>
      </c>
      <c r="H46" s="19">
        <v>38.0</v>
      </c>
      <c r="I46" s="19">
        <v>39.0</v>
      </c>
      <c r="J46" s="19">
        <v>48.0</v>
      </c>
      <c r="K46" s="19">
        <v>36.0</v>
      </c>
      <c r="L46" s="19">
        <v>33.0</v>
      </c>
      <c r="M46" s="19">
        <v>28.0</v>
      </c>
      <c r="N46" s="19">
        <v>18.0</v>
      </c>
      <c r="O46" s="13">
        <f t="shared" si="14"/>
        <v>379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18.0</v>
      </c>
      <c r="F47" s="19">
        <v>13.0</v>
      </c>
      <c r="G47" s="19">
        <v>15.0</v>
      </c>
      <c r="H47" s="19">
        <v>13.0</v>
      </c>
      <c r="I47" s="19">
        <v>10.0</v>
      </c>
      <c r="J47" s="19">
        <v>10.0</v>
      </c>
      <c r="K47" s="19">
        <v>10.0</v>
      </c>
      <c r="L47" s="19">
        <v>14.0</v>
      </c>
      <c r="M47" s="19">
        <v>13.0</v>
      </c>
      <c r="N47" s="19">
        <v>11.0</v>
      </c>
      <c r="O47" s="13">
        <f t="shared" si="14"/>
        <v>127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19.0</v>
      </c>
      <c r="F48" s="19">
        <v>21.0</v>
      </c>
      <c r="G48" s="19">
        <v>18.0</v>
      </c>
      <c r="H48" s="19">
        <v>30.0</v>
      </c>
      <c r="I48" s="19">
        <v>20.0</v>
      </c>
      <c r="J48" s="19">
        <v>20.0</v>
      </c>
      <c r="K48" s="19">
        <v>19.0</v>
      </c>
      <c r="L48" s="19">
        <v>17.0</v>
      </c>
      <c r="M48" s="19">
        <v>22.0</v>
      </c>
      <c r="N48" s="19">
        <v>22.0</v>
      </c>
      <c r="O48" s="13">
        <f t="shared" si="14"/>
        <v>208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13.0</v>
      </c>
      <c r="F49" s="19">
        <v>14.0</v>
      </c>
      <c r="G49" s="19">
        <v>18.0</v>
      </c>
      <c r="H49" s="19">
        <v>10.0</v>
      </c>
      <c r="I49" s="19">
        <v>14.0</v>
      </c>
      <c r="J49" s="19">
        <v>12.0</v>
      </c>
      <c r="K49" s="19">
        <v>14.0</v>
      </c>
      <c r="L49" s="19">
        <v>11.0</v>
      </c>
      <c r="M49" s="19">
        <v>8.0</v>
      </c>
      <c r="N49" s="19">
        <v>13.0</v>
      </c>
      <c r="O49" s="13">
        <f t="shared" si="14"/>
        <v>127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21.0</v>
      </c>
      <c r="F50" s="19">
        <v>14.0</v>
      </c>
      <c r="G50" s="19">
        <v>8.0</v>
      </c>
      <c r="H50" s="19">
        <v>7.0</v>
      </c>
      <c r="I50" s="19">
        <v>11.0</v>
      </c>
      <c r="J50" s="19">
        <v>23.0</v>
      </c>
      <c r="K50" s="19">
        <v>14.0</v>
      </c>
      <c r="L50" s="19">
        <v>15.0</v>
      </c>
      <c r="M50" s="19">
        <v>8.0</v>
      </c>
      <c r="N50" s="19">
        <v>12.0</v>
      </c>
      <c r="O50" s="13">
        <f t="shared" si="14"/>
        <v>133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3.0</v>
      </c>
      <c r="F51" s="19">
        <v>3.0</v>
      </c>
      <c r="G51" s="19">
        <v>1.0</v>
      </c>
      <c r="H51" s="19">
        <v>2.0</v>
      </c>
      <c r="I51" s="19">
        <v>3.0</v>
      </c>
      <c r="J51" s="19">
        <v>0.0</v>
      </c>
      <c r="K51" s="19">
        <v>0.0</v>
      </c>
      <c r="L51" s="19">
        <v>2.0</v>
      </c>
      <c r="M51" s="19">
        <v>2.0</v>
      </c>
      <c r="N51" s="19">
        <v>0.0</v>
      </c>
      <c r="O51" s="13">
        <f t="shared" si="14"/>
        <v>16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1.0</v>
      </c>
      <c r="F52" s="19">
        <v>2.0</v>
      </c>
      <c r="G52" s="19">
        <v>1.0</v>
      </c>
      <c r="H52" s="19">
        <v>1.0</v>
      </c>
      <c r="I52" s="19">
        <v>2.0</v>
      </c>
      <c r="J52" s="19">
        <v>3.0</v>
      </c>
      <c r="K52" s="19">
        <v>2.0</v>
      </c>
      <c r="L52" s="19">
        <v>1.0</v>
      </c>
      <c r="M52" s="19">
        <v>1.0</v>
      </c>
      <c r="N52" s="19">
        <v>1.0</v>
      </c>
      <c r="O52" s="13">
        <f t="shared" si="14"/>
        <v>15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0.0</v>
      </c>
      <c r="F53" s="19">
        <v>3.0</v>
      </c>
      <c r="G53" s="19">
        <v>2.0</v>
      </c>
      <c r="H53" s="19">
        <v>0.0</v>
      </c>
      <c r="I53" s="19">
        <v>3.0</v>
      </c>
      <c r="J53" s="19">
        <v>1.0</v>
      </c>
      <c r="K53" s="19">
        <v>0.0</v>
      </c>
      <c r="L53" s="19">
        <v>2.0</v>
      </c>
      <c r="M53" s="19">
        <v>1.0</v>
      </c>
      <c r="N53" s="19">
        <v>1.0</v>
      </c>
      <c r="O53" s="13">
        <f t="shared" si="14"/>
        <v>13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24.0</v>
      </c>
      <c r="F54" s="19">
        <v>38.0</v>
      </c>
      <c r="G54" s="19">
        <v>33.0</v>
      </c>
      <c r="H54" s="19">
        <v>25.0</v>
      </c>
      <c r="I54" s="19">
        <v>28.0</v>
      </c>
      <c r="J54" s="19">
        <v>17.0</v>
      </c>
      <c r="K54" s="19">
        <v>19.0</v>
      </c>
      <c r="L54" s="19">
        <v>21.0</v>
      </c>
      <c r="M54" s="19">
        <v>17.0</v>
      </c>
      <c r="N54" s="19">
        <v>15.0</v>
      </c>
      <c r="O54" s="13">
        <f t="shared" si="14"/>
        <v>237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0.0</v>
      </c>
      <c r="F55" s="19">
        <v>1.0</v>
      </c>
      <c r="G55" s="19">
        <v>1.0</v>
      </c>
      <c r="H55" s="19">
        <v>1.0</v>
      </c>
      <c r="I55" s="19">
        <v>1.0</v>
      </c>
      <c r="J55" s="19">
        <v>0.0</v>
      </c>
      <c r="K55" s="19">
        <v>0.0</v>
      </c>
      <c r="L55" s="19">
        <v>0.0</v>
      </c>
      <c r="M55" s="19">
        <v>1.0</v>
      </c>
      <c r="N55" s="19">
        <v>0.0</v>
      </c>
      <c r="O55" s="13">
        <f t="shared" si="14"/>
        <v>5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27.0</v>
      </c>
      <c r="F56" s="19">
        <v>29.0</v>
      </c>
      <c r="G56" s="19">
        <v>32.0</v>
      </c>
      <c r="H56" s="19">
        <v>31.0</v>
      </c>
      <c r="I56" s="19">
        <v>19.0</v>
      </c>
      <c r="J56" s="19">
        <v>32.0</v>
      </c>
      <c r="K56" s="19">
        <v>36.0</v>
      </c>
      <c r="L56" s="19">
        <v>25.0</v>
      </c>
      <c r="M56" s="19">
        <v>19.0</v>
      </c>
      <c r="N56" s="19">
        <v>19.0</v>
      </c>
      <c r="O56" s="13">
        <f t="shared" si="14"/>
        <v>269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1.0</v>
      </c>
      <c r="F57" s="19">
        <v>4.0</v>
      </c>
      <c r="G57" s="19">
        <v>1.0</v>
      </c>
      <c r="H57" s="19">
        <v>3.0</v>
      </c>
      <c r="I57" s="19">
        <v>2.0</v>
      </c>
      <c r="J57" s="19">
        <v>0.0</v>
      </c>
      <c r="K57" s="19">
        <v>2.0</v>
      </c>
      <c r="L57" s="19">
        <v>0.0</v>
      </c>
      <c r="M57" s="19">
        <v>1.0</v>
      </c>
      <c r="N57" s="19">
        <v>0.0</v>
      </c>
      <c r="O57" s="13">
        <f t="shared" si="14"/>
        <v>14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N60" si="15">SUM(E45:E57)</f>
        <v>185</v>
      </c>
      <c r="F60" s="19">
        <f t="shared" si="15"/>
        <v>218</v>
      </c>
      <c r="G60" s="19">
        <f t="shared" si="15"/>
        <v>203</v>
      </c>
      <c r="H60" s="19">
        <f t="shared" si="15"/>
        <v>199</v>
      </c>
      <c r="I60" s="19">
        <f t="shared" si="15"/>
        <v>199</v>
      </c>
      <c r="J60" s="19">
        <f t="shared" si="15"/>
        <v>211</v>
      </c>
      <c r="K60" s="19">
        <f t="shared" si="15"/>
        <v>182</v>
      </c>
      <c r="L60" s="19">
        <f t="shared" si="15"/>
        <v>183</v>
      </c>
      <c r="M60" s="19">
        <f t="shared" si="15"/>
        <v>173</v>
      </c>
      <c r="N60" s="19">
        <f t="shared" si="15"/>
        <v>141</v>
      </c>
      <c r="O60" s="13">
        <f t="shared" ref="O60:O62" si="16">SUM(E60:N60)</f>
        <v>1894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63.0</v>
      </c>
      <c r="F61" s="19">
        <v>34.0</v>
      </c>
      <c r="G61" s="19">
        <v>65.0</v>
      </c>
      <c r="H61" s="19">
        <v>53.0</v>
      </c>
      <c r="I61" s="19">
        <v>40.0</v>
      </c>
      <c r="J61" s="19">
        <v>32.0</v>
      </c>
      <c r="K61" s="19">
        <v>39.0</v>
      </c>
      <c r="L61" s="19">
        <v>51.0</v>
      </c>
      <c r="M61" s="19">
        <v>39.0</v>
      </c>
      <c r="N61" s="19">
        <v>21.0</v>
      </c>
      <c r="O61" s="13">
        <f t="shared" si="16"/>
        <v>437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N62" si="17">SUM(E60:E61)</f>
        <v>248</v>
      </c>
      <c r="F62" s="13">
        <f t="shared" si="17"/>
        <v>252</v>
      </c>
      <c r="G62" s="13">
        <f t="shared" si="17"/>
        <v>268</v>
      </c>
      <c r="H62" s="13">
        <f t="shared" si="17"/>
        <v>252</v>
      </c>
      <c r="I62" s="13">
        <f t="shared" si="17"/>
        <v>239</v>
      </c>
      <c r="J62" s="13">
        <f t="shared" si="17"/>
        <v>243</v>
      </c>
      <c r="K62" s="13">
        <f t="shared" si="17"/>
        <v>221</v>
      </c>
      <c r="L62" s="13">
        <f t="shared" si="17"/>
        <v>234</v>
      </c>
      <c r="M62" s="13">
        <f t="shared" si="17"/>
        <v>212</v>
      </c>
      <c r="N62" s="13">
        <f t="shared" si="17"/>
        <v>162</v>
      </c>
      <c r="O62" s="13">
        <f t="shared" si="16"/>
        <v>2331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N12"/>
    <mergeCell ref="O12:O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N15 E45:N57">
    <cfRule type="containsBlanks" dxfId="1" priority="1">
      <formula>LEN(TRIM(E14))=0</formula>
    </cfRule>
  </conditionalFormatting>
  <conditionalFormatting sqref="E19:N20">
    <cfRule type="containsBlanks" dxfId="1" priority="2">
      <formula>LEN(TRIM(E19))=0</formula>
    </cfRule>
  </conditionalFormatting>
  <conditionalFormatting sqref="E22:N23 E25:N26 E33:N33 E35:N35 E39:N40">
    <cfRule type="containsBlanks" dxfId="1" priority="3">
      <formula>LEN(TRIM(E22))=0</formula>
    </cfRule>
  </conditionalFormatting>
  <conditionalFormatting sqref="E30:N30">
    <cfRule type="expression" dxfId="0" priority="4">
      <formula>E30&lt;&gt;E46</formula>
    </cfRule>
  </conditionalFormatting>
  <conditionalFormatting sqref="E30:N30">
    <cfRule type="expression" dxfId="0" priority="5">
      <formula>E30&lt;&gt;E34</formula>
    </cfRule>
  </conditionalFormatting>
  <conditionalFormatting sqref="E34:N34">
    <cfRule type="expression" dxfId="2" priority="6">
      <formula>E30&lt;&gt;E34</formula>
    </cfRule>
  </conditionalFormatting>
  <conditionalFormatting sqref="E34:N34">
    <cfRule type="expression" dxfId="3" priority="7">
      <formula>E30=E34</formula>
    </cfRule>
  </conditionalFormatting>
  <conditionalFormatting sqref="E34:N34">
    <cfRule type="expression" dxfId="0" priority="8">
      <formula>E34&lt;&gt;E30</formula>
    </cfRule>
  </conditionalFormatting>
  <conditionalFormatting sqref="E34:N34">
    <cfRule type="expression" dxfId="0" priority="9">
      <formula>E34&lt;&gt;E55</formula>
    </cfRule>
  </conditionalFormatting>
  <conditionalFormatting sqref="E60:N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1" width="8.71"/>
    <col customWidth="1" min="22" max="22" width="13.29"/>
    <col customWidth="1" min="23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88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U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36"/>
    </row>
    <row r="14" ht="12.75" customHeight="1">
      <c r="A14" s="18"/>
      <c r="B14" s="22" t="s">
        <v>11</v>
      </c>
      <c r="C14" s="23"/>
      <c r="D14" s="19" t="s">
        <v>12</v>
      </c>
      <c r="E14" s="19">
        <v>137.0</v>
      </c>
      <c r="F14" s="19">
        <v>134.0</v>
      </c>
      <c r="G14" s="19">
        <v>136.0</v>
      </c>
      <c r="H14" s="19">
        <v>139.0</v>
      </c>
      <c r="I14" s="19">
        <v>135.0</v>
      </c>
      <c r="J14" s="19">
        <v>127.0</v>
      </c>
      <c r="K14" s="19">
        <v>116.0</v>
      </c>
      <c r="L14" s="19">
        <v>120.0</v>
      </c>
      <c r="M14" s="19">
        <v>127.0</v>
      </c>
      <c r="N14" s="19">
        <v>141.0</v>
      </c>
      <c r="O14" s="19">
        <v>123.0</v>
      </c>
      <c r="P14" s="19">
        <v>119.0</v>
      </c>
      <c r="Q14" s="19">
        <v>129.0</v>
      </c>
      <c r="R14" s="19">
        <v>137.0</v>
      </c>
      <c r="S14" s="19">
        <v>155.0</v>
      </c>
      <c r="T14" s="19">
        <v>140.0</v>
      </c>
      <c r="U14" s="19">
        <v>135.0</v>
      </c>
      <c r="V14" s="13">
        <f t="shared" ref="V14:V16" si="1">SUM(E14:U14)</f>
        <v>2250</v>
      </c>
    </row>
    <row r="15" ht="12.75" customHeight="1">
      <c r="A15" s="18"/>
      <c r="B15" s="26"/>
      <c r="C15" s="27"/>
      <c r="D15" s="19" t="s">
        <v>13</v>
      </c>
      <c r="E15" s="19">
        <v>142.0</v>
      </c>
      <c r="F15" s="19">
        <v>134.0</v>
      </c>
      <c r="G15" s="19">
        <v>136.0</v>
      </c>
      <c r="H15" s="19">
        <v>141.0</v>
      </c>
      <c r="I15" s="19">
        <v>157.0</v>
      </c>
      <c r="J15" s="19">
        <v>150.0</v>
      </c>
      <c r="K15" s="19">
        <v>139.0</v>
      </c>
      <c r="L15" s="19">
        <v>139.0</v>
      </c>
      <c r="M15" s="19">
        <v>123.0</v>
      </c>
      <c r="N15" s="19">
        <v>133.0</v>
      </c>
      <c r="O15" s="19">
        <v>118.0</v>
      </c>
      <c r="P15" s="19">
        <v>121.0</v>
      </c>
      <c r="Q15" s="19">
        <v>152.0</v>
      </c>
      <c r="R15" s="19">
        <v>162.0</v>
      </c>
      <c r="S15" s="19">
        <v>140.0</v>
      </c>
      <c r="T15" s="19">
        <v>143.0</v>
      </c>
      <c r="U15" s="19">
        <v>147.0</v>
      </c>
      <c r="V15" s="13">
        <f t="shared" si="1"/>
        <v>2377</v>
      </c>
    </row>
    <row r="16" ht="12.75" customHeight="1">
      <c r="A16" s="25"/>
      <c r="B16" s="21"/>
      <c r="C16" s="28"/>
      <c r="D16" s="13" t="s">
        <v>14</v>
      </c>
      <c r="E16" s="13">
        <f t="shared" ref="E16:U16" si="2">SUM(E14:E15)</f>
        <v>279</v>
      </c>
      <c r="F16" s="13">
        <f t="shared" si="2"/>
        <v>268</v>
      </c>
      <c r="G16" s="13">
        <f t="shared" si="2"/>
        <v>272</v>
      </c>
      <c r="H16" s="13">
        <f t="shared" si="2"/>
        <v>280</v>
      </c>
      <c r="I16" s="13">
        <f t="shared" si="2"/>
        <v>292</v>
      </c>
      <c r="J16" s="13">
        <f t="shared" si="2"/>
        <v>277</v>
      </c>
      <c r="K16" s="13">
        <f t="shared" si="2"/>
        <v>255</v>
      </c>
      <c r="L16" s="13">
        <f t="shared" si="2"/>
        <v>259</v>
      </c>
      <c r="M16" s="13">
        <f t="shared" si="2"/>
        <v>250</v>
      </c>
      <c r="N16" s="13">
        <f t="shared" si="2"/>
        <v>274</v>
      </c>
      <c r="O16" s="13">
        <f t="shared" si="2"/>
        <v>241</v>
      </c>
      <c r="P16" s="13">
        <f t="shared" si="2"/>
        <v>240</v>
      </c>
      <c r="Q16" s="13">
        <f t="shared" si="2"/>
        <v>281</v>
      </c>
      <c r="R16" s="13">
        <f t="shared" si="2"/>
        <v>299</v>
      </c>
      <c r="S16" s="13">
        <f t="shared" si="2"/>
        <v>295</v>
      </c>
      <c r="T16" s="13">
        <f t="shared" si="2"/>
        <v>283</v>
      </c>
      <c r="U16" s="13">
        <f t="shared" si="2"/>
        <v>282</v>
      </c>
      <c r="V16" s="13">
        <f t="shared" si="1"/>
        <v>4627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8"/>
      <c r="U17" s="19"/>
      <c r="V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8"/>
      <c r="U18" s="19"/>
      <c r="V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95.0</v>
      </c>
      <c r="F19" s="19">
        <v>96.0</v>
      </c>
      <c r="G19" s="19">
        <v>107.0</v>
      </c>
      <c r="H19" s="19">
        <v>105.0</v>
      </c>
      <c r="I19" s="19">
        <v>93.0</v>
      </c>
      <c r="J19" s="19">
        <v>96.0</v>
      </c>
      <c r="K19" s="19">
        <v>83.0</v>
      </c>
      <c r="L19" s="19">
        <v>93.0</v>
      </c>
      <c r="M19" s="19">
        <v>98.0</v>
      </c>
      <c r="N19" s="19">
        <v>117.0</v>
      </c>
      <c r="O19" s="19">
        <v>89.0</v>
      </c>
      <c r="P19" s="19">
        <v>96.0</v>
      </c>
      <c r="Q19" s="19">
        <v>106.0</v>
      </c>
      <c r="R19" s="19">
        <v>97.0</v>
      </c>
      <c r="S19" s="19">
        <v>123.0</v>
      </c>
      <c r="T19" s="19">
        <v>100.0</v>
      </c>
      <c r="U19" s="19">
        <v>97.0</v>
      </c>
      <c r="V19" s="13">
        <f t="shared" ref="V19:V30" si="3">SUM(E19:U19)</f>
        <v>1691</v>
      </c>
    </row>
    <row r="20" ht="12.75" customHeight="1">
      <c r="A20" s="33"/>
      <c r="B20" s="27"/>
      <c r="C20" s="34"/>
      <c r="D20" s="19" t="s">
        <v>13</v>
      </c>
      <c r="E20" s="19">
        <v>112.0</v>
      </c>
      <c r="F20" s="19">
        <v>102.0</v>
      </c>
      <c r="G20" s="19">
        <v>109.0</v>
      </c>
      <c r="H20" s="19">
        <v>115.0</v>
      </c>
      <c r="I20" s="19">
        <v>121.0</v>
      </c>
      <c r="J20" s="19">
        <v>124.0</v>
      </c>
      <c r="K20" s="19">
        <v>109.0</v>
      </c>
      <c r="L20" s="19">
        <v>112.0</v>
      </c>
      <c r="M20" s="19">
        <v>104.0</v>
      </c>
      <c r="N20" s="19">
        <v>120.0</v>
      </c>
      <c r="O20" s="19">
        <v>91.0</v>
      </c>
      <c r="P20" s="19">
        <v>112.0</v>
      </c>
      <c r="Q20" s="19">
        <v>128.0</v>
      </c>
      <c r="R20" s="19">
        <v>127.0</v>
      </c>
      <c r="S20" s="19">
        <v>114.0</v>
      </c>
      <c r="T20" s="19">
        <v>117.0</v>
      </c>
      <c r="U20" s="19">
        <v>120.0</v>
      </c>
      <c r="V20" s="13">
        <f t="shared" si="3"/>
        <v>1937</v>
      </c>
    </row>
    <row r="21" ht="12.75" customHeight="1">
      <c r="A21" s="35"/>
      <c r="B21" s="28"/>
      <c r="C21" s="36"/>
      <c r="D21" s="13" t="s">
        <v>14</v>
      </c>
      <c r="E21" s="13">
        <f t="shared" ref="E21:U21" si="4">SUM(E19:E20)</f>
        <v>207</v>
      </c>
      <c r="F21" s="13">
        <f t="shared" si="4"/>
        <v>198</v>
      </c>
      <c r="G21" s="13">
        <f t="shared" si="4"/>
        <v>216</v>
      </c>
      <c r="H21" s="13">
        <f t="shared" si="4"/>
        <v>220</v>
      </c>
      <c r="I21" s="13">
        <f t="shared" si="4"/>
        <v>214</v>
      </c>
      <c r="J21" s="13">
        <f t="shared" si="4"/>
        <v>220</v>
      </c>
      <c r="K21" s="13">
        <f t="shared" si="4"/>
        <v>192</v>
      </c>
      <c r="L21" s="13">
        <f t="shared" si="4"/>
        <v>205</v>
      </c>
      <c r="M21" s="13">
        <f t="shared" si="4"/>
        <v>202</v>
      </c>
      <c r="N21" s="13">
        <f t="shared" si="4"/>
        <v>237</v>
      </c>
      <c r="O21" s="13">
        <f t="shared" si="4"/>
        <v>180</v>
      </c>
      <c r="P21" s="13">
        <f t="shared" si="4"/>
        <v>208</v>
      </c>
      <c r="Q21" s="13">
        <f t="shared" si="4"/>
        <v>234</v>
      </c>
      <c r="R21" s="13">
        <f t="shared" si="4"/>
        <v>224</v>
      </c>
      <c r="S21" s="13">
        <f t="shared" si="4"/>
        <v>237</v>
      </c>
      <c r="T21" s="13">
        <f t="shared" si="4"/>
        <v>217</v>
      </c>
      <c r="U21" s="13">
        <f t="shared" si="4"/>
        <v>217</v>
      </c>
      <c r="V21" s="13">
        <f t="shared" si="3"/>
        <v>3628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1.0</v>
      </c>
      <c r="G22" s="19">
        <v>0.0</v>
      </c>
      <c r="H22" s="19">
        <v>2.0</v>
      </c>
      <c r="I22" s="19">
        <v>1.0</v>
      </c>
      <c r="J22" s="19">
        <v>1.0</v>
      </c>
      <c r="K22" s="19">
        <v>2.0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1.0</v>
      </c>
      <c r="S22" s="19">
        <v>0.0</v>
      </c>
      <c r="T22" s="19">
        <v>2.0</v>
      </c>
      <c r="U22" s="19">
        <v>2.0</v>
      </c>
      <c r="V22" s="13">
        <f t="shared" si="3"/>
        <v>12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1.0</v>
      </c>
      <c r="G23" s="19">
        <v>0.0</v>
      </c>
      <c r="H23" s="19">
        <v>0.0</v>
      </c>
      <c r="I23" s="19">
        <v>0.0</v>
      </c>
      <c r="J23" s="19">
        <v>0.0</v>
      </c>
      <c r="K23" s="19">
        <v>2.0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2.0</v>
      </c>
      <c r="V23" s="13">
        <f t="shared" si="3"/>
        <v>5</v>
      </c>
    </row>
    <row r="24" ht="12.75" customHeight="1">
      <c r="A24" s="35"/>
      <c r="B24" s="28"/>
      <c r="C24" s="36"/>
      <c r="D24" s="13" t="s">
        <v>14</v>
      </c>
      <c r="E24" s="13">
        <f t="shared" ref="E24:U24" si="5">SUM(E22:E23)</f>
        <v>0</v>
      </c>
      <c r="F24" s="13">
        <f t="shared" si="5"/>
        <v>2</v>
      </c>
      <c r="G24" s="13">
        <f t="shared" si="5"/>
        <v>0</v>
      </c>
      <c r="H24" s="13">
        <f t="shared" si="5"/>
        <v>2</v>
      </c>
      <c r="I24" s="13">
        <f t="shared" si="5"/>
        <v>1</v>
      </c>
      <c r="J24" s="13">
        <f t="shared" si="5"/>
        <v>1</v>
      </c>
      <c r="K24" s="13">
        <f t="shared" si="5"/>
        <v>4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1</v>
      </c>
      <c r="S24" s="13">
        <f t="shared" si="5"/>
        <v>0</v>
      </c>
      <c r="T24" s="13">
        <f t="shared" si="5"/>
        <v>2</v>
      </c>
      <c r="U24" s="13">
        <f t="shared" si="5"/>
        <v>4</v>
      </c>
      <c r="V24" s="13">
        <f t="shared" si="3"/>
        <v>17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2.0</v>
      </c>
      <c r="G25" s="19">
        <v>0.0</v>
      </c>
      <c r="H25" s="19">
        <v>0.0</v>
      </c>
      <c r="I25" s="19">
        <v>2.0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1.0</v>
      </c>
      <c r="Q25" s="19">
        <v>0.0</v>
      </c>
      <c r="R25" s="19">
        <v>1.0</v>
      </c>
      <c r="S25" s="19">
        <v>2.0</v>
      </c>
      <c r="T25" s="19">
        <v>1.0</v>
      </c>
      <c r="U25" s="19">
        <v>2.0</v>
      </c>
      <c r="V25" s="13">
        <f t="shared" si="3"/>
        <v>11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2.0</v>
      </c>
      <c r="G26" s="19">
        <v>0.0</v>
      </c>
      <c r="H26" s="19">
        <v>1.0</v>
      </c>
      <c r="I26" s="19">
        <v>3.0</v>
      </c>
      <c r="J26" s="19">
        <v>1.0</v>
      </c>
      <c r="K26" s="19">
        <v>2.0</v>
      </c>
      <c r="L26" s="19">
        <v>0.0</v>
      </c>
      <c r="M26" s="19">
        <v>1.0</v>
      </c>
      <c r="N26" s="19">
        <v>0.0</v>
      </c>
      <c r="O26" s="19">
        <v>0.0</v>
      </c>
      <c r="P26" s="19">
        <v>0.0</v>
      </c>
      <c r="Q26" s="19">
        <v>0.0</v>
      </c>
      <c r="R26" s="19">
        <v>0.0</v>
      </c>
      <c r="S26" s="19">
        <v>1.0</v>
      </c>
      <c r="T26" s="19">
        <v>5.0</v>
      </c>
      <c r="U26" s="19">
        <v>1.0</v>
      </c>
      <c r="V26" s="13">
        <f t="shared" si="3"/>
        <v>17</v>
      </c>
    </row>
    <row r="27" ht="12.75" customHeight="1">
      <c r="A27" s="35"/>
      <c r="B27" s="28"/>
      <c r="C27" s="36"/>
      <c r="D27" s="13" t="s">
        <v>14</v>
      </c>
      <c r="E27" s="13">
        <f t="shared" ref="E27:U27" si="6">SUM(E25:E26)</f>
        <v>0</v>
      </c>
      <c r="F27" s="13">
        <f t="shared" si="6"/>
        <v>4</v>
      </c>
      <c r="G27" s="13">
        <f t="shared" si="6"/>
        <v>0</v>
      </c>
      <c r="H27" s="13">
        <f t="shared" si="6"/>
        <v>1</v>
      </c>
      <c r="I27" s="13">
        <f t="shared" si="6"/>
        <v>5</v>
      </c>
      <c r="J27" s="13">
        <f t="shared" si="6"/>
        <v>1</v>
      </c>
      <c r="K27" s="13">
        <f t="shared" si="6"/>
        <v>2</v>
      </c>
      <c r="L27" s="13">
        <f t="shared" si="6"/>
        <v>0</v>
      </c>
      <c r="M27" s="13">
        <f t="shared" si="6"/>
        <v>1</v>
      </c>
      <c r="N27" s="13">
        <f t="shared" si="6"/>
        <v>0</v>
      </c>
      <c r="O27" s="13">
        <f t="shared" si="6"/>
        <v>0</v>
      </c>
      <c r="P27" s="13">
        <f t="shared" si="6"/>
        <v>1</v>
      </c>
      <c r="Q27" s="13">
        <f t="shared" si="6"/>
        <v>0</v>
      </c>
      <c r="R27" s="13">
        <f t="shared" si="6"/>
        <v>1</v>
      </c>
      <c r="S27" s="13">
        <f t="shared" si="6"/>
        <v>3</v>
      </c>
      <c r="T27" s="13">
        <f t="shared" si="6"/>
        <v>6</v>
      </c>
      <c r="U27" s="13">
        <f t="shared" si="6"/>
        <v>3</v>
      </c>
      <c r="V27" s="13">
        <f t="shared" si="3"/>
        <v>28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U28" si="7">SUM(E19,E22,E25)</f>
        <v>95</v>
      </c>
      <c r="F28" s="13">
        <f t="shared" si="7"/>
        <v>99</v>
      </c>
      <c r="G28" s="13">
        <f t="shared" si="7"/>
        <v>107</v>
      </c>
      <c r="H28" s="13">
        <f t="shared" si="7"/>
        <v>107</v>
      </c>
      <c r="I28" s="13">
        <f t="shared" si="7"/>
        <v>96</v>
      </c>
      <c r="J28" s="13">
        <f t="shared" si="7"/>
        <v>97</v>
      </c>
      <c r="K28" s="13">
        <f t="shared" si="7"/>
        <v>85</v>
      </c>
      <c r="L28" s="13">
        <f t="shared" si="7"/>
        <v>93</v>
      </c>
      <c r="M28" s="13">
        <f t="shared" si="7"/>
        <v>98</v>
      </c>
      <c r="N28" s="13">
        <f t="shared" si="7"/>
        <v>117</v>
      </c>
      <c r="O28" s="13">
        <f t="shared" si="7"/>
        <v>89</v>
      </c>
      <c r="P28" s="13">
        <f t="shared" si="7"/>
        <v>97</v>
      </c>
      <c r="Q28" s="13">
        <f t="shared" si="7"/>
        <v>106</v>
      </c>
      <c r="R28" s="13">
        <f t="shared" si="7"/>
        <v>99</v>
      </c>
      <c r="S28" s="13">
        <f t="shared" si="7"/>
        <v>125</v>
      </c>
      <c r="T28" s="13">
        <f t="shared" si="7"/>
        <v>103</v>
      </c>
      <c r="U28" s="13">
        <f t="shared" si="7"/>
        <v>101</v>
      </c>
      <c r="V28" s="13">
        <f t="shared" si="3"/>
        <v>1714</v>
      </c>
    </row>
    <row r="29" ht="12.75" customHeight="1">
      <c r="A29" s="35"/>
      <c r="B29" s="27"/>
      <c r="C29" s="34"/>
      <c r="D29" s="13" t="s">
        <v>13</v>
      </c>
      <c r="E29" s="13">
        <f t="shared" ref="E29:U29" si="8">SUM(E20,E23,E26)</f>
        <v>112</v>
      </c>
      <c r="F29" s="13">
        <f t="shared" si="8"/>
        <v>105</v>
      </c>
      <c r="G29" s="13">
        <f t="shared" si="8"/>
        <v>109</v>
      </c>
      <c r="H29" s="13">
        <f t="shared" si="8"/>
        <v>116</v>
      </c>
      <c r="I29" s="13">
        <f t="shared" si="8"/>
        <v>124</v>
      </c>
      <c r="J29" s="13">
        <f t="shared" si="8"/>
        <v>125</v>
      </c>
      <c r="K29" s="13">
        <f t="shared" si="8"/>
        <v>113</v>
      </c>
      <c r="L29" s="13">
        <f t="shared" si="8"/>
        <v>112</v>
      </c>
      <c r="M29" s="13">
        <f t="shared" si="8"/>
        <v>105</v>
      </c>
      <c r="N29" s="13">
        <f t="shared" si="8"/>
        <v>120</v>
      </c>
      <c r="O29" s="13">
        <f t="shared" si="8"/>
        <v>91</v>
      </c>
      <c r="P29" s="13">
        <f t="shared" si="8"/>
        <v>112</v>
      </c>
      <c r="Q29" s="13">
        <f t="shared" si="8"/>
        <v>128</v>
      </c>
      <c r="R29" s="13">
        <f t="shared" si="8"/>
        <v>127</v>
      </c>
      <c r="S29" s="13">
        <f t="shared" si="8"/>
        <v>115</v>
      </c>
      <c r="T29" s="13">
        <f t="shared" si="8"/>
        <v>122</v>
      </c>
      <c r="U29" s="13">
        <f t="shared" si="8"/>
        <v>123</v>
      </c>
      <c r="V29" s="13">
        <f t="shared" si="3"/>
        <v>1959</v>
      </c>
    </row>
    <row r="30" ht="12.75" customHeight="1">
      <c r="A30" s="35"/>
      <c r="B30" s="28"/>
      <c r="C30" s="36"/>
      <c r="D30" s="13" t="s">
        <v>14</v>
      </c>
      <c r="E30" s="13">
        <f t="shared" ref="E30:U30" si="9">SUM(E28:E29)</f>
        <v>207</v>
      </c>
      <c r="F30" s="13">
        <f t="shared" si="9"/>
        <v>204</v>
      </c>
      <c r="G30" s="13">
        <f t="shared" si="9"/>
        <v>216</v>
      </c>
      <c r="H30" s="13">
        <f t="shared" si="9"/>
        <v>223</v>
      </c>
      <c r="I30" s="13">
        <f t="shared" si="9"/>
        <v>220</v>
      </c>
      <c r="J30" s="13">
        <f t="shared" si="9"/>
        <v>222</v>
      </c>
      <c r="K30" s="13">
        <f t="shared" si="9"/>
        <v>198</v>
      </c>
      <c r="L30" s="13">
        <f t="shared" si="9"/>
        <v>205</v>
      </c>
      <c r="M30" s="13">
        <f t="shared" si="9"/>
        <v>203</v>
      </c>
      <c r="N30" s="13">
        <f t="shared" si="9"/>
        <v>237</v>
      </c>
      <c r="O30" s="13">
        <f t="shared" si="9"/>
        <v>180</v>
      </c>
      <c r="P30" s="13">
        <f t="shared" si="9"/>
        <v>209</v>
      </c>
      <c r="Q30" s="13">
        <f t="shared" si="9"/>
        <v>234</v>
      </c>
      <c r="R30" s="13">
        <f t="shared" si="9"/>
        <v>226</v>
      </c>
      <c r="S30" s="13">
        <f t="shared" si="9"/>
        <v>240</v>
      </c>
      <c r="T30" s="13">
        <f t="shared" si="9"/>
        <v>225</v>
      </c>
      <c r="U30" s="13">
        <f t="shared" si="9"/>
        <v>224</v>
      </c>
      <c r="V30" s="13">
        <f t="shared" si="3"/>
        <v>3673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8"/>
      <c r="U31" s="19"/>
      <c r="V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13"/>
      <c r="V32" s="59"/>
    </row>
    <row r="33" ht="12.75" customHeight="1">
      <c r="A33" s="19">
        <v>1.0</v>
      </c>
      <c r="B33" s="20" t="s">
        <v>27</v>
      </c>
      <c r="C33" s="15"/>
      <c r="D33" s="16"/>
      <c r="E33" s="19">
        <v>283.0</v>
      </c>
      <c r="F33" s="19">
        <v>272.0</v>
      </c>
      <c r="G33" s="19">
        <v>276.0</v>
      </c>
      <c r="H33" s="19">
        <v>284.0</v>
      </c>
      <c r="I33" s="19">
        <v>292.0</v>
      </c>
      <c r="J33" s="19">
        <v>288.0</v>
      </c>
      <c r="K33" s="19">
        <v>269.0</v>
      </c>
      <c r="L33" s="19">
        <v>265.0</v>
      </c>
      <c r="M33" s="19">
        <v>255.0</v>
      </c>
      <c r="N33" s="19">
        <v>279.0</v>
      </c>
      <c r="O33" s="19">
        <v>244.0</v>
      </c>
      <c r="P33" s="19">
        <v>244.0</v>
      </c>
      <c r="Q33" s="19">
        <v>285.0</v>
      </c>
      <c r="R33" s="19">
        <v>304.0</v>
      </c>
      <c r="S33" s="19">
        <v>300.0</v>
      </c>
      <c r="T33" s="19">
        <v>289.0</v>
      </c>
      <c r="U33" s="19">
        <v>286.0</v>
      </c>
      <c r="V33" s="13">
        <f t="shared" ref="V33:V36" si="10">SUM(E33:U33)</f>
        <v>4715</v>
      </c>
    </row>
    <row r="34" ht="12.75" customHeight="1">
      <c r="A34" s="19">
        <v>2.0</v>
      </c>
      <c r="B34" s="20" t="s">
        <v>28</v>
      </c>
      <c r="C34" s="15"/>
      <c r="D34" s="16"/>
      <c r="E34" s="13">
        <v>207.0</v>
      </c>
      <c r="F34" s="13">
        <v>204.0</v>
      </c>
      <c r="G34" s="13">
        <v>216.0</v>
      </c>
      <c r="H34" s="13">
        <v>223.0</v>
      </c>
      <c r="I34" s="13">
        <v>220.0</v>
      </c>
      <c r="J34" s="13">
        <v>222.0</v>
      </c>
      <c r="K34" s="13">
        <v>198.0</v>
      </c>
      <c r="L34" s="13">
        <v>205.0</v>
      </c>
      <c r="M34" s="13">
        <v>203.0</v>
      </c>
      <c r="N34" s="13">
        <v>237.0</v>
      </c>
      <c r="O34" s="13">
        <v>180.0</v>
      </c>
      <c r="P34" s="13">
        <v>209.0</v>
      </c>
      <c r="Q34" s="13">
        <v>234.0</v>
      </c>
      <c r="R34" s="13">
        <v>226.0</v>
      </c>
      <c r="S34" s="13">
        <v>240.0</v>
      </c>
      <c r="T34" s="13">
        <v>225.0</v>
      </c>
      <c r="U34" s="13">
        <v>224.0</v>
      </c>
      <c r="V34" s="13">
        <f t="shared" si="10"/>
        <v>3673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>
        <v>1.0</v>
      </c>
      <c r="T35" s="19"/>
      <c r="U35" s="19"/>
      <c r="V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U36" si="11">E33-(E34+E35)</f>
        <v>76</v>
      </c>
      <c r="F36" s="13">
        <f t="shared" si="11"/>
        <v>68</v>
      </c>
      <c r="G36" s="13">
        <f t="shared" si="11"/>
        <v>60</v>
      </c>
      <c r="H36" s="13">
        <f t="shared" si="11"/>
        <v>61</v>
      </c>
      <c r="I36" s="13">
        <f t="shared" si="11"/>
        <v>72</v>
      </c>
      <c r="J36" s="13">
        <f t="shared" si="11"/>
        <v>66</v>
      </c>
      <c r="K36" s="13">
        <f t="shared" si="11"/>
        <v>71</v>
      </c>
      <c r="L36" s="13">
        <f t="shared" si="11"/>
        <v>60</v>
      </c>
      <c r="M36" s="13">
        <f t="shared" si="11"/>
        <v>52</v>
      </c>
      <c r="N36" s="13">
        <f t="shared" si="11"/>
        <v>42</v>
      </c>
      <c r="O36" s="13">
        <f t="shared" si="11"/>
        <v>64</v>
      </c>
      <c r="P36" s="13">
        <f t="shared" si="11"/>
        <v>35</v>
      </c>
      <c r="Q36" s="13">
        <f t="shared" si="11"/>
        <v>51</v>
      </c>
      <c r="R36" s="13">
        <f t="shared" si="11"/>
        <v>78</v>
      </c>
      <c r="S36" s="13">
        <f t="shared" si="11"/>
        <v>59</v>
      </c>
      <c r="T36" s="13">
        <f t="shared" si="11"/>
        <v>64</v>
      </c>
      <c r="U36" s="13">
        <f t="shared" si="11"/>
        <v>62</v>
      </c>
      <c r="V36" s="13">
        <f t="shared" si="10"/>
        <v>1041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61"/>
      <c r="T37" s="61"/>
      <c r="U37" s="19"/>
      <c r="V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13"/>
      <c r="V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>
        <v>1.0</v>
      </c>
      <c r="H39" s="19">
        <v>1.0</v>
      </c>
      <c r="I39" s="19">
        <v>1.0</v>
      </c>
      <c r="J39" s="19"/>
      <c r="K39" s="19"/>
      <c r="L39" s="19">
        <v>1.0</v>
      </c>
      <c r="M39" s="19"/>
      <c r="N39" s="19">
        <v>1.0</v>
      </c>
      <c r="O39" s="19">
        <v>4.0</v>
      </c>
      <c r="P39" s="19"/>
      <c r="Q39" s="19"/>
      <c r="R39" s="19">
        <v>1.0</v>
      </c>
      <c r="S39" s="19"/>
      <c r="T39" s="19"/>
      <c r="U39" s="19">
        <v>1.0</v>
      </c>
      <c r="V39" s="13">
        <f t="shared" ref="V39:V41" si="12">SUM(E39:U39)</f>
        <v>11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>
        <v>5.0</v>
      </c>
      <c r="M40" s="19"/>
      <c r="N40" s="19">
        <v>1.0</v>
      </c>
      <c r="O40" s="19">
        <v>3.0</v>
      </c>
      <c r="P40" s="19"/>
      <c r="Q40" s="19"/>
      <c r="R40" s="19"/>
      <c r="S40" s="19"/>
      <c r="T40" s="19"/>
      <c r="U40" s="19"/>
      <c r="V40" s="13">
        <f t="shared" si="12"/>
        <v>9</v>
      </c>
    </row>
    <row r="41" ht="12.75" customHeight="1">
      <c r="A41" s="41"/>
      <c r="B41" s="44"/>
      <c r="C41" s="28"/>
      <c r="D41" s="13" t="s">
        <v>14</v>
      </c>
      <c r="E41" s="13">
        <f t="shared" ref="E41:U41" si="13">SUM(E39:E40)</f>
        <v>0</v>
      </c>
      <c r="F41" s="13">
        <f t="shared" si="13"/>
        <v>0</v>
      </c>
      <c r="G41" s="13">
        <f t="shared" si="13"/>
        <v>1</v>
      </c>
      <c r="H41" s="13">
        <f t="shared" si="13"/>
        <v>1</v>
      </c>
      <c r="I41" s="13">
        <f t="shared" si="13"/>
        <v>1</v>
      </c>
      <c r="J41" s="13">
        <f t="shared" si="13"/>
        <v>0</v>
      </c>
      <c r="K41" s="13">
        <f t="shared" si="13"/>
        <v>0</v>
      </c>
      <c r="L41" s="13">
        <f t="shared" si="13"/>
        <v>6</v>
      </c>
      <c r="M41" s="13">
        <f t="shared" si="13"/>
        <v>0</v>
      </c>
      <c r="N41" s="13">
        <f t="shared" si="13"/>
        <v>2</v>
      </c>
      <c r="O41" s="13">
        <f t="shared" si="13"/>
        <v>7</v>
      </c>
      <c r="P41" s="13">
        <f t="shared" si="13"/>
        <v>0</v>
      </c>
      <c r="Q41" s="13">
        <f t="shared" si="13"/>
        <v>0</v>
      </c>
      <c r="R41" s="13">
        <f t="shared" si="13"/>
        <v>1</v>
      </c>
      <c r="S41" s="13">
        <f t="shared" si="13"/>
        <v>0</v>
      </c>
      <c r="T41" s="13">
        <f t="shared" si="13"/>
        <v>0</v>
      </c>
      <c r="U41" s="13">
        <f t="shared" si="13"/>
        <v>1</v>
      </c>
      <c r="V41" s="13">
        <f t="shared" si="12"/>
        <v>20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19"/>
      <c r="S42" s="58"/>
      <c r="T42" s="19"/>
      <c r="U42" s="19"/>
      <c r="V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13"/>
      <c r="S43" s="60"/>
      <c r="T43" s="13"/>
      <c r="U43" s="13"/>
      <c r="V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19"/>
      <c r="S44" s="58"/>
      <c r="T44" s="19"/>
      <c r="U44" s="19"/>
      <c r="V44" s="13"/>
    </row>
    <row r="45" ht="12.75" customHeight="1">
      <c r="A45" s="30"/>
      <c r="B45" s="47" t="s">
        <v>17</v>
      </c>
      <c r="C45" s="48" t="s">
        <v>37</v>
      </c>
      <c r="D45" s="16"/>
      <c r="E45" s="19">
        <v>11.0</v>
      </c>
      <c r="F45" s="19">
        <v>6.0</v>
      </c>
      <c r="G45" s="19">
        <v>12.0</v>
      </c>
      <c r="H45" s="19">
        <v>8.0</v>
      </c>
      <c r="I45" s="19">
        <v>12.0</v>
      </c>
      <c r="J45" s="19">
        <v>9.0</v>
      </c>
      <c r="K45" s="19">
        <v>13.0</v>
      </c>
      <c r="L45" s="19">
        <v>12.0</v>
      </c>
      <c r="M45" s="19">
        <v>12.0</v>
      </c>
      <c r="N45" s="19">
        <v>13.0</v>
      </c>
      <c r="O45" s="19">
        <v>11.0</v>
      </c>
      <c r="P45" s="19">
        <v>16.0</v>
      </c>
      <c r="Q45" s="19">
        <v>17.0</v>
      </c>
      <c r="R45" s="19">
        <v>9.0</v>
      </c>
      <c r="S45" s="19">
        <v>8.0</v>
      </c>
      <c r="T45" s="19">
        <v>7.0</v>
      </c>
      <c r="U45" s="19">
        <v>7.0</v>
      </c>
      <c r="V45" s="13">
        <f t="shared" ref="V45:V57" si="14">SUM(E45:U45)</f>
        <v>183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26.0</v>
      </c>
      <c r="F46" s="19">
        <v>38.0</v>
      </c>
      <c r="G46" s="19">
        <v>24.0</v>
      </c>
      <c r="H46" s="19">
        <v>38.0</v>
      </c>
      <c r="I46" s="19">
        <v>16.0</v>
      </c>
      <c r="J46" s="19">
        <v>29.0</v>
      </c>
      <c r="K46" s="19">
        <v>32.0</v>
      </c>
      <c r="L46" s="19">
        <v>23.0</v>
      </c>
      <c r="M46" s="19">
        <v>32.0</v>
      </c>
      <c r="N46" s="19">
        <v>36.0</v>
      </c>
      <c r="O46" s="19">
        <v>20.0</v>
      </c>
      <c r="P46" s="19">
        <v>29.0</v>
      </c>
      <c r="Q46" s="19">
        <v>43.0</v>
      </c>
      <c r="R46" s="19">
        <v>43.0</v>
      </c>
      <c r="S46" s="19">
        <v>45.0</v>
      </c>
      <c r="T46" s="19">
        <v>33.0</v>
      </c>
      <c r="U46" s="19">
        <v>31.0</v>
      </c>
      <c r="V46" s="13">
        <f t="shared" si="14"/>
        <v>538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13.0</v>
      </c>
      <c r="F47" s="19">
        <v>13.0</v>
      </c>
      <c r="G47" s="19">
        <v>16.0</v>
      </c>
      <c r="H47" s="19">
        <v>10.0</v>
      </c>
      <c r="I47" s="19">
        <v>10.0</v>
      </c>
      <c r="J47" s="19">
        <v>21.0</v>
      </c>
      <c r="K47" s="19">
        <v>19.0</v>
      </c>
      <c r="L47" s="19">
        <v>12.0</v>
      </c>
      <c r="M47" s="19">
        <v>8.0</v>
      </c>
      <c r="N47" s="19">
        <v>16.0</v>
      </c>
      <c r="O47" s="19">
        <v>21.0</v>
      </c>
      <c r="P47" s="19">
        <v>11.0</v>
      </c>
      <c r="Q47" s="19">
        <v>20.0</v>
      </c>
      <c r="R47" s="19">
        <v>13.0</v>
      </c>
      <c r="S47" s="19">
        <v>21.0</v>
      </c>
      <c r="T47" s="19">
        <v>9.0</v>
      </c>
      <c r="U47" s="19">
        <v>13.0</v>
      </c>
      <c r="V47" s="13">
        <f t="shared" si="14"/>
        <v>246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11.0</v>
      </c>
      <c r="F48" s="19">
        <v>15.0</v>
      </c>
      <c r="G48" s="19">
        <v>19.0</v>
      </c>
      <c r="H48" s="19">
        <v>22.0</v>
      </c>
      <c r="I48" s="19">
        <v>11.0</v>
      </c>
      <c r="J48" s="19">
        <v>19.0</v>
      </c>
      <c r="K48" s="19">
        <v>15.0</v>
      </c>
      <c r="L48" s="19">
        <v>19.0</v>
      </c>
      <c r="M48" s="19">
        <v>20.0</v>
      </c>
      <c r="N48" s="19">
        <v>16.0</v>
      </c>
      <c r="O48" s="19">
        <v>19.0</v>
      </c>
      <c r="P48" s="19">
        <v>16.0</v>
      </c>
      <c r="Q48" s="19">
        <v>24.0</v>
      </c>
      <c r="R48" s="19">
        <v>25.0</v>
      </c>
      <c r="S48" s="19">
        <v>14.0</v>
      </c>
      <c r="T48" s="19">
        <v>13.0</v>
      </c>
      <c r="U48" s="19">
        <v>12.0</v>
      </c>
      <c r="V48" s="13">
        <f t="shared" si="14"/>
        <v>290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24.0</v>
      </c>
      <c r="F49" s="19">
        <v>27.0</v>
      </c>
      <c r="G49" s="19">
        <v>25.0</v>
      </c>
      <c r="H49" s="19">
        <v>25.0</v>
      </c>
      <c r="I49" s="19">
        <v>33.0</v>
      </c>
      <c r="J49" s="19">
        <v>35.0</v>
      </c>
      <c r="K49" s="19">
        <v>24.0</v>
      </c>
      <c r="L49" s="19">
        <v>28.0</v>
      </c>
      <c r="M49" s="19">
        <v>18.0</v>
      </c>
      <c r="N49" s="19">
        <v>34.0</v>
      </c>
      <c r="O49" s="19">
        <v>13.0</v>
      </c>
      <c r="P49" s="19">
        <v>25.0</v>
      </c>
      <c r="Q49" s="19">
        <v>22.0</v>
      </c>
      <c r="R49" s="19">
        <v>39.0</v>
      </c>
      <c r="S49" s="19">
        <v>27.0</v>
      </c>
      <c r="T49" s="19">
        <v>29.0</v>
      </c>
      <c r="U49" s="19">
        <v>21.0</v>
      </c>
      <c r="V49" s="13">
        <f t="shared" si="14"/>
        <v>449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12.0</v>
      </c>
      <c r="F50" s="19">
        <v>8.0</v>
      </c>
      <c r="G50" s="19">
        <v>4.0</v>
      </c>
      <c r="H50" s="19">
        <v>11.0</v>
      </c>
      <c r="I50" s="19">
        <v>11.0</v>
      </c>
      <c r="J50" s="19">
        <v>12.0</v>
      </c>
      <c r="K50" s="19">
        <v>5.0</v>
      </c>
      <c r="L50" s="19">
        <v>8.0</v>
      </c>
      <c r="M50" s="19">
        <v>22.0</v>
      </c>
      <c r="N50" s="19">
        <v>9.0</v>
      </c>
      <c r="O50" s="19">
        <v>10.0</v>
      </c>
      <c r="P50" s="19">
        <v>11.0</v>
      </c>
      <c r="Q50" s="19">
        <v>6.0</v>
      </c>
      <c r="R50" s="19">
        <v>11.0</v>
      </c>
      <c r="S50" s="19">
        <v>14.0</v>
      </c>
      <c r="T50" s="19">
        <v>13.0</v>
      </c>
      <c r="U50" s="19">
        <v>13.0</v>
      </c>
      <c r="V50" s="13">
        <f t="shared" si="14"/>
        <v>180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4.0</v>
      </c>
      <c r="F51" s="19">
        <v>1.0</v>
      </c>
      <c r="G51" s="19">
        <v>4.0</v>
      </c>
      <c r="H51" s="19">
        <v>4.0</v>
      </c>
      <c r="I51" s="19">
        <v>1.0</v>
      </c>
      <c r="J51" s="19">
        <v>3.0</v>
      </c>
      <c r="K51" s="19">
        <v>2.0</v>
      </c>
      <c r="L51" s="19">
        <v>3.0</v>
      </c>
      <c r="M51" s="19">
        <v>0.0</v>
      </c>
      <c r="N51" s="19">
        <v>3.0</v>
      </c>
      <c r="O51" s="19">
        <v>2.0</v>
      </c>
      <c r="P51" s="19">
        <v>0.0</v>
      </c>
      <c r="Q51" s="19">
        <v>2.0</v>
      </c>
      <c r="R51" s="19">
        <v>3.0</v>
      </c>
      <c r="S51" s="19">
        <v>1.0</v>
      </c>
      <c r="T51" s="19">
        <v>2.0</v>
      </c>
      <c r="U51" s="19">
        <v>10.0</v>
      </c>
      <c r="V51" s="13">
        <f t="shared" si="14"/>
        <v>45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9.0</v>
      </c>
      <c r="F52" s="19">
        <v>2.0</v>
      </c>
      <c r="G52" s="19">
        <v>5.0</v>
      </c>
      <c r="H52" s="19">
        <v>10.0</v>
      </c>
      <c r="I52" s="19">
        <v>6.0</v>
      </c>
      <c r="J52" s="19">
        <v>4.0</v>
      </c>
      <c r="K52" s="19">
        <v>4.0</v>
      </c>
      <c r="L52" s="19">
        <v>12.0</v>
      </c>
      <c r="M52" s="19">
        <v>6.0</v>
      </c>
      <c r="N52" s="19">
        <v>10.0</v>
      </c>
      <c r="O52" s="19">
        <v>3.0</v>
      </c>
      <c r="P52" s="19">
        <v>4.0</v>
      </c>
      <c r="Q52" s="19">
        <v>5.0</v>
      </c>
      <c r="R52" s="19">
        <v>3.0</v>
      </c>
      <c r="S52" s="19">
        <v>1.0</v>
      </c>
      <c r="T52" s="19">
        <v>9.0</v>
      </c>
      <c r="U52" s="19">
        <v>8.0</v>
      </c>
      <c r="V52" s="13">
        <f t="shared" si="14"/>
        <v>101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1.0</v>
      </c>
      <c r="F53" s="19">
        <v>0.0</v>
      </c>
      <c r="G53" s="19">
        <v>2.0</v>
      </c>
      <c r="H53" s="19">
        <v>0.0</v>
      </c>
      <c r="I53" s="19">
        <v>6.0</v>
      </c>
      <c r="J53" s="19">
        <v>5.0</v>
      </c>
      <c r="K53" s="19">
        <v>2.0</v>
      </c>
      <c r="L53" s="19">
        <v>2.0</v>
      </c>
      <c r="M53" s="19">
        <v>2.0</v>
      </c>
      <c r="N53" s="19">
        <v>0.0</v>
      </c>
      <c r="O53" s="19">
        <v>1.0</v>
      </c>
      <c r="P53" s="19">
        <v>0.0</v>
      </c>
      <c r="Q53" s="19">
        <v>0.0</v>
      </c>
      <c r="R53" s="19">
        <v>0.0</v>
      </c>
      <c r="S53" s="19">
        <v>0.0</v>
      </c>
      <c r="T53" s="19">
        <v>1.0</v>
      </c>
      <c r="U53" s="19">
        <v>7.0</v>
      </c>
      <c r="V53" s="13">
        <f t="shared" si="14"/>
        <v>29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25.0</v>
      </c>
      <c r="F54" s="19">
        <v>26.0</v>
      </c>
      <c r="G54" s="19">
        <v>27.0</v>
      </c>
      <c r="H54" s="19">
        <v>27.0</v>
      </c>
      <c r="I54" s="19">
        <v>28.0</v>
      </c>
      <c r="J54" s="19">
        <v>20.0</v>
      </c>
      <c r="K54" s="19">
        <v>26.0</v>
      </c>
      <c r="L54" s="19">
        <v>17.0</v>
      </c>
      <c r="M54" s="19">
        <v>18.0</v>
      </c>
      <c r="N54" s="19">
        <v>15.0</v>
      </c>
      <c r="O54" s="19">
        <v>16.0</v>
      </c>
      <c r="P54" s="19">
        <v>27.0</v>
      </c>
      <c r="Q54" s="19">
        <v>17.0</v>
      </c>
      <c r="R54" s="19">
        <v>23.0</v>
      </c>
      <c r="S54" s="19">
        <v>33.0</v>
      </c>
      <c r="T54" s="19">
        <v>31.0</v>
      </c>
      <c r="U54" s="19">
        <v>28.0</v>
      </c>
      <c r="V54" s="13">
        <f t="shared" si="14"/>
        <v>404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0.0</v>
      </c>
      <c r="F55" s="19">
        <v>4.0</v>
      </c>
      <c r="G55" s="19">
        <v>1.0</v>
      </c>
      <c r="H55" s="19">
        <v>0.0</v>
      </c>
      <c r="I55" s="19">
        <v>11.0</v>
      </c>
      <c r="J55" s="19">
        <v>1.0</v>
      </c>
      <c r="K55" s="19">
        <v>0.0</v>
      </c>
      <c r="L55" s="19">
        <v>1.0</v>
      </c>
      <c r="M55" s="19">
        <v>2.0</v>
      </c>
      <c r="N55" s="19">
        <v>1.0</v>
      </c>
      <c r="O55" s="19">
        <v>0.0</v>
      </c>
      <c r="P55" s="19">
        <v>2.0</v>
      </c>
      <c r="Q55" s="19">
        <v>2.0</v>
      </c>
      <c r="R55" s="19">
        <v>1.0</v>
      </c>
      <c r="S55" s="19">
        <v>0.0</v>
      </c>
      <c r="T55" s="19">
        <v>5.0</v>
      </c>
      <c r="U55" s="19">
        <v>2.0</v>
      </c>
      <c r="V55" s="13">
        <f t="shared" si="14"/>
        <v>33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16.0</v>
      </c>
      <c r="F56" s="19">
        <v>17.0</v>
      </c>
      <c r="G56" s="19">
        <v>17.0</v>
      </c>
      <c r="H56" s="19">
        <v>21.0</v>
      </c>
      <c r="I56" s="19">
        <v>14.0</v>
      </c>
      <c r="J56" s="19">
        <v>20.0</v>
      </c>
      <c r="K56" s="19">
        <v>16.0</v>
      </c>
      <c r="L56" s="19">
        <v>18.0</v>
      </c>
      <c r="M56" s="19">
        <v>34.0</v>
      </c>
      <c r="N56" s="19">
        <v>26.0</v>
      </c>
      <c r="O56" s="19">
        <v>15.0</v>
      </c>
      <c r="P56" s="19">
        <v>19.0</v>
      </c>
      <c r="Q56" s="19">
        <v>21.0</v>
      </c>
      <c r="R56" s="19">
        <v>21.0</v>
      </c>
      <c r="S56" s="19">
        <v>24.0</v>
      </c>
      <c r="T56" s="19">
        <v>19.0</v>
      </c>
      <c r="U56" s="19">
        <v>19.0</v>
      </c>
      <c r="V56" s="13">
        <f t="shared" si="14"/>
        <v>337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1.0</v>
      </c>
      <c r="F57" s="19">
        <v>5.0</v>
      </c>
      <c r="G57" s="19">
        <v>7.0</v>
      </c>
      <c r="H57" s="19">
        <v>2.0</v>
      </c>
      <c r="I57" s="19">
        <v>5.0</v>
      </c>
      <c r="J57" s="19">
        <v>5.0</v>
      </c>
      <c r="K57" s="19">
        <v>2.0</v>
      </c>
      <c r="L57" s="19">
        <v>1.0</v>
      </c>
      <c r="M57" s="19">
        <v>0.0</v>
      </c>
      <c r="N57" s="19">
        <v>2.0</v>
      </c>
      <c r="O57" s="19">
        <v>3.0</v>
      </c>
      <c r="P57" s="19">
        <v>2.0</v>
      </c>
      <c r="Q57" s="19">
        <v>5.0</v>
      </c>
      <c r="R57" s="19">
        <v>3.0</v>
      </c>
      <c r="S57" s="19">
        <v>1.0</v>
      </c>
      <c r="T57" s="19">
        <v>6.0</v>
      </c>
      <c r="U57" s="19">
        <v>7.0</v>
      </c>
      <c r="V57" s="13">
        <f t="shared" si="14"/>
        <v>57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60"/>
      <c r="T59" s="60"/>
      <c r="U59" s="13"/>
      <c r="V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U60" si="15">SUM(E45:E57)</f>
        <v>153</v>
      </c>
      <c r="F60" s="19">
        <f t="shared" si="15"/>
        <v>162</v>
      </c>
      <c r="G60" s="19">
        <f t="shared" si="15"/>
        <v>163</v>
      </c>
      <c r="H60" s="19">
        <f t="shared" si="15"/>
        <v>178</v>
      </c>
      <c r="I60" s="19">
        <f t="shared" si="15"/>
        <v>164</v>
      </c>
      <c r="J60" s="19">
        <f t="shared" si="15"/>
        <v>183</v>
      </c>
      <c r="K60" s="19">
        <f t="shared" si="15"/>
        <v>160</v>
      </c>
      <c r="L60" s="19">
        <f t="shared" si="15"/>
        <v>156</v>
      </c>
      <c r="M60" s="19">
        <f t="shared" si="15"/>
        <v>174</v>
      </c>
      <c r="N60" s="19">
        <f t="shared" si="15"/>
        <v>181</v>
      </c>
      <c r="O60" s="19">
        <f t="shared" si="15"/>
        <v>134</v>
      </c>
      <c r="P60" s="19">
        <f t="shared" si="15"/>
        <v>162</v>
      </c>
      <c r="Q60" s="19">
        <f t="shared" si="15"/>
        <v>184</v>
      </c>
      <c r="R60" s="19">
        <f t="shared" si="15"/>
        <v>194</v>
      </c>
      <c r="S60" s="19">
        <f t="shared" si="15"/>
        <v>189</v>
      </c>
      <c r="T60" s="19">
        <f t="shared" si="15"/>
        <v>177</v>
      </c>
      <c r="U60" s="19">
        <f t="shared" si="15"/>
        <v>178</v>
      </c>
      <c r="V60" s="13">
        <f t="shared" ref="V60:V62" si="16">SUM(E60:U60)</f>
        <v>2892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54.0</v>
      </c>
      <c r="F61" s="19">
        <v>42.0</v>
      </c>
      <c r="G61" s="19">
        <v>53.0</v>
      </c>
      <c r="H61" s="19">
        <v>45.0</v>
      </c>
      <c r="I61" s="19">
        <v>56.0</v>
      </c>
      <c r="J61" s="19">
        <v>39.0</v>
      </c>
      <c r="K61" s="19">
        <v>38.0</v>
      </c>
      <c r="L61" s="19">
        <v>49.0</v>
      </c>
      <c r="M61" s="19">
        <v>29.0</v>
      </c>
      <c r="N61" s="19">
        <v>56.0</v>
      </c>
      <c r="O61" s="19">
        <v>46.0</v>
      </c>
      <c r="P61" s="19">
        <v>47.0</v>
      </c>
      <c r="Q61" s="19">
        <v>50.0</v>
      </c>
      <c r="R61" s="19">
        <v>32.0</v>
      </c>
      <c r="S61" s="19">
        <v>51.0</v>
      </c>
      <c r="T61" s="19">
        <v>48.0</v>
      </c>
      <c r="U61" s="19">
        <v>46.0</v>
      </c>
      <c r="V61" s="13">
        <f t="shared" si="16"/>
        <v>781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U62" si="17">SUM(E60:E61)</f>
        <v>207</v>
      </c>
      <c r="F62" s="13">
        <f t="shared" si="17"/>
        <v>204</v>
      </c>
      <c r="G62" s="13">
        <f t="shared" si="17"/>
        <v>216</v>
      </c>
      <c r="H62" s="13">
        <f t="shared" si="17"/>
        <v>223</v>
      </c>
      <c r="I62" s="13">
        <f t="shared" si="17"/>
        <v>220</v>
      </c>
      <c r="J62" s="13">
        <f t="shared" si="17"/>
        <v>222</v>
      </c>
      <c r="K62" s="13">
        <f t="shared" si="17"/>
        <v>198</v>
      </c>
      <c r="L62" s="13">
        <f t="shared" si="17"/>
        <v>205</v>
      </c>
      <c r="M62" s="13">
        <f t="shared" si="17"/>
        <v>203</v>
      </c>
      <c r="N62" s="13">
        <f t="shared" si="17"/>
        <v>237</v>
      </c>
      <c r="O62" s="13">
        <f t="shared" si="17"/>
        <v>180</v>
      </c>
      <c r="P62" s="13">
        <f t="shared" si="17"/>
        <v>209</v>
      </c>
      <c r="Q62" s="13">
        <f t="shared" si="17"/>
        <v>234</v>
      </c>
      <c r="R62" s="13">
        <f t="shared" si="17"/>
        <v>226</v>
      </c>
      <c r="S62" s="13">
        <f t="shared" si="17"/>
        <v>240</v>
      </c>
      <c r="T62" s="13">
        <f t="shared" si="17"/>
        <v>225</v>
      </c>
      <c r="U62" s="13">
        <f t="shared" si="17"/>
        <v>224</v>
      </c>
      <c r="V62" s="13">
        <f t="shared" si="16"/>
        <v>3673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U12"/>
    <mergeCell ref="V12:V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U15 E45:U57">
    <cfRule type="containsBlanks" dxfId="1" priority="1">
      <formula>LEN(TRIM(E14))=0</formula>
    </cfRule>
  </conditionalFormatting>
  <conditionalFormatting sqref="E19:U20">
    <cfRule type="containsBlanks" dxfId="1" priority="2">
      <formula>LEN(TRIM(E19))=0</formula>
    </cfRule>
  </conditionalFormatting>
  <conditionalFormatting sqref="E22:U23 E25:U26 E33:U33 E35:U35 E39:U40">
    <cfRule type="containsBlanks" dxfId="1" priority="3">
      <formula>LEN(TRIM(E22))=0</formula>
    </cfRule>
  </conditionalFormatting>
  <conditionalFormatting sqref="E30:U30">
    <cfRule type="expression" dxfId="0" priority="4">
      <formula>E30&lt;&gt;E46</formula>
    </cfRule>
  </conditionalFormatting>
  <conditionalFormatting sqref="E30:U30">
    <cfRule type="expression" dxfId="0" priority="5">
      <formula>E30&lt;&gt;E34</formula>
    </cfRule>
  </conditionalFormatting>
  <conditionalFormatting sqref="E34:U34">
    <cfRule type="expression" dxfId="2" priority="6">
      <formula>E30&lt;&gt;E34</formula>
    </cfRule>
  </conditionalFormatting>
  <conditionalFormatting sqref="E34:U34">
    <cfRule type="expression" dxfId="3" priority="7">
      <formula>E30=E34</formula>
    </cfRule>
  </conditionalFormatting>
  <conditionalFormatting sqref="E34:U34">
    <cfRule type="expression" dxfId="0" priority="8">
      <formula>E34&lt;&gt;E30</formula>
    </cfRule>
  </conditionalFormatting>
  <conditionalFormatting sqref="E34:U34">
    <cfRule type="expression" dxfId="0" priority="9">
      <formula>E34&lt;&gt;E55</formula>
    </cfRule>
  </conditionalFormatting>
  <conditionalFormatting sqref="E60:U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1" width="8.71"/>
    <col customWidth="1" min="22" max="22" width="13.29"/>
    <col customWidth="1" min="23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89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Q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90</v>
      </c>
      <c r="S13" s="13" t="s">
        <v>91</v>
      </c>
      <c r="T13" s="13" t="s">
        <v>92</v>
      </c>
      <c r="U13" s="13" t="s">
        <v>93</v>
      </c>
      <c r="V13" s="36"/>
    </row>
    <row r="14" ht="12.75" customHeight="1">
      <c r="A14" s="18"/>
      <c r="B14" s="22" t="s">
        <v>11</v>
      </c>
      <c r="C14" s="23"/>
      <c r="D14" s="19" t="s">
        <v>12</v>
      </c>
      <c r="E14" s="19">
        <v>142.0</v>
      </c>
      <c r="F14" s="19">
        <v>145.0</v>
      </c>
      <c r="G14" s="19">
        <v>140.0</v>
      </c>
      <c r="H14" s="19">
        <v>144.0</v>
      </c>
      <c r="I14" s="19">
        <v>144.0</v>
      </c>
      <c r="J14" s="19">
        <v>147.0</v>
      </c>
      <c r="K14" s="19">
        <v>145.0</v>
      </c>
      <c r="L14" s="19">
        <v>159.0</v>
      </c>
      <c r="M14" s="19">
        <v>142.0</v>
      </c>
      <c r="N14" s="19">
        <v>129.0</v>
      </c>
      <c r="O14" s="19">
        <v>143.0</v>
      </c>
      <c r="P14" s="19">
        <v>115.0</v>
      </c>
      <c r="Q14" s="19">
        <v>77.0</v>
      </c>
      <c r="R14" s="19">
        <v>249.0</v>
      </c>
      <c r="S14" s="19">
        <v>252.0</v>
      </c>
      <c r="T14" s="19">
        <v>235.0</v>
      </c>
      <c r="U14" s="19">
        <v>189.0</v>
      </c>
      <c r="V14" s="13">
        <f t="shared" ref="V14:V16" si="1">SUM(E14:U14)</f>
        <v>2697</v>
      </c>
    </row>
    <row r="15" ht="12.75" customHeight="1">
      <c r="A15" s="18"/>
      <c r="B15" s="26"/>
      <c r="C15" s="27"/>
      <c r="D15" s="19" t="s">
        <v>13</v>
      </c>
      <c r="E15" s="19">
        <v>147.0</v>
      </c>
      <c r="F15" s="19">
        <v>150.0</v>
      </c>
      <c r="G15" s="19">
        <v>151.0</v>
      </c>
      <c r="H15" s="19">
        <v>141.0</v>
      </c>
      <c r="I15" s="19">
        <v>147.0</v>
      </c>
      <c r="J15" s="19">
        <v>138.0</v>
      </c>
      <c r="K15" s="19">
        <v>140.0</v>
      </c>
      <c r="L15" s="19">
        <v>134.0</v>
      </c>
      <c r="M15" s="19">
        <v>131.0</v>
      </c>
      <c r="N15" s="19">
        <v>137.0</v>
      </c>
      <c r="O15" s="19">
        <v>154.0</v>
      </c>
      <c r="P15" s="19">
        <v>134.0</v>
      </c>
      <c r="Q15" s="19">
        <v>97.0</v>
      </c>
      <c r="R15" s="19">
        <v>9.0</v>
      </c>
      <c r="S15" s="19">
        <v>7.0</v>
      </c>
      <c r="T15" s="19">
        <v>14.0</v>
      </c>
      <c r="U15" s="19">
        <v>8.0</v>
      </c>
      <c r="V15" s="13">
        <f t="shared" si="1"/>
        <v>1839</v>
      </c>
    </row>
    <row r="16" ht="12.75" customHeight="1">
      <c r="A16" s="25"/>
      <c r="B16" s="21"/>
      <c r="C16" s="28"/>
      <c r="D16" s="13" t="s">
        <v>14</v>
      </c>
      <c r="E16" s="13">
        <f t="shared" ref="E16:U16" si="2">SUM(E14:E15)</f>
        <v>289</v>
      </c>
      <c r="F16" s="13">
        <f t="shared" si="2"/>
        <v>295</v>
      </c>
      <c r="G16" s="13">
        <f t="shared" si="2"/>
        <v>291</v>
      </c>
      <c r="H16" s="13">
        <f t="shared" si="2"/>
        <v>285</v>
      </c>
      <c r="I16" s="13">
        <f t="shared" si="2"/>
        <v>291</v>
      </c>
      <c r="J16" s="13">
        <f t="shared" si="2"/>
        <v>285</v>
      </c>
      <c r="K16" s="13">
        <f t="shared" si="2"/>
        <v>285</v>
      </c>
      <c r="L16" s="13">
        <f t="shared" si="2"/>
        <v>293</v>
      </c>
      <c r="M16" s="13">
        <f t="shared" si="2"/>
        <v>273</v>
      </c>
      <c r="N16" s="13">
        <f t="shared" si="2"/>
        <v>266</v>
      </c>
      <c r="O16" s="13">
        <f t="shared" si="2"/>
        <v>297</v>
      </c>
      <c r="P16" s="13">
        <f t="shared" si="2"/>
        <v>249</v>
      </c>
      <c r="Q16" s="13">
        <f t="shared" si="2"/>
        <v>174</v>
      </c>
      <c r="R16" s="13">
        <f t="shared" si="2"/>
        <v>258</v>
      </c>
      <c r="S16" s="13">
        <f t="shared" si="2"/>
        <v>259</v>
      </c>
      <c r="T16" s="13">
        <f t="shared" si="2"/>
        <v>249</v>
      </c>
      <c r="U16" s="13">
        <f t="shared" si="2"/>
        <v>197</v>
      </c>
      <c r="V16" s="13">
        <f t="shared" si="1"/>
        <v>4536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8"/>
      <c r="U17" s="58"/>
      <c r="V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8"/>
      <c r="U18" s="58"/>
      <c r="V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114.0</v>
      </c>
      <c r="F19" s="19">
        <v>114.0</v>
      </c>
      <c r="G19" s="19">
        <v>108.0</v>
      </c>
      <c r="H19" s="19">
        <v>107.0</v>
      </c>
      <c r="I19" s="19">
        <v>111.0</v>
      </c>
      <c r="J19" s="19">
        <v>111.0</v>
      </c>
      <c r="K19" s="19">
        <v>124.0</v>
      </c>
      <c r="L19" s="19">
        <v>116.0</v>
      </c>
      <c r="M19" s="19">
        <v>122.0</v>
      </c>
      <c r="N19" s="19">
        <v>107.0</v>
      </c>
      <c r="O19" s="19">
        <v>117.0</v>
      </c>
      <c r="P19" s="19">
        <v>92.0</v>
      </c>
      <c r="Q19" s="19">
        <v>63.0</v>
      </c>
      <c r="R19" s="19">
        <v>151.0</v>
      </c>
      <c r="S19" s="19">
        <v>174.0</v>
      </c>
      <c r="T19" s="19">
        <v>126.0</v>
      </c>
      <c r="U19" s="19">
        <v>107.0</v>
      </c>
      <c r="V19" s="13">
        <f t="shared" ref="V19:V30" si="3">SUM(E19:U19)</f>
        <v>1964</v>
      </c>
    </row>
    <row r="20" ht="12.75" customHeight="1">
      <c r="A20" s="33"/>
      <c r="B20" s="27"/>
      <c r="C20" s="34"/>
      <c r="D20" s="19" t="s">
        <v>13</v>
      </c>
      <c r="E20" s="19">
        <v>124.0</v>
      </c>
      <c r="F20" s="19">
        <v>114.0</v>
      </c>
      <c r="G20" s="19">
        <v>128.0</v>
      </c>
      <c r="H20" s="19">
        <v>115.0</v>
      </c>
      <c r="I20" s="19">
        <v>125.0</v>
      </c>
      <c r="J20" s="19">
        <v>116.0</v>
      </c>
      <c r="K20" s="19">
        <v>123.0</v>
      </c>
      <c r="L20" s="19">
        <v>110.0</v>
      </c>
      <c r="M20" s="19">
        <v>121.0</v>
      </c>
      <c r="N20" s="19">
        <v>115.0</v>
      </c>
      <c r="O20" s="19">
        <v>126.0</v>
      </c>
      <c r="P20" s="19">
        <v>102.0</v>
      </c>
      <c r="Q20" s="19">
        <v>85.0</v>
      </c>
      <c r="R20" s="19">
        <v>6.0</v>
      </c>
      <c r="S20" s="19">
        <v>6.0</v>
      </c>
      <c r="T20" s="19">
        <v>5.0</v>
      </c>
      <c r="U20" s="19">
        <v>8.0</v>
      </c>
      <c r="V20" s="13">
        <f t="shared" si="3"/>
        <v>1529</v>
      </c>
    </row>
    <row r="21" ht="12.75" customHeight="1">
      <c r="A21" s="35"/>
      <c r="B21" s="28"/>
      <c r="C21" s="36"/>
      <c r="D21" s="13" t="s">
        <v>14</v>
      </c>
      <c r="E21" s="13">
        <f t="shared" ref="E21:U21" si="4">SUM(E19:E20)</f>
        <v>238</v>
      </c>
      <c r="F21" s="13">
        <f t="shared" si="4"/>
        <v>228</v>
      </c>
      <c r="G21" s="13">
        <f t="shared" si="4"/>
        <v>236</v>
      </c>
      <c r="H21" s="13">
        <f t="shared" si="4"/>
        <v>222</v>
      </c>
      <c r="I21" s="13">
        <f t="shared" si="4"/>
        <v>236</v>
      </c>
      <c r="J21" s="13">
        <f t="shared" si="4"/>
        <v>227</v>
      </c>
      <c r="K21" s="13">
        <f t="shared" si="4"/>
        <v>247</v>
      </c>
      <c r="L21" s="13">
        <f t="shared" si="4"/>
        <v>226</v>
      </c>
      <c r="M21" s="13">
        <f t="shared" si="4"/>
        <v>243</v>
      </c>
      <c r="N21" s="13">
        <f t="shared" si="4"/>
        <v>222</v>
      </c>
      <c r="O21" s="13">
        <f t="shared" si="4"/>
        <v>243</v>
      </c>
      <c r="P21" s="13">
        <f t="shared" si="4"/>
        <v>194</v>
      </c>
      <c r="Q21" s="13">
        <f t="shared" si="4"/>
        <v>148</v>
      </c>
      <c r="R21" s="13">
        <f t="shared" si="4"/>
        <v>157</v>
      </c>
      <c r="S21" s="13">
        <f t="shared" si="4"/>
        <v>180</v>
      </c>
      <c r="T21" s="13">
        <f t="shared" si="4"/>
        <v>131</v>
      </c>
      <c r="U21" s="13">
        <f t="shared" si="4"/>
        <v>115</v>
      </c>
      <c r="V21" s="13">
        <f t="shared" si="3"/>
        <v>3493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3.0</v>
      </c>
      <c r="G22" s="19">
        <v>0.0</v>
      </c>
      <c r="H22" s="19">
        <v>0.0</v>
      </c>
      <c r="I22" s="19">
        <v>0.0</v>
      </c>
      <c r="J22" s="19">
        <v>0.0</v>
      </c>
      <c r="K22" s="19">
        <v>1.0</v>
      </c>
      <c r="L22" s="19">
        <v>0.0</v>
      </c>
      <c r="M22" s="19">
        <v>0.0</v>
      </c>
      <c r="N22" s="19">
        <v>0.0</v>
      </c>
      <c r="O22" s="19">
        <v>0.0</v>
      </c>
      <c r="P22" s="19">
        <v>4.0</v>
      </c>
      <c r="Q22" s="19">
        <v>1.0</v>
      </c>
      <c r="R22" s="19">
        <v>88.0</v>
      </c>
      <c r="S22" s="19">
        <v>78.0</v>
      </c>
      <c r="T22" s="19">
        <v>86.0</v>
      </c>
      <c r="U22" s="19">
        <v>47.0</v>
      </c>
      <c r="V22" s="13">
        <f t="shared" si="3"/>
        <v>308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>
        <v>1.0</v>
      </c>
      <c r="G23" s="19">
        <v>1.0</v>
      </c>
      <c r="H23" s="19">
        <v>0.0</v>
      </c>
      <c r="I23" s="19">
        <v>0.0</v>
      </c>
      <c r="J23" s="19">
        <v>2.0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5.0</v>
      </c>
      <c r="Q23" s="19">
        <v>1.0</v>
      </c>
      <c r="R23" s="19">
        <v>2.0</v>
      </c>
      <c r="S23" s="19">
        <v>2.0</v>
      </c>
      <c r="T23" s="19">
        <v>9.0</v>
      </c>
      <c r="U23" s="19">
        <v>6.0</v>
      </c>
      <c r="V23" s="13">
        <f t="shared" si="3"/>
        <v>30</v>
      </c>
    </row>
    <row r="24" ht="12.75" customHeight="1">
      <c r="A24" s="35"/>
      <c r="B24" s="28"/>
      <c r="C24" s="36"/>
      <c r="D24" s="13" t="s">
        <v>14</v>
      </c>
      <c r="E24" s="13">
        <f t="shared" ref="E24:U24" si="5">SUM(E22:E23)</f>
        <v>1</v>
      </c>
      <c r="F24" s="13">
        <f t="shared" si="5"/>
        <v>4</v>
      </c>
      <c r="G24" s="13">
        <f t="shared" si="5"/>
        <v>1</v>
      </c>
      <c r="H24" s="13">
        <f t="shared" si="5"/>
        <v>0</v>
      </c>
      <c r="I24" s="13">
        <f t="shared" si="5"/>
        <v>0</v>
      </c>
      <c r="J24" s="13">
        <f t="shared" si="5"/>
        <v>2</v>
      </c>
      <c r="K24" s="13">
        <f t="shared" si="5"/>
        <v>1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9</v>
      </c>
      <c r="Q24" s="13">
        <f t="shared" si="5"/>
        <v>2</v>
      </c>
      <c r="R24" s="13">
        <f t="shared" si="5"/>
        <v>90</v>
      </c>
      <c r="S24" s="13">
        <f t="shared" si="5"/>
        <v>80</v>
      </c>
      <c r="T24" s="13">
        <f t="shared" si="5"/>
        <v>95</v>
      </c>
      <c r="U24" s="13">
        <f t="shared" si="5"/>
        <v>53</v>
      </c>
      <c r="V24" s="13">
        <f t="shared" si="3"/>
        <v>338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1.0</v>
      </c>
      <c r="G25" s="19">
        <v>2.0</v>
      </c>
      <c r="H25" s="19">
        <v>1.0</v>
      </c>
      <c r="I25" s="19">
        <v>0.0</v>
      </c>
      <c r="J25" s="19">
        <v>3.0</v>
      </c>
      <c r="K25" s="19">
        <v>2.0</v>
      </c>
      <c r="L25" s="19">
        <v>3.0</v>
      </c>
      <c r="M25" s="19">
        <v>1.0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19"/>
      <c r="U25" s="19"/>
      <c r="V25" s="13">
        <f t="shared" si="3"/>
        <v>13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4.0</v>
      </c>
      <c r="H26" s="19">
        <v>1.0</v>
      </c>
      <c r="I26" s="19">
        <v>2.0</v>
      </c>
      <c r="J26" s="19">
        <v>1.0</v>
      </c>
      <c r="K26" s="19">
        <v>1.0</v>
      </c>
      <c r="L26" s="19">
        <v>3.0</v>
      </c>
      <c r="M26" s="19">
        <v>1.0</v>
      </c>
      <c r="N26" s="19">
        <v>0.0</v>
      </c>
      <c r="O26" s="19">
        <v>3.0</v>
      </c>
      <c r="P26" s="19">
        <v>3.0</v>
      </c>
      <c r="Q26" s="19">
        <v>1.0</v>
      </c>
      <c r="R26" s="19">
        <v>0.0</v>
      </c>
      <c r="S26" s="19">
        <v>0.0</v>
      </c>
      <c r="T26" s="19"/>
      <c r="U26" s="19"/>
      <c r="V26" s="13">
        <f t="shared" si="3"/>
        <v>20</v>
      </c>
    </row>
    <row r="27" ht="12.75" customHeight="1">
      <c r="A27" s="35"/>
      <c r="B27" s="28"/>
      <c r="C27" s="36"/>
      <c r="D27" s="13" t="s">
        <v>14</v>
      </c>
      <c r="E27" s="13">
        <f t="shared" ref="E27:U27" si="6">SUM(E25:E26)</f>
        <v>0</v>
      </c>
      <c r="F27" s="13">
        <f t="shared" si="6"/>
        <v>1</v>
      </c>
      <c r="G27" s="13">
        <f t="shared" si="6"/>
        <v>6</v>
      </c>
      <c r="H27" s="13">
        <f t="shared" si="6"/>
        <v>2</v>
      </c>
      <c r="I27" s="13">
        <f t="shared" si="6"/>
        <v>2</v>
      </c>
      <c r="J27" s="13">
        <f t="shared" si="6"/>
        <v>4</v>
      </c>
      <c r="K27" s="13">
        <f t="shared" si="6"/>
        <v>3</v>
      </c>
      <c r="L27" s="13">
        <f t="shared" si="6"/>
        <v>6</v>
      </c>
      <c r="M27" s="13">
        <f t="shared" si="6"/>
        <v>2</v>
      </c>
      <c r="N27" s="13">
        <f t="shared" si="6"/>
        <v>0</v>
      </c>
      <c r="O27" s="13">
        <f t="shared" si="6"/>
        <v>3</v>
      </c>
      <c r="P27" s="13">
        <f t="shared" si="6"/>
        <v>3</v>
      </c>
      <c r="Q27" s="13">
        <f t="shared" si="6"/>
        <v>1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0</v>
      </c>
      <c r="V27" s="13">
        <f t="shared" si="3"/>
        <v>33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U28" si="7">SUM(E19,E22,E25)</f>
        <v>114</v>
      </c>
      <c r="F28" s="13">
        <f t="shared" si="7"/>
        <v>118</v>
      </c>
      <c r="G28" s="13">
        <f t="shared" si="7"/>
        <v>110</v>
      </c>
      <c r="H28" s="13">
        <f t="shared" si="7"/>
        <v>108</v>
      </c>
      <c r="I28" s="13">
        <f t="shared" si="7"/>
        <v>111</v>
      </c>
      <c r="J28" s="13">
        <f t="shared" si="7"/>
        <v>114</v>
      </c>
      <c r="K28" s="13">
        <f t="shared" si="7"/>
        <v>127</v>
      </c>
      <c r="L28" s="13">
        <f t="shared" si="7"/>
        <v>119</v>
      </c>
      <c r="M28" s="13">
        <f t="shared" si="7"/>
        <v>123</v>
      </c>
      <c r="N28" s="13">
        <f t="shared" si="7"/>
        <v>107</v>
      </c>
      <c r="O28" s="13">
        <f t="shared" si="7"/>
        <v>117</v>
      </c>
      <c r="P28" s="13">
        <f t="shared" si="7"/>
        <v>96</v>
      </c>
      <c r="Q28" s="13">
        <f t="shared" si="7"/>
        <v>64</v>
      </c>
      <c r="R28" s="13">
        <f t="shared" si="7"/>
        <v>239</v>
      </c>
      <c r="S28" s="13">
        <f t="shared" si="7"/>
        <v>252</v>
      </c>
      <c r="T28" s="13">
        <f t="shared" si="7"/>
        <v>212</v>
      </c>
      <c r="U28" s="13">
        <f t="shared" si="7"/>
        <v>154</v>
      </c>
      <c r="V28" s="13">
        <f t="shared" si="3"/>
        <v>2285</v>
      </c>
    </row>
    <row r="29" ht="12.75" customHeight="1">
      <c r="A29" s="35"/>
      <c r="B29" s="27"/>
      <c r="C29" s="34"/>
      <c r="D29" s="13" t="s">
        <v>13</v>
      </c>
      <c r="E29" s="13">
        <f t="shared" ref="E29:U29" si="8">SUM(E20,E23,E26)</f>
        <v>125</v>
      </c>
      <c r="F29" s="13">
        <f t="shared" si="8"/>
        <v>115</v>
      </c>
      <c r="G29" s="13">
        <f t="shared" si="8"/>
        <v>133</v>
      </c>
      <c r="H29" s="13">
        <f t="shared" si="8"/>
        <v>116</v>
      </c>
      <c r="I29" s="13">
        <f t="shared" si="8"/>
        <v>127</v>
      </c>
      <c r="J29" s="13">
        <f t="shared" si="8"/>
        <v>119</v>
      </c>
      <c r="K29" s="13">
        <f t="shared" si="8"/>
        <v>124</v>
      </c>
      <c r="L29" s="13">
        <f t="shared" si="8"/>
        <v>113</v>
      </c>
      <c r="M29" s="13">
        <f t="shared" si="8"/>
        <v>122</v>
      </c>
      <c r="N29" s="13">
        <f t="shared" si="8"/>
        <v>115</v>
      </c>
      <c r="O29" s="13">
        <f t="shared" si="8"/>
        <v>129</v>
      </c>
      <c r="P29" s="13">
        <f t="shared" si="8"/>
        <v>110</v>
      </c>
      <c r="Q29" s="13">
        <f t="shared" si="8"/>
        <v>87</v>
      </c>
      <c r="R29" s="13">
        <f t="shared" si="8"/>
        <v>8</v>
      </c>
      <c r="S29" s="13">
        <f t="shared" si="8"/>
        <v>8</v>
      </c>
      <c r="T29" s="13">
        <f t="shared" si="8"/>
        <v>14</v>
      </c>
      <c r="U29" s="13">
        <f t="shared" si="8"/>
        <v>14</v>
      </c>
      <c r="V29" s="13">
        <f t="shared" si="3"/>
        <v>1579</v>
      </c>
    </row>
    <row r="30" ht="12.75" customHeight="1">
      <c r="A30" s="35"/>
      <c r="B30" s="28"/>
      <c r="C30" s="36"/>
      <c r="D30" s="13" t="s">
        <v>14</v>
      </c>
      <c r="E30" s="13">
        <f t="shared" ref="E30:U30" si="9">SUM(E28:E29)</f>
        <v>239</v>
      </c>
      <c r="F30" s="13">
        <f t="shared" si="9"/>
        <v>233</v>
      </c>
      <c r="G30" s="13">
        <f t="shared" si="9"/>
        <v>243</v>
      </c>
      <c r="H30" s="13">
        <f t="shared" si="9"/>
        <v>224</v>
      </c>
      <c r="I30" s="13">
        <f t="shared" si="9"/>
        <v>238</v>
      </c>
      <c r="J30" s="13">
        <f t="shared" si="9"/>
        <v>233</v>
      </c>
      <c r="K30" s="13">
        <f t="shared" si="9"/>
        <v>251</v>
      </c>
      <c r="L30" s="13">
        <f t="shared" si="9"/>
        <v>232</v>
      </c>
      <c r="M30" s="13">
        <f t="shared" si="9"/>
        <v>245</v>
      </c>
      <c r="N30" s="13">
        <f t="shared" si="9"/>
        <v>222</v>
      </c>
      <c r="O30" s="13">
        <f t="shared" si="9"/>
        <v>246</v>
      </c>
      <c r="P30" s="13">
        <f t="shared" si="9"/>
        <v>206</v>
      </c>
      <c r="Q30" s="13">
        <f t="shared" si="9"/>
        <v>151</v>
      </c>
      <c r="R30" s="13">
        <f t="shared" si="9"/>
        <v>247</v>
      </c>
      <c r="S30" s="13">
        <f t="shared" si="9"/>
        <v>260</v>
      </c>
      <c r="T30" s="13">
        <f t="shared" si="9"/>
        <v>226</v>
      </c>
      <c r="U30" s="13">
        <f t="shared" si="9"/>
        <v>168</v>
      </c>
      <c r="V30" s="13">
        <f t="shared" si="3"/>
        <v>3864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8"/>
      <c r="U31" s="58"/>
      <c r="V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60"/>
      <c r="V32" s="59"/>
    </row>
    <row r="33" ht="12.75" customHeight="1">
      <c r="A33" s="19">
        <v>1.0</v>
      </c>
      <c r="B33" s="20" t="s">
        <v>27</v>
      </c>
      <c r="C33" s="15"/>
      <c r="D33" s="16"/>
      <c r="E33" s="19">
        <v>294.0</v>
      </c>
      <c r="F33" s="19">
        <v>301.0</v>
      </c>
      <c r="G33" s="19">
        <v>296.0</v>
      </c>
      <c r="H33" s="19">
        <v>289.0</v>
      </c>
      <c r="I33" s="19">
        <v>295.0</v>
      </c>
      <c r="J33" s="19">
        <v>289.0</v>
      </c>
      <c r="K33" s="19">
        <v>290.0</v>
      </c>
      <c r="L33" s="19">
        <v>297.0</v>
      </c>
      <c r="M33" s="19">
        <v>279.0</v>
      </c>
      <c r="N33" s="19">
        <v>270.0</v>
      </c>
      <c r="O33" s="19">
        <v>301.0</v>
      </c>
      <c r="P33" s="19">
        <v>252.0</v>
      </c>
      <c r="Q33" s="19">
        <v>179.0</v>
      </c>
      <c r="R33" s="19">
        <v>264.0</v>
      </c>
      <c r="S33" s="19">
        <v>266.0</v>
      </c>
      <c r="T33" s="19">
        <v>254.0</v>
      </c>
      <c r="U33" s="19">
        <v>201.0</v>
      </c>
      <c r="V33" s="13">
        <f t="shared" ref="V33:V36" si="10">SUM(E33:U33)</f>
        <v>4617</v>
      </c>
    </row>
    <row r="34" ht="12.75" customHeight="1">
      <c r="A34" s="19">
        <v>2.0</v>
      </c>
      <c r="B34" s="20" t="s">
        <v>28</v>
      </c>
      <c r="C34" s="15"/>
      <c r="D34" s="16"/>
      <c r="E34" s="13">
        <v>239.0</v>
      </c>
      <c r="F34" s="13">
        <v>233.0</v>
      </c>
      <c r="G34" s="13">
        <v>243.0</v>
      </c>
      <c r="H34" s="13">
        <v>224.0</v>
      </c>
      <c r="I34" s="13">
        <v>238.0</v>
      </c>
      <c r="J34" s="13">
        <v>233.0</v>
      </c>
      <c r="K34" s="13">
        <v>251.0</v>
      </c>
      <c r="L34" s="13">
        <v>232.0</v>
      </c>
      <c r="M34" s="13">
        <v>245.0</v>
      </c>
      <c r="N34" s="13">
        <v>222.0</v>
      </c>
      <c r="O34" s="13">
        <v>246.0</v>
      </c>
      <c r="P34" s="13">
        <v>206.0</v>
      </c>
      <c r="Q34" s="13">
        <v>151.0</v>
      </c>
      <c r="R34" s="13">
        <v>247.0</v>
      </c>
      <c r="S34" s="13">
        <v>260.0</v>
      </c>
      <c r="T34" s="13">
        <v>226.0</v>
      </c>
      <c r="U34" s="13">
        <v>168.0</v>
      </c>
      <c r="V34" s="13">
        <f t="shared" si="10"/>
        <v>3864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3">
        <f t="shared" si="10"/>
        <v>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U36" si="11">E33-(E34+E35)</f>
        <v>55</v>
      </c>
      <c r="F36" s="13">
        <f t="shared" si="11"/>
        <v>68</v>
      </c>
      <c r="G36" s="13">
        <f t="shared" si="11"/>
        <v>53</v>
      </c>
      <c r="H36" s="13">
        <f t="shared" si="11"/>
        <v>65</v>
      </c>
      <c r="I36" s="13">
        <f t="shared" si="11"/>
        <v>57</v>
      </c>
      <c r="J36" s="13">
        <f t="shared" si="11"/>
        <v>56</v>
      </c>
      <c r="K36" s="13">
        <f t="shared" si="11"/>
        <v>39</v>
      </c>
      <c r="L36" s="13">
        <f t="shared" si="11"/>
        <v>65</v>
      </c>
      <c r="M36" s="13">
        <f t="shared" si="11"/>
        <v>34</v>
      </c>
      <c r="N36" s="13">
        <f t="shared" si="11"/>
        <v>48</v>
      </c>
      <c r="O36" s="13">
        <f t="shared" si="11"/>
        <v>55</v>
      </c>
      <c r="P36" s="13">
        <f t="shared" si="11"/>
        <v>46</v>
      </c>
      <c r="Q36" s="13">
        <f t="shared" si="11"/>
        <v>28</v>
      </c>
      <c r="R36" s="13">
        <f t="shared" si="11"/>
        <v>17</v>
      </c>
      <c r="S36" s="13">
        <f t="shared" si="11"/>
        <v>6</v>
      </c>
      <c r="T36" s="13">
        <f t="shared" si="11"/>
        <v>28</v>
      </c>
      <c r="U36" s="13">
        <f t="shared" si="11"/>
        <v>33</v>
      </c>
      <c r="V36" s="13">
        <f t="shared" si="10"/>
        <v>753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58"/>
      <c r="R37" s="61"/>
      <c r="S37" s="61"/>
      <c r="T37" s="61"/>
      <c r="U37" s="61"/>
      <c r="V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60"/>
      <c r="V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>
        <v>2.0</v>
      </c>
      <c r="Q39" s="19"/>
      <c r="R39" s="19"/>
      <c r="S39" s="19">
        <v>2.0</v>
      </c>
      <c r="T39" s="19"/>
      <c r="U39" s="19"/>
      <c r="V39" s="13">
        <f t="shared" ref="V39:V41" si="12">SUM(E39:U39)</f>
        <v>4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>
        <v>3.0</v>
      </c>
      <c r="Q40" s="19"/>
      <c r="R40" s="19"/>
      <c r="S40" s="19"/>
      <c r="T40" s="19"/>
      <c r="U40" s="19"/>
      <c r="V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U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5</v>
      </c>
      <c r="Q41" s="13">
        <f t="shared" si="13"/>
        <v>0</v>
      </c>
      <c r="R41" s="13">
        <f t="shared" si="13"/>
        <v>0</v>
      </c>
      <c r="S41" s="13">
        <f t="shared" si="13"/>
        <v>2</v>
      </c>
      <c r="T41" s="13">
        <f t="shared" si="13"/>
        <v>0</v>
      </c>
      <c r="U41" s="13">
        <f t="shared" si="13"/>
        <v>0</v>
      </c>
      <c r="V41" s="13">
        <f t="shared" si="12"/>
        <v>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58"/>
      <c r="R42" s="19"/>
      <c r="S42" s="58"/>
      <c r="T42" s="58"/>
      <c r="U42" s="19"/>
      <c r="V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60"/>
      <c r="R43" s="13"/>
      <c r="S43" s="60"/>
      <c r="T43" s="60"/>
      <c r="U43" s="13"/>
      <c r="V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58"/>
      <c r="R44" s="19"/>
      <c r="S44" s="58"/>
      <c r="T44" s="58"/>
      <c r="U44" s="19"/>
      <c r="V44" s="13"/>
    </row>
    <row r="45" ht="12.75" customHeight="1">
      <c r="A45" s="30"/>
      <c r="B45" s="47" t="s">
        <v>17</v>
      </c>
      <c r="C45" s="48" t="s">
        <v>37</v>
      </c>
      <c r="D45" s="16"/>
      <c r="E45" s="19">
        <v>21.0</v>
      </c>
      <c r="F45" s="19">
        <v>19.0</v>
      </c>
      <c r="G45" s="19">
        <v>16.0</v>
      </c>
      <c r="H45" s="19">
        <v>21.0</v>
      </c>
      <c r="I45" s="19">
        <v>23.0</v>
      </c>
      <c r="J45" s="19">
        <v>18.0</v>
      </c>
      <c r="K45" s="19">
        <v>18.0</v>
      </c>
      <c r="L45" s="19">
        <v>19.0</v>
      </c>
      <c r="M45" s="19">
        <v>31.0</v>
      </c>
      <c r="N45" s="19">
        <v>18.0</v>
      </c>
      <c r="O45" s="19">
        <v>14.0</v>
      </c>
      <c r="P45" s="19">
        <v>11.0</v>
      </c>
      <c r="Q45" s="19">
        <v>6.0</v>
      </c>
      <c r="R45" s="19">
        <v>6.0</v>
      </c>
      <c r="S45" s="19">
        <v>4.0</v>
      </c>
      <c r="T45" s="19">
        <v>8.0</v>
      </c>
      <c r="U45" s="19">
        <v>17.0</v>
      </c>
      <c r="V45" s="13">
        <f t="shared" ref="V45:V57" si="14">SUM(E45:U45)</f>
        <v>270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35.0</v>
      </c>
      <c r="F46" s="19">
        <v>29.0</v>
      </c>
      <c r="G46" s="19">
        <v>31.0</v>
      </c>
      <c r="H46" s="19">
        <v>36.0</v>
      </c>
      <c r="I46" s="19">
        <v>39.0</v>
      </c>
      <c r="J46" s="19">
        <v>47.0</v>
      </c>
      <c r="K46" s="19">
        <v>27.0</v>
      </c>
      <c r="L46" s="19">
        <v>50.0</v>
      </c>
      <c r="M46" s="19">
        <v>40.0</v>
      </c>
      <c r="N46" s="19">
        <v>25.0</v>
      </c>
      <c r="O46" s="19">
        <v>42.0</v>
      </c>
      <c r="P46" s="19">
        <v>27.0</v>
      </c>
      <c r="Q46" s="19">
        <v>21.0</v>
      </c>
      <c r="R46" s="19">
        <v>56.0</v>
      </c>
      <c r="S46" s="19">
        <v>55.0</v>
      </c>
      <c r="T46" s="19">
        <v>43.0</v>
      </c>
      <c r="U46" s="19">
        <v>36.0</v>
      </c>
      <c r="V46" s="13">
        <f t="shared" si="14"/>
        <v>639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6.0</v>
      </c>
      <c r="F47" s="19">
        <v>11.0</v>
      </c>
      <c r="G47" s="19">
        <v>10.0</v>
      </c>
      <c r="H47" s="19">
        <v>12.0</v>
      </c>
      <c r="I47" s="19">
        <v>16.0</v>
      </c>
      <c r="J47" s="19">
        <v>8.0</v>
      </c>
      <c r="K47" s="19">
        <v>26.0</v>
      </c>
      <c r="L47" s="19">
        <v>12.0</v>
      </c>
      <c r="M47" s="19">
        <v>19.0</v>
      </c>
      <c r="N47" s="19">
        <v>16.0</v>
      </c>
      <c r="O47" s="19">
        <v>13.0</v>
      </c>
      <c r="P47" s="19">
        <v>15.0</v>
      </c>
      <c r="Q47" s="19">
        <v>6.0</v>
      </c>
      <c r="R47" s="19">
        <v>15.0</v>
      </c>
      <c r="S47" s="19">
        <v>20.0</v>
      </c>
      <c r="T47" s="19">
        <v>19.0</v>
      </c>
      <c r="U47" s="19">
        <v>9.0</v>
      </c>
      <c r="V47" s="13">
        <f t="shared" si="14"/>
        <v>233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29.0</v>
      </c>
      <c r="F48" s="19">
        <v>28.0</v>
      </c>
      <c r="G48" s="19">
        <v>16.0</v>
      </c>
      <c r="H48" s="19">
        <v>23.0</v>
      </c>
      <c r="I48" s="19">
        <v>16.0</v>
      </c>
      <c r="J48" s="19">
        <v>32.0</v>
      </c>
      <c r="K48" s="19">
        <v>16.0</v>
      </c>
      <c r="L48" s="19">
        <v>23.0</v>
      </c>
      <c r="M48" s="19">
        <v>23.0</v>
      </c>
      <c r="N48" s="19">
        <v>11.0</v>
      </c>
      <c r="O48" s="19">
        <v>10.0</v>
      </c>
      <c r="P48" s="19">
        <v>13.0</v>
      </c>
      <c r="Q48" s="19">
        <v>12.0</v>
      </c>
      <c r="R48" s="19">
        <v>13.0</v>
      </c>
      <c r="S48" s="19">
        <v>11.0</v>
      </c>
      <c r="T48" s="19">
        <v>9.0</v>
      </c>
      <c r="U48" s="19">
        <v>9.0</v>
      </c>
      <c r="V48" s="13">
        <f t="shared" si="14"/>
        <v>294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25.0</v>
      </c>
      <c r="F49" s="19">
        <v>25.0</v>
      </c>
      <c r="G49" s="19">
        <v>21.0</v>
      </c>
      <c r="H49" s="19">
        <v>22.0</v>
      </c>
      <c r="I49" s="19">
        <v>30.0</v>
      </c>
      <c r="J49" s="19">
        <v>18.0</v>
      </c>
      <c r="K49" s="19">
        <v>17.0</v>
      </c>
      <c r="L49" s="19">
        <v>30.0</v>
      </c>
      <c r="M49" s="19">
        <v>14.0</v>
      </c>
      <c r="N49" s="19">
        <v>30.0</v>
      </c>
      <c r="O49" s="19">
        <v>33.0</v>
      </c>
      <c r="P49" s="19">
        <v>26.0</v>
      </c>
      <c r="Q49" s="19">
        <v>28.0</v>
      </c>
      <c r="R49" s="19">
        <v>20.0</v>
      </c>
      <c r="S49" s="19">
        <v>21.0</v>
      </c>
      <c r="T49" s="19">
        <v>17.0</v>
      </c>
      <c r="U49" s="19">
        <v>14.0</v>
      </c>
      <c r="V49" s="13">
        <f t="shared" si="14"/>
        <v>391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13.0</v>
      </c>
      <c r="F50" s="19">
        <v>18.0</v>
      </c>
      <c r="G50" s="19">
        <v>19.0</v>
      </c>
      <c r="H50" s="19">
        <v>13.0</v>
      </c>
      <c r="I50" s="19">
        <v>17.0</v>
      </c>
      <c r="J50" s="19">
        <v>18.0</v>
      </c>
      <c r="K50" s="19">
        <v>26.0</v>
      </c>
      <c r="L50" s="19">
        <v>17.0</v>
      </c>
      <c r="M50" s="19">
        <v>17.0</v>
      </c>
      <c r="N50" s="19">
        <v>17.0</v>
      </c>
      <c r="O50" s="19">
        <v>18.0</v>
      </c>
      <c r="P50" s="19">
        <v>6.0</v>
      </c>
      <c r="Q50" s="19">
        <v>13.0</v>
      </c>
      <c r="R50" s="19">
        <v>9.0</v>
      </c>
      <c r="S50" s="19">
        <v>6.0</v>
      </c>
      <c r="T50" s="19">
        <v>12.0</v>
      </c>
      <c r="U50" s="19">
        <v>4.0</v>
      </c>
      <c r="V50" s="13">
        <f t="shared" si="14"/>
        <v>243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1.0</v>
      </c>
      <c r="F51" s="19">
        <v>3.0</v>
      </c>
      <c r="G51" s="19">
        <v>3.0</v>
      </c>
      <c r="H51" s="19">
        <v>0.0</v>
      </c>
      <c r="I51" s="19">
        <v>3.0</v>
      </c>
      <c r="J51" s="19">
        <v>0.0</v>
      </c>
      <c r="K51" s="19">
        <v>2.0</v>
      </c>
      <c r="L51" s="19">
        <v>0.0</v>
      </c>
      <c r="M51" s="19">
        <v>2.0</v>
      </c>
      <c r="N51" s="19">
        <v>4.0</v>
      </c>
      <c r="O51" s="19">
        <v>4.0</v>
      </c>
      <c r="P51" s="19">
        <v>4.0</v>
      </c>
      <c r="Q51" s="19">
        <v>3.0</v>
      </c>
      <c r="R51" s="19">
        <v>3.0</v>
      </c>
      <c r="S51" s="19">
        <v>2.0</v>
      </c>
      <c r="T51" s="19">
        <v>3.0</v>
      </c>
      <c r="U51" s="19">
        <v>4.0</v>
      </c>
      <c r="V51" s="13">
        <f t="shared" si="14"/>
        <v>41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2.0</v>
      </c>
      <c r="F52" s="19">
        <v>1.0</v>
      </c>
      <c r="G52" s="19">
        <v>6.0</v>
      </c>
      <c r="H52" s="19">
        <v>3.0</v>
      </c>
      <c r="I52" s="19">
        <v>2.0</v>
      </c>
      <c r="J52" s="19">
        <v>1.0</v>
      </c>
      <c r="K52" s="19">
        <v>1.0</v>
      </c>
      <c r="L52" s="19">
        <v>1.0</v>
      </c>
      <c r="M52" s="19">
        <v>0.0</v>
      </c>
      <c r="N52" s="19">
        <v>4.0</v>
      </c>
      <c r="O52" s="19">
        <v>3.0</v>
      </c>
      <c r="P52" s="19">
        <v>5.0</v>
      </c>
      <c r="Q52" s="19">
        <v>2.0</v>
      </c>
      <c r="R52" s="19">
        <v>2.0</v>
      </c>
      <c r="S52" s="19">
        <v>2.0</v>
      </c>
      <c r="T52" s="19">
        <v>3.0</v>
      </c>
      <c r="U52" s="19">
        <v>2.0</v>
      </c>
      <c r="V52" s="13">
        <f t="shared" si="14"/>
        <v>40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0.0</v>
      </c>
      <c r="F53" s="19">
        <v>0.0</v>
      </c>
      <c r="G53" s="19">
        <v>3.0</v>
      </c>
      <c r="H53" s="19">
        <v>0.0</v>
      </c>
      <c r="I53" s="19">
        <v>0.0</v>
      </c>
      <c r="J53" s="19">
        <v>0.0</v>
      </c>
      <c r="K53" s="19">
        <v>1.0</v>
      </c>
      <c r="L53" s="19">
        <v>0.0</v>
      </c>
      <c r="M53" s="19">
        <v>0.0</v>
      </c>
      <c r="N53" s="19">
        <v>0.0</v>
      </c>
      <c r="O53" s="19">
        <v>2.0</v>
      </c>
      <c r="P53" s="19">
        <v>5.0</v>
      </c>
      <c r="Q53" s="19">
        <v>2.0</v>
      </c>
      <c r="R53" s="19">
        <v>1.0</v>
      </c>
      <c r="S53" s="19">
        <v>0.0</v>
      </c>
      <c r="T53" s="19">
        <v>0.0</v>
      </c>
      <c r="U53" s="19">
        <v>0.0</v>
      </c>
      <c r="V53" s="13">
        <f t="shared" si="14"/>
        <v>14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27.0</v>
      </c>
      <c r="F54" s="19">
        <v>22.0</v>
      </c>
      <c r="G54" s="19">
        <v>23.0</v>
      </c>
      <c r="H54" s="19">
        <v>23.0</v>
      </c>
      <c r="I54" s="19">
        <v>23.0</v>
      </c>
      <c r="J54" s="19">
        <v>22.0</v>
      </c>
      <c r="K54" s="19">
        <v>30.0</v>
      </c>
      <c r="L54" s="19">
        <v>13.0</v>
      </c>
      <c r="M54" s="19">
        <v>20.0</v>
      </c>
      <c r="N54" s="19">
        <v>17.0</v>
      </c>
      <c r="O54" s="19">
        <v>24.0</v>
      </c>
      <c r="P54" s="19">
        <v>28.0</v>
      </c>
      <c r="Q54" s="19">
        <v>22.0</v>
      </c>
      <c r="R54" s="19">
        <v>64.0</v>
      </c>
      <c r="S54" s="19">
        <v>62.0</v>
      </c>
      <c r="T54" s="19">
        <v>52.0</v>
      </c>
      <c r="U54" s="19">
        <v>34.0</v>
      </c>
      <c r="V54" s="13">
        <f t="shared" si="14"/>
        <v>506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3.0</v>
      </c>
      <c r="F55" s="19">
        <v>0.0</v>
      </c>
      <c r="G55" s="19">
        <v>0.0</v>
      </c>
      <c r="H55" s="19">
        <v>1.0</v>
      </c>
      <c r="I55" s="19">
        <v>2.0</v>
      </c>
      <c r="J55" s="19">
        <v>0.0</v>
      </c>
      <c r="K55" s="19">
        <v>1.0</v>
      </c>
      <c r="L55" s="19">
        <v>1.0</v>
      </c>
      <c r="M55" s="19">
        <v>0.0</v>
      </c>
      <c r="N55" s="19">
        <v>0.0</v>
      </c>
      <c r="O55" s="19">
        <v>1.0</v>
      </c>
      <c r="P55" s="19">
        <v>3.0</v>
      </c>
      <c r="Q55" s="19">
        <v>1.0</v>
      </c>
      <c r="R55" s="19">
        <v>0.0</v>
      </c>
      <c r="S55" s="19">
        <v>3.0</v>
      </c>
      <c r="T55" s="19">
        <v>0.0</v>
      </c>
      <c r="U55" s="19">
        <v>1.0</v>
      </c>
      <c r="V55" s="13">
        <f t="shared" si="14"/>
        <v>17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27.0</v>
      </c>
      <c r="F56" s="19">
        <v>19.0</v>
      </c>
      <c r="G56" s="19">
        <v>29.0</v>
      </c>
      <c r="H56" s="19">
        <v>20.0</v>
      </c>
      <c r="I56" s="19">
        <v>12.0</v>
      </c>
      <c r="J56" s="19">
        <v>18.0</v>
      </c>
      <c r="K56" s="19">
        <v>20.0</v>
      </c>
      <c r="L56" s="19">
        <v>14.0</v>
      </c>
      <c r="M56" s="19">
        <v>27.0</v>
      </c>
      <c r="N56" s="19">
        <v>25.0</v>
      </c>
      <c r="O56" s="19">
        <v>23.0</v>
      </c>
      <c r="P56" s="19">
        <v>19.0</v>
      </c>
      <c r="Q56" s="19">
        <v>16.0</v>
      </c>
      <c r="R56" s="19">
        <v>30.0</v>
      </c>
      <c r="S56" s="19">
        <v>44.0</v>
      </c>
      <c r="T56" s="19">
        <v>36.0</v>
      </c>
      <c r="U56" s="19">
        <v>18.0</v>
      </c>
      <c r="V56" s="13">
        <f t="shared" si="14"/>
        <v>397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2.0</v>
      </c>
      <c r="F57" s="19">
        <v>2.0</v>
      </c>
      <c r="G57" s="19">
        <v>1.0</v>
      </c>
      <c r="H57" s="19">
        <v>4.0</v>
      </c>
      <c r="I57" s="19">
        <v>3.0</v>
      </c>
      <c r="J57" s="19">
        <v>1.0</v>
      </c>
      <c r="K57" s="19">
        <v>2.0</v>
      </c>
      <c r="L57" s="19">
        <v>3.0</v>
      </c>
      <c r="M57" s="19">
        <v>3.0</v>
      </c>
      <c r="N57" s="19">
        <v>3.0</v>
      </c>
      <c r="O57" s="19">
        <v>3.0</v>
      </c>
      <c r="P57" s="19">
        <v>3.0</v>
      </c>
      <c r="Q57" s="19">
        <v>2.0</v>
      </c>
      <c r="R57" s="19">
        <v>4.0</v>
      </c>
      <c r="S57" s="19">
        <v>3.0</v>
      </c>
      <c r="T57" s="19">
        <v>4.0</v>
      </c>
      <c r="U57" s="19">
        <v>2.0</v>
      </c>
      <c r="V57" s="13">
        <f t="shared" si="14"/>
        <v>45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60"/>
      <c r="T59" s="60"/>
      <c r="U59" s="60"/>
      <c r="V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U60" si="15">SUM(E45:E57)</f>
        <v>191</v>
      </c>
      <c r="F60" s="19">
        <f t="shared" si="15"/>
        <v>177</v>
      </c>
      <c r="G60" s="19">
        <f t="shared" si="15"/>
        <v>178</v>
      </c>
      <c r="H60" s="19">
        <f t="shared" si="15"/>
        <v>178</v>
      </c>
      <c r="I60" s="19">
        <f t="shared" si="15"/>
        <v>186</v>
      </c>
      <c r="J60" s="19">
        <f t="shared" si="15"/>
        <v>183</v>
      </c>
      <c r="K60" s="19">
        <f t="shared" si="15"/>
        <v>187</v>
      </c>
      <c r="L60" s="19">
        <f t="shared" si="15"/>
        <v>183</v>
      </c>
      <c r="M60" s="19">
        <f t="shared" si="15"/>
        <v>196</v>
      </c>
      <c r="N60" s="19">
        <f t="shared" si="15"/>
        <v>170</v>
      </c>
      <c r="O60" s="19">
        <f t="shared" si="15"/>
        <v>190</v>
      </c>
      <c r="P60" s="19">
        <f t="shared" si="15"/>
        <v>165</v>
      </c>
      <c r="Q60" s="19">
        <f t="shared" si="15"/>
        <v>134</v>
      </c>
      <c r="R60" s="19">
        <f t="shared" si="15"/>
        <v>223</v>
      </c>
      <c r="S60" s="19">
        <f t="shared" si="15"/>
        <v>233</v>
      </c>
      <c r="T60" s="19">
        <f t="shared" si="15"/>
        <v>206</v>
      </c>
      <c r="U60" s="19">
        <f t="shared" si="15"/>
        <v>150</v>
      </c>
      <c r="V60" s="13">
        <f t="shared" ref="V60:V62" si="16">SUM(E60:U60)</f>
        <v>3130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48.0</v>
      </c>
      <c r="F61" s="19">
        <v>56.0</v>
      </c>
      <c r="G61" s="19">
        <v>65.0</v>
      </c>
      <c r="H61" s="19">
        <v>46.0</v>
      </c>
      <c r="I61" s="19">
        <v>52.0</v>
      </c>
      <c r="J61" s="19">
        <v>50.0</v>
      </c>
      <c r="K61" s="19">
        <v>64.0</v>
      </c>
      <c r="L61" s="19">
        <v>49.0</v>
      </c>
      <c r="M61" s="19">
        <v>49.0</v>
      </c>
      <c r="N61" s="19">
        <v>52.0</v>
      </c>
      <c r="O61" s="19">
        <v>56.0</v>
      </c>
      <c r="P61" s="19">
        <v>41.0</v>
      </c>
      <c r="Q61" s="19">
        <v>17.0</v>
      </c>
      <c r="R61" s="19">
        <v>24.0</v>
      </c>
      <c r="S61" s="19">
        <v>27.0</v>
      </c>
      <c r="T61" s="19">
        <v>20.0</v>
      </c>
      <c r="U61" s="19">
        <v>18.0</v>
      </c>
      <c r="V61" s="13">
        <f t="shared" si="16"/>
        <v>734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U62" si="17">SUM(E60:E61)</f>
        <v>239</v>
      </c>
      <c r="F62" s="13">
        <f t="shared" si="17"/>
        <v>233</v>
      </c>
      <c r="G62" s="13">
        <f t="shared" si="17"/>
        <v>243</v>
      </c>
      <c r="H62" s="13">
        <f t="shared" si="17"/>
        <v>224</v>
      </c>
      <c r="I62" s="13">
        <f t="shared" si="17"/>
        <v>238</v>
      </c>
      <c r="J62" s="13">
        <f t="shared" si="17"/>
        <v>233</v>
      </c>
      <c r="K62" s="13">
        <f t="shared" si="17"/>
        <v>251</v>
      </c>
      <c r="L62" s="13">
        <f t="shared" si="17"/>
        <v>232</v>
      </c>
      <c r="M62" s="13">
        <f t="shared" si="17"/>
        <v>245</v>
      </c>
      <c r="N62" s="13">
        <f t="shared" si="17"/>
        <v>222</v>
      </c>
      <c r="O62" s="13">
        <f t="shared" si="17"/>
        <v>246</v>
      </c>
      <c r="P62" s="13">
        <f t="shared" si="17"/>
        <v>206</v>
      </c>
      <c r="Q62" s="13">
        <f t="shared" si="17"/>
        <v>151</v>
      </c>
      <c r="R62" s="13">
        <f t="shared" si="17"/>
        <v>247</v>
      </c>
      <c r="S62" s="13">
        <f t="shared" si="17"/>
        <v>260</v>
      </c>
      <c r="T62" s="13">
        <f t="shared" si="17"/>
        <v>226</v>
      </c>
      <c r="U62" s="13">
        <f t="shared" si="17"/>
        <v>168</v>
      </c>
      <c r="V62" s="13">
        <f t="shared" si="16"/>
        <v>3864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U12"/>
    <mergeCell ref="V12:V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U15 E45:U57">
    <cfRule type="containsBlanks" dxfId="1" priority="1">
      <formula>LEN(TRIM(E14))=0</formula>
    </cfRule>
  </conditionalFormatting>
  <conditionalFormatting sqref="E19:U20">
    <cfRule type="containsBlanks" dxfId="1" priority="2">
      <formula>LEN(TRIM(E19))=0</formula>
    </cfRule>
  </conditionalFormatting>
  <conditionalFormatting sqref="E22:U23 E25:U26 E33:U33 E35:U35 E39:U40">
    <cfRule type="containsBlanks" dxfId="1" priority="3">
      <formula>LEN(TRIM(E22))=0</formula>
    </cfRule>
  </conditionalFormatting>
  <conditionalFormatting sqref="E30:U30">
    <cfRule type="expression" dxfId="0" priority="4">
      <formula>E30&lt;&gt;E46</formula>
    </cfRule>
  </conditionalFormatting>
  <conditionalFormatting sqref="E30:U30">
    <cfRule type="expression" dxfId="0" priority="5">
      <formula>E30&lt;&gt;E34</formula>
    </cfRule>
  </conditionalFormatting>
  <conditionalFormatting sqref="E34:U34">
    <cfRule type="expression" dxfId="2" priority="6">
      <formula>E30&lt;&gt;E34</formula>
    </cfRule>
  </conditionalFormatting>
  <conditionalFormatting sqref="E34:U34">
    <cfRule type="expression" dxfId="3" priority="7">
      <formula>E30=E34</formula>
    </cfRule>
  </conditionalFormatting>
  <conditionalFormatting sqref="E34:U34">
    <cfRule type="expression" dxfId="0" priority="8">
      <formula>E34&lt;&gt;E30</formula>
    </cfRule>
  </conditionalFormatting>
  <conditionalFormatting sqref="E34:U34">
    <cfRule type="expression" dxfId="0" priority="9">
      <formula>E34&lt;&gt;E55</formula>
    </cfRule>
  </conditionalFormatting>
  <conditionalFormatting sqref="E60:U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