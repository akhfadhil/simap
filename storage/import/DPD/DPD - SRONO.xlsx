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BAGOREJO" sheetId="2" r:id="rId5"/>
    <sheet state="visible" name="WONOSOBO" sheetId="3" r:id="rId6"/>
    <sheet state="visible" name="SUKONATAR" sheetId="4" r:id="rId7"/>
    <sheet state="visible" name="KEBAMAN" sheetId="5" r:id="rId8"/>
    <sheet state="visible" name="SUMBERSARI" sheetId="6" r:id="rId9"/>
    <sheet state="visible" name="PARIJATAH WETAN" sheetId="7" r:id="rId10"/>
    <sheet state="visible" name="PARIJATAH KULON" sheetId="8" r:id="rId11"/>
    <sheet state="visible" name="REJOAGUNG" sheetId="9" r:id="rId12"/>
    <sheet state="visible" name="KEPUNDUNGAN" sheetId="10" r:id="rId13"/>
    <sheet state="visible" name="SUKOMAJU" sheetId="11" r:id="rId14"/>
  </sheets>
  <definedNames/>
  <calcPr/>
  <extLst>
    <ext uri="GoogleSheetsCustomDataVersion2">
      <go:sheetsCustomData xmlns:go="http://customooxmlschemas.google.com/" r:id="rId15" roundtripDataChecksum="4ZCA+tkaogdfQdE8vGxw7B2c52YuKO2fo/dSAfidRg0="/>
    </ext>
  </extLst>
</workbook>
</file>

<file path=xl/sharedStrings.xml><?xml version="1.0" encoding="utf-8"?>
<sst xmlns="http://schemas.openxmlformats.org/spreadsheetml/2006/main" count="1241" uniqueCount="122">
  <si>
    <t>Kecamatan</t>
  </si>
  <si>
    <t>SRONO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</si>
  <si>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</si>
  <si>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</si>
  <si>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</si>
  <si>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</si>
  <si>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</si>
  <si>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</si>
  <si>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</si>
  <si>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</si>
  <si>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</si>
  <si>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</si>
  <si>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</si>
  <si>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</si>
  <si>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</si>
  <si>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</si>
  <si>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</si>
  <si>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</si>
  <si>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</si>
  <si>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</si>
  <si>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</si>
  <si>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</si>
  <si>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</si>
  <si>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</si>
  <si>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</si>
  <si>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</si>
  <si>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</si>
  <si>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</si>
  <si>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</si>
  <si>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</si>
  <si>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</si>
  <si>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</si>
  <si>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</si>
  <si>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</si>
  <si>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</si>
  <si>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</si>
  <si>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</si>
  <si>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</si>
  <si>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</si>
  <si>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</si>
  <si>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</si>
  <si>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</si>
  <si>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</si>
  <si>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</si>
  <si>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</si>
  <si>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</si>
  <si>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</si>
  <si>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</si>
  <si>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</si>
  <si>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</si>
  <si>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</si>
  <si>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</si>
  <si>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</si>
  <si>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</si>
  <si>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</si>
  <si>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</si>
  <si>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</si>
  <si>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</si>
  <si>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</si>
  <si>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</si>
  <si>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</si>
  <si>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</si>
  <si>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</si>
  <si>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</si>
  <si>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</si>
  <si>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</si>
  <si>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</si>
  <si>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</si>
  <si>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BAGOREJO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</si>
  <si>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</si>
  <si>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</si>
  <si>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</si>
  <si>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</si>
  <si>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</si>
  <si>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</si>
  <si>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</si>
  <si>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</si>
  <si>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</si>
  <si>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</si>
  <si>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</si>
  <si>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</si>
  <si>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</si>
  <si>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</si>
  <si>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</si>
  <si>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</si>
  <si>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</si>
  <si>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</si>
  <si>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</si>
  <si>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</si>
  <si>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</si>
  <si>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</si>
  <si>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</si>
  <si>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</si>
  <si>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</si>
  <si>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</si>
  <si>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</si>
  <si>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</si>
  <si>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</si>
  <si>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</si>
  <si>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</si>
  <si>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</si>
  <si>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</si>
  <si>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</si>
  <si>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WONOSOBO</t>
  </si>
  <si>
    <t>TPS 035</t>
  </si>
  <si>
    <t>TPS 036</t>
  </si>
  <si>
    <t>TPS 037</t>
  </si>
  <si>
    <t>TPS 038</t>
  </si>
  <si>
    <t>TPS 039</t>
  </si>
  <si>
    <t>TPS 040</t>
  </si>
  <si>
    <t>SUKONATAR</t>
  </si>
  <si>
    <t>KEBAMAN</t>
  </si>
  <si>
    <t>TPS 041</t>
  </si>
  <si>
    <t>TPS 042</t>
  </si>
  <si>
    <t>TPS 043</t>
  </si>
  <si>
    <t>TPS 044</t>
  </si>
  <si>
    <t>SUMBERSARI</t>
  </si>
  <si>
    <t>PARIJATAH WETAN</t>
  </si>
  <si>
    <t>PARIJATAH KULON</t>
  </si>
  <si>
    <t>REJOAGUNG</t>
  </si>
  <si>
    <t>KEPUNDUNGAN</t>
  </si>
  <si>
    <t>SUKOMAJU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</si>
</sst>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BAGOREJO!AM14+KEBAMAN!AW14+KEPUNDUNGAN!W14+'PARIJATAH KULON'!Y14+'PARIJATAH WETAN'!AC14+REJOAGUNG!AF14+SUKOMAJU!AC14+SUKONATAR!T14+SUMBERSARI!AH14+WONOSOBO!AS14</f>
        <v>37686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BAGOREJO!AM15+KEBAMAN!AW15+KEPUNDUNGAN!W15+'PARIJATAH KULON'!Y15+'PARIJATAH WETAN'!AC15+REJOAGUNG!AF15+SUKOMAJU!AC15+SUKONATAR!T15+SUMBERSARI!AH15+WONOSOBO!AS15</f>
        <v>37815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75501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BAGOREJO!AM19+KEBAMAN!AW19+KEPUNDUNGAN!W19+'PARIJATAH KULON'!Y19+'PARIJATAH WETAN'!AC19+REJOAGUNG!AF19+SUKOMAJU!AC19+SUKONATAR!T19+SUMBERSARI!AH19+WONOSOBO!AS19</f>
        <v>27897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BAGOREJO!AM20+KEBAMAN!AW20+KEPUNDUNGAN!W20+'PARIJATAH KULON'!Y20+'PARIJATAH WETAN'!AC20+REJOAGUNG!AF20+SUKOMAJU!AC20+SUKONATAR!T20+SUMBERSARI!AH20+WONOSOBO!AS20</f>
        <v>30154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58051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BAGOREJO!AM22+KEBAMAN!AW22+KEPUNDUNGAN!W22+'PARIJATAH KULON'!Y22+'PARIJATAH WETAN'!AC22+REJOAGUNG!AF22+SUKOMAJU!AC22+SUKONATAR!T22+SUMBERSARI!AH22+WONOSOBO!AS22</f>
        <v>23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BAGOREJO!AM23+KEBAMAN!AW23+KEPUNDUNGAN!W23+'PARIJATAH KULON'!Y23+'PARIJATAH WETAN'!AC23+REJOAGUNG!AF23+SUKOMAJU!AC23+SUKONATAR!T23+SUMBERSARI!AH23+WONOSOBO!AS23</f>
        <v>25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48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BAGOREJO!AM25+KEBAMAN!AW25+KEPUNDUNGAN!W25+'PARIJATAH KULON'!Y25+'PARIJATAH WETAN'!AC25+REJOAGUNG!AF25+SUKOMAJU!AC25+SUKONATAR!T25+SUMBERSARI!AH25+WONOSOBO!AS25</f>
        <v>405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BAGOREJO!AM26+KEBAMAN!AW26+KEPUNDUNGAN!W26+'PARIJATAH KULON'!Y26+'PARIJATAH WETAN'!AC26+REJOAGUNG!AF26+SUKOMAJU!AC26+SUKONATAR!T26+SUMBERSARI!AH26+WONOSOBO!AS26</f>
        <v>510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915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28325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30689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59014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BAGOREJO!AM33+KEBAMAN!AW33+KEPUNDUNGAN!W33+'PARIJATAH KULON'!Y33+'PARIJATAH WETAN'!AC33+REJOAGUNG!AF33+SUKOMAJU!AC33+SUKONATAR!T33+SUMBERSARI!AH33+WONOSOBO!AS33</f>
        <v>76923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BAGOREJO!AM34+KEBAMAN!AW34+KEPUNDUNGAN!W34+'PARIJATAH KULON'!Y34+'PARIJATAH WETAN'!AC34+REJOAGUNG!AF34+SUKOMAJU!AC34+SUKONATAR!T34+SUMBERSARI!AH34+WONOSOBO!AS34</f>
        <v>58997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BAGOREJO!AM35+KEBAMAN!AW35+KEPUNDUNGAN!W35+'PARIJATAH KULON'!Y35+'PARIJATAH WETAN'!AC35+REJOAGUNG!AF35+SUKOMAJU!AC35+SUKONATAR!T35+SUMBERSARI!AH35+WONOSOBO!AS35</f>
        <v>59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17867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BAGOREJO!AM39+KEBAMAN!AW39+KEPUNDUNGAN!W39+'PARIJATAH KULON'!Y39+'PARIJATAH WETAN'!AC39+REJOAGUNG!AF39+SUKOMAJU!AC39+SUKONATAR!T39+SUMBERSARI!AH39+WONOSOBO!AS39</f>
        <v>20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BAGOREJO!AM40+KEBAMAN!AW40+KEPUNDUNGAN!W40+'PARIJATAH KULON'!Y40+'PARIJATAH WETAN'!AC40+REJOAGUNG!AF40+SUKOMAJU!AC40+SUKONATAR!T40+SUMBERSARI!AH40+WONOSOBO!AS40</f>
        <v>23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43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 t="s">
        <v>17</v>
      </c>
      <c r="C45" s="48" t="s">
        <v>37</v>
      </c>
      <c r="D45" s="16"/>
      <c r="E45" s="24">
        <f>BAGOREJO!AM45+KEBAMAN!AW45+KEPUNDUNGAN!W45+'PARIJATAH KULON'!Y45+'PARIJATAH WETAN'!AC45+REJOAGUNG!AF45+SUKOMAJU!AC45+SUKONATAR!T45+SUMBERSARI!AH45+WONOSOBO!AS45</f>
        <v>4345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38</v>
      </c>
      <c r="D46" s="16"/>
      <c r="E46" s="24">
        <f>BAGOREJO!AM46+KEBAMAN!AW46+KEPUNDUNGAN!W46+'PARIJATAH KULON'!Y46+'PARIJATAH WETAN'!AC46+REJOAGUNG!AF46+SUKOMAJU!AC46+SUKONATAR!T46+SUMBERSARI!AH46+WONOSOBO!AS46</f>
        <v>8914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39</v>
      </c>
      <c r="D47" s="16"/>
      <c r="E47" s="24">
        <f>BAGOREJO!AM47+KEBAMAN!AW47+KEPUNDUNGAN!W47+'PARIJATAH KULON'!Y47+'PARIJATAH WETAN'!AC47+REJOAGUNG!AF47+SUKOMAJU!AC47+SUKONATAR!T47+SUMBERSARI!AH47+WONOSOBO!AS47</f>
        <v>3777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40</v>
      </c>
      <c r="D48" s="16"/>
      <c r="E48" s="24">
        <f>BAGOREJO!AM48+KEBAMAN!AW48+KEPUNDUNGAN!W48+'PARIJATAH KULON'!Y48+'PARIJATAH WETAN'!AC48+REJOAGUNG!AF48+SUKOMAJU!AC48+SUKONATAR!T48+SUMBERSARI!AH48+WONOSOBO!AS48</f>
        <v>6512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41</v>
      </c>
      <c r="C49" s="48" t="s">
        <v>42</v>
      </c>
      <c r="D49" s="16"/>
      <c r="E49" s="24">
        <f>BAGOREJO!AM49+KEBAMAN!AW49+KEPUNDUNGAN!W49+'PARIJATAH KULON'!Y49+'PARIJATAH WETAN'!AC49+REJOAGUNG!AF49+SUKOMAJU!AC49+SUKONATAR!T49+SUMBERSARI!AH49+WONOSOBO!AS49</f>
        <v>5019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43</v>
      </c>
      <c r="C50" s="48" t="s">
        <v>44</v>
      </c>
      <c r="D50" s="16"/>
      <c r="E50" s="24">
        <f>BAGOREJO!AM50+KEBAMAN!AW50+KEPUNDUNGAN!W50+'PARIJATAH KULON'!Y50+'PARIJATAH WETAN'!AC50+REJOAGUNG!AF50+SUKOMAJU!AC50+SUKONATAR!T50+SUMBERSARI!AH50+WONOSOBO!AS50</f>
        <v>3117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45</v>
      </c>
      <c r="C51" s="48" t="s">
        <v>46</v>
      </c>
      <c r="D51" s="16"/>
      <c r="E51" s="24">
        <f>BAGOREJO!AM51+KEBAMAN!AW51+KEPUNDUNGAN!W51+'PARIJATAH KULON'!Y51+'PARIJATAH WETAN'!AC51+REJOAGUNG!AF51+SUKOMAJU!AC51+SUKONATAR!T51+SUMBERSARI!AH51+WONOSOBO!AS51</f>
        <v>785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47</v>
      </c>
      <c r="C52" s="48" t="s">
        <v>48</v>
      </c>
      <c r="D52" s="16"/>
      <c r="E52" s="24">
        <f>BAGOREJO!AM52+KEBAMAN!AW52+KEPUNDUNGAN!W52+'PARIJATAH KULON'!Y52+'PARIJATAH WETAN'!AC52+REJOAGUNG!AF52+SUKOMAJU!AC52+SUKONATAR!T52+SUMBERSARI!AH52+WONOSOBO!AS52</f>
        <v>1045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49</v>
      </c>
      <c r="C53" s="48" t="s">
        <v>50</v>
      </c>
      <c r="D53" s="16"/>
      <c r="E53" s="24">
        <f>BAGOREJO!AM53+KEBAMAN!AW53+KEPUNDUNGAN!W53+'PARIJATAH KULON'!Y53+'PARIJATAH WETAN'!AC53+REJOAGUNG!AF53+SUKOMAJU!AC53+SUKONATAR!T53+SUMBERSARI!AH53+WONOSOBO!AS53</f>
        <v>234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51</v>
      </c>
      <c r="C54" s="48" t="s">
        <v>52</v>
      </c>
      <c r="D54" s="16"/>
      <c r="E54" s="24">
        <f>BAGOREJO!AM54+KEBAMAN!AW54+KEPUNDUNGAN!W54+'PARIJATAH KULON'!Y54+'PARIJATAH WETAN'!AC54+REJOAGUNG!AF54+SUKOMAJU!AC54+SUKONATAR!T54+SUMBERSARI!AH54+WONOSOBO!AS54</f>
        <v>6788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53</v>
      </c>
      <c r="C55" s="48" t="s">
        <v>54</v>
      </c>
      <c r="D55" s="16"/>
      <c r="E55" s="24">
        <f>BAGOREJO!AM55+KEBAMAN!AW55+KEPUNDUNGAN!W55+'PARIJATAH KULON'!Y55+'PARIJATAH WETAN'!AC55+REJOAGUNG!AF55+SUKOMAJU!AC55+SUKONATAR!T55+SUMBERSARI!AH55+WONOSOBO!AS55</f>
        <v>344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55</v>
      </c>
      <c r="C56" s="48" t="s">
        <v>56</v>
      </c>
      <c r="D56" s="16"/>
      <c r="E56" s="24">
        <f>BAGOREJO!AM56+KEBAMAN!AW56+KEPUNDUNGAN!W56+'PARIJATAH KULON'!Y56+'PARIJATAH WETAN'!AC56+REJOAGUNG!AF56+SUKOMAJU!AC56+SUKONATAR!T56+SUMBERSARI!AH56+WONOSOBO!AS56</f>
        <v>6420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57</v>
      </c>
      <c r="C57" s="48" t="s">
        <v>58</v>
      </c>
      <c r="D57" s="16"/>
      <c r="E57" s="24">
        <f>BAGOREJO!AM57+KEBAMAN!AW57+KEPUNDUNGAN!W57+'PARIJATAH KULON'!Y57+'PARIJATAH WETAN'!AC57+REJOAGUNG!AF57+SUKOMAJU!AC57+SUKONATAR!T57+SUMBERSARI!AH57+WONOSOBO!AS57</f>
        <v>624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59</v>
      </c>
      <c r="B59" s="14" t="s">
        <v>60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61</v>
      </c>
      <c r="C60" s="54" t="s">
        <v>62</v>
      </c>
      <c r="D60" s="16"/>
      <c r="E60" s="24">
        <f>BAGOREJO!AM60+KEBAMAN!AW60+KEPUNDUNGAN!W60+'PARIJATAH KULON'!Y60+'PARIJATAH WETAN'!AC60+REJOAGUNG!AF60+SUKOMAJU!AC60+SUKONATAR!T60+SUMBERSARI!AH60+WONOSOBO!AS60</f>
        <v>47924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63</v>
      </c>
      <c r="C61" s="54" t="s">
        <v>64</v>
      </c>
      <c r="D61" s="16"/>
      <c r="E61" s="24">
        <f>BAGOREJO!AM61+KEBAMAN!AW61+KEPUNDUNGAN!W61+'PARIJATAH KULON'!Y61+'PARIJATAH WETAN'!AC61+REJOAGUNG!AF61+SUKOMAJU!AC61+SUKONATAR!T61+SUMBERSARI!AH61+WONOSOBO!AS61</f>
        <v>9212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65</v>
      </c>
      <c r="C62" s="54" t="s">
        <v>66</v>
      </c>
      <c r="D62" s="16"/>
      <c r="E62" s="13">
        <f>SUM(E60:E61)</f>
        <v>57136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8" width="8.71"/>
    <col customWidth="1" min="39" max="3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13" t="s">
        <v>96</v>
      </c>
      <c r="AG13" s="13" t="s">
        <v>97</v>
      </c>
      <c r="AH13" s="13" t="s">
        <v>98</v>
      </c>
      <c r="AI13" s="13" t="s">
        <v>99</v>
      </c>
      <c r="AJ13" s="13" t="s">
        <v>100</v>
      </c>
      <c r="AK13" s="13" t="s">
        <v>101</v>
      </c>
      <c r="AL13" s="13" t="s">
        <v>102</v>
      </c>
      <c r="AM13" s="36"/>
    </row>
    <row r="14" ht="12.75" customHeight="1">
      <c r="A14" s="18"/>
      <c r="B14" s="22" t="s">
        <v>11</v>
      </c>
      <c r="C14" s="23"/>
      <c r="D14" s="19" t="s">
        <v>12</v>
      </c>
      <c r="E14" s="19">
        <v>156.0</v>
      </c>
      <c r="F14" s="19">
        <v>142.0</v>
      </c>
      <c r="G14" s="19">
        <v>136.0</v>
      </c>
      <c r="H14" s="19">
        <v>143.0</v>
      </c>
      <c r="I14" s="19">
        <v>141.0</v>
      </c>
      <c r="J14" s="19">
        <v>140.0</v>
      </c>
      <c r="K14" s="19">
        <v>150.0</v>
      </c>
      <c r="L14" s="19">
        <v>142.0</v>
      </c>
      <c r="M14" s="19">
        <v>134.0</v>
      </c>
      <c r="N14" s="19">
        <v>148.0</v>
      </c>
      <c r="O14" s="19">
        <v>150.0</v>
      </c>
      <c r="P14" s="19">
        <v>132.0</v>
      </c>
      <c r="Q14" s="19">
        <v>132.0</v>
      </c>
      <c r="R14" s="19">
        <v>141.0</v>
      </c>
      <c r="S14" s="19">
        <v>148.0</v>
      </c>
      <c r="T14" s="19">
        <v>144.0</v>
      </c>
      <c r="U14" s="19">
        <v>148.0</v>
      </c>
      <c r="V14" s="19">
        <v>141.0</v>
      </c>
      <c r="W14" s="19">
        <v>144.0</v>
      </c>
      <c r="X14" s="19">
        <v>137.0</v>
      </c>
      <c r="Y14" s="19">
        <v>153.0</v>
      </c>
      <c r="Z14" s="19">
        <v>149.0</v>
      </c>
      <c r="AA14" s="19">
        <v>139.0</v>
      </c>
      <c r="AB14" s="19">
        <v>127.0</v>
      </c>
      <c r="AC14" s="19">
        <v>138.0</v>
      </c>
      <c r="AD14" s="19">
        <v>133.0</v>
      </c>
      <c r="AE14" s="19">
        <v>137.0</v>
      </c>
      <c r="AF14" s="19">
        <v>142.0</v>
      </c>
      <c r="AG14" s="19">
        <v>149.0</v>
      </c>
      <c r="AH14" s="19">
        <v>142.0</v>
      </c>
      <c r="AI14" s="19">
        <v>153.0</v>
      </c>
      <c r="AJ14" s="19">
        <v>134.0</v>
      </c>
      <c r="AK14" s="19">
        <v>142.0</v>
      </c>
      <c r="AL14" s="19">
        <v>125.0</v>
      </c>
      <c r="AM14" s="13">
        <f t="shared" ref="AM14:AM16" si="1">SUM(E14:AL14)</f>
        <v>4812</v>
      </c>
    </row>
    <row r="15" ht="12.75" customHeight="1">
      <c r="A15" s="18"/>
      <c r="B15" s="26"/>
      <c r="C15" s="27"/>
      <c r="D15" s="19" t="s">
        <v>13</v>
      </c>
      <c r="E15" s="19">
        <v>132.0</v>
      </c>
      <c r="F15" s="19">
        <v>147.0</v>
      </c>
      <c r="G15" s="19">
        <v>147.0</v>
      </c>
      <c r="H15" s="19">
        <v>138.0</v>
      </c>
      <c r="I15" s="19">
        <v>140.0</v>
      </c>
      <c r="J15" s="19">
        <v>139.0</v>
      </c>
      <c r="K15" s="19">
        <v>142.0</v>
      </c>
      <c r="L15" s="19">
        <v>143.0</v>
      </c>
      <c r="M15" s="19">
        <v>149.0</v>
      </c>
      <c r="N15" s="19">
        <v>139.0</v>
      </c>
      <c r="O15" s="19">
        <v>130.0</v>
      </c>
      <c r="P15" s="19">
        <v>147.0</v>
      </c>
      <c r="Q15" s="19">
        <v>140.0</v>
      </c>
      <c r="R15" s="19">
        <v>143.0</v>
      </c>
      <c r="S15" s="19">
        <v>137.0</v>
      </c>
      <c r="T15" s="19">
        <v>144.0</v>
      </c>
      <c r="U15" s="19">
        <v>137.0</v>
      </c>
      <c r="V15" s="19">
        <v>150.0</v>
      </c>
      <c r="W15" s="19">
        <v>144.0</v>
      </c>
      <c r="X15" s="19">
        <v>138.0</v>
      </c>
      <c r="Y15" s="19">
        <v>129.0</v>
      </c>
      <c r="Z15" s="19">
        <v>132.0</v>
      </c>
      <c r="AA15" s="19">
        <v>145.0</v>
      </c>
      <c r="AB15" s="19">
        <v>149.0</v>
      </c>
      <c r="AC15" s="19">
        <v>149.0</v>
      </c>
      <c r="AD15" s="19">
        <v>153.0</v>
      </c>
      <c r="AE15" s="19">
        <v>147.0</v>
      </c>
      <c r="AF15" s="19">
        <v>146.0</v>
      </c>
      <c r="AG15" s="19">
        <v>146.0</v>
      </c>
      <c r="AH15" s="19">
        <v>140.0</v>
      </c>
      <c r="AI15" s="19">
        <v>130.0</v>
      </c>
      <c r="AJ15" s="19">
        <v>142.0</v>
      </c>
      <c r="AK15" s="19">
        <v>133.0</v>
      </c>
      <c r="AL15" s="19">
        <v>145.0</v>
      </c>
      <c r="AM15" s="13">
        <f t="shared" si="1"/>
        <v>4812</v>
      </c>
    </row>
    <row r="16" ht="12.75" customHeight="1">
      <c r="A16" s="25"/>
      <c r="B16" s="21"/>
      <c r="C16" s="28"/>
      <c r="D16" s="13" t="s">
        <v>14</v>
      </c>
      <c r="E16" s="13">
        <f t="shared" ref="E16:AL16" si="2">SUM(E14:E15)</f>
        <v>288</v>
      </c>
      <c r="F16" s="13">
        <f t="shared" si="2"/>
        <v>289</v>
      </c>
      <c r="G16" s="13">
        <f t="shared" si="2"/>
        <v>283</v>
      </c>
      <c r="H16" s="13">
        <f t="shared" si="2"/>
        <v>281</v>
      </c>
      <c r="I16" s="13">
        <f t="shared" si="2"/>
        <v>281</v>
      </c>
      <c r="J16" s="13">
        <f t="shared" si="2"/>
        <v>279</v>
      </c>
      <c r="K16" s="13">
        <f t="shared" si="2"/>
        <v>292</v>
      </c>
      <c r="L16" s="13">
        <f t="shared" si="2"/>
        <v>285</v>
      </c>
      <c r="M16" s="13">
        <f t="shared" si="2"/>
        <v>283</v>
      </c>
      <c r="N16" s="13">
        <f t="shared" si="2"/>
        <v>287</v>
      </c>
      <c r="O16" s="13">
        <f t="shared" si="2"/>
        <v>280</v>
      </c>
      <c r="P16" s="13">
        <f t="shared" si="2"/>
        <v>279</v>
      </c>
      <c r="Q16" s="13">
        <f t="shared" si="2"/>
        <v>272</v>
      </c>
      <c r="R16" s="13">
        <f t="shared" si="2"/>
        <v>284</v>
      </c>
      <c r="S16" s="13">
        <f t="shared" si="2"/>
        <v>285</v>
      </c>
      <c r="T16" s="13">
        <f t="shared" si="2"/>
        <v>288</v>
      </c>
      <c r="U16" s="13">
        <f t="shared" si="2"/>
        <v>285</v>
      </c>
      <c r="V16" s="13">
        <f t="shared" si="2"/>
        <v>291</v>
      </c>
      <c r="W16" s="13">
        <f t="shared" si="2"/>
        <v>288</v>
      </c>
      <c r="X16" s="13">
        <f t="shared" si="2"/>
        <v>275</v>
      </c>
      <c r="Y16" s="13">
        <f t="shared" si="2"/>
        <v>282</v>
      </c>
      <c r="Z16" s="13">
        <f t="shared" si="2"/>
        <v>281</v>
      </c>
      <c r="AA16" s="13">
        <f t="shared" si="2"/>
        <v>284</v>
      </c>
      <c r="AB16" s="13">
        <f t="shared" si="2"/>
        <v>276</v>
      </c>
      <c r="AC16" s="13">
        <f t="shared" si="2"/>
        <v>287</v>
      </c>
      <c r="AD16" s="13">
        <f t="shared" si="2"/>
        <v>286</v>
      </c>
      <c r="AE16" s="13">
        <f t="shared" si="2"/>
        <v>284</v>
      </c>
      <c r="AF16" s="13">
        <f t="shared" si="2"/>
        <v>288</v>
      </c>
      <c r="AG16" s="13">
        <f t="shared" si="2"/>
        <v>295</v>
      </c>
      <c r="AH16" s="13">
        <f t="shared" si="2"/>
        <v>282</v>
      </c>
      <c r="AI16" s="13">
        <f t="shared" si="2"/>
        <v>283</v>
      </c>
      <c r="AJ16" s="13">
        <f t="shared" si="2"/>
        <v>276</v>
      </c>
      <c r="AK16" s="13">
        <f t="shared" si="2"/>
        <v>275</v>
      </c>
      <c r="AL16" s="13">
        <f t="shared" si="2"/>
        <v>270</v>
      </c>
      <c r="AM16" s="13">
        <f t="shared" si="1"/>
        <v>9624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19"/>
      <c r="V17" s="19"/>
      <c r="W17" s="19"/>
      <c r="X17" s="58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58"/>
      <c r="AM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19"/>
      <c r="V18" s="19"/>
      <c r="W18" s="19"/>
      <c r="X18" s="58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58"/>
      <c r="AM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103.0</v>
      </c>
      <c r="F19" s="19">
        <v>94.0</v>
      </c>
      <c r="G19" s="19">
        <v>98.0</v>
      </c>
      <c r="H19" s="19">
        <v>91.0</v>
      </c>
      <c r="I19" s="19">
        <v>102.0</v>
      </c>
      <c r="J19" s="19">
        <v>101.0</v>
      </c>
      <c r="K19" s="19">
        <v>90.0</v>
      </c>
      <c r="L19" s="19">
        <v>90.0</v>
      </c>
      <c r="M19" s="19">
        <v>98.0</v>
      </c>
      <c r="N19" s="19">
        <v>106.0</v>
      </c>
      <c r="O19" s="19">
        <v>109.0</v>
      </c>
      <c r="P19" s="19">
        <v>90.0</v>
      </c>
      <c r="Q19" s="19">
        <v>93.0</v>
      </c>
      <c r="R19" s="19">
        <v>100.0</v>
      </c>
      <c r="S19" s="19">
        <v>102.0</v>
      </c>
      <c r="T19" s="19">
        <v>104.0</v>
      </c>
      <c r="U19" s="19">
        <v>108.0</v>
      </c>
      <c r="V19" s="19">
        <v>107.0</v>
      </c>
      <c r="W19" s="19">
        <v>99.0</v>
      </c>
      <c r="X19" s="19">
        <v>114.0</v>
      </c>
      <c r="Y19" s="19">
        <v>113.0</v>
      </c>
      <c r="Z19" s="19">
        <v>120.0</v>
      </c>
      <c r="AA19" s="19">
        <v>115.0</v>
      </c>
      <c r="AB19" s="19">
        <v>87.0</v>
      </c>
      <c r="AC19" s="19">
        <v>100.0</v>
      </c>
      <c r="AD19" s="19">
        <v>102.0</v>
      </c>
      <c r="AE19" s="19">
        <v>108.0</v>
      </c>
      <c r="AF19" s="19">
        <v>103.0</v>
      </c>
      <c r="AG19" s="19">
        <v>110.0</v>
      </c>
      <c r="AH19" s="19">
        <v>98.0</v>
      </c>
      <c r="AI19" s="19">
        <v>109.0</v>
      </c>
      <c r="AJ19" s="19">
        <v>93.0</v>
      </c>
      <c r="AK19" s="19">
        <v>101.0</v>
      </c>
      <c r="AL19" s="19">
        <v>97.0</v>
      </c>
      <c r="AM19" s="13">
        <f t="shared" ref="AM19:AM30" si="3">SUM(E19:AL19)</f>
        <v>3455</v>
      </c>
    </row>
    <row r="20" ht="12.75" customHeight="1">
      <c r="A20" s="33"/>
      <c r="B20" s="27"/>
      <c r="C20" s="34"/>
      <c r="D20" s="19" t="s">
        <v>13</v>
      </c>
      <c r="E20" s="19">
        <v>103.0</v>
      </c>
      <c r="F20" s="19">
        <v>113.0</v>
      </c>
      <c r="G20" s="19">
        <v>119.0</v>
      </c>
      <c r="H20" s="19">
        <v>93.0</v>
      </c>
      <c r="I20" s="19">
        <v>111.0</v>
      </c>
      <c r="J20" s="19">
        <v>114.0</v>
      </c>
      <c r="K20" s="19">
        <v>109.0</v>
      </c>
      <c r="L20" s="19">
        <v>120.0</v>
      </c>
      <c r="M20" s="19">
        <v>129.0</v>
      </c>
      <c r="N20" s="19">
        <v>111.0</v>
      </c>
      <c r="O20" s="19">
        <v>107.0</v>
      </c>
      <c r="P20" s="19">
        <v>112.0</v>
      </c>
      <c r="Q20" s="19">
        <v>101.0</v>
      </c>
      <c r="R20" s="19">
        <v>112.0</v>
      </c>
      <c r="S20" s="19">
        <v>103.0</v>
      </c>
      <c r="T20" s="19">
        <v>120.0</v>
      </c>
      <c r="U20" s="19">
        <v>101.0</v>
      </c>
      <c r="V20" s="19">
        <v>120.0</v>
      </c>
      <c r="W20" s="19">
        <v>115.0</v>
      </c>
      <c r="X20" s="19">
        <v>109.0</v>
      </c>
      <c r="Y20" s="19">
        <v>102.0</v>
      </c>
      <c r="Z20" s="19">
        <v>117.0</v>
      </c>
      <c r="AA20" s="19">
        <v>108.0</v>
      </c>
      <c r="AB20" s="19">
        <v>111.0</v>
      </c>
      <c r="AC20" s="19">
        <v>114.0</v>
      </c>
      <c r="AD20" s="19">
        <v>122.0</v>
      </c>
      <c r="AE20" s="19">
        <v>126.0</v>
      </c>
      <c r="AF20" s="19">
        <v>114.0</v>
      </c>
      <c r="AG20" s="19">
        <v>115.0</v>
      </c>
      <c r="AH20" s="19">
        <v>108.0</v>
      </c>
      <c r="AI20" s="19">
        <v>103.0</v>
      </c>
      <c r="AJ20" s="19">
        <v>109.0</v>
      </c>
      <c r="AK20" s="19">
        <v>102.0</v>
      </c>
      <c r="AL20" s="19">
        <v>102.0</v>
      </c>
      <c r="AM20" s="13">
        <f t="shared" si="3"/>
        <v>3775</v>
      </c>
    </row>
    <row r="21" ht="12.75" customHeight="1">
      <c r="A21" s="35"/>
      <c r="B21" s="28"/>
      <c r="C21" s="36"/>
      <c r="D21" s="13" t="s">
        <v>14</v>
      </c>
      <c r="E21" s="13">
        <f t="shared" ref="E21:AL21" si="4">SUM(E19:E20)</f>
        <v>206</v>
      </c>
      <c r="F21" s="13">
        <f t="shared" si="4"/>
        <v>207</v>
      </c>
      <c r="G21" s="13">
        <f t="shared" si="4"/>
        <v>217</v>
      </c>
      <c r="H21" s="13">
        <f t="shared" si="4"/>
        <v>184</v>
      </c>
      <c r="I21" s="13">
        <f t="shared" si="4"/>
        <v>213</v>
      </c>
      <c r="J21" s="13">
        <f t="shared" si="4"/>
        <v>215</v>
      </c>
      <c r="K21" s="13">
        <f t="shared" si="4"/>
        <v>199</v>
      </c>
      <c r="L21" s="13">
        <f t="shared" si="4"/>
        <v>210</v>
      </c>
      <c r="M21" s="13">
        <f t="shared" si="4"/>
        <v>227</v>
      </c>
      <c r="N21" s="13">
        <f t="shared" si="4"/>
        <v>217</v>
      </c>
      <c r="O21" s="13">
        <f t="shared" si="4"/>
        <v>216</v>
      </c>
      <c r="P21" s="13">
        <f t="shared" si="4"/>
        <v>202</v>
      </c>
      <c r="Q21" s="13">
        <f t="shared" si="4"/>
        <v>194</v>
      </c>
      <c r="R21" s="13">
        <f t="shared" si="4"/>
        <v>212</v>
      </c>
      <c r="S21" s="13">
        <f t="shared" si="4"/>
        <v>205</v>
      </c>
      <c r="T21" s="13">
        <f t="shared" si="4"/>
        <v>224</v>
      </c>
      <c r="U21" s="13">
        <f t="shared" si="4"/>
        <v>209</v>
      </c>
      <c r="V21" s="13">
        <f t="shared" si="4"/>
        <v>227</v>
      </c>
      <c r="W21" s="13">
        <f t="shared" si="4"/>
        <v>214</v>
      </c>
      <c r="X21" s="13">
        <f t="shared" si="4"/>
        <v>223</v>
      </c>
      <c r="Y21" s="13">
        <f t="shared" si="4"/>
        <v>215</v>
      </c>
      <c r="Z21" s="13">
        <f t="shared" si="4"/>
        <v>237</v>
      </c>
      <c r="AA21" s="13">
        <f t="shared" si="4"/>
        <v>223</v>
      </c>
      <c r="AB21" s="13">
        <f t="shared" si="4"/>
        <v>198</v>
      </c>
      <c r="AC21" s="13">
        <f t="shared" si="4"/>
        <v>214</v>
      </c>
      <c r="AD21" s="13">
        <f t="shared" si="4"/>
        <v>224</v>
      </c>
      <c r="AE21" s="13">
        <f t="shared" si="4"/>
        <v>234</v>
      </c>
      <c r="AF21" s="13">
        <f t="shared" si="4"/>
        <v>217</v>
      </c>
      <c r="AG21" s="13">
        <f t="shared" si="4"/>
        <v>225</v>
      </c>
      <c r="AH21" s="13">
        <f t="shared" si="4"/>
        <v>206</v>
      </c>
      <c r="AI21" s="13">
        <f t="shared" si="4"/>
        <v>212</v>
      </c>
      <c r="AJ21" s="13">
        <f t="shared" si="4"/>
        <v>202</v>
      </c>
      <c r="AK21" s="13">
        <f t="shared" si="4"/>
        <v>203</v>
      </c>
      <c r="AL21" s="13">
        <f t="shared" si="4"/>
        <v>199</v>
      </c>
      <c r="AM21" s="13">
        <f t="shared" si="3"/>
        <v>7230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2.0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L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3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4.0</v>
      </c>
      <c r="G25" s="19">
        <v>1.0</v>
      </c>
      <c r="H25" s="19">
        <v>0.0</v>
      </c>
      <c r="I25" s="19">
        <v>1.0</v>
      </c>
      <c r="J25" s="19">
        <v>4.0</v>
      </c>
      <c r="K25" s="19">
        <v>3.0</v>
      </c>
      <c r="L25" s="19">
        <v>1.0</v>
      </c>
      <c r="M25" s="19">
        <v>1.0</v>
      </c>
      <c r="N25" s="19">
        <v>1.0</v>
      </c>
      <c r="O25" s="19">
        <v>0.0</v>
      </c>
      <c r="P25" s="19">
        <v>1.0</v>
      </c>
      <c r="Q25" s="19">
        <v>1.0</v>
      </c>
      <c r="R25" s="19">
        <v>1.0</v>
      </c>
      <c r="S25" s="19">
        <v>3.0</v>
      </c>
      <c r="T25" s="19">
        <v>1.0</v>
      </c>
      <c r="U25" s="19">
        <v>1.0</v>
      </c>
      <c r="V25" s="19">
        <v>3.0</v>
      </c>
      <c r="W25" s="19">
        <v>0.0</v>
      </c>
      <c r="X25" s="19">
        <v>2.0</v>
      </c>
      <c r="Y25" s="19">
        <v>4.0</v>
      </c>
      <c r="Z25" s="19">
        <v>0.0</v>
      </c>
      <c r="AA25" s="19">
        <v>2.0</v>
      </c>
      <c r="AB25" s="19">
        <v>2.0</v>
      </c>
      <c r="AC25" s="19">
        <v>2.0</v>
      </c>
      <c r="AD25" s="19">
        <v>0.0</v>
      </c>
      <c r="AE25" s="19">
        <v>1.0</v>
      </c>
      <c r="AF25" s="19">
        <v>0.0</v>
      </c>
      <c r="AG25" s="19">
        <v>0.0</v>
      </c>
      <c r="AH25" s="19">
        <v>0.0</v>
      </c>
      <c r="AI25" s="19">
        <v>0.0</v>
      </c>
      <c r="AJ25" s="19">
        <v>0.0</v>
      </c>
      <c r="AK25" s="19">
        <v>0.0</v>
      </c>
      <c r="AL25" s="19">
        <v>0.0</v>
      </c>
      <c r="AM25" s="13">
        <f t="shared" si="3"/>
        <v>41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6.0</v>
      </c>
      <c r="G26" s="19">
        <v>1.0</v>
      </c>
      <c r="H26" s="19">
        <v>0.0</v>
      </c>
      <c r="I26" s="19">
        <v>3.0</v>
      </c>
      <c r="J26" s="19">
        <v>0.0</v>
      </c>
      <c r="K26" s="19">
        <v>3.0</v>
      </c>
      <c r="L26" s="19">
        <v>0.0</v>
      </c>
      <c r="M26" s="19">
        <v>1.0</v>
      </c>
      <c r="N26" s="19">
        <v>2.0</v>
      </c>
      <c r="O26" s="19">
        <v>2.0</v>
      </c>
      <c r="P26" s="19">
        <v>2.0</v>
      </c>
      <c r="Q26" s="19">
        <v>2.0</v>
      </c>
      <c r="R26" s="19">
        <v>1.0</v>
      </c>
      <c r="S26" s="19">
        <v>5.0</v>
      </c>
      <c r="T26" s="19">
        <v>2.0</v>
      </c>
      <c r="U26" s="19">
        <v>2.0</v>
      </c>
      <c r="V26" s="19">
        <v>2.0</v>
      </c>
      <c r="W26" s="19">
        <v>1.0</v>
      </c>
      <c r="X26" s="19">
        <v>3.0</v>
      </c>
      <c r="Y26" s="19">
        <v>3.0</v>
      </c>
      <c r="Z26" s="19">
        <v>2.0</v>
      </c>
      <c r="AA26" s="19">
        <v>2.0</v>
      </c>
      <c r="AB26" s="19">
        <v>5.0</v>
      </c>
      <c r="AC26" s="19">
        <v>1.0</v>
      </c>
      <c r="AD26" s="19">
        <v>0.0</v>
      </c>
      <c r="AE26" s="19">
        <v>1.0</v>
      </c>
      <c r="AF26" s="19">
        <v>0.0</v>
      </c>
      <c r="AG26" s="19">
        <v>1.0</v>
      </c>
      <c r="AH26" s="19">
        <v>1.0</v>
      </c>
      <c r="AI26" s="19">
        <v>2.0</v>
      </c>
      <c r="AJ26" s="19">
        <v>0.0</v>
      </c>
      <c r="AK26" s="19">
        <v>0.0</v>
      </c>
      <c r="AL26" s="19">
        <v>1.0</v>
      </c>
      <c r="AM26" s="13">
        <f t="shared" si="3"/>
        <v>58</v>
      </c>
    </row>
    <row r="27" ht="12.75" customHeight="1">
      <c r="A27" s="35"/>
      <c r="B27" s="28"/>
      <c r="C27" s="36"/>
      <c r="D27" s="13" t="s">
        <v>14</v>
      </c>
      <c r="E27" s="13">
        <f t="shared" ref="E27:AL27" si="6">SUM(E25:E26)</f>
        <v>2</v>
      </c>
      <c r="F27" s="13">
        <f t="shared" si="6"/>
        <v>10</v>
      </c>
      <c r="G27" s="13">
        <f t="shared" si="6"/>
        <v>2</v>
      </c>
      <c r="H27" s="13">
        <f t="shared" si="6"/>
        <v>0</v>
      </c>
      <c r="I27" s="13">
        <f t="shared" si="6"/>
        <v>4</v>
      </c>
      <c r="J27" s="13">
        <f t="shared" si="6"/>
        <v>4</v>
      </c>
      <c r="K27" s="13">
        <f t="shared" si="6"/>
        <v>6</v>
      </c>
      <c r="L27" s="13">
        <f t="shared" si="6"/>
        <v>1</v>
      </c>
      <c r="M27" s="13">
        <f t="shared" si="6"/>
        <v>2</v>
      </c>
      <c r="N27" s="13">
        <f t="shared" si="6"/>
        <v>3</v>
      </c>
      <c r="O27" s="13">
        <f t="shared" si="6"/>
        <v>2</v>
      </c>
      <c r="P27" s="13">
        <f t="shared" si="6"/>
        <v>3</v>
      </c>
      <c r="Q27" s="13">
        <f t="shared" si="6"/>
        <v>3</v>
      </c>
      <c r="R27" s="13">
        <f t="shared" si="6"/>
        <v>2</v>
      </c>
      <c r="S27" s="13">
        <f t="shared" si="6"/>
        <v>8</v>
      </c>
      <c r="T27" s="13">
        <f t="shared" si="6"/>
        <v>3</v>
      </c>
      <c r="U27" s="13">
        <f t="shared" si="6"/>
        <v>3</v>
      </c>
      <c r="V27" s="13">
        <f t="shared" si="6"/>
        <v>5</v>
      </c>
      <c r="W27" s="13">
        <f t="shared" si="6"/>
        <v>1</v>
      </c>
      <c r="X27" s="13">
        <f t="shared" si="6"/>
        <v>5</v>
      </c>
      <c r="Y27" s="13">
        <f t="shared" si="6"/>
        <v>7</v>
      </c>
      <c r="Z27" s="13">
        <f t="shared" si="6"/>
        <v>2</v>
      </c>
      <c r="AA27" s="13">
        <f t="shared" si="6"/>
        <v>4</v>
      </c>
      <c r="AB27" s="13">
        <f t="shared" si="6"/>
        <v>7</v>
      </c>
      <c r="AC27" s="13">
        <f t="shared" si="6"/>
        <v>3</v>
      </c>
      <c r="AD27" s="13">
        <f t="shared" si="6"/>
        <v>0</v>
      </c>
      <c r="AE27" s="13">
        <f t="shared" si="6"/>
        <v>2</v>
      </c>
      <c r="AF27" s="13">
        <f t="shared" si="6"/>
        <v>0</v>
      </c>
      <c r="AG27" s="13">
        <f t="shared" si="6"/>
        <v>1</v>
      </c>
      <c r="AH27" s="13">
        <f t="shared" si="6"/>
        <v>1</v>
      </c>
      <c r="AI27" s="13">
        <f t="shared" si="6"/>
        <v>2</v>
      </c>
      <c r="AJ27" s="13">
        <f t="shared" si="6"/>
        <v>0</v>
      </c>
      <c r="AK27" s="13">
        <f t="shared" si="6"/>
        <v>0</v>
      </c>
      <c r="AL27" s="13">
        <f t="shared" si="6"/>
        <v>1</v>
      </c>
      <c r="AM27" s="13">
        <f t="shared" si="3"/>
        <v>99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L28" si="7">SUM(E19,E22,E25)</f>
        <v>104</v>
      </c>
      <c r="F28" s="13">
        <f t="shared" si="7"/>
        <v>98</v>
      </c>
      <c r="G28" s="13">
        <f t="shared" si="7"/>
        <v>99</v>
      </c>
      <c r="H28" s="13">
        <f t="shared" si="7"/>
        <v>91</v>
      </c>
      <c r="I28" s="13">
        <f t="shared" si="7"/>
        <v>104</v>
      </c>
      <c r="J28" s="13">
        <f t="shared" si="7"/>
        <v>106</v>
      </c>
      <c r="K28" s="13">
        <f t="shared" si="7"/>
        <v>93</v>
      </c>
      <c r="L28" s="13">
        <f t="shared" si="7"/>
        <v>91</v>
      </c>
      <c r="M28" s="13">
        <f t="shared" si="7"/>
        <v>99</v>
      </c>
      <c r="N28" s="13">
        <f t="shared" si="7"/>
        <v>107</v>
      </c>
      <c r="O28" s="13">
        <f t="shared" si="7"/>
        <v>109</v>
      </c>
      <c r="P28" s="13">
        <f t="shared" si="7"/>
        <v>91</v>
      </c>
      <c r="Q28" s="13">
        <f t="shared" si="7"/>
        <v>94</v>
      </c>
      <c r="R28" s="13">
        <f t="shared" si="7"/>
        <v>101</v>
      </c>
      <c r="S28" s="13">
        <f t="shared" si="7"/>
        <v>105</v>
      </c>
      <c r="T28" s="13">
        <f t="shared" si="7"/>
        <v>105</v>
      </c>
      <c r="U28" s="13">
        <f t="shared" si="7"/>
        <v>109</v>
      </c>
      <c r="V28" s="13">
        <f t="shared" si="7"/>
        <v>110</v>
      </c>
      <c r="W28" s="13">
        <f t="shared" si="7"/>
        <v>99</v>
      </c>
      <c r="X28" s="13">
        <f t="shared" si="7"/>
        <v>116</v>
      </c>
      <c r="Y28" s="13">
        <f t="shared" si="7"/>
        <v>117</v>
      </c>
      <c r="Z28" s="13">
        <f t="shared" si="7"/>
        <v>120</v>
      </c>
      <c r="AA28" s="13">
        <f t="shared" si="7"/>
        <v>117</v>
      </c>
      <c r="AB28" s="13">
        <f t="shared" si="7"/>
        <v>89</v>
      </c>
      <c r="AC28" s="13">
        <f t="shared" si="7"/>
        <v>102</v>
      </c>
      <c r="AD28" s="13">
        <f t="shared" si="7"/>
        <v>102</v>
      </c>
      <c r="AE28" s="13">
        <f t="shared" si="7"/>
        <v>109</v>
      </c>
      <c r="AF28" s="13">
        <f t="shared" si="7"/>
        <v>103</v>
      </c>
      <c r="AG28" s="13">
        <f t="shared" si="7"/>
        <v>110</v>
      </c>
      <c r="AH28" s="13">
        <f t="shared" si="7"/>
        <v>98</v>
      </c>
      <c r="AI28" s="13">
        <f t="shared" si="7"/>
        <v>109</v>
      </c>
      <c r="AJ28" s="13">
        <f t="shared" si="7"/>
        <v>93</v>
      </c>
      <c r="AK28" s="13">
        <f t="shared" si="7"/>
        <v>101</v>
      </c>
      <c r="AL28" s="13">
        <f t="shared" si="7"/>
        <v>97</v>
      </c>
      <c r="AM28" s="13">
        <f t="shared" si="3"/>
        <v>3498</v>
      </c>
    </row>
    <row r="29" ht="12.75" customHeight="1">
      <c r="A29" s="35"/>
      <c r="B29" s="27"/>
      <c r="C29" s="34"/>
      <c r="D29" s="13" t="s">
        <v>13</v>
      </c>
      <c r="E29" s="13">
        <f t="shared" ref="E29:AL29" si="8">SUM(E20,E23,E26)</f>
        <v>104</v>
      </c>
      <c r="F29" s="13">
        <f t="shared" si="8"/>
        <v>119</v>
      </c>
      <c r="G29" s="13">
        <f t="shared" si="8"/>
        <v>120</v>
      </c>
      <c r="H29" s="13">
        <f t="shared" si="8"/>
        <v>93</v>
      </c>
      <c r="I29" s="13">
        <f t="shared" si="8"/>
        <v>114</v>
      </c>
      <c r="J29" s="13">
        <f t="shared" si="8"/>
        <v>116</v>
      </c>
      <c r="K29" s="13">
        <f t="shared" si="8"/>
        <v>112</v>
      </c>
      <c r="L29" s="13">
        <f t="shared" si="8"/>
        <v>120</v>
      </c>
      <c r="M29" s="13">
        <f t="shared" si="8"/>
        <v>130</v>
      </c>
      <c r="N29" s="13">
        <f t="shared" si="8"/>
        <v>113</v>
      </c>
      <c r="O29" s="13">
        <f t="shared" si="8"/>
        <v>110</v>
      </c>
      <c r="P29" s="13">
        <f t="shared" si="8"/>
        <v>114</v>
      </c>
      <c r="Q29" s="13">
        <f t="shared" si="8"/>
        <v>103</v>
      </c>
      <c r="R29" s="13">
        <f t="shared" si="8"/>
        <v>113</v>
      </c>
      <c r="S29" s="13">
        <f t="shared" si="8"/>
        <v>108</v>
      </c>
      <c r="T29" s="13">
        <f t="shared" si="8"/>
        <v>122</v>
      </c>
      <c r="U29" s="13">
        <f t="shared" si="8"/>
        <v>103</v>
      </c>
      <c r="V29" s="13">
        <f t="shared" si="8"/>
        <v>122</v>
      </c>
      <c r="W29" s="13">
        <f t="shared" si="8"/>
        <v>116</v>
      </c>
      <c r="X29" s="13">
        <f t="shared" si="8"/>
        <v>112</v>
      </c>
      <c r="Y29" s="13">
        <f t="shared" si="8"/>
        <v>105</v>
      </c>
      <c r="Z29" s="13">
        <f t="shared" si="8"/>
        <v>119</v>
      </c>
      <c r="AA29" s="13">
        <f t="shared" si="8"/>
        <v>110</v>
      </c>
      <c r="AB29" s="13">
        <f t="shared" si="8"/>
        <v>116</v>
      </c>
      <c r="AC29" s="13">
        <f t="shared" si="8"/>
        <v>115</v>
      </c>
      <c r="AD29" s="13">
        <f t="shared" si="8"/>
        <v>122</v>
      </c>
      <c r="AE29" s="13">
        <f t="shared" si="8"/>
        <v>127</v>
      </c>
      <c r="AF29" s="13">
        <f t="shared" si="8"/>
        <v>114</v>
      </c>
      <c r="AG29" s="13">
        <f t="shared" si="8"/>
        <v>116</v>
      </c>
      <c r="AH29" s="13">
        <f t="shared" si="8"/>
        <v>109</v>
      </c>
      <c r="AI29" s="13">
        <f t="shared" si="8"/>
        <v>105</v>
      </c>
      <c r="AJ29" s="13">
        <f t="shared" si="8"/>
        <v>109</v>
      </c>
      <c r="AK29" s="13">
        <f t="shared" si="8"/>
        <v>102</v>
      </c>
      <c r="AL29" s="13">
        <f t="shared" si="8"/>
        <v>103</v>
      </c>
      <c r="AM29" s="13">
        <f t="shared" si="3"/>
        <v>3836</v>
      </c>
    </row>
    <row r="30" ht="12.75" customHeight="1">
      <c r="A30" s="35"/>
      <c r="B30" s="28"/>
      <c r="C30" s="36"/>
      <c r="D30" s="13" t="s">
        <v>14</v>
      </c>
      <c r="E30" s="13">
        <f t="shared" ref="E30:AL30" si="9">SUM(E28:E29)</f>
        <v>208</v>
      </c>
      <c r="F30" s="13">
        <f t="shared" si="9"/>
        <v>217</v>
      </c>
      <c r="G30" s="13">
        <f t="shared" si="9"/>
        <v>219</v>
      </c>
      <c r="H30" s="13">
        <f t="shared" si="9"/>
        <v>184</v>
      </c>
      <c r="I30" s="13">
        <f t="shared" si="9"/>
        <v>218</v>
      </c>
      <c r="J30" s="13">
        <f t="shared" si="9"/>
        <v>222</v>
      </c>
      <c r="K30" s="13">
        <f t="shared" si="9"/>
        <v>205</v>
      </c>
      <c r="L30" s="13">
        <f t="shared" si="9"/>
        <v>211</v>
      </c>
      <c r="M30" s="13">
        <f t="shared" si="9"/>
        <v>229</v>
      </c>
      <c r="N30" s="13">
        <f t="shared" si="9"/>
        <v>220</v>
      </c>
      <c r="O30" s="13">
        <f t="shared" si="9"/>
        <v>219</v>
      </c>
      <c r="P30" s="13">
        <f t="shared" si="9"/>
        <v>205</v>
      </c>
      <c r="Q30" s="13">
        <f t="shared" si="9"/>
        <v>197</v>
      </c>
      <c r="R30" s="13">
        <f t="shared" si="9"/>
        <v>214</v>
      </c>
      <c r="S30" s="13">
        <f t="shared" si="9"/>
        <v>213</v>
      </c>
      <c r="T30" s="13">
        <f t="shared" si="9"/>
        <v>227</v>
      </c>
      <c r="U30" s="13">
        <f t="shared" si="9"/>
        <v>212</v>
      </c>
      <c r="V30" s="13">
        <f t="shared" si="9"/>
        <v>232</v>
      </c>
      <c r="W30" s="13">
        <f t="shared" si="9"/>
        <v>215</v>
      </c>
      <c r="X30" s="13">
        <f t="shared" si="9"/>
        <v>228</v>
      </c>
      <c r="Y30" s="13">
        <f t="shared" si="9"/>
        <v>222</v>
      </c>
      <c r="Z30" s="13">
        <f t="shared" si="9"/>
        <v>239</v>
      </c>
      <c r="AA30" s="13">
        <f t="shared" si="9"/>
        <v>227</v>
      </c>
      <c r="AB30" s="13">
        <f t="shared" si="9"/>
        <v>205</v>
      </c>
      <c r="AC30" s="13">
        <f t="shared" si="9"/>
        <v>217</v>
      </c>
      <c r="AD30" s="13">
        <f t="shared" si="9"/>
        <v>224</v>
      </c>
      <c r="AE30" s="13">
        <f t="shared" si="9"/>
        <v>236</v>
      </c>
      <c r="AF30" s="13">
        <f t="shared" si="9"/>
        <v>217</v>
      </c>
      <c r="AG30" s="13">
        <f t="shared" si="9"/>
        <v>226</v>
      </c>
      <c r="AH30" s="13">
        <f t="shared" si="9"/>
        <v>207</v>
      </c>
      <c r="AI30" s="13">
        <f t="shared" si="9"/>
        <v>214</v>
      </c>
      <c r="AJ30" s="13">
        <f t="shared" si="9"/>
        <v>202</v>
      </c>
      <c r="AK30" s="13">
        <f t="shared" si="9"/>
        <v>203</v>
      </c>
      <c r="AL30" s="13">
        <f t="shared" si="9"/>
        <v>200</v>
      </c>
      <c r="AM30" s="13">
        <f t="shared" si="3"/>
        <v>7334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19"/>
      <c r="V31" s="19"/>
      <c r="W31" s="19"/>
      <c r="X31" s="58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58"/>
      <c r="AM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13"/>
      <c r="W32" s="13"/>
      <c r="X32" s="60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60"/>
      <c r="AM32" s="59"/>
    </row>
    <row r="33" ht="12.75" customHeight="1">
      <c r="A33" s="19">
        <v>1.0</v>
      </c>
      <c r="B33" s="20" t="s">
        <v>27</v>
      </c>
      <c r="C33" s="15"/>
      <c r="D33" s="16"/>
      <c r="E33" s="19">
        <v>293.0</v>
      </c>
      <c r="F33" s="19">
        <v>265.0</v>
      </c>
      <c r="G33" s="19">
        <v>289.0</v>
      </c>
      <c r="H33" s="19">
        <v>287.0</v>
      </c>
      <c r="I33" s="19">
        <v>287.0</v>
      </c>
      <c r="J33" s="19">
        <v>285.0</v>
      </c>
      <c r="K33" s="19">
        <v>298.0</v>
      </c>
      <c r="L33" s="19">
        <v>291.0</v>
      </c>
      <c r="M33" s="19">
        <v>289.0</v>
      </c>
      <c r="N33" s="19">
        <v>293.0</v>
      </c>
      <c r="O33" s="19">
        <v>286.0</v>
      </c>
      <c r="P33" s="19">
        <v>285.0</v>
      </c>
      <c r="Q33" s="19">
        <v>278.0</v>
      </c>
      <c r="R33" s="19">
        <v>290.0</v>
      </c>
      <c r="S33" s="19">
        <v>292.0</v>
      </c>
      <c r="T33" s="19">
        <v>296.0</v>
      </c>
      <c r="U33" s="19">
        <v>291.0</v>
      </c>
      <c r="V33" s="19">
        <v>297.0</v>
      </c>
      <c r="W33" s="19">
        <v>294.0</v>
      </c>
      <c r="X33" s="19">
        <v>291.0</v>
      </c>
      <c r="Y33" s="19">
        <v>288.0</v>
      </c>
      <c r="Z33" s="19">
        <v>286.0</v>
      </c>
      <c r="AA33" s="19">
        <v>290.0</v>
      </c>
      <c r="AB33" s="19">
        <v>282.0</v>
      </c>
      <c r="AC33" s="19">
        <v>293.0</v>
      </c>
      <c r="AD33" s="19">
        <v>292.0</v>
      </c>
      <c r="AE33" s="19">
        <v>290.0</v>
      </c>
      <c r="AF33" s="19">
        <v>292.0</v>
      </c>
      <c r="AG33" s="19">
        <v>301.0</v>
      </c>
      <c r="AH33" s="19">
        <v>288.0</v>
      </c>
      <c r="AI33" s="19">
        <v>289.0</v>
      </c>
      <c r="AJ33" s="19">
        <v>282.0</v>
      </c>
      <c r="AK33" s="19">
        <v>281.0</v>
      </c>
      <c r="AL33" s="19">
        <v>276.0</v>
      </c>
      <c r="AM33" s="13">
        <f t="shared" ref="AM33:AM36" si="10">SUM(E33:AL33)</f>
        <v>9807</v>
      </c>
    </row>
    <row r="34" ht="12.75" customHeight="1">
      <c r="A34" s="19">
        <v>2.0</v>
      </c>
      <c r="B34" s="20" t="s">
        <v>28</v>
      </c>
      <c r="C34" s="15"/>
      <c r="D34" s="16"/>
      <c r="E34" s="13">
        <v>208.0</v>
      </c>
      <c r="F34" s="13">
        <v>217.0</v>
      </c>
      <c r="G34" s="13">
        <v>219.0</v>
      </c>
      <c r="H34" s="13">
        <v>184.0</v>
      </c>
      <c r="I34" s="13">
        <v>218.0</v>
      </c>
      <c r="J34" s="13">
        <v>222.0</v>
      </c>
      <c r="K34" s="13">
        <v>205.0</v>
      </c>
      <c r="L34" s="13">
        <v>211.0</v>
      </c>
      <c r="M34" s="13">
        <v>229.0</v>
      </c>
      <c r="N34" s="13">
        <v>220.0</v>
      </c>
      <c r="O34" s="13">
        <v>218.0</v>
      </c>
      <c r="P34" s="13">
        <v>205.0</v>
      </c>
      <c r="Q34" s="13">
        <v>197.0</v>
      </c>
      <c r="R34" s="13">
        <v>214.0</v>
      </c>
      <c r="S34" s="13">
        <v>213.0</v>
      </c>
      <c r="T34" s="13">
        <v>227.0</v>
      </c>
      <c r="U34" s="13">
        <v>212.0</v>
      </c>
      <c r="V34" s="13">
        <v>232.0</v>
      </c>
      <c r="W34" s="13">
        <v>215.0</v>
      </c>
      <c r="X34" s="13">
        <v>228.0</v>
      </c>
      <c r="Y34" s="13">
        <v>222.0</v>
      </c>
      <c r="Z34" s="13">
        <v>239.0</v>
      </c>
      <c r="AA34" s="13">
        <v>225.0</v>
      </c>
      <c r="AB34" s="13">
        <v>205.0</v>
      </c>
      <c r="AC34" s="13">
        <v>217.0</v>
      </c>
      <c r="AD34" s="13">
        <v>224.0</v>
      </c>
      <c r="AE34" s="13">
        <v>236.0</v>
      </c>
      <c r="AF34" s="13">
        <v>217.0</v>
      </c>
      <c r="AG34" s="13">
        <v>226.0</v>
      </c>
      <c r="AH34" s="13">
        <v>209.0</v>
      </c>
      <c r="AI34" s="13">
        <v>214.0</v>
      </c>
      <c r="AJ34" s="13">
        <v>202.0</v>
      </c>
      <c r="AK34" s="13">
        <v>203.0</v>
      </c>
      <c r="AL34" s="13">
        <v>200.0</v>
      </c>
      <c r="AM34" s="13">
        <f t="shared" si="10"/>
        <v>7333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2.0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1.0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L36" si="11">E33-(E34+E35)</f>
        <v>85</v>
      </c>
      <c r="F36" s="13">
        <f t="shared" si="11"/>
        <v>48</v>
      </c>
      <c r="G36" s="13">
        <f t="shared" si="11"/>
        <v>70</v>
      </c>
      <c r="H36" s="13">
        <f t="shared" si="11"/>
        <v>103</v>
      </c>
      <c r="I36" s="13">
        <f t="shared" si="11"/>
        <v>68</v>
      </c>
      <c r="J36" s="13">
        <f t="shared" si="11"/>
        <v>63</v>
      </c>
      <c r="K36" s="13">
        <f t="shared" si="11"/>
        <v>91</v>
      </c>
      <c r="L36" s="13">
        <f t="shared" si="11"/>
        <v>80</v>
      </c>
      <c r="M36" s="13">
        <f t="shared" si="11"/>
        <v>60</v>
      </c>
      <c r="N36" s="13">
        <f t="shared" si="11"/>
        <v>73</v>
      </c>
      <c r="O36" s="13">
        <f t="shared" si="11"/>
        <v>67</v>
      </c>
      <c r="P36" s="13">
        <f t="shared" si="11"/>
        <v>80</v>
      </c>
      <c r="Q36" s="13">
        <f t="shared" si="11"/>
        <v>81</v>
      </c>
      <c r="R36" s="13">
        <f t="shared" si="11"/>
        <v>76</v>
      </c>
      <c r="S36" s="13">
        <f t="shared" si="11"/>
        <v>79</v>
      </c>
      <c r="T36" s="13">
        <f t="shared" si="11"/>
        <v>69</v>
      </c>
      <c r="U36" s="13">
        <f t="shared" si="11"/>
        <v>79</v>
      </c>
      <c r="V36" s="13">
        <f t="shared" si="11"/>
        <v>65</v>
      </c>
      <c r="W36" s="13">
        <f t="shared" si="11"/>
        <v>78</v>
      </c>
      <c r="X36" s="13">
        <f t="shared" si="11"/>
        <v>63</v>
      </c>
      <c r="Y36" s="13">
        <f t="shared" si="11"/>
        <v>66</v>
      </c>
      <c r="Z36" s="13">
        <f t="shared" si="11"/>
        <v>47</v>
      </c>
      <c r="AA36" s="13">
        <f t="shared" si="11"/>
        <v>65</v>
      </c>
      <c r="AB36" s="13">
        <f t="shared" si="11"/>
        <v>77</v>
      </c>
      <c r="AC36" s="13">
        <f t="shared" si="11"/>
        <v>76</v>
      </c>
      <c r="AD36" s="13">
        <f t="shared" si="11"/>
        <v>68</v>
      </c>
      <c r="AE36" s="13">
        <f t="shared" si="11"/>
        <v>54</v>
      </c>
      <c r="AF36" s="13">
        <f t="shared" si="11"/>
        <v>75</v>
      </c>
      <c r="AG36" s="13">
        <f t="shared" si="11"/>
        <v>75</v>
      </c>
      <c r="AH36" s="13">
        <f t="shared" si="11"/>
        <v>79</v>
      </c>
      <c r="AI36" s="13">
        <f t="shared" si="11"/>
        <v>75</v>
      </c>
      <c r="AJ36" s="13">
        <f t="shared" si="11"/>
        <v>80</v>
      </c>
      <c r="AK36" s="13">
        <f t="shared" si="11"/>
        <v>78</v>
      </c>
      <c r="AL36" s="13">
        <f t="shared" si="11"/>
        <v>76</v>
      </c>
      <c r="AM36" s="13">
        <f t="shared" si="10"/>
        <v>2469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6"/>
      <c r="AI37" s="19"/>
      <c r="AJ37" s="19"/>
      <c r="AK37" s="19"/>
      <c r="AL37" s="61"/>
      <c r="AM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13"/>
      <c r="W38" s="13"/>
      <c r="X38" s="60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60"/>
      <c r="AM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3">
        <f t="shared" ref="AM39:AM41" si="12">SUM(E39:AL39)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6"/>
      <c r="AI42" s="19"/>
      <c r="AJ42" s="19"/>
      <c r="AK42" s="19"/>
      <c r="AL42" s="19"/>
      <c r="A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  <c r="W43" s="13"/>
      <c r="X43" s="60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9"/>
      <c r="W44" s="19"/>
      <c r="X44" s="58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3"/>
    </row>
    <row r="45" ht="12.75" customHeight="1">
      <c r="A45" s="30"/>
      <c r="B45" s="47" t="s">
        <v>17</v>
      </c>
      <c r="C45" s="48" t="s">
        <v>37</v>
      </c>
      <c r="D45" s="16"/>
      <c r="E45" s="19">
        <v>29.0</v>
      </c>
      <c r="F45" s="19">
        <v>22.0</v>
      </c>
      <c r="G45" s="19">
        <v>27.0</v>
      </c>
      <c r="H45" s="19">
        <v>38.0</v>
      </c>
      <c r="I45" s="19">
        <v>36.0</v>
      </c>
      <c r="J45" s="19">
        <v>29.0</v>
      </c>
      <c r="K45" s="19">
        <v>20.0</v>
      </c>
      <c r="L45" s="19">
        <v>21.0</v>
      </c>
      <c r="M45" s="19">
        <v>18.0</v>
      </c>
      <c r="N45" s="19">
        <v>20.0</v>
      </c>
      <c r="O45" s="19">
        <v>30.0</v>
      </c>
      <c r="P45" s="19">
        <v>20.0</v>
      </c>
      <c r="Q45" s="19">
        <v>17.0</v>
      </c>
      <c r="R45" s="19">
        <v>25.0</v>
      </c>
      <c r="S45" s="19">
        <v>17.0</v>
      </c>
      <c r="T45" s="19">
        <v>15.0</v>
      </c>
      <c r="U45" s="19">
        <v>13.0</v>
      </c>
      <c r="V45" s="19">
        <v>17.0</v>
      </c>
      <c r="W45" s="19">
        <v>25.0</v>
      </c>
      <c r="X45" s="19">
        <v>12.0</v>
      </c>
      <c r="Y45" s="19">
        <v>20.0</v>
      </c>
      <c r="Z45" s="19">
        <v>17.0</v>
      </c>
      <c r="AA45" s="19">
        <v>22.0</v>
      </c>
      <c r="AB45" s="19">
        <v>4.0</v>
      </c>
      <c r="AC45" s="19">
        <v>13.0</v>
      </c>
      <c r="AD45" s="19">
        <v>22.0</v>
      </c>
      <c r="AE45" s="19">
        <v>34.0</v>
      </c>
      <c r="AF45" s="19">
        <v>20.0</v>
      </c>
      <c r="AG45" s="19">
        <v>22.0</v>
      </c>
      <c r="AH45" s="19">
        <v>18.0</v>
      </c>
      <c r="AI45" s="19">
        <v>11.0</v>
      </c>
      <c r="AJ45" s="19">
        <v>10.0</v>
      </c>
      <c r="AK45" s="19">
        <v>11.0</v>
      </c>
      <c r="AL45" s="19">
        <v>7.0</v>
      </c>
      <c r="AM45" s="13">
        <f t="shared" ref="AM45:AM57" si="14">SUM(E45:AL45)</f>
        <v>682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30.0</v>
      </c>
      <c r="F46" s="19">
        <v>35.0</v>
      </c>
      <c r="G46" s="19">
        <v>39.0</v>
      </c>
      <c r="H46" s="19">
        <v>41.0</v>
      </c>
      <c r="I46" s="19">
        <v>48.0</v>
      </c>
      <c r="J46" s="19">
        <v>26.0</v>
      </c>
      <c r="K46" s="19">
        <v>39.0</v>
      </c>
      <c r="L46" s="19">
        <v>32.0</v>
      </c>
      <c r="M46" s="19">
        <v>35.0</v>
      </c>
      <c r="N46" s="19">
        <v>32.0</v>
      </c>
      <c r="O46" s="19">
        <v>31.0</v>
      </c>
      <c r="P46" s="19">
        <v>45.0</v>
      </c>
      <c r="Q46" s="19">
        <v>27.0</v>
      </c>
      <c r="R46" s="19">
        <v>25.0</v>
      </c>
      <c r="S46" s="19">
        <v>31.0</v>
      </c>
      <c r="T46" s="19">
        <v>33.0</v>
      </c>
      <c r="U46" s="19">
        <v>24.0</v>
      </c>
      <c r="V46" s="19">
        <v>41.0</v>
      </c>
      <c r="W46" s="19">
        <v>22.0</v>
      </c>
      <c r="X46" s="19">
        <v>23.0</v>
      </c>
      <c r="Y46" s="19">
        <v>31.0</v>
      </c>
      <c r="Z46" s="19">
        <v>27.0</v>
      </c>
      <c r="AA46" s="19">
        <v>19.0</v>
      </c>
      <c r="AB46" s="19">
        <v>29.0</v>
      </c>
      <c r="AC46" s="19">
        <v>20.0</v>
      </c>
      <c r="AD46" s="19">
        <v>17.0</v>
      </c>
      <c r="AE46" s="19">
        <v>35.0</v>
      </c>
      <c r="AF46" s="19">
        <v>30.0</v>
      </c>
      <c r="AG46" s="19">
        <v>42.0</v>
      </c>
      <c r="AH46" s="19">
        <v>23.0</v>
      </c>
      <c r="AI46" s="19">
        <v>23.0</v>
      </c>
      <c r="AJ46" s="19">
        <v>27.0</v>
      </c>
      <c r="AK46" s="19">
        <v>35.0</v>
      </c>
      <c r="AL46" s="19">
        <v>35.0</v>
      </c>
      <c r="AM46" s="13">
        <f t="shared" si="14"/>
        <v>1052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12.0</v>
      </c>
      <c r="F47" s="19">
        <v>15.0</v>
      </c>
      <c r="G47" s="19">
        <v>13.0</v>
      </c>
      <c r="H47" s="19">
        <v>9.0</v>
      </c>
      <c r="I47" s="19">
        <v>11.0</v>
      </c>
      <c r="J47" s="19">
        <v>14.0</v>
      </c>
      <c r="K47" s="19">
        <v>17.0</v>
      </c>
      <c r="L47" s="19">
        <v>12.0</v>
      </c>
      <c r="M47" s="19">
        <v>14.0</v>
      </c>
      <c r="N47" s="19">
        <v>18.0</v>
      </c>
      <c r="O47" s="19">
        <v>11.0</v>
      </c>
      <c r="P47" s="19">
        <v>13.0</v>
      </c>
      <c r="Q47" s="19">
        <v>17.0</v>
      </c>
      <c r="R47" s="19">
        <v>19.0</v>
      </c>
      <c r="S47" s="19">
        <v>11.0</v>
      </c>
      <c r="T47" s="19">
        <v>17.0</v>
      </c>
      <c r="U47" s="19">
        <v>11.0</v>
      </c>
      <c r="V47" s="19">
        <v>13.0</v>
      </c>
      <c r="W47" s="19">
        <v>10.0</v>
      </c>
      <c r="X47" s="19">
        <v>15.0</v>
      </c>
      <c r="Y47" s="19">
        <v>20.0</v>
      </c>
      <c r="Z47" s="19">
        <v>12.0</v>
      </c>
      <c r="AA47" s="19">
        <v>18.0</v>
      </c>
      <c r="AB47" s="19">
        <v>11.0</v>
      </c>
      <c r="AC47" s="19">
        <v>10.0</v>
      </c>
      <c r="AD47" s="19">
        <v>14.0</v>
      </c>
      <c r="AE47" s="19">
        <v>12.0</v>
      </c>
      <c r="AF47" s="19">
        <v>18.0</v>
      </c>
      <c r="AG47" s="19">
        <v>10.0</v>
      </c>
      <c r="AH47" s="19">
        <v>11.0</v>
      </c>
      <c r="AI47" s="19">
        <v>13.0</v>
      </c>
      <c r="AJ47" s="19">
        <v>14.0</v>
      </c>
      <c r="AK47" s="19">
        <v>14.0</v>
      </c>
      <c r="AL47" s="19">
        <v>18.0</v>
      </c>
      <c r="AM47" s="13">
        <f t="shared" si="14"/>
        <v>467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18.0</v>
      </c>
      <c r="F48" s="19">
        <v>20.0</v>
      </c>
      <c r="G48" s="19">
        <v>21.0</v>
      </c>
      <c r="H48" s="19">
        <v>13.0</v>
      </c>
      <c r="I48" s="19">
        <v>19.0</v>
      </c>
      <c r="J48" s="19">
        <v>28.0</v>
      </c>
      <c r="K48" s="19">
        <v>15.0</v>
      </c>
      <c r="L48" s="19">
        <v>23.0</v>
      </c>
      <c r="M48" s="19">
        <v>26.0</v>
      </c>
      <c r="N48" s="19">
        <v>19.0</v>
      </c>
      <c r="O48" s="19">
        <v>16.0</v>
      </c>
      <c r="P48" s="19">
        <v>14.0</v>
      </c>
      <c r="Q48" s="19">
        <v>14.0</v>
      </c>
      <c r="R48" s="19">
        <v>22.0</v>
      </c>
      <c r="S48" s="19">
        <v>23.0</v>
      </c>
      <c r="T48" s="19">
        <v>20.0</v>
      </c>
      <c r="U48" s="19">
        <v>17.0</v>
      </c>
      <c r="V48" s="19">
        <v>25.0</v>
      </c>
      <c r="W48" s="19">
        <v>21.0</v>
      </c>
      <c r="X48" s="19">
        <v>26.0</v>
      </c>
      <c r="Y48" s="19">
        <v>25.0</v>
      </c>
      <c r="Z48" s="19">
        <v>23.0</v>
      </c>
      <c r="AA48" s="19">
        <v>28.0</v>
      </c>
      <c r="AB48" s="19">
        <v>25.0</v>
      </c>
      <c r="AC48" s="19">
        <v>18.0</v>
      </c>
      <c r="AD48" s="19">
        <v>17.0</v>
      </c>
      <c r="AE48" s="19">
        <v>16.0</v>
      </c>
      <c r="AF48" s="19">
        <v>13.0</v>
      </c>
      <c r="AG48" s="19">
        <v>10.0</v>
      </c>
      <c r="AH48" s="19">
        <v>19.0</v>
      </c>
      <c r="AI48" s="19">
        <v>13.0</v>
      </c>
      <c r="AJ48" s="19">
        <v>18.0</v>
      </c>
      <c r="AK48" s="19">
        <v>29.0</v>
      </c>
      <c r="AL48" s="19">
        <v>19.0</v>
      </c>
      <c r="AM48" s="13">
        <f t="shared" si="14"/>
        <v>673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18.0</v>
      </c>
      <c r="F49" s="19">
        <v>22.0</v>
      </c>
      <c r="G49" s="19">
        <v>14.0</v>
      </c>
      <c r="H49" s="19">
        <v>18.0</v>
      </c>
      <c r="I49" s="19">
        <v>27.0</v>
      </c>
      <c r="J49" s="19">
        <v>18.0</v>
      </c>
      <c r="K49" s="19">
        <v>20.0</v>
      </c>
      <c r="L49" s="19">
        <v>13.0</v>
      </c>
      <c r="M49" s="19">
        <v>16.0</v>
      </c>
      <c r="N49" s="19">
        <v>13.0</v>
      </c>
      <c r="O49" s="19">
        <v>15.0</v>
      </c>
      <c r="P49" s="19">
        <v>14.0</v>
      </c>
      <c r="Q49" s="19">
        <v>15.0</v>
      </c>
      <c r="R49" s="19">
        <v>19.0</v>
      </c>
      <c r="S49" s="19">
        <v>11.0</v>
      </c>
      <c r="T49" s="19">
        <v>34.0</v>
      </c>
      <c r="U49" s="19">
        <v>36.0</v>
      </c>
      <c r="V49" s="19">
        <v>17.0</v>
      </c>
      <c r="W49" s="19">
        <v>22.0</v>
      </c>
      <c r="X49" s="19">
        <v>25.0</v>
      </c>
      <c r="Y49" s="19">
        <v>20.0</v>
      </c>
      <c r="Z49" s="19">
        <v>25.0</v>
      </c>
      <c r="AA49" s="19">
        <v>31.0</v>
      </c>
      <c r="AB49" s="19">
        <v>19.0</v>
      </c>
      <c r="AC49" s="19">
        <v>28.0</v>
      </c>
      <c r="AD49" s="19">
        <v>18.0</v>
      </c>
      <c r="AE49" s="19">
        <v>17.0</v>
      </c>
      <c r="AF49" s="19">
        <v>13.0</v>
      </c>
      <c r="AG49" s="19">
        <v>15.0</v>
      </c>
      <c r="AH49" s="19">
        <v>31.0</v>
      </c>
      <c r="AI49" s="19">
        <v>30.0</v>
      </c>
      <c r="AJ49" s="19">
        <v>36.0</v>
      </c>
      <c r="AK49" s="19">
        <v>22.0</v>
      </c>
      <c r="AL49" s="19">
        <v>23.0</v>
      </c>
      <c r="AM49" s="13">
        <f t="shared" si="14"/>
        <v>715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10.0</v>
      </c>
      <c r="F50" s="19">
        <v>5.0</v>
      </c>
      <c r="G50" s="19">
        <v>16.0</v>
      </c>
      <c r="H50" s="19">
        <v>7.0</v>
      </c>
      <c r="I50" s="19">
        <v>12.0</v>
      </c>
      <c r="J50" s="19">
        <v>20.0</v>
      </c>
      <c r="K50" s="19">
        <v>17.0</v>
      </c>
      <c r="L50" s="19">
        <v>12.0</v>
      </c>
      <c r="M50" s="19">
        <v>7.0</v>
      </c>
      <c r="N50" s="19">
        <v>19.0</v>
      </c>
      <c r="O50" s="19">
        <v>10.0</v>
      </c>
      <c r="P50" s="19">
        <v>16.0</v>
      </c>
      <c r="Q50" s="19">
        <v>15.0</v>
      </c>
      <c r="R50" s="19">
        <v>11.0</v>
      </c>
      <c r="S50" s="19">
        <v>11.0</v>
      </c>
      <c r="T50" s="19">
        <v>8.0</v>
      </c>
      <c r="U50" s="19">
        <v>8.0</v>
      </c>
      <c r="V50" s="19">
        <v>12.0</v>
      </c>
      <c r="W50" s="19">
        <v>16.0</v>
      </c>
      <c r="X50" s="19">
        <v>12.0</v>
      </c>
      <c r="Y50" s="19">
        <v>11.0</v>
      </c>
      <c r="Z50" s="19">
        <v>10.0</v>
      </c>
      <c r="AA50" s="19">
        <v>10.0</v>
      </c>
      <c r="AB50" s="19">
        <v>18.0</v>
      </c>
      <c r="AC50" s="19">
        <v>8.0</v>
      </c>
      <c r="AD50" s="19">
        <v>9.0</v>
      </c>
      <c r="AE50" s="19">
        <v>10.0</v>
      </c>
      <c r="AF50" s="19">
        <v>13.0</v>
      </c>
      <c r="AG50" s="19">
        <v>11.0</v>
      </c>
      <c r="AH50" s="19">
        <v>10.0</v>
      </c>
      <c r="AI50" s="19">
        <v>7.0</v>
      </c>
      <c r="AJ50" s="19">
        <v>10.0</v>
      </c>
      <c r="AK50" s="19">
        <v>12.0</v>
      </c>
      <c r="AL50" s="19">
        <v>8.0</v>
      </c>
      <c r="AM50" s="13">
        <f t="shared" si="14"/>
        <v>391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2.0</v>
      </c>
      <c r="F51" s="19">
        <v>4.0</v>
      </c>
      <c r="G51" s="19">
        <v>3.0</v>
      </c>
      <c r="H51" s="19">
        <v>1.0</v>
      </c>
      <c r="I51" s="19">
        <v>2.0</v>
      </c>
      <c r="J51" s="19">
        <v>2.0</v>
      </c>
      <c r="K51" s="19">
        <v>4.0</v>
      </c>
      <c r="L51" s="19">
        <v>2.0</v>
      </c>
      <c r="M51" s="19">
        <v>3.0</v>
      </c>
      <c r="N51" s="19">
        <v>2.0</v>
      </c>
      <c r="O51" s="19">
        <v>4.0</v>
      </c>
      <c r="P51" s="19">
        <v>3.0</v>
      </c>
      <c r="Q51" s="19">
        <v>0.0</v>
      </c>
      <c r="R51" s="19">
        <v>0.0</v>
      </c>
      <c r="S51" s="19">
        <v>6.0</v>
      </c>
      <c r="T51" s="19">
        <v>4.0</v>
      </c>
      <c r="U51" s="19">
        <v>2.0</v>
      </c>
      <c r="V51" s="19">
        <v>1.0</v>
      </c>
      <c r="W51" s="19">
        <v>3.0</v>
      </c>
      <c r="X51" s="19">
        <v>3.0</v>
      </c>
      <c r="Y51" s="19">
        <v>5.0</v>
      </c>
      <c r="Z51" s="19">
        <v>2.0</v>
      </c>
      <c r="AA51" s="19">
        <v>1.0</v>
      </c>
      <c r="AB51" s="19">
        <v>4.0</v>
      </c>
      <c r="AC51" s="19">
        <v>2.0</v>
      </c>
      <c r="AD51" s="19">
        <v>3.0</v>
      </c>
      <c r="AE51" s="19">
        <v>1.0</v>
      </c>
      <c r="AF51" s="19">
        <v>1.0</v>
      </c>
      <c r="AG51" s="19">
        <v>2.0</v>
      </c>
      <c r="AH51" s="19">
        <v>3.0</v>
      </c>
      <c r="AI51" s="19">
        <v>4.0</v>
      </c>
      <c r="AJ51" s="19">
        <v>2.0</v>
      </c>
      <c r="AK51" s="19">
        <v>3.0</v>
      </c>
      <c r="AL51" s="19">
        <v>4.0</v>
      </c>
      <c r="AM51" s="13">
        <f t="shared" si="14"/>
        <v>88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7.0</v>
      </c>
      <c r="F52" s="19">
        <v>2.0</v>
      </c>
      <c r="G52" s="19">
        <v>7.0</v>
      </c>
      <c r="H52" s="19">
        <v>0.0</v>
      </c>
      <c r="I52" s="19">
        <v>2.0</v>
      </c>
      <c r="J52" s="19">
        <v>1.0</v>
      </c>
      <c r="K52" s="19">
        <v>4.0</v>
      </c>
      <c r="L52" s="19">
        <v>1.0</v>
      </c>
      <c r="M52" s="19">
        <v>1.0</v>
      </c>
      <c r="N52" s="19">
        <v>3.0</v>
      </c>
      <c r="O52" s="19">
        <v>3.0</v>
      </c>
      <c r="P52" s="19">
        <v>3.0</v>
      </c>
      <c r="Q52" s="19">
        <v>3.0</v>
      </c>
      <c r="R52" s="19">
        <v>3.0</v>
      </c>
      <c r="S52" s="19">
        <v>4.0</v>
      </c>
      <c r="T52" s="19">
        <v>5.0</v>
      </c>
      <c r="U52" s="19">
        <v>4.0</v>
      </c>
      <c r="V52" s="19">
        <v>2.0</v>
      </c>
      <c r="W52" s="19">
        <v>1.0</v>
      </c>
      <c r="X52" s="19">
        <v>4.0</v>
      </c>
      <c r="Y52" s="19">
        <v>0.0</v>
      </c>
      <c r="Z52" s="19">
        <v>10.0</v>
      </c>
      <c r="AA52" s="19">
        <v>2.0</v>
      </c>
      <c r="AB52" s="19">
        <v>6.0</v>
      </c>
      <c r="AC52" s="19">
        <v>3.0</v>
      </c>
      <c r="AD52" s="19">
        <v>13.0</v>
      </c>
      <c r="AE52" s="19">
        <v>13.0</v>
      </c>
      <c r="AF52" s="19">
        <v>3.0</v>
      </c>
      <c r="AG52" s="19">
        <v>6.0</v>
      </c>
      <c r="AH52" s="19">
        <v>6.0</v>
      </c>
      <c r="AI52" s="19">
        <v>5.0</v>
      </c>
      <c r="AJ52" s="19">
        <v>4.0</v>
      </c>
      <c r="AK52" s="19">
        <v>3.0</v>
      </c>
      <c r="AL52" s="19">
        <v>6.0</v>
      </c>
      <c r="AM52" s="13">
        <f t="shared" si="14"/>
        <v>140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0.0</v>
      </c>
      <c r="H53" s="19">
        <v>2.0</v>
      </c>
      <c r="I53" s="19">
        <v>4.0</v>
      </c>
      <c r="J53" s="19">
        <v>2.0</v>
      </c>
      <c r="K53" s="19">
        <v>1.0</v>
      </c>
      <c r="L53" s="19">
        <v>0.0</v>
      </c>
      <c r="M53" s="19">
        <v>0.0</v>
      </c>
      <c r="N53" s="19">
        <v>0.0</v>
      </c>
      <c r="O53" s="19">
        <v>1.0</v>
      </c>
      <c r="P53" s="19">
        <v>0.0</v>
      </c>
      <c r="Q53" s="19">
        <v>2.0</v>
      </c>
      <c r="R53" s="19">
        <v>0.0</v>
      </c>
      <c r="S53" s="19">
        <v>1.0</v>
      </c>
      <c r="T53" s="19">
        <v>2.0</v>
      </c>
      <c r="U53" s="19">
        <v>0.0</v>
      </c>
      <c r="V53" s="19">
        <v>5.0</v>
      </c>
      <c r="W53" s="19">
        <v>0.0</v>
      </c>
      <c r="X53" s="19">
        <v>0.0</v>
      </c>
      <c r="Y53" s="19">
        <v>1.0</v>
      </c>
      <c r="Z53" s="19">
        <v>1.0</v>
      </c>
      <c r="AA53" s="19">
        <v>1.0</v>
      </c>
      <c r="AB53" s="19">
        <v>1.0</v>
      </c>
      <c r="AC53" s="19">
        <v>0.0</v>
      </c>
      <c r="AD53" s="19">
        <v>1.0</v>
      </c>
      <c r="AE53" s="19">
        <v>1.0</v>
      </c>
      <c r="AF53" s="19">
        <v>2.0</v>
      </c>
      <c r="AG53" s="19">
        <v>1.0</v>
      </c>
      <c r="AH53" s="19">
        <v>0.0</v>
      </c>
      <c r="AI53" s="19">
        <v>1.0</v>
      </c>
      <c r="AJ53" s="19">
        <v>0.0</v>
      </c>
      <c r="AK53" s="19">
        <v>0.0</v>
      </c>
      <c r="AL53" s="19">
        <v>0.0</v>
      </c>
      <c r="AM53" s="13">
        <f t="shared" si="14"/>
        <v>30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23.0</v>
      </c>
      <c r="F54" s="19">
        <v>34.0</v>
      </c>
      <c r="G54" s="19">
        <v>23.0</v>
      </c>
      <c r="H54" s="19">
        <v>14.0</v>
      </c>
      <c r="I54" s="19">
        <v>8.0</v>
      </c>
      <c r="J54" s="19">
        <v>24.0</v>
      </c>
      <c r="K54" s="19">
        <v>24.0</v>
      </c>
      <c r="L54" s="19">
        <v>17.0</v>
      </c>
      <c r="M54" s="19">
        <v>30.0</v>
      </c>
      <c r="N54" s="19">
        <v>24.0</v>
      </c>
      <c r="O54" s="19">
        <v>32.0</v>
      </c>
      <c r="P54" s="19">
        <v>16.0</v>
      </c>
      <c r="Q54" s="19">
        <v>22.0</v>
      </c>
      <c r="R54" s="19">
        <v>30.0</v>
      </c>
      <c r="S54" s="19">
        <v>37.0</v>
      </c>
      <c r="T54" s="19">
        <v>20.0</v>
      </c>
      <c r="U54" s="19">
        <v>29.0</v>
      </c>
      <c r="V54" s="19">
        <v>30.0</v>
      </c>
      <c r="W54" s="19">
        <v>22.0</v>
      </c>
      <c r="X54" s="19">
        <v>35.0</v>
      </c>
      <c r="Y54" s="19">
        <v>27.0</v>
      </c>
      <c r="Z54" s="19">
        <v>23.0</v>
      </c>
      <c r="AA54" s="19">
        <v>26.0</v>
      </c>
      <c r="AB54" s="19">
        <v>23.0</v>
      </c>
      <c r="AC54" s="19">
        <v>22.0</v>
      </c>
      <c r="AD54" s="19">
        <v>26.0</v>
      </c>
      <c r="AE54" s="19">
        <v>23.0</v>
      </c>
      <c r="AF54" s="19">
        <v>35.0</v>
      </c>
      <c r="AG54" s="19">
        <v>23.0</v>
      </c>
      <c r="AH54" s="19">
        <v>21.0</v>
      </c>
      <c r="AI54" s="19">
        <v>22.0</v>
      </c>
      <c r="AJ54" s="19">
        <v>17.0</v>
      </c>
      <c r="AK54" s="19">
        <v>27.0</v>
      </c>
      <c r="AL54" s="19">
        <v>20.0</v>
      </c>
      <c r="AM54" s="13">
        <f t="shared" si="14"/>
        <v>829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5.0</v>
      </c>
      <c r="F55" s="19">
        <v>2.0</v>
      </c>
      <c r="G55" s="19">
        <v>1.0</v>
      </c>
      <c r="H55" s="19">
        <v>1.0</v>
      </c>
      <c r="I55" s="19">
        <v>0.0</v>
      </c>
      <c r="J55" s="19">
        <v>1.0</v>
      </c>
      <c r="K55" s="19">
        <v>2.0</v>
      </c>
      <c r="L55" s="19">
        <v>2.0</v>
      </c>
      <c r="M55" s="19">
        <v>3.0</v>
      </c>
      <c r="N55" s="19">
        <v>1.0</v>
      </c>
      <c r="O55" s="19">
        <v>1.0</v>
      </c>
      <c r="P55" s="19">
        <v>0.0</v>
      </c>
      <c r="Q55" s="19">
        <v>1.0</v>
      </c>
      <c r="R55" s="19">
        <v>2.0</v>
      </c>
      <c r="S55" s="19">
        <v>0.0</v>
      </c>
      <c r="T55" s="19">
        <v>2.0</v>
      </c>
      <c r="U55" s="19">
        <v>2.0</v>
      </c>
      <c r="V55" s="19">
        <v>0.0</v>
      </c>
      <c r="W55" s="19">
        <v>0.0</v>
      </c>
      <c r="X55" s="19">
        <v>1.0</v>
      </c>
      <c r="Y55" s="19">
        <v>0.0</v>
      </c>
      <c r="Z55" s="19">
        <v>5.0</v>
      </c>
      <c r="AA55" s="19">
        <v>1.0</v>
      </c>
      <c r="AB55" s="19">
        <v>2.0</v>
      </c>
      <c r="AC55" s="19">
        <v>3.0</v>
      </c>
      <c r="AD55" s="19">
        <v>8.0</v>
      </c>
      <c r="AE55" s="19">
        <v>7.0</v>
      </c>
      <c r="AF55" s="19">
        <v>1.0</v>
      </c>
      <c r="AG55" s="19">
        <v>0.0</v>
      </c>
      <c r="AH55" s="19">
        <v>1.0</v>
      </c>
      <c r="AI55" s="19">
        <v>3.0</v>
      </c>
      <c r="AJ55" s="19">
        <v>1.0</v>
      </c>
      <c r="AK55" s="19">
        <v>0.0</v>
      </c>
      <c r="AL55" s="19">
        <v>0.0</v>
      </c>
      <c r="AM55" s="13">
        <f t="shared" si="14"/>
        <v>59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17.0</v>
      </c>
      <c r="F56" s="19">
        <v>19.0</v>
      </c>
      <c r="G56" s="19">
        <v>17.0</v>
      </c>
      <c r="H56" s="19">
        <v>18.0</v>
      </c>
      <c r="I56" s="19">
        <v>20.0</v>
      </c>
      <c r="J56" s="19">
        <v>25.0</v>
      </c>
      <c r="K56" s="19">
        <v>16.0</v>
      </c>
      <c r="L56" s="19">
        <v>21.0</v>
      </c>
      <c r="M56" s="19">
        <v>29.0</v>
      </c>
      <c r="N56" s="19">
        <v>33.0</v>
      </c>
      <c r="O56" s="19">
        <v>27.0</v>
      </c>
      <c r="P56" s="19">
        <v>20.0</v>
      </c>
      <c r="Q56" s="19">
        <v>17.0</v>
      </c>
      <c r="R56" s="19">
        <v>29.0</v>
      </c>
      <c r="S56" s="19">
        <v>22.0</v>
      </c>
      <c r="T56" s="19">
        <v>25.0</v>
      </c>
      <c r="U56" s="19">
        <v>28.0</v>
      </c>
      <c r="V56" s="19">
        <v>38.0</v>
      </c>
      <c r="W56" s="19">
        <v>28.0</v>
      </c>
      <c r="X56" s="19">
        <v>29.0</v>
      </c>
      <c r="Y56" s="19">
        <v>28.0</v>
      </c>
      <c r="Z56" s="19">
        <v>27.0</v>
      </c>
      <c r="AA56" s="19">
        <v>30.0</v>
      </c>
      <c r="AB56" s="19">
        <v>21.0</v>
      </c>
      <c r="AC56" s="19">
        <v>26.0</v>
      </c>
      <c r="AD56" s="19">
        <v>30.0</v>
      </c>
      <c r="AE56" s="19">
        <v>17.0</v>
      </c>
      <c r="AF56" s="19">
        <v>27.0</v>
      </c>
      <c r="AG56" s="19">
        <v>16.0</v>
      </c>
      <c r="AH56" s="19">
        <v>17.0</v>
      </c>
      <c r="AI56" s="19">
        <v>18.0</v>
      </c>
      <c r="AJ56" s="19">
        <v>23.0</v>
      </c>
      <c r="AK56" s="19">
        <v>15.0</v>
      </c>
      <c r="AL56" s="19">
        <v>19.0</v>
      </c>
      <c r="AM56" s="13">
        <f t="shared" si="14"/>
        <v>792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2.0</v>
      </c>
      <c r="G57" s="19">
        <v>2.0</v>
      </c>
      <c r="H57" s="19">
        <v>0.0</v>
      </c>
      <c r="I57" s="19">
        <v>1.0</v>
      </c>
      <c r="J57" s="19">
        <v>1.0</v>
      </c>
      <c r="K57" s="19">
        <v>2.0</v>
      </c>
      <c r="L57" s="19">
        <v>5.0</v>
      </c>
      <c r="M57" s="19">
        <v>5.0</v>
      </c>
      <c r="N57" s="19">
        <v>3.0</v>
      </c>
      <c r="O57" s="19">
        <v>2.0</v>
      </c>
      <c r="P57" s="19">
        <v>4.0</v>
      </c>
      <c r="Q57" s="19">
        <v>2.0</v>
      </c>
      <c r="R57" s="19">
        <v>2.0</v>
      </c>
      <c r="S57" s="19">
        <v>5.0</v>
      </c>
      <c r="T57" s="19">
        <v>2.0</v>
      </c>
      <c r="U57" s="19">
        <v>3.0</v>
      </c>
      <c r="V57" s="19">
        <v>0.0</v>
      </c>
      <c r="W57" s="19">
        <v>2.0</v>
      </c>
      <c r="X57" s="19">
        <v>1.0</v>
      </c>
      <c r="Y57" s="19">
        <v>2.0</v>
      </c>
      <c r="Z57" s="19">
        <v>2.0</v>
      </c>
      <c r="AA57" s="19">
        <v>1.0</v>
      </c>
      <c r="AB57" s="19">
        <v>0.0</v>
      </c>
      <c r="AC57" s="19">
        <v>4.0</v>
      </c>
      <c r="AD57" s="19">
        <v>0.0</v>
      </c>
      <c r="AE57" s="19">
        <v>5.0</v>
      </c>
      <c r="AF57" s="19">
        <v>3.0</v>
      </c>
      <c r="AG57" s="19">
        <v>1.0</v>
      </c>
      <c r="AH57" s="19">
        <v>3.0</v>
      </c>
      <c r="AI57" s="19">
        <v>3.0</v>
      </c>
      <c r="AJ57" s="19">
        <v>2.0</v>
      </c>
      <c r="AK57" s="19">
        <v>3.0</v>
      </c>
      <c r="AL57" s="19">
        <v>3.0</v>
      </c>
      <c r="AM57" s="13">
        <f t="shared" si="14"/>
        <v>78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13"/>
      <c r="T59" s="13"/>
      <c r="U59" s="13"/>
      <c r="V59" s="13"/>
      <c r="W59" s="13"/>
      <c r="X59" s="60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60"/>
      <c r="AM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L60" si="15">SUM(E45:E57)</f>
        <v>173</v>
      </c>
      <c r="F60" s="19">
        <f t="shared" si="15"/>
        <v>182</v>
      </c>
      <c r="G60" s="19">
        <f t="shared" si="15"/>
        <v>183</v>
      </c>
      <c r="H60" s="19">
        <f t="shared" si="15"/>
        <v>162</v>
      </c>
      <c r="I60" s="19">
        <f t="shared" si="15"/>
        <v>190</v>
      </c>
      <c r="J60" s="19">
        <f t="shared" si="15"/>
        <v>191</v>
      </c>
      <c r="K60" s="19">
        <f t="shared" si="15"/>
        <v>181</v>
      </c>
      <c r="L60" s="19">
        <f t="shared" si="15"/>
        <v>161</v>
      </c>
      <c r="M60" s="19">
        <f t="shared" si="15"/>
        <v>187</v>
      </c>
      <c r="N60" s="19">
        <f t="shared" si="15"/>
        <v>187</v>
      </c>
      <c r="O60" s="19">
        <f t="shared" si="15"/>
        <v>183</v>
      </c>
      <c r="P60" s="19">
        <f t="shared" si="15"/>
        <v>168</v>
      </c>
      <c r="Q60" s="19">
        <f t="shared" si="15"/>
        <v>152</v>
      </c>
      <c r="R60" s="19">
        <f t="shared" si="15"/>
        <v>187</v>
      </c>
      <c r="S60" s="19">
        <f t="shared" si="15"/>
        <v>179</v>
      </c>
      <c r="T60" s="19">
        <f t="shared" si="15"/>
        <v>187</v>
      </c>
      <c r="U60" s="19">
        <f t="shared" si="15"/>
        <v>177</v>
      </c>
      <c r="V60" s="19">
        <f t="shared" si="15"/>
        <v>201</v>
      </c>
      <c r="W60" s="19">
        <f t="shared" si="15"/>
        <v>172</v>
      </c>
      <c r="X60" s="19">
        <f t="shared" si="15"/>
        <v>186</v>
      </c>
      <c r="Y60" s="19">
        <f t="shared" si="15"/>
        <v>190</v>
      </c>
      <c r="Z60" s="19">
        <f t="shared" si="15"/>
        <v>184</v>
      </c>
      <c r="AA60" s="19">
        <f t="shared" si="15"/>
        <v>190</v>
      </c>
      <c r="AB60" s="19">
        <f t="shared" si="15"/>
        <v>163</v>
      </c>
      <c r="AC60" s="19">
        <f t="shared" si="15"/>
        <v>157</v>
      </c>
      <c r="AD60" s="19">
        <f t="shared" si="15"/>
        <v>178</v>
      </c>
      <c r="AE60" s="19">
        <f t="shared" si="15"/>
        <v>191</v>
      </c>
      <c r="AF60" s="19">
        <f t="shared" si="15"/>
        <v>179</v>
      </c>
      <c r="AG60" s="19">
        <f t="shared" si="15"/>
        <v>159</v>
      </c>
      <c r="AH60" s="19">
        <f t="shared" si="15"/>
        <v>163</v>
      </c>
      <c r="AI60" s="19">
        <f t="shared" si="15"/>
        <v>153</v>
      </c>
      <c r="AJ60" s="19">
        <f t="shared" si="15"/>
        <v>164</v>
      </c>
      <c r="AK60" s="19">
        <f t="shared" si="15"/>
        <v>174</v>
      </c>
      <c r="AL60" s="19">
        <f t="shared" si="15"/>
        <v>162</v>
      </c>
      <c r="AM60" s="13">
        <f t="shared" ref="AM60:AM62" si="16">SUM(E60:AL60)</f>
        <v>5996</v>
      </c>
    </row>
    <row r="61" ht="12.75" customHeight="1">
      <c r="A61" s="35"/>
      <c r="B61" s="53" t="s">
        <v>63</v>
      </c>
      <c r="C61" s="54" t="s">
        <v>64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3">
        <f t="shared" si="16"/>
        <v>0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L62" si="17">SUM(E60:E61)</f>
        <v>173</v>
      </c>
      <c r="F62" s="13">
        <f t="shared" si="17"/>
        <v>182</v>
      </c>
      <c r="G62" s="13">
        <f t="shared" si="17"/>
        <v>183</v>
      </c>
      <c r="H62" s="13">
        <f t="shared" si="17"/>
        <v>162</v>
      </c>
      <c r="I62" s="13">
        <f t="shared" si="17"/>
        <v>190</v>
      </c>
      <c r="J62" s="13">
        <f t="shared" si="17"/>
        <v>191</v>
      </c>
      <c r="K62" s="13">
        <f t="shared" si="17"/>
        <v>181</v>
      </c>
      <c r="L62" s="13">
        <f t="shared" si="17"/>
        <v>161</v>
      </c>
      <c r="M62" s="13">
        <f t="shared" si="17"/>
        <v>187</v>
      </c>
      <c r="N62" s="13">
        <f t="shared" si="17"/>
        <v>187</v>
      </c>
      <c r="O62" s="13">
        <f t="shared" si="17"/>
        <v>183</v>
      </c>
      <c r="P62" s="13">
        <f t="shared" si="17"/>
        <v>168</v>
      </c>
      <c r="Q62" s="13">
        <f t="shared" si="17"/>
        <v>152</v>
      </c>
      <c r="R62" s="13">
        <f t="shared" si="17"/>
        <v>187</v>
      </c>
      <c r="S62" s="13">
        <f t="shared" si="17"/>
        <v>179</v>
      </c>
      <c r="T62" s="13">
        <f t="shared" si="17"/>
        <v>187</v>
      </c>
      <c r="U62" s="13">
        <f t="shared" si="17"/>
        <v>177</v>
      </c>
      <c r="V62" s="13">
        <f t="shared" si="17"/>
        <v>201</v>
      </c>
      <c r="W62" s="13">
        <f t="shared" si="17"/>
        <v>172</v>
      </c>
      <c r="X62" s="13">
        <f t="shared" si="17"/>
        <v>186</v>
      </c>
      <c r="Y62" s="13">
        <f t="shared" si="17"/>
        <v>190</v>
      </c>
      <c r="Z62" s="13">
        <f t="shared" si="17"/>
        <v>184</v>
      </c>
      <c r="AA62" s="13">
        <f t="shared" si="17"/>
        <v>190</v>
      </c>
      <c r="AB62" s="13">
        <f t="shared" si="17"/>
        <v>163</v>
      </c>
      <c r="AC62" s="13">
        <f t="shared" si="17"/>
        <v>157</v>
      </c>
      <c r="AD62" s="13">
        <f t="shared" si="17"/>
        <v>178</v>
      </c>
      <c r="AE62" s="13">
        <f t="shared" si="17"/>
        <v>191</v>
      </c>
      <c r="AF62" s="13">
        <f t="shared" si="17"/>
        <v>179</v>
      </c>
      <c r="AG62" s="13">
        <f t="shared" si="17"/>
        <v>159</v>
      </c>
      <c r="AH62" s="13">
        <f t="shared" si="17"/>
        <v>163</v>
      </c>
      <c r="AI62" s="13">
        <f t="shared" si="17"/>
        <v>153</v>
      </c>
      <c r="AJ62" s="13">
        <f t="shared" si="17"/>
        <v>164</v>
      </c>
      <c r="AK62" s="13">
        <f t="shared" si="17"/>
        <v>174</v>
      </c>
      <c r="AL62" s="13">
        <f t="shared" si="17"/>
        <v>162</v>
      </c>
      <c r="AM62" s="13">
        <f t="shared" si="16"/>
        <v>5996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L12"/>
    <mergeCell ref="AM12:A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H37"/>
    <mergeCell ref="B38:D38"/>
    <mergeCell ref="B39:C41"/>
    <mergeCell ref="A42:D42"/>
    <mergeCell ref="E42:AH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14:AL15 E19:AL20 E22:AL23 E25:AL26 E33:AL33 E35:AL35 E39:AL40 E45:AL57 E60:AL61">
    <cfRule type="containsBlanks" dxfId="1" priority="1">
      <formula>LEN(TRIM(E14))=0</formula>
    </cfRule>
  </conditionalFormatting>
  <conditionalFormatting sqref="E30:AL30">
    <cfRule type="expression" dxfId="0" priority="2">
      <formula>E30&lt;&gt;E46</formula>
    </cfRule>
  </conditionalFormatting>
  <conditionalFormatting sqref="E30:AL30">
    <cfRule type="expression" dxfId="0" priority="3">
      <formula>E30&lt;&gt;E34</formula>
    </cfRule>
  </conditionalFormatting>
  <conditionalFormatting sqref="E34:AL34">
    <cfRule type="expression" dxfId="2" priority="4">
      <formula>E30&lt;&gt;E34</formula>
    </cfRule>
  </conditionalFormatting>
  <conditionalFormatting sqref="E34:AL34">
    <cfRule type="expression" dxfId="3" priority="5">
      <formula>E30=E34</formula>
    </cfRule>
  </conditionalFormatting>
  <conditionalFormatting sqref="E34:AL34">
    <cfRule type="expression" dxfId="0" priority="6">
      <formula>E34&lt;&gt;E30</formula>
    </cfRule>
  </conditionalFormatting>
  <conditionalFormatting sqref="E34:AL34">
    <cfRule type="expression" dxfId="0" priority="7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4" width="8.71"/>
    <col customWidth="1" min="45" max="45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103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S11" s="1"/>
      <c r="T11" s="1"/>
      <c r="U11" s="1"/>
      <c r="V11" s="1"/>
      <c r="W11" s="1"/>
      <c r="X11" s="1"/>
      <c r="Y11" s="1"/>
      <c r="Z11" s="1"/>
      <c r="AA11" s="2"/>
      <c r="AF11" s="1"/>
      <c r="AG11" s="1"/>
      <c r="AH11" s="1"/>
      <c r="AI11" s="1"/>
      <c r="AJ11" s="1"/>
      <c r="AK11" s="1"/>
      <c r="AL11" s="1"/>
      <c r="AM11" s="1"/>
      <c r="A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13" t="s">
        <v>96</v>
      </c>
      <c r="AG13" s="13" t="s">
        <v>97</v>
      </c>
      <c r="AH13" s="13" t="s">
        <v>98</v>
      </c>
      <c r="AI13" s="13" t="s">
        <v>99</v>
      </c>
      <c r="AJ13" s="13" t="s">
        <v>100</v>
      </c>
      <c r="AK13" s="13" t="s">
        <v>101</v>
      </c>
      <c r="AL13" s="13" t="s">
        <v>102</v>
      </c>
      <c r="AM13" s="13" t="s">
        <v>104</v>
      </c>
      <c r="AN13" s="13" t="s">
        <v>105</v>
      </c>
      <c r="AO13" s="13" t="s">
        <v>106</v>
      </c>
      <c r="AP13" s="13" t="s">
        <v>107</v>
      </c>
      <c r="AQ13" s="13" t="s">
        <v>108</v>
      </c>
      <c r="AR13" s="13" t="s">
        <v>109</v>
      </c>
      <c r="A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133.0</v>
      </c>
      <c r="F14" s="19">
        <v>143.0</v>
      </c>
      <c r="G14" s="19">
        <v>134.0</v>
      </c>
      <c r="H14" s="19">
        <v>136.0</v>
      </c>
      <c r="I14" s="19">
        <v>129.0</v>
      </c>
      <c r="J14" s="19">
        <v>132.0</v>
      </c>
      <c r="K14" s="19">
        <v>130.0</v>
      </c>
      <c r="L14" s="19">
        <v>132.0</v>
      </c>
      <c r="M14" s="19">
        <v>142.0</v>
      </c>
      <c r="N14" s="19">
        <v>143.0</v>
      </c>
      <c r="O14" s="19">
        <v>149.0</v>
      </c>
      <c r="P14" s="19">
        <v>136.0</v>
      </c>
      <c r="Q14" s="19">
        <v>145.0</v>
      </c>
      <c r="R14" s="19">
        <v>149.0</v>
      </c>
      <c r="S14" s="19">
        <v>140.0</v>
      </c>
      <c r="T14" s="19">
        <v>136.0</v>
      </c>
      <c r="U14" s="19">
        <v>143.0</v>
      </c>
      <c r="V14" s="19">
        <v>142.0</v>
      </c>
      <c r="W14" s="19">
        <v>126.0</v>
      </c>
      <c r="X14" s="19">
        <v>134.0</v>
      </c>
      <c r="Y14" s="19">
        <v>144.0</v>
      </c>
      <c r="Z14" s="19">
        <v>123.0</v>
      </c>
      <c r="AA14" s="19">
        <v>136.0</v>
      </c>
      <c r="AB14" s="19">
        <v>131.0</v>
      </c>
      <c r="AC14" s="19">
        <v>129.0</v>
      </c>
      <c r="AD14" s="19">
        <v>142.0</v>
      </c>
      <c r="AE14" s="19">
        <v>135.0</v>
      </c>
      <c r="AF14" s="19">
        <v>135.0</v>
      </c>
      <c r="AG14" s="19">
        <v>134.0</v>
      </c>
      <c r="AH14" s="19">
        <v>144.0</v>
      </c>
      <c r="AI14" s="19">
        <v>140.0</v>
      </c>
      <c r="AJ14" s="19">
        <v>140.0</v>
      </c>
      <c r="AK14" s="19">
        <v>146.0</v>
      </c>
      <c r="AL14" s="19">
        <v>124.0</v>
      </c>
      <c r="AM14" s="19">
        <v>142.0</v>
      </c>
      <c r="AN14" s="19">
        <v>144.0</v>
      </c>
      <c r="AO14" s="19">
        <v>138.0</v>
      </c>
      <c r="AP14" s="19">
        <v>150.0</v>
      </c>
      <c r="AQ14" s="19">
        <v>153.0</v>
      </c>
      <c r="AR14" s="19">
        <v>145.0</v>
      </c>
      <c r="AS14" s="13">
        <f t="shared" ref="AS14:AS16" si="1">SUM(E14:AR14)</f>
        <v>5529</v>
      </c>
    </row>
    <row r="15" ht="12.75" customHeight="1">
      <c r="A15" s="18"/>
      <c r="B15" s="26"/>
      <c r="C15" s="27"/>
      <c r="D15" s="19" t="s">
        <v>13</v>
      </c>
      <c r="E15" s="19">
        <v>134.0</v>
      </c>
      <c r="F15" s="19">
        <v>134.0</v>
      </c>
      <c r="G15" s="19">
        <v>129.0</v>
      </c>
      <c r="H15" s="19">
        <v>127.0</v>
      </c>
      <c r="I15" s="19">
        <v>143.0</v>
      </c>
      <c r="J15" s="19">
        <v>135.0</v>
      </c>
      <c r="K15" s="19">
        <v>123.0</v>
      </c>
      <c r="L15" s="19">
        <v>127.0</v>
      </c>
      <c r="M15" s="19">
        <v>140.0</v>
      </c>
      <c r="N15" s="19">
        <v>147.0</v>
      </c>
      <c r="O15" s="19">
        <v>139.0</v>
      </c>
      <c r="P15" s="19">
        <v>122.0</v>
      </c>
      <c r="Q15" s="19">
        <v>131.0</v>
      </c>
      <c r="R15" s="19">
        <v>146.0</v>
      </c>
      <c r="S15" s="19">
        <v>150.0</v>
      </c>
      <c r="T15" s="19">
        <v>132.0</v>
      </c>
      <c r="U15" s="19">
        <v>139.0</v>
      </c>
      <c r="V15" s="19">
        <v>137.0</v>
      </c>
      <c r="W15" s="19">
        <v>118.0</v>
      </c>
      <c r="X15" s="19">
        <v>140.0</v>
      </c>
      <c r="Y15" s="19">
        <v>136.0</v>
      </c>
      <c r="Z15" s="19">
        <v>143.0</v>
      </c>
      <c r="AA15" s="19">
        <v>137.0</v>
      </c>
      <c r="AB15" s="19">
        <v>128.0</v>
      </c>
      <c r="AC15" s="19">
        <v>128.0</v>
      </c>
      <c r="AD15" s="19">
        <v>137.0</v>
      </c>
      <c r="AE15" s="19">
        <v>133.0</v>
      </c>
      <c r="AF15" s="19">
        <v>126.0</v>
      </c>
      <c r="AG15" s="19">
        <v>130.0</v>
      </c>
      <c r="AH15" s="19">
        <v>139.0</v>
      </c>
      <c r="AI15" s="19">
        <v>144.0</v>
      </c>
      <c r="AJ15" s="19">
        <v>144.0</v>
      </c>
      <c r="AK15" s="19">
        <v>146.0</v>
      </c>
      <c r="AL15" s="19">
        <v>118.0</v>
      </c>
      <c r="AM15" s="19">
        <v>145.0</v>
      </c>
      <c r="AN15" s="19">
        <v>137.0</v>
      </c>
      <c r="AO15" s="19">
        <v>137.0</v>
      </c>
      <c r="AP15" s="19">
        <v>147.0</v>
      </c>
      <c r="AQ15" s="19">
        <v>142.0</v>
      </c>
      <c r="AR15" s="19">
        <v>145.0</v>
      </c>
      <c r="AS15" s="13">
        <f t="shared" si="1"/>
        <v>5435</v>
      </c>
    </row>
    <row r="16" ht="12.75" customHeight="1">
      <c r="A16" s="25"/>
      <c r="B16" s="21"/>
      <c r="C16" s="28"/>
      <c r="D16" s="13" t="s">
        <v>14</v>
      </c>
      <c r="E16" s="13">
        <f t="shared" ref="E16:AR16" si="2">SUM(E14:E15)</f>
        <v>267</v>
      </c>
      <c r="F16" s="13">
        <f t="shared" si="2"/>
        <v>277</v>
      </c>
      <c r="G16" s="13">
        <f t="shared" si="2"/>
        <v>263</v>
      </c>
      <c r="H16" s="13">
        <f t="shared" si="2"/>
        <v>263</v>
      </c>
      <c r="I16" s="13">
        <f t="shared" si="2"/>
        <v>272</v>
      </c>
      <c r="J16" s="13">
        <f t="shared" si="2"/>
        <v>267</v>
      </c>
      <c r="K16" s="13">
        <f t="shared" si="2"/>
        <v>253</v>
      </c>
      <c r="L16" s="13">
        <f t="shared" si="2"/>
        <v>259</v>
      </c>
      <c r="M16" s="13">
        <f t="shared" si="2"/>
        <v>282</v>
      </c>
      <c r="N16" s="13">
        <f t="shared" si="2"/>
        <v>290</v>
      </c>
      <c r="O16" s="13">
        <f t="shared" si="2"/>
        <v>288</v>
      </c>
      <c r="P16" s="13">
        <f t="shared" si="2"/>
        <v>258</v>
      </c>
      <c r="Q16" s="13">
        <f t="shared" si="2"/>
        <v>276</v>
      </c>
      <c r="R16" s="13">
        <f t="shared" si="2"/>
        <v>295</v>
      </c>
      <c r="S16" s="13">
        <f t="shared" si="2"/>
        <v>290</v>
      </c>
      <c r="T16" s="13">
        <f t="shared" si="2"/>
        <v>268</v>
      </c>
      <c r="U16" s="13">
        <f t="shared" si="2"/>
        <v>282</v>
      </c>
      <c r="V16" s="13">
        <f t="shared" si="2"/>
        <v>279</v>
      </c>
      <c r="W16" s="13">
        <f t="shared" si="2"/>
        <v>244</v>
      </c>
      <c r="X16" s="13">
        <f t="shared" si="2"/>
        <v>274</v>
      </c>
      <c r="Y16" s="13">
        <f t="shared" si="2"/>
        <v>280</v>
      </c>
      <c r="Z16" s="13">
        <f t="shared" si="2"/>
        <v>266</v>
      </c>
      <c r="AA16" s="13">
        <f t="shared" si="2"/>
        <v>273</v>
      </c>
      <c r="AB16" s="13">
        <f t="shared" si="2"/>
        <v>259</v>
      </c>
      <c r="AC16" s="13">
        <f t="shared" si="2"/>
        <v>257</v>
      </c>
      <c r="AD16" s="13">
        <f t="shared" si="2"/>
        <v>279</v>
      </c>
      <c r="AE16" s="13">
        <f t="shared" si="2"/>
        <v>268</v>
      </c>
      <c r="AF16" s="13">
        <f t="shared" si="2"/>
        <v>261</v>
      </c>
      <c r="AG16" s="13">
        <f t="shared" si="2"/>
        <v>264</v>
      </c>
      <c r="AH16" s="13">
        <f t="shared" si="2"/>
        <v>283</v>
      </c>
      <c r="AI16" s="13">
        <f t="shared" si="2"/>
        <v>284</v>
      </c>
      <c r="AJ16" s="13">
        <f t="shared" si="2"/>
        <v>284</v>
      </c>
      <c r="AK16" s="13">
        <f t="shared" si="2"/>
        <v>292</v>
      </c>
      <c r="AL16" s="13">
        <f t="shared" si="2"/>
        <v>242</v>
      </c>
      <c r="AM16" s="13">
        <f t="shared" si="2"/>
        <v>287</v>
      </c>
      <c r="AN16" s="13">
        <f t="shared" si="2"/>
        <v>281</v>
      </c>
      <c r="AO16" s="13">
        <f t="shared" si="2"/>
        <v>275</v>
      </c>
      <c r="AP16" s="13">
        <f t="shared" si="2"/>
        <v>297</v>
      </c>
      <c r="AQ16" s="13">
        <f t="shared" si="2"/>
        <v>295</v>
      </c>
      <c r="AR16" s="13">
        <f t="shared" si="2"/>
        <v>290</v>
      </c>
      <c r="AS16" s="13">
        <f t="shared" si="1"/>
        <v>10964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19"/>
      <c r="T17" s="19"/>
      <c r="U17" s="19"/>
      <c r="V17" s="19"/>
      <c r="W17" s="19"/>
      <c r="X17" s="19"/>
      <c r="Y17" s="19"/>
      <c r="Z17" s="19"/>
      <c r="AA17" s="58"/>
      <c r="AB17" s="58"/>
      <c r="AC17" s="58"/>
      <c r="AD17" s="58"/>
      <c r="AE17" s="58"/>
      <c r="AF17" s="19"/>
      <c r="AG17" s="19"/>
      <c r="AH17" s="19"/>
      <c r="AI17" s="19"/>
      <c r="AJ17" s="19"/>
      <c r="AK17" s="19"/>
      <c r="AL17" s="19"/>
      <c r="AM17" s="19"/>
      <c r="AN17" s="58"/>
      <c r="AO17" s="58"/>
      <c r="AP17" s="58"/>
      <c r="AQ17" s="58"/>
      <c r="AR17" s="58"/>
      <c r="A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19"/>
      <c r="T18" s="19"/>
      <c r="U18" s="19"/>
      <c r="V18" s="19"/>
      <c r="W18" s="19"/>
      <c r="X18" s="19"/>
      <c r="Y18" s="19"/>
      <c r="Z18" s="19"/>
      <c r="AA18" s="58"/>
      <c r="AB18" s="58"/>
      <c r="AC18" s="58"/>
      <c r="AD18" s="58"/>
      <c r="AE18" s="58"/>
      <c r="AF18" s="19"/>
      <c r="AG18" s="19"/>
      <c r="AH18" s="19"/>
      <c r="AI18" s="19"/>
      <c r="AJ18" s="19"/>
      <c r="AK18" s="19"/>
      <c r="AL18" s="19"/>
      <c r="AM18" s="19"/>
      <c r="AN18" s="58"/>
      <c r="AO18" s="58"/>
      <c r="AP18" s="58"/>
      <c r="AQ18" s="58"/>
      <c r="AR18" s="58"/>
      <c r="A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108.0</v>
      </c>
      <c r="G19" s="19">
        <v>94.0</v>
      </c>
      <c r="H19" s="19">
        <v>81.0</v>
      </c>
      <c r="I19" s="19">
        <v>92.0</v>
      </c>
      <c r="J19" s="19">
        <v>87.0</v>
      </c>
      <c r="K19" s="19">
        <v>99.0</v>
      </c>
      <c r="L19" s="19">
        <v>98.0</v>
      </c>
      <c r="M19" s="19">
        <v>112.0</v>
      </c>
      <c r="N19" s="19">
        <v>85.0</v>
      </c>
      <c r="O19" s="19">
        <v>99.0</v>
      </c>
      <c r="P19" s="19">
        <v>98.0</v>
      </c>
      <c r="Q19" s="19">
        <v>83.0</v>
      </c>
      <c r="R19" s="19">
        <v>100.0</v>
      </c>
      <c r="S19" s="19">
        <v>107.0</v>
      </c>
      <c r="T19" s="19">
        <v>96.0</v>
      </c>
      <c r="U19" s="19">
        <v>111.0</v>
      </c>
      <c r="V19" s="19">
        <v>99.0</v>
      </c>
      <c r="W19" s="19">
        <v>97.0</v>
      </c>
      <c r="X19" s="19">
        <v>92.0</v>
      </c>
      <c r="Y19" s="19">
        <v>105.0</v>
      </c>
      <c r="Z19" s="19">
        <v>100.0</v>
      </c>
      <c r="AA19" s="19">
        <v>109.0</v>
      </c>
      <c r="AB19" s="19">
        <v>99.0</v>
      </c>
      <c r="AC19" s="19">
        <v>105.0</v>
      </c>
      <c r="AD19" s="19">
        <v>94.0</v>
      </c>
      <c r="AE19" s="19">
        <v>103.0</v>
      </c>
      <c r="AF19" s="19">
        <v>103.0</v>
      </c>
      <c r="AG19" s="19">
        <v>99.0</v>
      </c>
      <c r="AH19" s="19">
        <v>107.0</v>
      </c>
      <c r="AI19" s="19">
        <v>113.0</v>
      </c>
      <c r="AJ19" s="19">
        <v>113.0</v>
      </c>
      <c r="AK19" s="19">
        <v>116.0</v>
      </c>
      <c r="AL19" s="19">
        <v>105.0</v>
      </c>
      <c r="AM19" s="19">
        <v>112.0</v>
      </c>
      <c r="AN19" s="19">
        <v>106.0</v>
      </c>
      <c r="AO19" s="19">
        <v>111.0</v>
      </c>
      <c r="AP19" s="19">
        <v>128.0</v>
      </c>
      <c r="AQ19" s="19">
        <v>119.0</v>
      </c>
      <c r="AR19" s="19">
        <v>103.0</v>
      </c>
      <c r="AS19" s="13">
        <f t="shared" ref="AS19:AS30" si="3">SUM(E19:AR19)</f>
        <v>4086</v>
      </c>
    </row>
    <row r="20" ht="12.75" customHeight="1">
      <c r="A20" s="33"/>
      <c r="B20" s="27"/>
      <c r="C20" s="34"/>
      <c r="D20" s="19" t="s">
        <v>13</v>
      </c>
      <c r="E20" s="19">
        <v>113.0</v>
      </c>
      <c r="F20" s="19">
        <v>111.0</v>
      </c>
      <c r="G20" s="19">
        <v>99.0</v>
      </c>
      <c r="H20" s="19">
        <v>90.0</v>
      </c>
      <c r="I20" s="19">
        <v>107.0</v>
      </c>
      <c r="J20" s="19">
        <v>105.0</v>
      </c>
      <c r="K20" s="19">
        <v>98.0</v>
      </c>
      <c r="L20" s="19">
        <v>97.0</v>
      </c>
      <c r="M20" s="19">
        <v>99.0</v>
      </c>
      <c r="N20" s="19">
        <v>101.0</v>
      </c>
      <c r="O20" s="19">
        <v>110.0</v>
      </c>
      <c r="P20" s="19">
        <v>82.0</v>
      </c>
      <c r="Q20" s="19">
        <v>89.0</v>
      </c>
      <c r="R20" s="19">
        <v>103.0</v>
      </c>
      <c r="S20" s="19">
        <v>124.0</v>
      </c>
      <c r="T20" s="19">
        <v>109.0</v>
      </c>
      <c r="U20" s="19">
        <v>107.0</v>
      </c>
      <c r="V20" s="19">
        <v>109.0</v>
      </c>
      <c r="W20" s="19">
        <v>86.0</v>
      </c>
      <c r="X20" s="19">
        <v>101.0</v>
      </c>
      <c r="Y20" s="19">
        <v>92.0</v>
      </c>
      <c r="Z20" s="19">
        <v>113.0</v>
      </c>
      <c r="AA20" s="19">
        <v>117.0</v>
      </c>
      <c r="AB20" s="19">
        <v>102.0</v>
      </c>
      <c r="AC20" s="19">
        <v>107.0</v>
      </c>
      <c r="AD20" s="19">
        <v>101.0</v>
      </c>
      <c r="AE20" s="19">
        <v>109.0</v>
      </c>
      <c r="AF20" s="19">
        <v>105.0</v>
      </c>
      <c r="AG20" s="19">
        <v>102.0</v>
      </c>
      <c r="AH20" s="19">
        <v>116.0</v>
      </c>
      <c r="AI20" s="19">
        <v>121.0</v>
      </c>
      <c r="AJ20" s="19">
        <v>126.0</v>
      </c>
      <c r="AK20" s="19">
        <v>119.0</v>
      </c>
      <c r="AL20" s="19">
        <v>100.0</v>
      </c>
      <c r="AM20" s="19">
        <v>114.0</v>
      </c>
      <c r="AN20" s="19">
        <v>115.0</v>
      </c>
      <c r="AO20" s="19">
        <v>110.0</v>
      </c>
      <c r="AP20" s="19">
        <v>123.0</v>
      </c>
      <c r="AQ20" s="19">
        <v>122.0</v>
      </c>
      <c r="AR20" s="19">
        <v>111.0</v>
      </c>
      <c r="AS20" s="13">
        <f t="shared" si="3"/>
        <v>4265</v>
      </c>
    </row>
    <row r="21" ht="12.75" customHeight="1">
      <c r="A21" s="35"/>
      <c r="B21" s="28"/>
      <c r="C21" s="36"/>
      <c r="D21" s="13" t="s">
        <v>14</v>
      </c>
      <c r="E21" s="13">
        <f t="shared" ref="E21:AR21" si="4">SUM(E19:E20)</f>
        <v>211</v>
      </c>
      <c r="F21" s="13">
        <f t="shared" si="4"/>
        <v>219</v>
      </c>
      <c r="G21" s="13">
        <f t="shared" si="4"/>
        <v>193</v>
      </c>
      <c r="H21" s="13">
        <f t="shared" si="4"/>
        <v>171</v>
      </c>
      <c r="I21" s="13">
        <f t="shared" si="4"/>
        <v>199</v>
      </c>
      <c r="J21" s="13">
        <f t="shared" si="4"/>
        <v>192</v>
      </c>
      <c r="K21" s="13">
        <f t="shared" si="4"/>
        <v>197</v>
      </c>
      <c r="L21" s="13">
        <f t="shared" si="4"/>
        <v>195</v>
      </c>
      <c r="M21" s="13">
        <f t="shared" si="4"/>
        <v>211</v>
      </c>
      <c r="N21" s="13">
        <f t="shared" si="4"/>
        <v>186</v>
      </c>
      <c r="O21" s="13">
        <f t="shared" si="4"/>
        <v>209</v>
      </c>
      <c r="P21" s="13">
        <f t="shared" si="4"/>
        <v>180</v>
      </c>
      <c r="Q21" s="13">
        <f t="shared" si="4"/>
        <v>172</v>
      </c>
      <c r="R21" s="13">
        <f t="shared" si="4"/>
        <v>203</v>
      </c>
      <c r="S21" s="13">
        <f t="shared" si="4"/>
        <v>231</v>
      </c>
      <c r="T21" s="13">
        <f t="shared" si="4"/>
        <v>205</v>
      </c>
      <c r="U21" s="13">
        <f t="shared" si="4"/>
        <v>218</v>
      </c>
      <c r="V21" s="13">
        <f t="shared" si="4"/>
        <v>208</v>
      </c>
      <c r="W21" s="13">
        <f t="shared" si="4"/>
        <v>183</v>
      </c>
      <c r="X21" s="13">
        <f t="shared" si="4"/>
        <v>193</v>
      </c>
      <c r="Y21" s="13">
        <f t="shared" si="4"/>
        <v>197</v>
      </c>
      <c r="Z21" s="13">
        <f t="shared" si="4"/>
        <v>213</v>
      </c>
      <c r="AA21" s="13">
        <f t="shared" si="4"/>
        <v>226</v>
      </c>
      <c r="AB21" s="13">
        <f t="shared" si="4"/>
        <v>201</v>
      </c>
      <c r="AC21" s="13">
        <f t="shared" si="4"/>
        <v>212</v>
      </c>
      <c r="AD21" s="13">
        <f t="shared" si="4"/>
        <v>195</v>
      </c>
      <c r="AE21" s="13">
        <f t="shared" si="4"/>
        <v>212</v>
      </c>
      <c r="AF21" s="13">
        <f t="shared" si="4"/>
        <v>208</v>
      </c>
      <c r="AG21" s="13">
        <f t="shared" si="4"/>
        <v>201</v>
      </c>
      <c r="AH21" s="13">
        <f t="shared" si="4"/>
        <v>223</v>
      </c>
      <c r="AI21" s="13">
        <f t="shared" si="4"/>
        <v>234</v>
      </c>
      <c r="AJ21" s="13">
        <f t="shared" si="4"/>
        <v>239</v>
      </c>
      <c r="AK21" s="13">
        <f t="shared" si="4"/>
        <v>235</v>
      </c>
      <c r="AL21" s="13">
        <f t="shared" si="4"/>
        <v>205</v>
      </c>
      <c r="AM21" s="13">
        <f t="shared" si="4"/>
        <v>226</v>
      </c>
      <c r="AN21" s="13">
        <f t="shared" si="4"/>
        <v>221</v>
      </c>
      <c r="AO21" s="13">
        <f t="shared" si="4"/>
        <v>221</v>
      </c>
      <c r="AP21" s="13">
        <f t="shared" si="4"/>
        <v>251</v>
      </c>
      <c r="AQ21" s="13">
        <f t="shared" si="4"/>
        <v>241</v>
      </c>
      <c r="AR21" s="13">
        <f t="shared" si="4"/>
        <v>214</v>
      </c>
      <c r="AS21" s="13">
        <f t="shared" si="3"/>
        <v>8351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1.0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1.0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1.0</v>
      </c>
      <c r="AS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2.0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2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1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1</v>
      </c>
      <c r="AS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2.0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1.0</v>
      </c>
      <c r="R25" s="19">
        <v>2.0</v>
      </c>
      <c r="S25" s="19">
        <v>2.0</v>
      </c>
      <c r="T25" s="19">
        <v>3.0</v>
      </c>
      <c r="U25" s="19">
        <v>3.0</v>
      </c>
      <c r="V25" s="19">
        <v>3.0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6.0</v>
      </c>
      <c r="AC25" s="19">
        <v>3.0</v>
      </c>
      <c r="AD25" s="19">
        <v>1.0</v>
      </c>
      <c r="AE25" s="19">
        <v>0.0</v>
      </c>
      <c r="AF25" s="19">
        <v>5.0</v>
      </c>
      <c r="AG25" s="19">
        <v>0.0</v>
      </c>
      <c r="AH25" s="19">
        <v>2.0</v>
      </c>
      <c r="AI25" s="19">
        <v>1.0</v>
      </c>
      <c r="AJ25" s="19">
        <v>3.0</v>
      </c>
      <c r="AK25" s="19">
        <v>2.0</v>
      </c>
      <c r="AL25" s="19">
        <v>1.0</v>
      </c>
      <c r="AM25" s="19">
        <v>4.0</v>
      </c>
      <c r="AN25" s="19">
        <v>0.0</v>
      </c>
      <c r="AO25" s="19">
        <v>0.0</v>
      </c>
      <c r="AP25" s="19">
        <v>0.0</v>
      </c>
      <c r="AQ25" s="19">
        <v>3.0</v>
      </c>
      <c r="AR25" s="19">
        <v>0.0</v>
      </c>
      <c r="AS25" s="13">
        <f t="shared" si="3"/>
        <v>50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5.0</v>
      </c>
      <c r="H26" s="19">
        <v>2.0</v>
      </c>
      <c r="I26" s="19">
        <v>0.0</v>
      </c>
      <c r="J26" s="19">
        <v>1.0</v>
      </c>
      <c r="K26" s="19">
        <v>1.0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9.0</v>
      </c>
      <c r="R26" s="19">
        <v>0.0</v>
      </c>
      <c r="S26" s="19">
        <v>1.0</v>
      </c>
      <c r="T26" s="19">
        <v>0.0</v>
      </c>
      <c r="U26" s="19">
        <v>5.0</v>
      </c>
      <c r="V26" s="19">
        <v>1.0</v>
      </c>
      <c r="W26" s="19">
        <v>0.0</v>
      </c>
      <c r="X26" s="19">
        <v>1.0</v>
      </c>
      <c r="Y26" s="19">
        <v>0.0</v>
      </c>
      <c r="Z26" s="19">
        <v>0.0</v>
      </c>
      <c r="AA26" s="19">
        <v>1.0</v>
      </c>
      <c r="AB26" s="19">
        <v>6.0</v>
      </c>
      <c r="AC26" s="19">
        <v>2.0</v>
      </c>
      <c r="AD26" s="19">
        <v>1.0</v>
      </c>
      <c r="AE26" s="19">
        <v>0.0</v>
      </c>
      <c r="AF26" s="19">
        <v>1.0</v>
      </c>
      <c r="AG26" s="19">
        <v>0.0</v>
      </c>
      <c r="AH26" s="19">
        <v>1.0</v>
      </c>
      <c r="AI26" s="19">
        <v>1.0</v>
      </c>
      <c r="AJ26" s="19">
        <v>1.0</v>
      </c>
      <c r="AK26" s="19">
        <v>2.0</v>
      </c>
      <c r="AL26" s="19">
        <v>3.0</v>
      </c>
      <c r="AM26" s="19">
        <v>1.0</v>
      </c>
      <c r="AN26" s="19">
        <v>0.0</v>
      </c>
      <c r="AO26" s="19">
        <v>0.0</v>
      </c>
      <c r="AP26" s="19">
        <v>0.0</v>
      </c>
      <c r="AQ26" s="19">
        <v>3.0</v>
      </c>
      <c r="AR26" s="19">
        <v>0.0</v>
      </c>
      <c r="AS26" s="13">
        <f t="shared" si="3"/>
        <v>50</v>
      </c>
    </row>
    <row r="27" ht="12.75" customHeight="1">
      <c r="A27" s="35"/>
      <c r="B27" s="28"/>
      <c r="C27" s="36"/>
      <c r="D27" s="13" t="s">
        <v>14</v>
      </c>
      <c r="E27" s="13">
        <f t="shared" ref="E27:AR27" si="6">SUM(E25:E26)</f>
        <v>2</v>
      </c>
      <c r="F27" s="13">
        <f t="shared" si="6"/>
        <v>0</v>
      </c>
      <c r="G27" s="13">
        <f t="shared" si="6"/>
        <v>7</v>
      </c>
      <c r="H27" s="13">
        <f t="shared" si="6"/>
        <v>4</v>
      </c>
      <c r="I27" s="13">
        <f t="shared" si="6"/>
        <v>0</v>
      </c>
      <c r="J27" s="13">
        <f t="shared" si="6"/>
        <v>1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10</v>
      </c>
      <c r="R27" s="13">
        <f t="shared" si="6"/>
        <v>2</v>
      </c>
      <c r="S27" s="13">
        <f t="shared" si="6"/>
        <v>3</v>
      </c>
      <c r="T27" s="13">
        <f t="shared" si="6"/>
        <v>3</v>
      </c>
      <c r="U27" s="13">
        <f t="shared" si="6"/>
        <v>8</v>
      </c>
      <c r="V27" s="13">
        <f t="shared" si="6"/>
        <v>4</v>
      </c>
      <c r="W27" s="13">
        <f t="shared" si="6"/>
        <v>0</v>
      </c>
      <c r="X27" s="13">
        <f t="shared" si="6"/>
        <v>1</v>
      </c>
      <c r="Y27" s="13">
        <f t="shared" si="6"/>
        <v>0</v>
      </c>
      <c r="Z27" s="13">
        <f t="shared" si="6"/>
        <v>0</v>
      </c>
      <c r="AA27" s="13">
        <f t="shared" si="6"/>
        <v>1</v>
      </c>
      <c r="AB27" s="13">
        <f t="shared" si="6"/>
        <v>12</v>
      </c>
      <c r="AC27" s="13">
        <f t="shared" si="6"/>
        <v>5</v>
      </c>
      <c r="AD27" s="13">
        <f t="shared" si="6"/>
        <v>2</v>
      </c>
      <c r="AE27" s="13">
        <f t="shared" si="6"/>
        <v>0</v>
      </c>
      <c r="AF27" s="13">
        <f t="shared" si="6"/>
        <v>6</v>
      </c>
      <c r="AG27" s="13">
        <f t="shared" si="6"/>
        <v>0</v>
      </c>
      <c r="AH27" s="13">
        <f t="shared" si="6"/>
        <v>3</v>
      </c>
      <c r="AI27" s="13">
        <f t="shared" si="6"/>
        <v>2</v>
      </c>
      <c r="AJ27" s="13">
        <f t="shared" si="6"/>
        <v>4</v>
      </c>
      <c r="AK27" s="13">
        <f t="shared" si="6"/>
        <v>4</v>
      </c>
      <c r="AL27" s="13">
        <f t="shared" si="6"/>
        <v>4</v>
      </c>
      <c r="AM27" s="13">
        <f t="shared" si="6"/>
        <v>5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6</v>
      </c>
      <c r="AR27" s="13">
        <f t="shared" si="6"/>
        <v>0</v>
      </c>
      <c r="AS27" s="13">
        <f t="shared" si="3"/>
        <v>100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R28" si="7">SUM(E19,E22,E25)</f>
        <v>99</v>
      </c>
      <c r="F28" s="13">
        <f t="shared" si="7"/>
        <v>108</v>
      </c>
      <c r="G28" s="13">
        <f t="shared" si="7"/>
        <v>96</v>
      </c>
      <c r="H28" s="13">
        <f t="shared" si="7"/>
        <v>83</v>
      </c>
      <c r="I28" s="13">
        <f t="shared" si="7"/>
        <v>92</v>
      </c>
      <c r="J28" s="13">
        <f t="shared" si="7"/>
        <v>87</v>
      </c>
      <c r="K28" s="13">
        <f t="shared" si="7"/>
        <v>99</v>
      </c>
      <c r="L28" s="13">
        <f t="shared" si="7"/>
        <v>98</v>
      </c>
      <c r="M28" s="13">
        <f t="shared" si="7"/>
        <v>112</v>
      </c>
      <c r="N28" s="13">
        <f t="shared" si="7"/>
        <v>86</v>
      </c>
      <c r="O28" s="13">
        <f t="shared" si="7"/>
        <v>99</v>
      </c>
      <c r="P28" s="13">
        <f t="shared" si="7"/>
        <v>98</v>
      </c>
      <c r="Q28" s="13">
        <f t="shared" si="7"/>
        <v>84</v>
      </c>
      <c r="R28" s="13">
        <f t="shared" si="7"/>
        <v>102</v>
      </c>
      <c r="S28" s="13">
        <f t="shared" si="7"/>
        <v>109</v>
      </c>
      <c r="T28" s="13">
        <f t="shared" si="7"/>
        <v>99</v>
      </c>
      <c r="U28" s="13">
        <f t="shared" si="7"/>
        <v>115</v>
      </c>
      <c r="V28" s="13">
        <f t="shared" si="7"/>
        <v>103</v>
      </c>
      <c r="W28" s="13">
        <f t="shared" si="7"/>
        <v>97</v>
      </c>
      <c r="X28" s="13">
        <f t="shared" si="7"/>
        <v>92</v>
      </c>
      <c r="Y28" s="13">
        <f t="shared" si="7"/>
        <v>105</v>
      </c>
      <c r="Z28" s="13">
        <f t="shared" si="7"/>
        <v>100</v>
      </c>
      <c r="AA28" s="13">
        <f t="shared" si="7"/>
        <v>109</v>
      </c>
      <c r="AB28" s="13">
        <f t="shared" si="7"/>
        <v>105</v>
      </c>
      <c r="AC28" s="13">
        <f t="shared" si="7"/>
        <v>108</v>
      </c>
      <c r="AD28" s="13">
        <f t="shared" si="7"/>
        <v>95</v>
      </c>
      <c r="AE28" s="13">
        <f t="shared" si="7"/>
        <v>103</v>
      </c>
      <c r="AF28" s="13">
        <f t="shared" si="7"/>
        <v>109</v>
      </c>
      <c r="AG28" s="13">
        <f t="shared" si="7"/>
        <v>99</v>
      </c>
      <c r="AH28" s="13">
        <f t="shared" si="7"/>
        <v>109</v>
      </c>
      <c r="AI28" s="13">
        <f t="shared" si="7"/>
        <v>114</v>
      </c>
      <c r="AJ28" s="13">
        <f t="shared" si="7"/>
        <v>116</v>
      </c>
      <c r="AK28" s="13">
        <f t="shared" si="7"/>
        <v>118</v>
      </c>
      <c r="AL28" s="13">
        <f t="shared" si="7"/>
        <v>106</v>
      </c>
      <c r="AM28" s="13">
        <f t="shared" si="7"/>
        <v>116</v>
      </c>
      <c r="AN28" s="13">
        <f t="shared" si="7"/>
        <v>106</v>
      </c>
      <c r="AO28" s="13">
        <f t="shared" si="7"/>
        <v>111</v>
      </c>
      <c r="AP28" s="13">
        <f t="shared" si="7"/>
        <v>128</v>
      </c>
      <c r="AQ28" s="13">
        <f t="shared" si="7"/>
        <v>122</v>
      </c>
      <c r="AR28" s="13">
        <f t="shared" si="7"/>
        <v>104</v>
      </c>
      <c r="AS28" s="13">
        <f t="shared" si="3"/>
        <v>4141</v>
      </c>
    </row>
    <row r="29" ht="12.75" customHeight="1">
      <c r="A29" s="35"/>
      <c r="B29" s="27"/>
      <c r="C29" s="34"/>
      <c r="D29" s="13" t="s">
        <v>13</v>
      </c>
      <c r="E29" s="13">
        <f t="shared" ref="E29:AR29" si="8">SUM(E20,E23,E26)</f>
        <v>114</v>
      </c>
      <c r="F29" s="13">
        <f t="shared" si="8"/>
        <v>111</v>
      </c>
      <c r="G29" s="13">
        <f t="shared" si="8"/>
        <v>104</v>
      </c>
      <c r="H29" s="13">
        <f t="shared" si="8"/>
        <v>92</v>
      </c>
      <c r="I29" s="13">
        <f t="shared" si="8"/>
        <v>107</v>
      </c>
      <c r="J29" s="13">
        <f t="shared" si="8"/>
        <v>106</v>
      </c>
      <c r="K29" s="13">
        <f t="shared" si="8"/>
        <v>99</v>
      </c>
      <c r="L29" s="13">
        <f t="shared" si="8"/>
        <v>97</v>
      </c>
      <c r="M29" s="13">
        <f t="shared" si="8"/>
        <v>99</v>
      </c>
      <c r="N29" s="13">
        <f t="shared" si="8"/>
        <v>103</v>
      </c>
      <c r="O29" s="13">
        <f t="shared" si="8"/>
        <v>110</v>
      </c>
      <c r="P29" s="13">
        <f t="shared" si="8"/>
        <v>82</v>
      </c>
      <c r="Q29" s="13">
        <f t="shared" si="8"/>
        <v>98</v>
      </c>
      <c r="R29" s="13">
        <f t="shared" si="8"/>
        <v>103</v>
      </c>
      <c r="S29" s="13">
        <f t="shared" si="8"/>
        <v>125</v>
      </c>
      <c r="T29" s="13">
        <f t="shared" si="8"/>
        <v>109</v>
      </c>
      <c r="U29" s="13">
        <f t="shared" si="8"/>
        <v>113</v>
      </c>
      <c r="V29" s="13">
        <f t="shared" si="8"/>
        <v>111</v>
      </c>
      <c r="W29" s="13">
        <f t="shared" si="8"/>
        <v>86</v>
      </c>
      <c r="X29" s="13">
        <f t="shared" si="8"/>
        <v>102</v>
      </c>
      <c r="Y29" s="13">
        <f t="shared" si="8"/>
        <v>92</v>
      </c>
      <c r="Z29" s="13">
        <f t="shared" si="8"/>
        <v>113</v>
      </c>
      <c r="AA29" s="13">
        <f t="shared" si="8"/>
        <v>118</v>
      </c>
      <c r="AB29" s="13">
        <f t="shared" si="8"/>
        <v>108</v>
      </c>
      <c r="AC29" s="13">
        <f t="shared" si="8"/>
        <v>109</v>
      </c>
      <c r="AD29" s="13">
        <f t="shared" si="8"/>
        <v>102</v>
      </c>
      <c r="AE29" s="13">
        <f t="shared" si="8"/>
        <v>109</v>
      </c>
      <c r="AF29" s="13">
        <f t="shared" si="8"/>
        <v>106</v>
      </c>
      <c r="AG29" s="13">
        <f t="shared" si="8"/>
        <v>102</v>
      </c>
      <c r="AH29" s="13">
        <f t="shared" si="8"/>
        <v>117</v>
      </c>
      <c r="AI29" s="13">
        <f t="shared" si="8"/>
        <v>122</v>
      </c>
      <c r="AJ29" s="13">
        <f t="shared" si="8"/>
        <v>127</v>
      </c>
      <c r="AK29" s="13">
        <f t="shared" si="8"/>
        <v>121</v>
      </c>
      <c r="AL29" s="13">
        <f t="shared" si="8"/>
        <v>103</v>
      </c>
      <c r="AM29" s="13">
        <f t="shared" si="8"/>
        <v>115</v>
      </c>
      <c r="AN29" s="13">
        <f t="shared" si="8"/>
        <v>115</v>
      </c>
      <c r="AO29" s="13">
        <f t="shared" si="8"/>
        <v>110</v>
      </c>
      <c r="AP29" s="13">
        <f t="shared" si="8"/>
        <v>123</v>
      </c>
      <c r="AQ29" s="13">
        <f t="shared" si="8"/>
        <v>125</v>
      </c>
      <c r="AR29" s="13">
        <f t="shared" si="8"/>
        <v>111</v>
      </c>
      <c r="AS29" s="13">
        <f t="shared" si="3"/>
        <v>4319</v>
      </c>
    </row>
    <row r="30" ht="12.75" customHeight="1">
      <c r="A30" s="35"/>
      <c r="B30" s="28"/>
      <c r="C30" s="36"/>
      <c r="D30" s="13" t="s">
        <v>14</v>
      </c>
      <c r="E30" s="13">
        <f t="shared" ref="E30:AR30" si="9">SUM(E28:E29)</f>
        <v>213</v>
      </c>
      <c r="F30" s="13">
        <f t="shared" si="9"/>
        <v>219</v>
      </c>
      <c r="G30" s="13">
        <f t="shared" si="9"/>
        <v>200</v>
      </c>
      <c r="H30" s="13">
        <f t="shared" si="9"/>
        <v>175</v>
      </c>
      <c r="I30" s="13">
        <f t="shared" si="9"/>
        <v>199</v>
      </c>
      <c r="J30" s="13">
        <f t="shared" si="9"/>
        <v>193</v>
      </c>
      <c r="K30" s="13">
        <f t="shared" si="9"/>
        <v>198</v>
      </c>
      <c r="L30" s="13">
        <f t="shared" si="9"/>
        <v>195</v>
      </c>
      <c r="M30" s="13">
        <f t="shared" si="9"/>
        <v>211</v>
      </c>
      <c r="N30" s="13">
        <f t="shared" si="9"/>
        <v>189</v>
      </c>
      <c r="O30" s="13">
        <f t="shared" si="9"/>
        <v>209</v>
      </c>
      <c r="P30" s="13">
        <f t="shared" si="9"/>
        <v>180</v>
      </c>
      <c r="Q30" s="13">
        <f t="shared" si="9"/>
        <v>182</v>
      </c>
      <c r="R30" s="13">
        <f t="shared" si="9"/>
        <v>205</v>
      </c>
      <c r="S30" s="13">
        <f t="shared" si="9"/>
        <v>234</v>
      </c>
      <c r="T30" s="13">
        <f t="shared" si="9"/>
        <v>208</v>
      </c>
      <c r="U30" s="13">
        <f t="shared" si="9"/>
        <v>228</v>
      </c>
      <c r="V30" s="13">
        <f t="shared" si="9"/>
        <v>214</v>
      </c>
      <c r="W30" s="13">
        <f t="shared" si="9"/>
        <v>183</v>
      </c>
      <c r="X30" s="13">
        <f t="shared" si="9"/>
        <v>194</v>
      </c>
      <c r="Y30" s="13">
        <f t="shared" si="9"/>
        <v>197</v>
      </c>
      <c r="Z30" s="13">
        <f t="shared" si="9"/>
        <v>213</v>
      </c>
      <c r="AA30" s="13">
        <f t="shared" si="9"/>
        <v>227</v>
      </c>
      <c r="AB30" s="13">
        <f t="shared" si="9"/>
        <v>213</v>
      </c>
      <c r="AC30" s="13">
        <f t="shared" si="9"/>
        <v>217</v>
      </c>
      <c r="AD30" s="13">
        <f t="shared" si="9"/>
        <v>197</v>
      </c>
      <c r="AE30" s="13">
        <f t="shared" si="9"/>
        <v>212</v>
      </c>
      <c r="AF30" s="13">
        <f t="shared" si="9"/>
        <v>215</v>
      </c>
      <c r="AG30" s="13">
        <f t="shared" si="9"/>
        <v>201</v>
      </c>
      <c r="AH30" s="13">
        <f t="shared" si="9"/>
        <v>226</v>
      </c>
      <c r="AI30" s="13">
        <f t="shared" si="9"/>
        <v>236</v>
      </c>
      <c r="AJ30" s="13">
        <f t="shared" si="9"/>
        <v>243</v>
      </c>
      <c r="AK30" s="13">
        <f t="shared" si="9"/>
        <v>239</v>
      </c>
      <c r="AL30" s="13">
        <f t="shared" si="9"/>
        <v>209</v>
      </c>
      <c r="AM30" s="13">
        <f t="shared" si="9"/>
        <v>231</v>
      </c>
      <c r="AN30" s="13">
        <f t="shared" si="9"/>
        <v>221</v>
      </c>
      <c r="AO30" s="13">
        <f t="shared" si="9"/>
        <v>221</v>
      </c>
      <c r="AP30" s="13">
        <f t="shared" si="9"/>
        <v>251</v>
      </c>
      <c r="AQ30" s="13">
        <f t="shared" si="9"/>
        <v>247</v>
      </c>
      <c r="AR30" s="13">
        <f t="shared" si="9"/>
        <v>215</v>
      </c>
      <c r="AS30" s="13">
        <f t="shared" si="3"/>
        <v>8460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19"/>
      <c r="T31" s="19"/>
      <c r="U31" s="19"/>
      <c r="V31" s="19"/>
      <c r="W31" s="19"/>
      <c r="X31" s="19"/>
      <c r="Y31" s="19"/>
      <c r="Z31" s="19"/>
      <c r="AA31" s="58"/>
      <c r="AB31" s="58"/>
      <c r="AC31" s="58"/>
      <c r="AD31" s="58"/>
      <c r="AE31" s="58"/>
      <c r="AF31" s="19"/>
      <c r="AG31" s="19"/>
      <c r="AH31" s="19"/>
      <c r="AI31" s="19"/>
      <c r="AJ31" s="19"/>
      <c r="AK31" s="19"/>
      <c r="AL31" s="19"/>
      <c r="AM31" s="19"/>
      <c r="AN31" s="58"/>
      <c r="AO31" s="58"/>
      <c r="AP31" s="58"/>
      <c r="AQ31" s="58"/>
      <c r="AR31" s="58"/>
      <c r="A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13"/>
      <c r="T32" s="13"/>
      <c r="U32" s="13"/>
      <c r="V32" s="13"/>
      <c r="W32" s="13"/>
      <c r="X32" s="13"/>
      <c r="Y32" s="13"/>
      <c r="Z32" s="13"/>
      <c r="AA32" s="60"/>
      <c r="AB32" s="60"/>
      <c r="AC32" s="60"/>
      <c r="AD32" s="60"/>
      <c r="AE32" s="60"/>
      <c r="AF32" s="13"/>
      <c r="AG32" s="13"/>
      <c r="AH32" s="13"/>
      <c r="AI32" s="13"/>
      <c r="AJ32" s="13"/>
      <c r="AK32" s="13"/>
      <c r="AL32" s="13"/>
      <c r="AM32" s="13"/>
      <c r="AN32" s="60"/>
      <c r="AO32" s="60"/>
      <c r="AP32" s="60"/>
      <c r="AQ32" s="60"/>
      <c r="AR32" s="60"/>
      <c r="AS32" s="59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283.0</v>
      </c>
      <c r="G33" s="19">
        <v>269.0</v>
      </c>
      <c r="H33" s="19">
        <v>269.0</v>
      </c>
      <c r="I33" s="19">
        <v>277.0</v>
      </c>
      <c r="J33" s="19">
        <v>273.0</v>
      </c>
      <c r="K33" s="19">
        <v>259.0</v>
      </c>
      <c r="L33" s="19">
        <v>265.0</v>
      </c>
      <c r="M33" s="19">
        <v>288.0</v>
      </c>
      <c r="N33" s="19">
        <v>296.0</v>
      </c>
      <c r="O33" s="19">
        <v>294.0</v>
      </c>
      <c r="P33" s="19">
        <v>264.0</v>
      </c>
      <c r="Q33" s="19">
        <v>282.0</v>
      </c>
      <c r="R33" s="19">
        <v>301.0</v>
      </c>
      <c r="S33" s="19">
        <v>298.0</v>
      </c>
      <c r="T33" s="19">
        <v>274.0</v>
      </c>
      <c r="U33" s="19">
        <v>288.0</v>
      </c>
      <c r="V33" s="19">
        <v>285.0</v>
      </c>
      <c r="W33" s="19">
        <v>249.0</v>
      </c>
      <c r="X33" s="19">
        <v>280.0</v>
      </c>
      <c r="Y33" s="19">
        <v>287.0</v>
      </c>
      <c r="Z33" s="19">
        <v>263.0</v>
      </c>
      <c r="AA33" s="19">
        <v>277.0</v>
      </c>
      <c r="AB33" s="19">
        <v>263.0</v>
      </c>
      <c r="AC33" s="19">
        <v>263.0</v>
      </c>
      <c r="AD33" s="19">
        <v>285.0</v>
      </c>
      <c r="AE33" s="19">
        <v>274.0</v>
      </c>
      <c r="AF33" s="19">
        <v>288.0</v>
      </c>
      <c r="AG33" s="19">
        <v>270.0</v>
      </c>
      <c r="AH33" s="19">
        <v>289.0</v>
      </c>
      <c r="AI33" s="19">
        <v>290.0</v>
      </c>
      <c r="AJ33" s="19">
        <v>289.0</v>
      </c>
      <c r="AK33" s="19">
        <v>298.0</v>
      </c>
      <c r="AL33" s="19">
        <v>247.0</v>
      </c>
      <c r="AM33" s="19">
        <v>293.0</v>
      </c>
      <c r="AN33" s="19">
        <v>287.0</v>
      </c>
      <c r="AO33" s="19">
        <v>281.0</v>
      </c>
      <c r="AP33" s="19">
        <v>302.0</v>
      </c>
      <c r="AQ33" s="19">
        <v>303.0</v>
      </c>
      <c r="AR33" s="19">
        <v>296.0</v>
      </c>
      <c r="AS33" s="13">
        <f t="shared" ref="AS33:AS36" si="10">SUM(E33:AR33)</f>
        <v>11212</v>
      </c>
    </row>
    <row r="34" ht="12.75" customHeight="1">
      <c r="A34" s="19">
        <v>2.0</v>
      </c>
      <c r="B34" s="20" t="s">
        <v>28</v>
      </c>
      <c r="C34" s="15"/>
      <c r="D34" s="16"/>
      <c r="E34" s="13">
        <v>213.0</v>
      </c>
      <c r="F34" s="13">
        <v>219.0</v>
      </c>
      <c r="G34" s="13">
        <v>200.0</v>
      </c>
      <c r="H34" s="13">
        <v>175.0</v>
      </c>
      <c r="I34" s="13">
        <v>199.0</v>
      </c>
      <c r="J34" s="13">
        <v>193.0</v>
      </c>
      <c r="K34" s="13">
        <v>198.0</v>
      </c>
      <c r="L34" s="13">
        <v>195.0</v>
      </c>
      <c r="M34" s="13">
        <v>211.0</v>
      </c>
      <c r="N34" s="13">
        <v>189.0</v>
      </c>
      <c r="O34" s="13">
        <v>209.0</v>
      </c>
      <c r="P34" s="13">
        <v>180.0</v>
      </c>
      <c r="Q34" s="13">
        <v>182.0</v>
      </c>
      <c r="R34" s="13">
        <v>205.0</v>
      </c>
      <c r="S34" s="13">
        <v>234.0</v>
      </c>
      <c r="T34" s="13">
        <v>208.0</v>
      </c>
      <c r="U34" s="13">
        <v>228.0</v>
      </c>
      <c r="V34" s="13">
        <v>213.0</v>
      </c>
      <c r="W34" s="13">
        <v>183.0</v>
      </c>
      <c r="X34" s="13">
        <v>194.0</v>
      </c>
      <c r="Y34" s="13">
        <v>197.0</v>
      </c>
      <c r="Z34" s="13">
        <v>213.0</v>
      </c>
      <c r="AA34" s="13">
        <v>227.0</v>
      </c>
      <c r="AB34" s="13">
        <v>213.0</v>
      </c>
      <c r="AC34" s="13">
        <v>217.0</v>
      </c>
      <c r="AD34" s="13">
        <v>197.0</v>
      </c>
      <c r="AE34" s="13">
        <v>212.0</v>
      </c>
      <c r="AF34" s="13">
        <v>216.0</v>
      </c>
      <c r="AG34" s="13">
        <v>201.0</v>
      </c>
      <c r="AH34" s="13">
        <v>226.0</v>
      </c>
      <c r="AI34" s="13">
        <v>236.0</v>
      </c>
      <c r="AJ34" s="13">
        <v>243.0</v>
      </c>
      <c r="AK34" s="13">
        <v>239.0</v>
      </c>
      <c r="AL34" s="13">
        <v>209.0</v>
      </c>
      <c r="AM34" s="13">
        <v>231.0</v>
      </c>
      <c r="AN34" s="13">
        <v>221.0</v>
      </c>
      <c r="AO34" s="13">
        <v>221.0</v>
      </c>
      <c r="AP34" s="13">
        <v>251.0</v>
      </c>
      <c r="AQ34" s="13">
        <v>247.0</v>
      </c>
      <c r="AR34" s="13">
        <v>215.0</v>
      </c>
      <c r="AS34" s="13">
        <f t="shared" si="10"/>
        <v>8460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1.0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3.0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R36" si="11">E33-(E34+E35)</f>
        <v>60</v>
      </c>
      <c r="F36" s="13">
        <f t="shared" si="11"/>
        <v>64</v>
      </c>
      <c r="G36" s="13">
        <f t="shared" si="11"/>
        <v>69</v>
      </c>
      <c r="H36" s="13">
        <f t="shared" si="11"/>
        <v>94</v>
      </c>
      <c r="I36" s="13">
        <f t="shared" si="11"/>
        <v>78</v>
      </c>
      <c r="J36" s="13">
        <f t="shared" si="11"/>
        <v>80</v>
      </c>
      <c r="K36" s="13">
        <f t="shared" si="11"/>
        <v>61</v>
      </c>
      <c r="L36" s="13">
        <f t="shared" si="11"/>
        <v>70</v>
      </c>
      <c r="M36" s="13">
        <f t="shared" si="11"/>
        <v>76</v>
      </c>
      <c r="N36" s="13">
        <f t="shared" si="11"/>
        <v>107</v>
      </c>
      <c r="O36" s="13">
        <f t="shared" si="11"/>
        <v>85</v>
      </c>
      <c r="P36" s="13">
        <f t="shared" si="11"/>
        <v>84</v>
      </c>
      <c r="Q36" s="13">
        <f t="shared" si="11"/>
        <v>99</v>
      </c>
      <c r="R36" s="13">
        <f t="shared" si="11"/>
        <v>96</v>
      </c>
      <c r="S36" s="13">
        <f t="shared" si="11"/>
        <v>64</v>
      </c>
      <c r="T36" s="13">
        <f t="shared" si="11"/>
        <v>66</v>
      </c>
      <c r="U36" s="13">
        <f t="shared" si="11"/>
        <v>60</v>
      </c>
      <c r="V36" s="13">
        <f t="shared" si="11"/>
        <v>72</v>
      </c>
      <c r="W36" s="13">
        <f t="shared" si="11"/>
        <v>66</v>
      </c>
      <c r="X36" s="13">
        <f t="shared" si="11"/>
        <v>86</v>
      </c>
      <c r="Y36" s="13">
        <f t="shared" si="11"/>
        <v>90</v>
      </c>
      <c r="Z36" s="13">
        <f t="shared" si="11"/>
        <v>50</v>
      </c>
      <c r="AA36" s="13">
        <f t="shared" si="11"/>
        <v>49</v>
      </c>
      <c r="AB36" s="13">
        <f t="shared" si="11"/>
        <v>50</v>
      </c>
      <c r="AC36" s="13">
        <f t="shared" si="11"/>
        <v>46</v>
      </c>
      <c r="AD36" s="13">
        <f t="shared" si="11"/>
        <v>88</v>
      </c>
      <c r="AE36" s="13">
        <f t="shared" si="11"/>
        <v>62</v>
      </c>
      <c r="AF36" s="13">
        <f t="shared" si="11"/>
        <v>72</v>
      </c>
      <c r="AG36" s="13">
        <f t="shared" si="11"/>
        <v>66</v>
      </c>
      <c r="AH36" s="13">
        <f t="shared" si="11"/>
        <v>63</v>
      </c>
      <c r="AI36" s="13">
        <f t="shared" si="11"/>
        <v>54</v>
      </c>
      <c r="AJ36" s="13">
        <f t="shared" si="11"/>
        <v>46</v>
      </c>
      <c r="AK36" s="13">
        <f t="shared" si="11"/>
        <v>59</v>
      </c>
      <c r="AL36" s="13">
        <f t="shared" si="11"/>
        <v>38</v>
      </c>
      <c r="AM36" s="13">
        <f t="shared" si="11"/>
        <v>62</v>
      </c>
      <c r="AN36" s="13">
        <f t="shared" si="11"/>
        <v>66</v>
      </c>
      <c r="AO36" s="13">
        <f t="shared" si="11"/>
        <v>60</v>
      </c>
      <c r="AP36" s="13">
        <f t="shared" si="11"/>
        <v>51</v>
      </c>
      <c r="AQ36" s="13">
        <f t="shared" si="11"/>
        <v>56</v>
      </c>
      <c r="AR36" s="13">
        <f t="shared" si="11"/>
        <v>81</v>
      </c>
      <c r="AS36" s="13">
        <f t="shared" si="10"/>
        <v>2746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13"/>
      <c r="T38" s="13"/>
      <c r="U38" s="13"/>
      <c r="V38" s="13"/>
      <c r="W38" s="13"/>
      <c r="X38" s="13"/>
      <c r="Y38" s="13"/>
      <c r="Z38" s="13"/>
      <c r="AA38" s="60"/>
      <c r="AB38" s="60"/>
      <c r="AC38" s="60"/>
      <c r="AD38" s="60"/>
      <c r="AE38" s="60"/>
      <c r="AF38" s="13"/>
      <c r="AG38" s="13"/>
      <c r="AH38" s="13"/>
      <c r="AI38" s="13"/>
      <c r="AJ38" s="13"/>
      <c r="AK38" s="13"/>
      <c r="AL38" s="13"/>
      <c r="AM38" s="13"/>
      <c r="AN38" s="60"/>
      <c r="AO38" s="60"/>
      <c r="AP38" s="60"/>
      <c r="AQ38" s="60"/>
      <c r="AR38" s="60"/>
      <c r="AS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2.0</v>
      </c>
      <c r="V39" s="19">
        <v>0.0</v>
      </c>
      <c r="W39" s="19">
        <v>0.0</v>
      </c>
      <c r="X39" s="19">
        <v>0.0</v>
      </c>
      <c r="Y39" s="19">
        <v>0.0</v>
      </c>
      <c r="Z39" s="19">
        <v>1.0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2.0</v>
      </c>
      <c r="AG39" s="19">
        <v>0.0</v>
      </c>
      <c r="AH39" s="19">
        <v>0.0</v>
      </c>
      <c r="AI39" s="19">
        <v>0.0</v>
      </c>
      <c r="AJ39" s="19">
        <v>1.0</v>
      </c>
      <c r="AK39" s="19">
        <v>0.0</v>
      </c>
      <c r="AL39" s="19">
        <v>0.0</v>
      </c>
      <c r="AM39" s="19">
        <v>1.0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3">
        <f t="shared" ref="AS39:AS41" si="12">SUM(E39:AR39)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1.0</v>
      </c>
      <c r="V40" s="19">
        <v>1.0</v>
      </c>
      <c r="W40" s="19">
        <v>0.0</v>
      </c>
      <c r="X40" s="19">
        <v>0.0</v>
      </c>
      <c r="Y40" s="19">
        <v>1.0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3.0</v>
      </c>
      <c r="AG40" s="19">
        <v>0.0</v>
      </c>
      <c r="AH40" s="19">
        <v>0.0</v>
      </c>
      <c r="AI40" s="19">
        <v>0.0</v>
      </c>
      <c r="AJ40" s="19">
        <v>1.0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A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3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1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5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2</v>
      </c>
      <c r="AK41" s="13">
        <f t="shared" si="13"/>
        <v>0</v>
      </c>
      <c r="AL41" s="13">
        <f t="shared" si="13"/>
        <v>0</v>
      </c>
      <c r="AM41" s="13">
        <f t="shared" si="13"/>
        <v>1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2"/>
        <v>15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  <c r="U43" s="13"/>
      <c r="V43" s="13"/>
      <c r="W43" s="13"/>
      <c r="X43" s="13"/>
      <c r="Y43" s="13"/>
      <c r="Z43" s="13"/>
      <c r="AA43" s="60"/>
      <c r="AB43" s="13"/>
      <c r="AC43" s="60"/>
      <c r="AD43" s="13"/>
      <c r="AE43" s="60"/>
      <c r="AF43" s="13"/>
      <c r="AG43" s="13"/>
      <c r="AH43" s="13"/>
      <c r="AI43" s="13"/>
      <c r="AJ43" s="13"/>
      <c r="AK43" s="13"/>
      <c r="AL43" s="13"/>
      <c r="AM43" s="13"/>
      <c r="AN43" s="60"/>
      <c r="AO43" s="13"/>
      <c r="AP43" s="60"/>
      <c r="AQ43" s="13"/>
      <c r="AR43" s="60"/>
      <c r="A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9"/>
      <c r="U44" s="19"/>
      <c r="V44" s="19"/>
      <c r="W44" s="19"/>
      <c r="X44" s="19"/>
      <c r="Y44" s="19"/>
      <c r="Z44" s="19"/>
      <c r="AA44" s="58"/>
      <c r="AB44" s="19"/>
      <c r="AC44" s="58"/>
      <c r="AD44" s="19"/>
      <c r="AE44" s="58"/>
      <c r="AF44" s="19"/>
      <c r="AG44" s="19"/>
      <c r="AH44" s="19"/>
      <c r="AI44" s="19"/>
      <c r="AJ44" s="19"/>
      <c r="AK44" s="19"/>
      <c r="AL44" s="19"/>
      <c r="AM44" s="19"/>
      <c r="AN44" s="58"/>
      <c r="AO44" s="19"/>
      <c r="AP44" s="58"/>
      <c r="AQ44" s="19"/>
      <c r="AR44" s="58"/>
      <c r="AS44" s="13"/>
    </row>
    <row r="45" ht="12.75" customHeight="1">
      <c r="A45" s="30"/>
      <c r="B45" s="47" t="s">
        <v>17</v>
      </c>
      <c r="C45" s="48" t="s">
        <v>37</v>
      </c>
      <c r="D45" s="16"/>
      <c r="E45" s="19">
        <v>6.0</v>
      </c>
      <c r="F45" s="19">
        <v>12.0</v>
      </c>
      <c r="G45" s="19">
        <v>6.0</v>
      </c>
      <c r="H45" s="19">
        <v>5.0</v>
      </c>
      <c r="I45" s="19">
        <v>3.0</v>
      </c>
      <c r="J45" s="19">
        <v>5.0</v>
      </c>
      <c r="K45" s="19">
        <v>5.0</v>
      </c>
      <c r="L45" s="19">
        <v>6.0</v>
      </c>
      <c r="M45" s="19">
        <v>13.0</v>
      </c>
      <c r="N45" s="19">
        <v>10.0</v>
      </c>
      <c r="O45" s="19">
        <v>15.0</v>
      </c>
      <c r="P45" s="19">
        <v>8.0</v>
      </c>
      <c r="Q45" s="19">
        <v>10.0</v>
      </c>
      <c r="R45" s="19">
        <v>6.0</v>
      </c>
      <c r="S45" s="19">
        <v>15.0</v>
      </c>
      <c r="T45" s="19">
        <v>9.0</v>
      </c>
      <c r="U45" s="19">
        <v>3.0</v>
      </c>
      <c r="V45" s="19">
        <v>13.0</v>
      </c>
      <c r="W45" s="19">
        <v>7.0</v>
      </c>
      <c r="X45" s="19">
        <v>10.0</v>
      </c>
      <c r="Y45" s="19">
        <v>5.0</v>
      </c>
      <c r="Z45" s="19">
        <v>11.0</v>
      </c>
      <c r="AA45" s="19">
        <v>13.0</v>
      </c>
      <c r="AB45" s="19">
        <v>11.0</v>
      </c>
      <c r="AC45" s="19">
        <v>9.0</v>
      </c>
      <c r="AD45" s="19">
        <v>12.0</v>
      </c>
      <c r="AE45" s="19">
        <v>9.0</v>
      </c>
      <c r="AF45" s="19">
        <v>10.0</v>
      </c>
      <c r="AG45" s="19">
        <v>14.0</v>
      </c>
      <c r="AH45" s="19">
        <v>12.0</v>
      </c>
      <c r="AI45" s="19">
        <v>11.0</v>
      </c>
      <c r="AJ45" s="19">
        <v>15.0</v>
      </c>
      <c r="AK45" s="19">
        <v>21.0</v>
      </c>
      <c r="AL45" s="19">
        <v>17.0</v>
      </c>
      <c r="AM45" s="19">
        <v>21.0</v>
      </c>
      <c r="AN45" s="19">
        <v>10.0</v>
      </c>
      <c r="AO45" s="19">
        <v>12.0</v>
      </c>
      <c r="AP45" s="19">
        <v>12.0</v>
      </c>
      <c r="AQ45" s="19">
        <v>11.0</v>
      </c>
      <c r="AR45" s="19">
        <v>15.0</v>
      </c>
      <c r="AS45" s="13">
        <f t="shared" ref="AS45:AS57" si="14">SUM(E45:AR45)</f>
        <v>418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50.0</v>
      </c>
      <c r="F46" s="19">
        <v>53.0</v>
      </c>
      <c r="G46" s="19">
        <v>43.0</v>
      </c>
      <c r="H46" s="19">
        <v>39.0</v>
      </c>
      <c r="I46" s="19">
        <v>35.0</v>
      </c>
      <c r="J46" s="19">
        <v>41.0</v>
      </c>
      <c r="K46" s="19">
        <v>41.0</v>
      </c>
      <c r="L46" s="19">
        <v>36.0</v>
      </c>
      <c r="M46" s="19">
        <v>35.0</v>
      </c>
      <c r="N46" s="19">
        <v>21.0</v>
      </c>
      <c r="O46" s="19">
        <v>42.0</v>
      </c>
      <c r="P46" s="19">
        <v>39.0</v>
      </c>
      <c r="Q46" s="19">
        <v>25.0</v>
      </c>
      <c r="R46" s="19">
        <v>38.0</v>
      </c>
      <c r="S46" s="19">
        <v>52.0</v>
      </c>
      <c r="T46" s="19">
        <v>30.0</v>
      </c>
      <c r="U46" s="19">
        <v>32.0</v>
      </c>
      <c r="V46" s="19">
        <v>42.0</v>
      </c>
      <c r="W46" s="19">
        <v>43.0</v>
      </c>
      <c r="X46" s="19">
        <v>26.0</v>
      </c>
      <c r="Y46" s="19">
        <v>41.0</v>
      </c>
      <c r="Z46" s="19">
        <v>51.0</v>
      </c>
      <c r="AA46" s="19">
        <v>38.0</v>
      </c>
      <c r="AB46" s="19">
        <v>43.0</v>
      </c>
      <c r="AC46" s="19">
        <v>41.0</v>
      </c>
      <c r="AD46" s="19">
        <v>42.0</v>
      </c>
      <c r="AE46" s="19">
        <v>30.0</v>
      </c>
      <c r="AF46" s="19">
        <v>30.0</v>
      </c>
      <c r="AG46" s="19">
        <v>30.0</v>
      </c>
      <c r="AH46" s="19">
        <v>33.0</v>
      </c>
      <c r="AI46" s="19">
        <v>43.0</v>
      </c>
      <c r="AJ46" s="19">
        <v>34.0</v>
      </c>
      <c r="AK46" s="19">
        <v>34.0</v>
      </c>
      <c r="AL46" s="19">
        <v>29.0</v>
      </c>
      <c r="AM46" s="19">
        <v>33.0</v>
      </c>
      <c r="AN46" s="19">
        <v>35.0</v>
      </c>
      <c r="AO46" s="19">
        <v>19.0</v>
      </c>
      <c r="AP46" s="19">
        <v>38.0</v>
      </c>
      <c r="AQ46" s="19">
        <v>24.0</v>
      </c>
      <c r="AR46" s="19">
        <v>50.0</v>
      </c>
      <c r="AS46" s="13">
        <f t="shared" si="14"/>
        <v>1481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9.0</v>
      </c>
      <c r="F47" s="19">
        <v>14.0</v>
      </c>
      <c r="G47" s="19">
        <v>21.0</v>
      </c>
      <c r="H47" s="19">
        <v>18.0</v>
      </c>
      <c r="I47" s="19">
        <v>8.0</v>
      </c>
      <c r="J47" s="19">
        <v>12.0</v>
      </c>
      <c r="K47" s="19">
        <v>15.0</v>
      </c>
      <c r="L47" s="19">
        <v>12.0</v>
      </c>
      <c r="M47" s="19">
        <v>16.0</v>
      </c>
      <c r="N47" s="19">
        <v>13.0</v>
      </c>
      <c r="O47" s="19">
        <v>18.0</v>
      </c>
      <c r="P47" s="19">
        <v>13.0</v>
      </c>
      <c r="Q47" s="19">
        <v>8.0</v>
      </c>
      <c r="R47" s="19">
        <v>19.0</v>
      </c>
      <c r="S47" s="19">
        <v>16.0</v>
      </c>
      <c r="T47" s="19">
        <v>35.0</v>
      </c>
      <c r="U47" s="19">
        <v>7.0</v>
      </c>
      <c r="V47" s="19">
        <v>12.0</v>
      </c>
      <c r="W47" s="19">
        <v>16.0</v>
      </c>
      <c r="X47" s="19">
        <v>9.0</v>
      </c>
      <c r="Y47" s="19">
        <v>6.0</v>
      </c>
      <c r="Z47" s="19">
        <v>17.0</v>
      </c>
      <c r="AA47" s="19">
        <v>15.0</v>
      </c>
      <c r="AB47" s="19">
        <v>11.0</v>
      </c>
      <c r="AC47" s="19">
        <v>6.0</v>
      </c>
      <c r="AD47" s="19">
        <v>16.0</v>
      </c>
      <c r="AE47" s="19">
        <v>14.0</v>
      </c>
      <c r="AF47" s="19">
        <v>11.0</v>
      </c>
      <c r="AG47" s="19">
        <v>13.0</v>
      </c>
      <c r="AH47" s="19">
        <v>10.0</v>
      </c>
      <c r="AI47" s="19">
        <v>14.0</v>
      </c>
      <c r="AJ47" s="19">
        <v>21.0</v>
      </c>
      <c r="AK47" s="19">
        <v>26.0</v>
      </c>
      <c r="AL47" s="19">
        <v>17.0</v>
      </c>
      <c r="AM47" s="19">
        <v>27.0</v>
      </c>
      <c r="AN47" s="19">
        <v>15.0</v>
      </c>
      <c r="AO47" s="19">
        <v>21.0</v>
      </c>
      <c r="AP47" s="19">
        <v>14.0</v>
      </c>
      <c r="AQ47" s="19">
        <v>18.0</v>
      </c>
      <c r="AR47" s="19">
        <v>6.0</v>
      </c>
      <c r="AS47" s="13">
        <f t="shared" si="14"/>
        <v>589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29.0</v>
      </c>
      <c r="F48" s="19">
        <v>40.0</v>
      </c>
      <c r="G48" s="19">
        <v>18.0</v>
      </c>
      <c r="H48" s="19">
        <v>24.0</v>
      </c>
      <c r="I48" s="19">
        <v>22.0</v>
      </c>
      <c r="J48" s="19">
        <v>34.0</v>
      </c>
      <c r="K48" s="19">
        <v>20.0</v>
      </c>
      <c r="L48" s="19">
        <v>28.0</v>
      </c>
      <c r="M48" s="19">
        <v>22.0</v>
      </c>
      <c r="N48" s="19">
        <v>15.0</v>
      </c>
      <c r="O48" s="19">
        <v>12.0</v>
      </c>
      <c r="P48" s="19">
        <v>21.0</v>
      </c>
      <c r="Q48" s="19">
        <v>17.0</v>
      </c>
      <c r="R48" s="19">
        <v>25.0</v>
      </c>
      <c r="S48" s="19">
        <v>29.0</v>
      </c>
      <c r="T48" s="19">
        <v>21.0</v>
      </c>
      <c r="U48" s="19">
        <v>28.0</v>
      </c>
      <c r="V48" s="19">
        <v>27.0</v>
      </c>
      <c r="W48" s="19">
        <v>25.0</v>
      </c>
      <c r="X48" s="19">
        <v>20.0</v>
      </c>
      <c r="Y48" s="19">
        <v>26.0</v>
      </c>
      <c r="Z48" s="19">
        <v>32.0</v>
      </c>
      <c r="AA48" s="19">
        <v>23.0</v>
      </c>
      <c r="AB48" s="19">
        <v>22.0</v>
      </c>
      <c r="AC48" s="19">
        <v>22.0</v>
      </c>
      <c r="AD48" s="19">
        <v>20.0</v>
      </c>
      <c r="AE48" s="19">
        <v>30.0</v>
      </c>
      <c r="AF48" s="19">
        <v>25.0</v>
      </c>
      <c r="AG48" s="19">
        <v>22.0</v>
      </c>
      <c r="AH48" s="19">
        <v>39.0</v>
      </c>
      <c r="AI48" s="19">
        <v>40.0</v>
      </c>
      <c r="AJ48" s="19">
        <v>43.0</v>
      </c>
      <c r="AK48" s="19">
        <v>26.0</v>
      </c>
      <c r="AL48" s="19">
        <v>24.0</v>
      </c>
      <c r="AM48" s="19">
        <v>27.0</v>
      </c>
      <c r="AN48" s="19">
        <v>25.0</v>
      </c>
      <c r="AO48" s="19">
        <v>31.0</v>
      </c>
      <c r="AP48" s="19">
        <v>40.0</v>
      </c>
      <c r="AQ48" s="19">
        <v>22.0</v>
      </c>
      <c r="AR48" s="19">
        <v>17.0</v>
      </c>
      <c r="AS48" s="13">
        <f t="shared" si="14"/>
        <v>1033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14.0</v>
      </c>
      <c r="F49" s="19">
        <v>17.0</v>
      </c>
      <c r="G49" s="19">
        <v>17.0</v>
      </c>
      <c r="H49" s="19">
        <v>14.0</v>
      </c>
      <c r="I49" s="19">
        <v>12.0</v>
      </c>
      <c r="J49" s="19">
        <v>15.0</v>
      </c>
      <c r="K49" s="19">
        <v>20.0</v>
      </c>
      <c r="L49" s="19">
        <v>12.0</v>
      </c>
      <c r="M49" s="19">
        <v>18.0</v>
      </c>
      <c r="N49" s="19">
        <v>19.0</v>
      </c>
      <c r="O49" s="19">
        <v>26.0</v>
      </c>
      <c r="P49" s="19">
        <v>18.0</v>
      </c>
      <c r="Q49" s="19">
        <v>13.0</v>
      </c>
      <c r="R49" s="19">
        <v>20.0</v>
      </c>
      <c r="S49" s="19">
        <v>23.0</v>
      </c>
      <c r="T49" s="19">
        <v>9.0</v>
      </c>
      <c r="U49" s="19">
        <v>17.0</v>
      </c>
      <c r="V49" s="19">
        <v>15.0</v>
      </c>
      <c r="W49" s="19">
        <v>14.0</v>
      </c>
      <c r="X49" s="19">
        <v>6.0</v>
      </c>
      <c r="Y49" s="19">
        <v>5.0</v>
      </c>
      <c r="Z49" s="19">
        <v>17.0</v>
      </c>
      <c r="AA49" s="19">
        <v>22.0</v>
      </c>
      <c r="AB49" s="19">
        <v>18.0</v>
      </c>
      <c r="AC49" s="19">
        <v>29.0</v>
      </c>
      <c r="AD49" s="19">
        <v>9.0</v>
      </c>
      <c r="AE49" s="19">
        <v>15.0</v>
      </c>
      <c r="AF49" s="19">
        <v>17.0</v>
      </c>
      <c r="AG49" s="19">
        <v>18.0</v>
      </c>
      <c r="AH49" s="19">
        <v>23.0</v>
      </c>
      <c r="AI49" s="19">
        <v>17.0</v>
      </c>
      <c r="AJ49" s="19">
        <v>24.0</v>
      </c>
      <c r="AK49" s="19">
        <v>18.0</v>
      </c>
      <c r="AL49" s="19">
        <v>18.0</v>
      </c>
      <c r="AM49" s="19">
        <v>24.0</v>
      </c>
      <c r="AN49" s="19">
        <v>14.0</v>
      </c>
      <c r="AO49" s="19">
        <v>24.0</v>
      </c>
      <c r="AP49" s="19">
        <v>13.0</v>
      </c>
      <c r="AQ49" s="19">
        <v>16.0</v>
      </c>
      <c r="AR49" s="19">
        <v>16.0</v>
      </c>
      <c r="AS49" s="13">
        <f t="shared" si="14"/>
        <v>676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10.0</v>
      </c>
      <c r="F50" s="19">
        <v>7.0</v>
      </c>
      <c r="G50" s="19">
        <v>13.0</v>
      </c>
      <c r="H50" s="19">
        <v>15.0</v>
      </c>
      <c r="I50" s="19">
        <v>13.0</v>
      </c>
      <c r="J50" s="19">
        <v>11.0</v>
      </c>
      <c r="K50" s="19">
        <v>2.0</v>
      </c>
      <c r="L50" s="19">
        <v>7.0</v>
      </c>
      <c r="M50" s="19">
        <v>10.0</v>
      </c>
      <c r="N50" s="19">
        <v>6.0</v>
      </c>
      <c r="O50" s="19">
        <v>17.0</v>
      </c>
      <c r="P50" s="19">
        <v>8.0</v>
      </c>
      <c r="Q50" s="19">
        <v>13.0</v>
      </c>
      <c r="R50" s="19">
        <v>6.0</v>
      </c>
      <c r="S50" s="19">
        <v>10.0</v>
      </c>
      <c r="T50" s="19">
        <v>8.0</v>
      </c>
      <c r="U50" s="19">
        <v>8.0</v>
      </c>
      <c r="V50" s="19">
        <v>8.0</v>
      </c>
      <c r="W50" s="19">
        <v>8.0</v>
      </c>
      <c r="X50" s="19">
        <v>15.0</v>
      </c>
      <c r="Y50" s="19">
        <v>9.0</v>
      </c>
      <c r="Z50" s="19">
        <v>11.0</v>
      </c>
      <c r="AA50" s="19">
        <v>18.0</v>
      </c>
      <c r="AB50" s="19">
        <v>16.0</v>
      </c>
      <c r="AC50" s="19">
        <v>15.0</v>
      </c>
      <c r="AD50" s="19">
        <v>6.0</v>
      </c>
      <c r="AE50" s="19">
        <v>9.0</v>
      </c>
      <c r="AF50" s="19">
        <v>11.0</v>
      </c>
      <c r="AG50" s="19">
        <v>12.0</v>
      </c>
      <c r="AH50" s="19">
        <v>5.0</v>
      </c>
      <c r="AI50" s="19">
        <v>6.0</v>
      </c>
      <c r="AJ50" s="19">
        <v>13.0</v>
      </c>
      <c r="AK50" s="19">
        <v>8.0</v>
      </c>
      <c r="AL50" s="19">
        <v>7.0</v>
      </c>
      <c r="AM50" s="19">
        <v>8.0</v>
      </c>
      <c r="AN50" s="19">
        <v>13.0</v>
      </c>
      <c r="AO50" s="19">
        <v>8.0</v>
      </c>
      <c r="AP50" s="19">
        <v>10.0</v>
      </c>
      <c r="AQ50" s="19">
        <v>12.0</v>
      </c>
      <c r="AR50" s="19">
        <v>3.0</v>
      </c>
      <c r="AS50" s="13">
        <f t="shared" si="14"/>
        <v>395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2.0</v>
      </c>
      <c r="F51" s="19">
        <v>4.0</v>
      </c>
      <c r="G51" s="19">
        <v>6.0</v>
      </c>
      <c r="H51" s="19">
        <v>2.0</v>
      </c>
      <c r="I51" s="19">
        <v>2.0</v>
      </c>
      <c r="J51" s="19">
        <v>2.0</v>
      </c>
      <c r="K51" s="19">
        <v>5.0</v>
      </c>
      <c r="L51" s="19">
        <v>2.0</v>
      </c>
      <c r="M51" s="19">
        <v>1.0</v>
      </c>
      <c r="N51" s="19">
        <v>7.0</v>
      </c>
      <c r="O51" s="19">
        <v>2.0</v>
      </c>
      <c r="P51" s="19">
        <v>3.0</v>
      </c>
      <c r="Q51" s="19">
        <v>6.0</v>
      </c>
      <c r="R51" s="19">
        <v>3.0</v>
      </c>
      <c r="S51" s="19">
        <v>2.0</v>
      </c>
      <c r="T51" s="19">
        <v>4.0</v>
      </c>
      <c r="U51" s="19">
        <v>5.0</v>
      </c>
      <c r="V51" s="19">
        <v>1.0</v>
      </c>
      <c r="W51" s="19">
        <v>5.0</v>
      </c>
      <c r="X51" s="19">
        <v>1.0</v>
      </c>
      <c r="Y51" s="19">
        <v>6.0</v>
      </c>
      <c r="Z51" s="19">
        <v>1.0</v>
      </c>
      <c r="AA51" s="19">
        <v>3.0</v>
      </c>
      <c r="AB51" s="19">
        <v>1.0</v>
      </c>
      <c r="AC51" s="19">
        <v>3.0</v>
      </c>
      <c r="AD51" s="19">
        <v>0.0</v>
      </c>
      <c r="AE51" s="19">
        <v>3.0</v>
      </c>
      <c r="AF51" s="19">
        <v>5.0</v>
      </c>
      <c r="AG51" s="19">
        <v>0.0</v>
      </c>
      <c r="AH51" s="19">
        <v>3.0</v>
      </c>
      <c r="AI51" s="19">
        <v>2.0</v>
      </c>
      <c r="AJ51" s="19">
        <v>0.0</v>
      </c>
      <c r="AK51" s="19">
        <v>1.0</v>
      </c>
      <c r="AL51" s="19">
        <v>3.0</v>
      </c>
      <c r="AM51" s="19">
        <v>4.0</v>
      </c>
      <c r="AN51" s="19">
        <v>5.0</v>
      </c>
      <c r="AO51" s="19">
        <v>6.0</v>
      </c>
      <c r="AP51" s="19">
        <v>7.0</v>
      </c>
      <c r="AQ51" s="19">
        <v>4.0</v>
      </c>
      <c r="AR51" s="19">
        <v>8.0</v>
      </c>
      <c r="AS51" s="13">
        <f t="shared" si="14"/>
        <v>130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3.0</v>
      </c>
      <c r="F52" s="19">
        <v>0.0</v>
      </c>
      <c r="G52" s="19">
        <v>3.0</v>
      </c>
      <c r="H52" s="19">
        <v>0.0</v>
      </c>
      <c r="I52" s="19">
        <v>3.0</v>
      </c>
      <c r="J52" s="19">
        <v>2.0</v>
      </c>
      <c r="K52" s="19">
        <v>1.0</v>
      </c>
      <c r="L52" s="19">
        <v>1.0</v>
      </c>
      <c r="M52" s="19">
        <v>2.0</v>
      </c>
      <c r="N52" s="19">
        <v>5.0</v>
      </c>
      <c r="O52" s="19">
        <v>3.0</v>
      </c>
      <c r="P52" s="19">
        <v>5.0</v>
      </c>
      <c r="Q52" s="19">
        <v>5.0</v>
      </c>
      <c r="R52" s="19">
        <v>4.0</v>
      </c>
      <c r="S52" s="19">
        <v>4.0</v>
      </c>
      <c r="T52" s="19">
        <v>3.0</v>
      </c>
      <c r="U52" s="19">
        <v>2.0</v>
      </c>
      <c r="V52" s="19">
        <v>0.0</v>
      </c>
      <c r="W52" s="19">
        <v>3.0</v>
      </c>
      <c r="X52" s="19">
        <v>2.0</v>
      </c>
      <c r="Y52" s="19">
        <v>2.0</v>
      </c>
      <c r="Z52" s="19">
        <v>3.0</v>
      </c>
      <c r="AA52" s="19">
        <v>6.0</v>
      </c>
      <c r="AB52" s="19">
        <v>5.0</v>
      </c>
      <c r="AC52" s="19">
        <v>4.0</v>
      </c>
      <c r="AD52" s="19">
        <v>7.0</v>
      </c>
      <c r="AE52" s="19">
        <v>4.0</v>
      </c>
      <c r="AF52" s="19">
        <v>10.0</v>
      </c>
      <c r="AG52" s="19">
        <v>5.0</v>
      </c>
      <c r="AH52" s="19">
        <v>9.0</v>
      </c>
      <c r="AI52" s="19">
        <v>3.0</v>
      </c>
      <c r="AJ52" s="19">
        <v>5.0</v>
      </c>
      <c r="AK52" s="19">
        <v>6.0</v>
      </c>
      <c r="AL52" s="19">
        <v>3.0</v>
      </c>
      <c r="AM52" s="19">
        <v>4.0</v>
      </c>
      <c r="AN52" s="19">
        <v>2.0</v>
      </c>
      <c r="AO52" s="19">
        <v>3.0</v>
      </c>
      <c r="AP52" s="19">
        <v>4.0</v>
      </c>
      <c r="AQ52" s="19">
        <v>3.0</v>
      </c>
      <c r="AR52" s="19">
        <v>5.0</v>
      </c>
      <c r="AS52" s="13">
        <f t="shared" si="14"/>
        <v>144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1.0</v>
      </c>
      <c r="G53" s="19">
        <v>1.0</v>
      </c>
      <c r="H53" s="19">
        <v>0.0</v>
      </c>
      <c r="I53" s="19">
        <v>1.0</v>
      </c>
      <c r="J53" s="19">
        <v>0.0</v>
      </c>
      <c r="K53" s="19">
        <v>0.0</v>
      </c>
      <c r="L53" s="19">
        <v>3.0</v>
      </c>
      <c r="M53" s="19">
        <v>1.0</v>
      </c>
      <c r="N53" s="19">
        <v>2.0</v>
      </c>
      <c r="O53" s="19">
        <v>1.0</v>
      </c>
      <c r="P53" s="19">
        <v>0.0</v>
      </c>
      <c r="Q53" s="19">
        <v>1.0</v>
      </c>
      <c r="R53" s="19">
        <v>1.0</v>
      </c>
      <c r="S53" s="19">
        <v>0.0</v>
      </c>
      <c r="T53" s="19">
        <v>1.0</v>
      </c>
      <c r="U53" s="19">
        <v>3.0</v>
      </c>
      <c r="V53" s="19">
        <v>1.0</v>
      </c>
      <c r="W53" s="19">
        <v>1.0</v>
      </c>
      <c r="X53" s="19">
        <v>0.0</v>
      </c>
      <c r="Y53" s="19">
        <v>1.0</v>
      </c>
      <c r="Z53" s="19">
        <v>1.0</v>
      </c>
      <c r="AA53" s="19">
        <v>1.0</v>
      </c>
      <c r="AB53" s="19">
        <v>1.0</v>
      </c>
      <c r="AC53" s="19">
        <v>0.0</v>
      </c>
      <c r="AD53" s="19">
        <v>2.0</v>
      </c>
      <c r="AE53" s="19">
        <v>1.0</v>
      </c>
      <c r="AF53" s="19">
        <v>3.0</v>
      </c>
      <c r="AG53" s="19">
        <v>0.0</v>
      </c>
      <c r="AH53" s="19">
        <v>0.0</v>
      </c>
      <c r="AI53" s="19">
        <v>0.0</v>
      </c>
      <c r="AJ53" s="19">
        <v>2.0</v>
      </c>
      <c r="AK53" s="19">
        <v>2.0</v>
      </c>
      <c r="AL53" s="19">
        <v>2.0</v>
      </c>
      <c r="AM53" s="19">
        <v>0.0</v>
      </c>
      <c r="AN53" s="19">
        <v>0.0</v>
      </c>
      <c r="AO53" s="19">
        <v>0.0</v>
      </c>
      <c r="AP53" s="19">
        <v>0.0</v>
      </c>
      <c r="AQ53" s="19">
        <v>0.0</v>
      </c>
      <c r="AR53" s="19">
        <v>0.0</v>
      </c>
      <c r="AS53" s="13">
        <f t="shared" si="14"/>
        <v>35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25.0</v>
      </c>
      <c r="F54" s="19">
        <v>15.0</v>
      </c>
      <c r="G54" s="19">
        <v>15.0</v>
      </c>
      <c r="H54" s="19">
        <v>18.0</v>
      </c>
      <c r="I54" s="19">
        <v>18.0</v>
      </c>
      <c r="J54" s="19">
        <v>28.0</v>
      </c>
      <c r="K54" s="19">
        <v>17.0</v>
      </c>
      <c r="L54" s="19">
        <v>24.0</v>
      </c>
      <c r="M54" s="19">
        <v>28.0</v>
      </c>
      <c r="N54" s="19">
        <v>24.0</v>
      </c>
      <c r="O54" s="19">
        <v>27.0</v>
      </c>
      <c r="P54" s="19">
        <v>11.0</v>
      </c>
      <c r="Q54" s="19">
        <v>24.0</v>
      </c>
      <c r="R54" s="19">
        <v>25.0</v>
      </c>
      <c r="S54" s="19">
        <v>22.0</v>
      </c>
      <c r="T54" s="19">
        <v>17.0</v>
      </c>
      <c r="U54" s="19">
        <v>29.0</v>
      </c>
      <c r="V54" s="19">
        <v>30.0</v>
      </c>
      <c r="W54" s="19">
        <v>16.0</v>
      </c>
      <c r="X54" s="19">
        <v>26.0</v>
      </c>
      <c r="Y54" s="19">
        <v>14.0</v>
      </c>
      <c r="Z54" s="19">
        <v>18.0</v>
      </c>
      <c r="AA54" s="19">
        <v>31.0</v>
      </c>
      <c r="AB54" s="19">
        <v>24.0</v>
      </c>
      <c r="AC54" s="19">
        <v>19.0</v>
      </c>
      <c r="AD54" s="19">
        <v>28.0</v>
      </c>
      <c r="AE54" s="19">
        <v>31.0</v>
      </c>
      <c r="AF54" s="19">
        <v>19.0</v>
      </c>
      <c r="AG54" s="19">
        <v>22.0</v>
      </c>
      <c r="AH54" s="19">
        <v>20.0</v>
      </c>
      <c r="AI54" s="19">
        <v>18.0</v>
      </c>
      <c r="AJ54" s="19">
        <v>19.0</v>
      </c>
      <c r="AK54" s="19">
        <v>25.0</v>
      </c>
      <c r="AL54" s="19">
        <v>13.0</v>
      </c>
      <c r="AM54" s="19">
        <v>24.0</v>
      </c>
      <c r="AN54" s="19">
        <v>14.0</v>
      </c>
      <c r="AO54" s="19">
        <v>24.0</v>
      </c>
      <c r="AP54" s="19">
        <v>22.0</v>
      </c>
      <c r="AQ54" s="19">
        <v>26.0</v>
      </c>
      <c r="AR54" s="19">
        <v>13.0</v>
      </c>
      <c r="AS54" s="13">
        <f t="shared" si="14"/>
        <v>863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0.0</v>
      </c>
      <c r="G55" s="19">
        <v>4.0</v>
      </c>
      <c r="H55" s="19">
        <v>0.0</v>
      </c>
      <c r="I55" s="19">
        <v>3.0</v>
      </c>
      <c r="J55" s="19">
        <v>0.0</v>
      </c>
      <c r="K55" s="19">
        <v>1.0</v>
      </c>
      <c r="L55" s="19">
        <v>2.0</v>
      </c>
      <c r="M55" s="19">
        <v>3.0</v>
      </c>
      <c r="N55" s="19">
        <v>2.0</v>
      </c>
      <c r="O55" s="19">
        <v>1.0</v>
      </c>
      <c r="P55" s="19">
        <v>2.0</v>
      </c>
      <c r="Q55" s="19">
        <v>2.0</v>
      </c>
      <c r="R55" s="19">
        <v>1.0</v>
      </c>
      <c r="S55" s="19">
        <v>0.0</v>
      </c>
      <c r="T55" s="19">
        <v>1.0</v>
      </c>
      <c r="U55" s="19">
        <v>1.0</v>
      </c>
      <c r="V55" s="19">
        <v>1.0</v>
      </c>
      <c r="W55" s="19">
        <v>0.0</v>
      </c>
      <c r="X55" s="19">
        <v>1.0</v>
      </c>
      <c r="Y55" s="19">
        <v>2.0</v>
      </c>
      <c r="Z55" s="19">
        <v>3.0</v>
      </c>
      <c r="AA55" s="19">
        <v>2.0</v>
      </c>
      <c r="AB55" s="19">
        <v>4.0</v>
      </c>
      <c r="AC55" s="19">
        <v>1.0</v>
      </c>
      <c r="AD55" s="19">
        <v>1.0</v>
      </c>
      <c r="AE55" s="19">
        <v>1.0</v>
      </c>
      <c r="AF55" s="19">
        <v>4.0</v>
      </c>
      <c r="AG55" s="19">
        <v>0.0</v>
      </c>
      <c r="AH55" s="19">
        <v>2.0</v>
      </c>
      <c r="AI55" s="19">
        <v>0.0</v>
      </c>
      <c r="AJ55" s="19">
        <v>0.0</v>
      </c>
      <c r="AK55" s="19">
        <v>2.0</v>
      </c>
      <c r="AL55" s="19">
        <v>0.0</v>
      </c>
      <c r="AM55" s="19">
        <v>2.0</v>
      </c>
      <c r="AN55" s="19">
        <v>1.0</v>
      </c>
      <c r="AO55" s="19">
        <v>3.0</v>
      </c>
      <c r="AP55" s="19">
        <v>1.0</v>
      </c>
      <c r="AQ55" s="19">
        <v>2.0</v>
      </c>
      <c r="AR55" s="19">
        <v>1.0</v>
      </c>
      <c r="AS55" s="13">
        <f t="shared" si="14"/>
        <v>58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17.0</v>
      </c>
      <c r="F56" s="19">
        <v>19.0</v>
      </c>
      <c r="G56" s="19">
        <v>16.0</v>
      </c>
      <c r="H56" s="19">
        <v>23.0</v>
      </c>
      <c r="I56" s="19">
        <v>17.0</v>
      </c>
      <c r="J56" s="19">
        <v>23.0</v>
      </c>
      <c r="K56" s="19">
        <v>26.0</v>
      </c>
      <c r="L56" s="19">
        <v>22.0</v>
      </c>
      <c r="M56" s="19">
        <v>30.0</v>
      </c>
      <c r="N56" s="19">
        <v>27.0</v>
      </c>
      <c r="O56" s="19">
        <v>20.0</v>
      </c>
      <c r="P56" s="19">
        <v>20.0</v>
      </c>
      <c r="Q56" s="19">
        <v>22.0</v>
      </c>
      <c r="R56" s="19">
        <v>14.0</v>
      </c>
      <c r="S56" s="19">
        <v>25.0</v>
      </c>
      <c r="T56" s="19">
        <v>20.0</v>
      </c>
      <c r="U56" s="19">
        <v>16.0</v>
      </c>
      <c r="V56" s="19">
        <v>20.0</v>
      </c>
      <c r="W56" s="19">
        <v>17.0</v>
      </c>
      <c r="X56" s="19">
        <v>27.0</v>
      </c>
      <c r="Y56" s="19">
        <v>20.0</v>
      </c>
      <c r="Z56" s="19">
        <v>29.0</v>
      </c>
      <c r="AA56" s="19">
        <v>22.0</v>
      </c>
      <c r="AB56" s="19">
        <v>21.0</v>
      </c>
      <c r="AC56" s="19">
        <v>16.0</v>
      </c>
      <c r="AD56" s="19">
        <v>20.0</v>
      </c>
      <c r="AE56" s="19">
        <v>21.0</v>
      </c>
      <c r="AF56" s="19">
        <v>37.0</v>
      </c>
      <c r="AG56" s="19">
        <v>23.0</v>
      </c>
      <c r="AH56" s="19">
        <v>25.0</v>
      </c>
      <c r="AI56" s="19">
        <v>34.0</v>
      </c>
      <c r="AJ56" s="19">
        <v>32.0</v>
      </c>
      <c r="AK56" s="19">
        <v>33.0</v>
      </c>
      <c r="AL56" s="19">
        <v>19.0</v>
      </c>
      <c r="AM56" s="19">
        <v>18.0</v>
      </c>
      <c r="AN56" s="19">
        <v>20.0</v>
      </c>
      <c r="AO56" s="19">
        <v>17.0</v>
      </c>
      <c r="AP56" s="19">
        <v>22.0</v>
      </c>
      <c r="AQ56" s="19">
        <v>15.0</v>
      </c>
      <c r="AR56" s="19">
        <v>15.0</v>
      </c>
      <c r="AS56" s="13">
        <f t="shared" si="14"/>
        <v>880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7.0</v>
      </c>
      <c r="F57" s="19">
        <v>4.0</v>
      </c>
      <c r="G57" s="19">
        <v>0.0</v>
      </c>
      <c r="H57" s="19">
        <v>1.0</v>
      </c>
      <c r="I57" s="19">
        <v>3.0</v>
      </c>
      <c r="J57" s="19">
        <v>5.0</v>
      </c>
      <c r="K57" s="19">
        <v>7.0</v>
      </c>
      <c r="L57" s="19">
        <v>1.0</v>
      </c>
      <c r="M57" s="19">
        <v>3.0</v>
      </c>
      <c r="N57" s="19">
        <v>4.0</v>
      </c>
      <c r="O57" s="19">
        <v>2.0</v>
      </c>
      <c r="P57" s="19">
        <v>3.0</v>
      </c>
      <c r="Q57" s="19">
        <v>1.0</v>
      </c>
      <c r="R57" s="19">
        <v>4.0</v>
      </c>
      <c r="S57" s="19">
        <v>3.0</v>
      </c>
      <c r="T57" s="19">
        <v>5.0</v>
      </c>
      <c r="U57" s="19">
        <v>1.0</v>
      </c>
      <c r="V57" s="19">
        <v>2.0</v>
      </c>
      <c r="W57" s="19">
        <v>2.0</v>
      </c>
      <c r="X57" s="19">
        <v>0.0</v>
      </c>
      <c r="Y57" s="19">
        <v>0.0</v>
      </c>
      <c r="Z57" s="19">
        <v>2.0</v>
      </c>
      <c r="AA57" s="19">
        <v>3.0</v>
      </c>
      <c r="AB57" s="19">
        <v>1.0</v>
      </c>
      <c r="AC57" s="19">
        <v>3.0</v>
      </c>
      <c r="AD57" s="19">
        <v>4.0</v>
      </c>
      <c r="AE57" s="19">
        <v>2.0</v>
      </c>
      <c r="AF57" s="19">
        <v>4.0</v>
      </c>
      <c r="AG57" s="19">
        <v>5.0</v>
      </c>
      <c r="AH57" s="19">
        <v>2.0</v>
      </c>
      <c r="AI57" s="19">
        <v>4.0</v>
      </c>
      <c r="AJ57" s="19">
        <v>2.0</v>
      </c>
      <c r="AK57" s="19">
        <v>6.0</v>
      </c>
      <c r="AL57" s="19">
        <v>2.0</v>
      </c>
      <c r="AM57" s="19">
        <v>1.0</v>
      </c>
      <c r="AN57" s="19">
        <v>2.0</v>
      </c>
      <c r="AO57" s="19">
        <v>3.0</v>
      </c>
      <c r="AP57" s="19">
        <v>3.0</v>
      </c>
      <c r="AQ57" s="19">
        <v>3.0</v>
      </c>
      <c r="AR57" s="19">
        <v>0.0</v>
      </c>
      <c r="AS57" s="13">
        <f t="shared" si="14"/>
        <v>110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13"/>
      <c r="T59" s="13"/>
      <c r="U59" s="13"/>
      <c r="V59" s="13"/>
      <c r="W59" s="13"/>
      <c r="X59" s="13"/>
      <c r="Y59" s="13"/>
      <c r="Z59" s="13"/>
      <c r="AA59" s="60"/>
      <c r="AB59" s="60"/>
      <c r="AC59" s="60"/>
      <c r="AD59" s="60"/>
      <c r="AE59" s="60"/>
      <c r="AF59" s="13"/>
      <c r="AG59" s="13"/>
      <c r="AH59" s="13"/>
      <c r="AI59" s="13"/>
      <c r="AJ59" s="13"/>
      <c r="AK59" s="13"/>
      <c r="AL59" s="13"/>
      <c r="AM59" s="13"/>
      <c r="AN59" s="60"/>
      <c r="AO59" s="60"/>
      <c r="AP59" s="60"/>
      <c r="AQ59" s="60"/>
      <c r="AR59" s="60"/>
      <c r="AS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R60" si="15">SUM(E45:E57)</f>
        <v>174</v>
      </c>
      <c r="F60" s="19">
        <f t="shared" si="15"/>
        <v>186</v>
      </c>
      <c r="G60" s="19">
        <f t="shared" si="15"/>
        <v>163</v>
      </c>
      <c r="H60" s="19">
        <f t="shared" si="15"/>
        <v>159</v>
      </c>
      <c r="I60" s="19">
        <f t="shared" si="15"/>
        <v>140</v>
      </c>
      <c r="J60" s="19">
        <f t="shared" si="15"/>
        <v>178</v>
      </c>
      <c r="K60" s="19">
        <f t="shared" si="15"/>
        <v>160</v>
      </c>
      <c r="L60" s="19">
        <f t="shared" si="15"/>
        <v>156</v>
      </c>
      <c r="M60" s="19">
        <f t="shared" si="15"/>
        <v>182</v>
      </c>
      <c r="N60" s="19">
        <f t="shared" si="15"/>
        <v>155</v>
      </c>
      <c r="O60" s="19">
        <f t="shared" si="15"/>
        <v>186</v>
      </c>
      <c r="P60" s="19">
        <f t="shared" si="15"/>
        <v>151</v>
      </c>
      <c r="Q60" s="19">
        <f t="shared" si="15"/>
        <v>147</v>
      </c>
      <c r="R60" s="19">
        <f t="shared" si="15"/>
        <v>166</v>
      </c>
      <c r="S60" s="19">
        <f t="shared" si="15"/>
        <v>201</v>
      </c>
      <c r="T60" s="19">
        <f t="shared" si="15"/>
        <v>163</v>
      </c>
      <c r="U60" s="19">
        <f t="shared" si="15"/>
        <v>152</v>
      </c>
      <c r="V60" s="19">
        <f t="shared" si="15"/>
        <v>172</v>
      </c>
      <c r="W60" s="19">
        <f t="shared" si="15"/>
        <v>157</v>
      </c>
      <c r="X60" s="19">
        <f t="shared" si="15"/>
        <v>143</v>
      </c>
      <c r="Y60" s="19">
        <f t="shared" si="15"/>
        <v>137</v>
      </c>
      <c r="Z60" s="19">
        <f t="shared" si="15"/>
        <v>196</v>
      </c>
      <c r="AA60" s="19">
        <f t="shared" si="15"/>
        <v>197</v>
      </c>
      <c r="AB60" s="19">
        <f t="shared" si="15"/>
        <v>178</v>
      </c>
      <c r="AC60" s="19">
        <f t="shared" si="15"/>
        <v>168</v>
      </c>
      <c r="AD60" s="19">
        <f t="shared" si="15"/>
        <v>167</v>
      </c>
      <c r="AE60" s="19">
        <f t="shared" si="15"/>
        <v>170</v>
      </c>
      <c r="AF60" s="19">
        <f t="shared" si="15"/>
        <v>186</v>
      </c>
      <c r="AG60" s="19">
        <f t="shared" si="15"/>
        <v>164</v>
      </c>
      <c r="AH60" s="19">
        <f t="shared" si="15"/>
        <v>183</v>
      </c>
      <c r="AI60" s="19">
        <f t="shared" si="15"/>
        <v>192</v>
      </c>
      <c r="AJ60" s="19">
        <f t="shared" si="15"/>
        <v>210</v>
      </c>
      <c r="AK60" s="19">
        <f t="shared" si="15"/>
        <v>208</v>
      </c>
      <c r="AL60" s="19">
        <f t="shared" si="15"/>
        <v>154</v>
      </c>
      <c r="AM60" s="19">
        <f t="shared" si="15"/>
        <v>193</v>
      </c>
      <c r="AN60" s="19">
        <f t="shared" si="15"/>
        <v>156</v>
      </c>
      <c r="AO60" s="19">
        <f t="shared" si="15"/>
        <v>171</v>
      </c>
      <c r="AP60" s="19">
        <f t="shared" si="15"/>
        <v>186</v>
      </c>
      <c r="AQ60" s="19">
        <f t="shared" si="15"/>
        <v>156</v>
      </c>
      <c r="AR60" s="19">
        <f t="shared" si="15"/>
        <v>149</v>
      </c>
      <c r="AS60" s="13">
        <f t="shared" ref="AS60:AS62" si="16">SUM(E60:AR60)</f>
        <v>6812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39.0</v>
      </c>
      <c r="F61" s="19">
        <v>33.0</v>
      </c>
      <c r="G61" s="19">
        <v>37.0</v>
      </c>
      <c r="H61" s="19">
        <v>16.0</v>
      </c>
      <c r="I61" s="19">
        <v>59.0</v>
      </c>
      <c r="J61" s="19">
        <v>15.0</v>
      </c>
      <c r="K61" s="19">
        <v>38.0</v>
      </c>
      <c r="L61" s="19">
        <v>39.0</v>
      </c>
      <c r="M61" s="19">
        <v>29.0</v>
      </c>
      <c r="N61" s="19">
        <v>34.0</v>
      </c>
      <c r="O61" s="19">
        <v>23.0</v>
      </c>
      <c r="P61" s="19">
        <v>29.0</v>
      </c>
      <c r="Q61" s="19">
        <v>35.0</v>
      </c>
      <c r="R61" s="19">
        <v>39.0</v>
      </c>
      <c r="S61" s="19">
        <v>33.0</v>
      </c>
      <c r="T61" s="19">
        <v>45.0</v>
      </c>
      <c r="U61" s="19">
        <v>76.0</v>
      </c>
      <c r="V61" s="19">
        <v>41.0</v>
      </c>
      <c r="W61" s="19">
        <v>26.0</v>
      </c>
      <c r="X61" s="19">
        <v>51.0</v>
      </c>
      <c r="Y61" s="19">
        <v>60.0</v>
      </c>
      <c r="Z61" s="19">
        <v>17.0</v>
      </c>
      <c r="AA61" s="19">
        <v>30.0</v>
      </c>
      <c r="AB61" s="19">
        <v>36.0</v>
      </c>
      <c r="AC61" s="19">
        <v>49.0</v>
      </c>
      <c r="AD61" s="19">
        <v>30.0</v>
      </c>
      <c r="AE61" s="19">
        <v>42.0</v>
      </c>
      <c r="AF61" s="19">
        <v>30.0</v>
      </c>
      <c r="AG61" s="19">
        <v>37.0</v>
      </c>
      <c r="AH61" s="19">
        <v>42.0</v>
      </c>
      <c r="AI61" s="19">
        <v>44.0</v>
      </c>
      <c r="AJ61" s="19">
        <v>33.0</v>
      </c>
      <c r="AK61" s="19">
        <v>31.0</v>
      </c>
      <c r="AL61" s="19">
        <v>55.0</v>
      </c>
      <c r="AM61" s="19">
        <v>38.0</v>
      </c>
      <c r="AN61" s="19">
        <v>65.0</v>
      </c>
      <c r="AO61" s="19">
        <v>50.0</v>
      </c>
      <c r="AP61" s="19">
        <v>65.0</v>
      </c>
      <c r="AQ61" s="19">
        <v>91.0</v>
      </c>
      <c r="AR61" s="19">
        <v>66.0</v>
      </c>
      <c r="AS61" s="13">
        <f t="shared" si="16"/>
        <v>1648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R62" si="17">SUM(E60:E61)</f>
        <v>213</v>
      </c>
      <c r="F62" s="13">
        <f t="shared" si="17"/>
        <v>219</v>
      </c>
      <c r="G62" s="13">
        <f t="shared" si="17"/>
        <v>200</v>
      </c>
      <c r="H62" s="13">
        <f t="shared" si="17"/>
        <v>175</v>
      </c>
      <c r="I62" s="13">
        <f t="shared" si="17"/>
        <v>199</v>
      </c>
      <c r="J62" s="13">
        <f t="shared" si="17"/>
        <v>193</v>
      </c>
      <c r="K62" s="13">
        <f t="shared" si="17"/>
        <v>198</v>
      </c>
      <c r="L62" s="13">
        <f t="shared" si="17"/>
        <v>195</v>
      </c>
      <c r="M62" s="13">
        <f t="shared" si="17"/>
        <v>211</v>
      </c>
      <c r="N62" s="13">
        <f t="shared" si="17"/>
        <v>189</v>
      </c>
      <c r="O62" s="13">
        <f t="shared" si="17"/>
        <v>209</v>
      </c>
      <c r="P62" s="13">
        <f t="shared" si="17"/>
        <v>180</v>
      </c>
      <c r="Q62" s="13">
        <f t="shared" si="17"/>
        <v>182</v>
      </c>
      <c r="R62" s="13">
        <f t="shared" si="17"/>
        <v>205</v>
      </c>
      <c r="S62" s="13">
        <f t="shared" si="17"/>
        <v>234</v>
      </c>
      <c r="T62" s="13">
        <f t="shared" si="17"/>
        <v>208</v>
      </c>
      <c r="U62" s="13">
        <f t="shared" si="17"/>
        <v>228</v>
      </c>
      <c r="V62" s="13">
        <f t="shared" si="17"/>
        <v>213</v>
      </c>
      <c r="W62" s="13">
        <f t="shared" si="17"/>
        <v>183</v>
      </c>
      <c r="X62" s="13">
        <f t="shared" si="17"/>
        <v>194</v>
      </c>
      <c r="Y62" s="13">
        <f t="shared" si="17"/>
        <v>197</v>
      </c>
      <c r="Z62" s="13">
        <f t="shared" si="17"/>
        <v>213</v>
      </c>
      <c r="AA62" s="13">
        <f t="shared" si="17"/>
        <v>227</v>
      </c>
      <c r="AB62" s="13">
        <f t="shared" si="17"/>
        <v>214</v>
      </c>
      <c r="AC62" s="13">
        <f t="shared" si="17"/>
        <v>217</v>
      </c>
      <c r="AD62" s="13">
        <f t="shared" si="17"/>
        <v>197</v>
      </c>
      <c r="AE62" s="13">
        <f t="shared" si="17"/>
        <v>212</v>
      </c>
      <c r="AF62" s="13">
        <f t="shared" si="17"/>
        <v>216</v>
      </c>
      <c r="AG62" s="13">
        <f t="shared" si="17"/>
        <v>201</v>
      </c>
      <c r="AH62" s="13">
        <f t="shared" si="17"/>
        <v>225</v>
      </c>
      <c r="AI62" s="13">
        <f t="shared" si="17"/>
        <v>236</v>
      </c>
      <c r="AJ62" s="13">
        <f t="shared" si="17"/>
        <v>243</v>
      </c>
      <c r="AK62" s="13">
        <f t="shared" si="17"/>
        <v>239</v>
      </c>
      <c r="AL62" s="13">
        <f t="shared" si="17"/>
        <v>209</v>
      </c>
      <c r="AM62" s="13">
        <f t="shared" si="17"/>
        <v>231</v>
      </c>
      <c r="AN62" s="13">
        <f t="shared" si="17"/>
        <v>221</v>
      </c>
      <c r="AO62" s="13">
        <f t="shared" si="17"/>
        <v>221</v>
      </c>
      <c r="AP62" s="13">
        <f t="shared" si="17"/>
        <v>251</v>
      </c>
      <c r="AQ62" s="13">
        <f t="shared" si="17"/>
        <v>247</v>
      </c>
      <c r="AR62" s="13">
        <f t="shared" si="17"/>
        <v>215</v>
      </c>
      <c r="AS62" s="13">
        <f t="shared" si="16"/>
        <v>8460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R12"/>
    <mergeCell ref="AS12:A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R37"/>
    <mergeCell ref="B38:D38"/>
    <mergeCell ref="B39:C41"/>
    <mergeCell ref="A42:D42"/>
    <mergeCell ref="E42:AR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14:AR15 E45:AR57">
    <cfRule type="containsBlanks" dxfId="1" priority="1">
      <formula>LEN(TRIM(E14))=0</formula>
    </cfRule>
  </conditionalFormatting>
  <conditionalFormatting sqref="E19:AR20">
    <cfRule type="containsBlanks" dxfId="1" priority="2">
      <formula>LEN(TRIM(E19))=0</formula>
    </cfRule>
  </conditionalFormatting>
  <conditionalFormatting sqref="E22:AR23 E25:AR26 E33:AR33 E35:AR35 E39:AR40">
    <cfRule type="containsBlanks" dxfId="1" priority="3">
      <formula>LEN(TRIM(E22))=0</formula>
    </cfRule>
  </conditionalFormatting>
  <conditionalFormatting sqref="E30:AR30">
    <cfRule type="expression" dxfId="0" priority="4">
      <formula>E30&lt;&gt;E46</formula>
    </cfRule>
  </conditionalFormatting>
  <conditionalFormatting sqref="E30:AR30">
    <cfRule type="expression" dxfId="0" priority="5">
      <formula>E30&lt;&gt;E34</formula>
    </cfRule>
  </conditionalFormatting>
  <conditionalFormatting sqref="E34:AR34">
    <cfRule type="expression" dxfId="2" priority="6">
      <formula>E30&lt;&gt;E34</formula>
    </cfRule>
  </conditionalFormatting>
  <conditionalFormatting sqref="E34:AR34">
    <cfRule type="expression" dxfId="3" priority="7">
      <formula>E30=E34</formula>
    </cfRule>
  </conditionalFormatting>
  <conditionalFormatting sqref="E34:AR34">
    <cfRule type="expression" dxfId="0" priority="8">
      <formula>E34&lt;&gt;E30</formula>
    </cfRule>
  </conditionalFormatting>
  <conditionalFormatting sqref="E34:AR34">
    <cfRule type="expression" dxfId="0" priority="9">
      <formula>E34&lt;&gt;#REF!</formula>
    </cfRule>
  </conditionalFormatting>
  <conditionalFormatting sqref="E60:AR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110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143.0</v>
      </c>
      <c r="G14" s="19">
        <v>145.0</v>
      </c>
      <c r="H14" s="19">
        <v>130.0</v>
      </c>
      <c r="I14" s="19">
        <v>120.0</v>
      </c>
      <c r="J14" s="19">
        <v>146.0</v>
      </c>
      <c r="K14" s="19">
        <v>134.0</v>
      </c>
      <c r="L14" s="19">
        <v>155.0</v>
      </c>
      <c r="M14" s="19">
        <v>125.0</v>
      </c>
      <c r="N14" s="19">
        <v>127.0</v>
      </c>
      <c r="O14" s="19">
        <v>119.0</v>
      </c>
      <c r="P14" s="19">
        <v>145.0</v>
      </c>
      <c r="Q14" s="19">
        <v>128.0</v>
      </c>
      <c r="R14" s="19">
        <v>139.0</v>
      </c>
      <c r="S14" s="19">
        <v>136.0</v>
      </c>
      <c r="T14" s="13">
        <f t="shared" ref="T14:T16" si="1">SUM(E14:S14)</f>
        <v>2034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138.0</v>
      </c>
      <c r="G15" s="19">
        <v>141.0</v>
      </c>
      <c r="H15" s="19">
        <v>118.0</v>
      </c>
      <c r="I15" s="19">
        <v>145.0</v>
      </c>
      <c r="J15" s="19">
        <v>140.0</v>
      </c>
      <c r="K15" s="19">
        <v>132.0</v>
      </c>
      <c r="L15" s="19">
        <v>130.0</v>
      </c>
      <c r="M15" s="19">
        <v>148.0</v>
      </c>
      <c r="N15" s="19">
        <v>124.0</v>
      </c>
      <c r="O15" s="19">
        <v>124.0</v>
      </c>
      <c r="P15" s="19">
        <v>141.0</v>
      </c>
      <c r="Q15" s="19">
        <v>145.0</v>
      </c>
      <c r="R15" s="19">
        <v>143.0</v>
      </c>
      <c r="S15" s="19">
        <v>137.0</v>
      </c>
      <c r="T15" s="13">
        <f t="shared" si="1"/>
        <v>2044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280</v>
      </c>
      <c r="F16" s="13">
        <f t="shared" si="2"/>
        <v>281</v>
      </c>
      <c r="G16" s="13">
        <f t="shared" si="2"/>
        <v>286</v>
      </c>
      <c r="H16" s="13">
        <f t="shared" si="2"/>
        <v>248</v>
      </c>
      <c r="I16" s="13">
        <f t="shared" si="2"/>
        <v>265</v>
      </c>
      <c r="J16" s="13">
        <f t="shared" si="2"/>
        <v>286</v>
      </c>
      <c r="K16" s="13">
        <f t="shared" si="2"/>
        <v>266</v>
      </c>
      <c r="L16" s="13">
        <f t="shared" si="2"/>
        <v>285</v>
      </c>
      <c r="M16" s="13">
        <f t="shared" si="2"/>
        <v>273</v>
      </c>
      <c r="N16" s="13">
        <f t="shared" si="2"/>
        <v>251</v>
      </c>
      <c r="O16" s="13">
        <f t="shared" si="2"/>
        <v>243</v>
      </c>
      <c r="P16" s="13">
        <f t="shared" si="2"/>
        <v>286</v>
      </c>
      <c r="Q16" s="13">
        <f t="shared" si="2"/>
        <v>273</v>
      </c>
      <c r="R16" s="13">
        <f t="shared" si="2"/>
        <v>282</v>
      </c>
      <c r="S16" s="13">
        <f t="shared" si="2"/>
        <v>273</v>
      </c>
      <c r="T16" s="13">
        <f t="shared" si="1"/>
        <v>4078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58"/>
      <c r="S17" s="58"/>
      <c r="T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58"/>
      <c r="S18" s="58"/>
      <c r="T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103.0</v>
      </c>
      <c r="F19" s="19">
        <v>97.0</v>
      </c>
      <c r="G19" s="19">
        <v>92.0</v>
      </c>
      <c r="H19" s="19">
        <v>90.0</v>
      </c>
      <c r="I19" s="19">
        <v>88.0</v>
      </c>
      <c r="J19" s="19">
        <v>116.0</v>
      </c>
      <c r="K19" s="19">
        <v>109.0</v>
      </c>
      <c r="L19" s="19">
        <v>109.0</v>
      </c>
      <c r="M19" s="19">
        <v>94.0</v>
      </c>
      <c r="N19" s="19">
        <v>90.0</v>
      </c>
      <c r="O19" s="19">
        <v>90.0</v>
      </c>
      <c r="P19" s="19">
        <v>114.0</v>
      </c>
      <c r="Q19" s="19">
        <v>102.0</v>
      </c>
      <c r="R19" s="19">
        <v>105.0</v>
      </c>
      <c r="S19" s="19">
        <v>94.0</v>
      </c>
      <c r="T19" s="13">
        <f t="shared" ref="T19:T30" si="3">SUM(E19:S19)</f>
        <v>1493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111.0</v>
      </c>
      <c r="G20" s="19">
        <v>110.0</v>
      </c>
      <c r="H20" s="19">
        <v>80.0</v>
      </c>
      <c r="I20" s="19">
        <v>117.0</v>
      </c>
      <c r="J20" s="19">
        <v>112.0</v>
      </c>
      <c r="K20" s="19">
        <v>107.0</v>
      </c>
      <c r="L20" s="19">
        <v>106.0</v>
      </c>
      <c r="M20" s="19">
        <v>113.0</v>
      </c>
      <c r="N20" s="19">
        <v>102.0</v>
      </c>
      <c r="O20" s="19">
        <v>94.0</v>
      </c>
      <c r="P20" s="19">
        <v>122.0</v>
      </c>
      <c r="Q20" s="19">
        <v>125.0</v>
      </c>
      <c r="R20" s="19">
        <v>118.0</v>
      </c>
      <c r="S20" s="19">
        <v>107.0</v>
      </c>
      <c r="T20" s="13">
        <f t="shared" si="3"/>
        <v>1642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221</v>
      </c>
      <c r="F21" s="13">
        <f t="shared" si="4"/>
        <v>208</v>
      </c>
      <c r="G21" s="13">
        <f t="shared" si="4"/>
        <v>202</v>
      </c>
      <c r="H21" s="13">
        <f t="shared" si="4"/>
        <v>170</v>
      </c>
      <c r="I21" s="13">
        <f t="shared" si="4"/>
        <v>205</v>
      </c>
      <c r="J21" s="13">
        <f t="shared" si="4"/>
        <v>228</v>
      </c>
      <c r="K21" s="13">
        <f t="shared" si="4"/>
        <v>216</v>
      </c>
      <c r="L21" s="13">
        <f t="shared" si="4"/>
        <v>215</v>
      </c>
      <c r="M21" s="13">
        <f t="shared" si="4"/>
        <v>207</v>
      </c>
      <c r="N21" s="13">
        <f t="shared" si="4"/>
        <v>192</v>
      </c>
      <c r="O21" s="13">
        <f t="shared" si="4"/>
        <v>184</v>
      </c>
      <c r="P21" s="13">
        <f t="shared" si="4"/>
        <v>236</v>
      </c>
      <c r="Q21" s="13">
        <f t="shared" si="4"/>
        <v>227</v>
      </c>
      <c r="R21" s="13">
        <f t="shared" si="4"/>
        <v>223</v>
      </c>
      <c r="S21" s="13">
        <f t="shared" si="4"/>
        <v>201</v>
      </c>
      <c r="T21" s="13">
        <f t="shared" si="3"/>
        <v>3135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1.0</v>
      </c>
      <c r="R23" s="19">
        <v>1.0</v>
      </c>
      <c r="S23" s="19">
        <v>0.0</v>
      </c>
      <c r="T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2</v>
      </c>
      <c r="S24" s="13">
        <f t="shared" si="5"/>
        <v>0</v>
      </c>
      <c r="T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0.0</v>
      </c>
      <c r="G25" s="19">
        <v>1.0</v>
      </c>
      <c r="H25" s="19">
        <v>0.0</v>
      </c>
      <c r="I25" s="19">
        <v>0.0</v>
      </c>
      <c r="J25" s="19">
        <v>0.0</v>
      </c>
      <c r="K25" s="19">
        <v>1.0</v>
      </c>
      <c r="L25" s="19">
        <v>0.0</v>
      </c>
      <c r="M25" s="19">
        <v>2.0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1.0</v>
      </c>
      <c r="T25" s="13">
        <f t="shared" si="3"/>
        <v>7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0.0</v>
      </c>
      <c r="G26" s="19">
        <v>1.0</v>
      </c>
      <c r="H26" s="19">
        <v>1.0</v>
      </c>
      <c r="I26" s="19">
        <v>0.0</v>
      </c>
      <c r="J26" s="19">
        <v>0.0</v>
      </c>
      <c r="K26" s="19">
        <v>1.0</v>
      </c>
      <c r="L26" s="19">
        <v>0.0</v>
      </c>
      <c r="M26" s="19">
        <v>2.0</v>
      </c>
      <c r="N26" s="19">
        <v>0.0</v>
      </c>
      <c r="O26" s="19">
        <v>0.0</v>
      </c>
      <c r="P26" s="19">
        <v>0.0</v>
      </c>
      <c r="Q26" s="19">
        <v>0.0</v>
      </c>
      <c r="R26" s="19">
        <v>1.0</v>
      </c>
      <c r="S26" s="19">
        <v>1.0</v>
      </c>
      <c r="T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5</v>
      </c>
      <c r="F27" s="13">
        <f t="shared" si="6"/>
        <v>0</v>
      </c>
      <c r="G27" s="13">
        <f t="shared" si="6"/>
        <v>2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6"/>
        <v>2</v>
      </c>
      <c r="L27" s="13">
        <f t="shared" si="6"/>
        <v>0</v>
      </c>
      <c r="M27" s="13">
        <f t="shared" si="6"/>
        <v>4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2</v>
      </c>
      <c r="T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105</v>
      </c>
      <c r="F28" s="13">
        <f t="shared" si="7"/>
        <v>97</v>
      </c>
      <c r="G28" s="13">
        <f t="shared" si="7"/>
        <v>93</v>
      </c>
      <c r="H28" s="13">
        <f t="shared" si="7"/>
        <v>90</v>
      </c>
      <c r="I28" s="13">
        <f t="shared" si="7"/>
        <v>88</v>
      </c>
      <c r="J28" s="13">
        <f t="shared" si="7"/>
        <v>116</v>
      </c>
      <c r="K28" s="13">
        <f t="shared" si="7"/>
        <v>110</v>
      </c>
      <c r="L28" s="13">
        <f t="shared" si="7"/>
        <v>109</v>
      </c>
      <c r="M28" s="13">
        <f t="shared" si="7"/>
        <v>96</v>
      </c>
      <c r="N28" s="13">
        <f t="shared" si="7"/>
        <v>90</v>
      </c>
      <c r="O28" s="13">
        <f t="shared" si="7"/>
        <v>90</v>
      </c>
      <c r="P28" s="13">
        <f t="shared" si="7"/>
        <v>114</v>
      </c>
      <c r="Q28" s="13">
        <f t="shared" si="7"/>
        <v>102</v>
      </c>
      <c r="R28" s="13">
        <f t="shared" si="7"/>
        <v>106</v>
      </c>
      <c r="S28" s="13">
        <f t="shared" si="7"/>
        <v>95</v>
      </c>
      <c r="T28" s="13">
        <f t="shared" si="3"/>
        <v>1501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121</v>
      </c>
      <c r="F29" s="13">
        <f t="shared" si="8"/>
        <v>111</v>
      </c>
      <c r="G29" s="13">
        <f t="shared" si="8"/>
        <v>111</v>
      </c>
      <c r="H29" s="13">
        <f t="shared" si="8"/>
        <v>81</v>
      </c>
      <c r="I29" s="13">
        <f t="shared" si="8"/>
        <v>117</v>
      </c>
      <c r="J29" s="13">
        <f t="shared" si="8"/>
        <v>112</v>
      </c>
      <c r="K29" s="13">
        <f t="shared" si="8"/>
        <v>108</v>
      </c>
      <c r="L29" s="13">
        <f t="shared" si="8"/>
        <v>106</v>
      </c>
      <c r="M29" s="13">
        <f t="shared" si="8"/>
        <v>115</v>
      </c>
      <c r="N29" s="13">
        <f t="shared" si="8"/>
        <v>102</v>
      </c>
      <c r="O29" s="13">
        <f t="shared" si="8"/>
        <v>94</v>
      </c>
      <c r="P29" s="13">
        <f t="shared" si="8"/>
        <v>122</v>
      </c>
      <c r="Q29" s="13">
        <f t="shared" si="8"/>
        <v>126</v>
      </c>
      <c r="R29" s="13">
        <f t="shared" si="8"/>
        <v>120</v>
      </c>
      <c r="S29" s="13">
        <f t="shared" si="8"/>
        <v>108</v>
      </c>
      <c r="T29" s="13">
        <f t="shared" si="3"/>
        <v>1654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226</v>
      </c>
      <c r="F30" s="13">
        <f t="shared" si="9"/>
        <v>208</v>
      </c>
      <c r="G30" s="13">
        <f t="shared" si="9"/>
        <v>204</v>
      </c>
      <c r="H30" s="13">
        <f t="shared" si="9"/>
        <v>171</v>
      </c>
      <c r="I30" s="13">
        <f t="shared" si="9"/>
        <v>205</v>
      </c>
      <c r="J30" s="13">
        <f t="shared" si="9"/>
        <v>228</v>
      </c>
      <c r="K30" s="13">
        <f t="shared" si="9"/>
        <v>218</v>
      </c>
      <c r="L30" s="13">
        <f t="shared" si="9"/>
        <v>215</v>
      </c>
      <c r="M30" s="13">
        <f t="shared" si="9"/>
        <v>211</v>
      </c>
      <c r="N30" s="13">
        <f t="shared" si="9"/>
        <v>192</v>
      </c>
      <c r="O30" s="13">
        <f t="shared" si="9"/>
        <v>184</v>
      </c>
      <c r="P30" s="13">
        <f t="shared" si="9"/>
        <v>236</v>
      </c>
      <c r="Q30" s="13">
        <f t="shared" si="9"/>
        <v>228</v>
      </c>
      <c r="R30" s="13">
        <f t="shared" si="9"/>
        <v>226</v>
      </c>
      <c r="S30" s="13">
        <f t="shared" si="9"/>
        <v>203</v>
      </c>
      <c r="T30" s="13">
        <f t="shared" si="3"/>
        <v>3155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58"/>
      <c r="S31" s="58"/>
      <c r="T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60"/>
      <c r="S32" s="60"/>
      <c r="T32" s="59"/>
    </row>
    <row r="33" ht="12.75" customHeight="1">
      <c r="A33" s="19">
        <v>1.0</v>
      </c>
      <c r="B33" s="20" t="s">
        <v>27</v>
      </c>
      <c r="C33" s="15"/>
      <c r="D33" s="16"/>
      <c r="E33" s="19">
        <v>286.0</v>
      </c>
      <c r="F33" s="19">
        <v>287.0</v>
      </c>
      <c r="G33" s="19">
        <v>292.0</v>
      </c>
      <c r="H33" s="19">
        <v>253.0</v>
      </c>
      <c r="I33" s="19">
        <v>271.0</v>
      </c>
      <c r="J33" s="19">
        <v>292.0</v>
      </c>
      <c r="K33" s="19">
        <v>272.0</v>
      </c>
      <c r="L33" s="19">
        <v>291.0</v>
      </c>
      <c r="M33" s="19">
        <v>284.0</v>
      </c>
      <c r="N33" s="19">
        <v>257.0</v>
      </c>
      <c r="O33" s="19">
        <v>248.0</v>
      </c>
      <c r="P33" s="19">
        <v>292.0</v>
      </c>
      <c r="Q33" s="19">
        <v>279.0</v>
      </c>
      <c r="R33" s="19">
        <v>288.0</v>
      </c>
      <c r="S33" s="19">
        <v>279.0</v>
      </c>
      <c r="T33" s="13">
        <f t="shared" ref="T33:T36" si="10">SUM(E33:S33)</f>
        <v>4171</v>
      </c>
    </row>
    <row r="34" ht="12.75" customHeight="1">
      <c r="A34" s="19">
        <v>2.0</v>
      </c>
      <c r="B34" s="20" t="s">
        <v>28</v>
      </c>
      <c r="C34" s="15"/>
      <c r="D34" s="16"/>
      <c r="E34" s="13">
        <v>226.0</v>
      </c>
      <c r="F34" s="13">
        <v>208.0</v>
      </c>
      <c r="G34" s="13">
        <v>204.0</v>
      </c>
      <c r="H34" s="13">
        <v>171.0</v>
      </c>
      <c r="I34" s="13">
        <v>205.0</v>
      </c>
      <c r="J34" s="13">
        <v>228.0</v>
      </c>
      <c r="K34" s="13">
        <v>218.0</v>
      </c>
      <c r="L34" s="13">
        <v>215.0</v>
      </c>
      <c r="M34" s="13">
        <v>211.0</v>
      </c>
      <c r="N34" s="13">
        <v>192.0</v>
      </c>
      <c r="O34" s="13">
        <v>184.0</v>
      </c>
      <c r="P34" s="13">
        <v>236.0</v>
      </c>
      <c r="Q34" s="13">
        <v>227.0</v>
      </c>
      <c r="R34" s="13">
        <v>225.0</v>
      </c>
      <c r="S34" s="13">
        <v>202.0</v>
      </c>
      <c r="T34" s="13">
        <f t="shared" si="10"/>
        <v>3152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59</v>
      </c>
      <c r="F36" s="13">
        <f t="shared" si="11"/>
        <v>79</v>
      </c>
      <c r="G36" s="13">
        <f t="shared" si="11"/>
        <v>88</v>
      </c>
      <c r="H36" s="13">
        <f t="shared" si="11"/>
        <v>82</v>
      </c>
      <c r="I36" s="13">
        <f t="shared" si="11"/>
        <v>66</v>
      </c>
      <c r="J36" s="13">
        <f t="shared" si="11"/>
        <v>64</v>
      </c>
      <c r="K36" s="13">
        <f t="shared" si="11"/>
        <v>54</v>
      </c>
      <c r="L36" s="13">
        <f t="shared" si="11"/>
        <v>76</v>
      </c>
      <c r="M36" s="13">
        <f t="shared" si="11"/>
        <v>73</v>
      </c>
      <c r="N36" s="13">
        <f t="shared" si="11"/>
        <v>65</v>
      </c>
      <c r="O36" s="13">
        <f t="shared" si="11"/>
        <v>64</v>
      </c>
      <c r="P36" s="13">
        <f t="shared" si="11"/>
        <v>56</v>
      </c>
      <c r="Q36" s="13">
        <f t="shared" si="11"/>
        <v>52</v>
      </c>
      <c r="R36" s="13">
        <f t="shared" si="11"/>
        <v>63</v>
      </c>
      <c r="S36" s="13">
        <f t="shared" si="11"/>
        <v>77</v>
      </c>
      <c r="T36" s="13">
        <f t="shared" si="10"/>
        <v>1018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58"/>
      <c r="S37" s="61"/>
      <c r="T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60"/>
      <c r="S38" s="60"/>
      <c r="T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2.0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2.0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4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58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60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58"/>
      <c r="S44" s="19"/>
      <c r="T44" s="13"/>
    </row>
    <row r="45" ht="12.75" customHeight="1">
      <c r="A45" s="30"/>
      <c r="B45" s="47" t="s">
        <v>17</v>
      </c>
      <c r="C45" s="48" t="s">
        <v>37</v>
      </c>
      <c r="D45" s="16"/>
      <c r="E45" s="19">
        <v>21.0</v>
      </c>
      <c r="F45" s="19">
        <v>8.0</v>
      </c>
      <c r="G45" s="19">
        <v>8.0</v>
      </c>
      <c r="H45" s="19">
        <v>5.0</v>
      </c>
      <c r="I45" s="19">
        <v>10.0</v>
      </c>
      <c r="J45" s="19">
        <v>13.0</v>
      </c>
      <c r="K45" s="19">
        <v>6.0</v>
      </c>
      <c r="L45" s="19">
        <v>14.0</v>
      </c>
      <c r="M45" s="19">
        <v>7.0</v>
      </c>
      <c r="N45" s="19">
        <v>17.0</v>
      </c>
      <c r="O45" s="19">
        <v>30.0</v>
      </c>
      <c r="P45" s="19">
        <v>23.0</v>
      </c>
      <c r="Q45" s="19">
        <v>25.0</v>
      </c>
      <c r="R45" s="19">
        <v>33.0</v>
      </c>
      <c r="S45" s="19">
        <v>15.0</v>
      </c>
      <c r="T45" s="13">
        <f t="shared" ref="T45:T57" si="14">SUM(E45:S45)</f>
        <v>235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66.0</v>
      </c>
      <c r="F46" s="19">
        <v>22.0</v>
      </c>
      <c r="G46" s="19">
        <v>42.0</v>
      </c>
      <c r="H46" s="19">
        <v>37.0</v>
      </c>
      <c r="I46" s="19">
        <v>31.0</v>
      </c>
      <c r="J46" s="19">
        <v>29.0</v>
      </c>
      <c r="K46" s="19">
        <v>40.0</v>
      </c>
      <c r="L46" s="19">
        <v>37.0</v>
      </c>
      <c r="M46" s="19">
        <v>40.0</v>
      </c>
      <c r="N46" s="19">
        <v>38.0</v>
      </c>
      <c r="O46" s="19">
        <v>42.0</v>
      </c>
      <c r="P46" s="19">
        <v>48.0</v>
      </c>
      <c r="Q46" s="19">
        <v>31.0</v>
      </c>
      <c r="R46" s="19">
        <v>53.0</v>
      </c>
      <c r="S46" s="19">
        <v>35.0</v>
      </c>
      <c r="T46" s="13">
        <f t="shared" si="14"/>
        <v>591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18.0</v>
      </c>
      <c r="F47" s="19">
        <v>12.0</v>
      </c>
      <c r="G47" s="19">
        <v>8.0</v>
      </c>
      <c r="H47" s="19">
        <v>9.0</v>
      </c>
      <c r="I47" s="19">
        <v>5.0</v>
      </c>
      <c r="J47" s="19">
        <v>6.0</v>
      </c>
      <c r="K47" s="19">
        <v>11.0</v>
      </c>
      <c r="L47" s="19">
        <v>14.0</v>
      </c>
      <c r="M47" s="19">
        <v>13.0</v>
      </c>
      <c r="N47" s="19">
        <v>10.0</v>
      </c>
      <c r="O47" s="19">
        <v>8.0</v>
      </c>
      <c r="P47" s="19">
        <v>14.0</v>
      </c>
      <c r="Q47" s="19">
        <v>9.0</v>
      </c>
      <c r="R47" s="19">
        <v>7.0</v>
      </c>
      <c r="S47" s="19">
        <v>10.0</v>
      </c>
      <c r="T47" s="13">
        <f t="shared" si="14"/>
        <v>154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16.0</v>
      </c>
      <c r="F48" s="19">
        <v>25.0</v>
      </c>
      <c r="G48" s="19">
        <v>30.0</v>
      </c>
      <c r="H48" s="19">
        <v>16.0</v>
      </c>
      <c r="I48" s="19">
        <v>26.0</v>
      </c>
      <c r="J48" s="19">
        <v>29.0</v>
      </c>
      <c r="K48" s="19">
        <v>26.0</v>
      </c>
      <c r="L48" s="19">
        <v>17.0</v>
      </c>
      <c r="M48" s="19">
        <v>22.0</v>
      </c>
      <c r="N48" s="19">
        <v>17.0</v>
      </c>
      <c r="O48" s="19">
        <v>14.0</v>
      </c>
      <c r="P48" s="19">
        <v>17.0</v>
      </c>
      <c r="Q48" s="19">
        <v>22.0</v>
      </c>
      <c r="R48" s="19">
        <v>14.0</v>
      </c>
      <c r="S48" s="19">
        <v>22.0</v>
      </c>
      <c r="T48" s="13">
        <f t="shared" si="14"/>
        <v>313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17.0</v>
      </c>
      <c r="F49" s="19">
        <v>13.0</v>
      </c>
      <c r="G49" s="19">
        <v>13.0</v>
      </c>
      <c r="H49" s="19">
        <v>12.0</v>
      </c>
      <c r="I49" s="19">
        <v>19.0</v>
      </c>
      <c r="J49" s="19">
        <v>22.0</v>
      </c>
      <c r="K49" s="19">
        <v>18.0</v>
      </c>
      <c r="L49" s="19">
        <v>18.0</v>
      </c>
      <c r="M49" s="19">
        <v>11.0</v>
      </c>
      <c r="N49" s="19">
        <v>14.0</v>
      </c>
      <c r="O49" s="19">
        <v>11.0</v>
      </c>
      <c r="P49" s="19">
        <v>13.0</v>
      </c>
      <c r="Q49" s="19">
        <v>13.0</v>
      </c>
      <c r="R49" s="19">
        <v>17.0</v>
      </c>
      <c r="S49" s="19">
        <v>10.0</v>
      </c>
      <c r="T49" s="13">
        <f t="shared" si="14"/>
        <v>221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13.0</v>
      </c>
      <c r="F50" s="19">
        <v>10.0</v>
      </c>
      <c r="G50" s="19">
        <v>14.0</v>
      </c>
      <c r="H50" s="19">
        <v>10.0</v>
      </c>
      <c r="I50" s="19">
        <v>15.0</v>
      </c>
      <c r="J50" s="19">
        <v>9.0</v>
      </c>
      <c r="K50" s="19">
        <v>7.0</v>
      </c>
      <c r="L50" s="19">
        <v>9.0</v>
      </c>
      <c r="M50" s="19">
        <v>5.0</v>
      </c>
      <c r="N50" s="19">
        <v>13.0</v>
      </c>
      <c r="O50" s="19">
        <v>14.0</v>
      </c>
      <c r="P50" s="19">
        <v>14.0</v>
      </c>
      <c r="Q50" s="19">
        <v>16.0</v>
      </c>
      <c r="R50" s="19">
        <v>14.0</v>
      </c>
      <c r="S50" s="19">
        <v>10.0</v>
      </c>
      <c r="T50" s="13">
        <f t="shared" si="14"/>
        <v>173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0.0</v>
      </c>
      <c r="G51" s="19">
        <v>3.0</v>
      </c>
      <c r="H51" s="19">
        <v>3.0</v>
      </c>
      <c r="I51" s="19">
        <v>2.0</v>
      </c>
      <c r="J51" s="19">
        <v>2.0</v>
      </c>
      <c r="K51" s="19">
        <v>6.0</v>
      </c>
      <c r="L51" s="19">
        <v>3.0</v>
      </c>
      <c r="M51" s="19">
        <v>2.0</v>
      </c>
      <c r="N51" s="19">
        <v>3.0</v>
      </c>
      <c r="O51" s="19">
        <v>4.0</v>
      </c>
      <c r="P51" s="19">
        <v>2.0</v>
      </c>
      <c r="Q51" s="19">
        <v>6.0</v>
      </c>
      <c r="R51" s="19">
        <v>2.0</v>
      </c>
      <c r="S51" s="19">
        <v>8.0</v>
      </c>
      <c r="T51" s="13">
        <f t="shared" si="14"/>
        <v>47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4.0</v>
      </c>
      <c r="F52" s="19">
        <v>2.0</v>
      </c>
      <c r="G52" s="19">
        <v>4.0</v>
      </c>
      <c r="H52" s="19">
        <v>2.0</v>
      </c>
      <c r="I52" s="19">
        <v>3.0</v>
      </c>
      <c r="J52" s="19">
        <v>8.0</v>
      </c>
      <c r="K52" s="19">
        <v>8.0</v>
      </c>
      <c r="L52" s="19">
        <v>5.0</v>
      </c>
      <c r="M52" s="19">
        <v>3.0</v>
      </c>
      <c r="N52" s="19">
        <v>1.0</v>
      </c>
      <c r="O52" s="19">
        <v>5.0</v>
      </c>
      <c r="P52" s="19">
        <v>1.0</v>
      </c>
      <c r="Q52" s="19">
        <v>8.0</v>
      </c>
      <c r="R52" s="19">
        <v>2.0</v>
      </c>
      <c r="S52" s="19">
        <v>5.0</v>
      </c>
      <c r="T52" s="13">
        <f t="shared" si="14"/>
        <v>61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0.0</v>
      </c>
      <c r="G53" s="19">
        <v>2.0</v>
      </c>
      <c r="H53" s="19">
        <v>1.0</v>
      </c>
      <c r="I53" s="19">
        <v>2.0</v>
      </c>
      <c r="J53" s="19">
        <v>1.0</v>
      </c>
      <c r="K53" s="19">
        <v>1.0</v>
      </c>
      <c r="L53" s="19">
        <v>0.0</v>
      </c>
      <c r="M53" s="19">
        <v>2.0</v>
      </c>
      <c r="N53" s="19">
        <v>1.0</v>
      </c>
      <c r="O53" s="19">
        <v>1.0</v>
      </c>
      <c r="P53" s="19">
        <v>1.0</v>
      </c>
      <c r="Q53" s="19">
        <v>0.0</v>
      </c>
      <c r="R53" s="19">
        <v>1.0</v>
      </c>
      <c r="S53" s="19">
        <v>0.0</v>
      </c>
      <c r="T53" s="13">
        <f t="shared" si="14"/>
        <v>14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14.0</v>
      </c>
      <c r="F54" s="19">
        <v>13.0</v>
      </c>
      <c r="G54" s="19">
        <v>26.0</v>
      </c>
      <c r="H54" s="19">
        <v>18.0</v>
      </c>
      <c r="I54" s="19">
        <v>27.0</v>
      </c>
      <c r="J54" s="19">
        <v>34.0</v>
      </c>
      <c r="K54" s="19">
        <v>23.0</v>
      </c>
      <c r="L54" s="19">
        <v>25.0</v>
      </c>
      <c r="M54" s="19">
        <v>40.0</v>
      </c>
      <c r="N54" s="19">
        <v>22.0</v>
      </c>
      <c r="O54" s="19">
        <v>12.0</v>
      </c>
      <c r="P54" s="19">
        <v>27.0</v>
      </c>
      <c r="Q54" s="19">
        <v>19.0</v>
      </c>
      <c r="R54" s="19">
        <v>19.0</v>
      </c>
      <c r="S54" s="19">
        <v>22.0</v>
      </c>
      <c r="T54" s="13">
        <f t="shared" si="14"/>
        <v>341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0.0</v>
      </c>
      <c r="G55" s="19">
        <v>0.0</v>
      </c>
      <c r="H55" s="19">
        <v>1.0</v>
      </c>
      <c r="I55" s="19">
        <v>2.0</v>
      </c>
      <c r="J55" s="19">
        <v>3.0</v>
      </c>
      <c r="K55" s="19">
        <v>2.0</v>
      </c>
      <c r="L55" s="19">
        <v>0.0</v>
      </c>
      <c r="M55" s="19">
        <v>5.0</v>
      </c>
      <c r="N55" s="19">
        <v>1.0</v>
      </c>
      <c r="O55" s="19">
        <v>1.0</v>
      </c>
      <c r="P55" s="19">
        <v>0.0</v>
      </c>
      <c r="Q55" s="19">
        <v>0.0</v>
      </c>
      <c r="R55" s="19">
        <v>3.0</v>
      </c>
      <c r="S55" s="19">
        <v>0.0</v>
      </c>
      <c r="T55" s="13">
        <f t="shared" si="14"/>
        <v>18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12.0</v>
      </c>
      <c r="F56" s="19">
        <v>15.0</v>
      </c>
      <c r="G56" s="19">
        <v>16.0</v>
      </c>
      <c r="H56" s="19">
        <v>13.0</v>
      </c>
      <c r="I56" s="19">
        <v>28.0</v>
      </c>
      <c r="J56" s="19">
        <v>20.0</v>
      </c>
      <c r="K56" s="19">
        <v>21.0</v>
      </c>
      <c r="L56" s="19">
        <v>23.0</v>
      </c>
      <c r="M56" s="19">
        <v>27.0</v>
      </c>
      <c r="N56" s="19">
        <v>22.0</v>
      </c>
      <c r="O56" s="19">
        <v>23.0</v>
      </c>
      <c r="P56" s="19">
        <v>40.0</v>
      </c>
      <c r="Q56" s="19">
        <v>48.0</v>
      </c>
      <c r="R56" s="19">
        <v>25.0</v>
      </c>
      <c r="S56" s="19">
        <v>27.0</v>
      </c>
      <c r="T56" s="13">
        <f t="shared" si="14"/>
        <v>360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2.0</v>
      </c>
      <c r="G57" s="19">
        <v>5.0</v>
      </c>
      <c r="H57" s="19">
        <v>2.0</v>
      </c>
      <c r="I57" s="19">
        <v>4.0</v>
      </c>
      <c r="J57" s="19">
        <v>3.0</v>
      </c>
      <c r="K57" s="19">
        <v>4.0</v>
      </c>
      <c r="L57" s="19">
        <v>1.0</v>
      </c>
      <c r="M57" s="19">
        <v>1.0</v>
      </c>
      <c r="N57" s="19">
        <v>4.0</v>
      </c>
      <c r="O57" s="19">
        <v>2.0</v>
      </c>
      <c r="P57" s="19">
        <v>3.0</v>
      </c>
      <c r="Q57" s="19">
        <v>1.0</v>
      </c>
      <c r="R57" s="19">
        <v>5.0</v>
      </c>
      <c r="S57" s="19">
        <v>2.0</v>
      </c>
      <c r="T57" s="13">
        <f t="shared" si="14"/>
        <v>41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60"/>
      <c r="S59" s="60"/>
      <c r="T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S60" si="15">SUM(E45:E57)</f>
        <v>185</v>
      </c>
      <c r="F60" s="19">
        <f t="shared" si="15"/>
        <v>122</v>
      </c>
      <c r="G60" s="19">
        <f t="shared" si="15"/>
        <v>171</v>
      </c>
      <c r="H60" s="19">
        <f t="shared" si="15"/>
        <v>129</v>
      </c>
      <c r="I60" s="19">
        <f t="shared" si="15"/>
        <v>174</v>
      </c>
      <c r="J60" s="19">
        <f t="shared" si="15"/>
        <v>179</v>
      </c>
      <c r="K60" s="19">
        <f t="shared" si="15"/>
        <v>173</v>
      </c>
      <c r="L60" s="19">
        <f t="shared" si="15"/>
        <v>166</v>
      </c>
      <c r="M60" s="19">
        <f t="shared" si="15"/>
        <v>178</v>
      </c>
      <c r="N60" s="19">
        <f t="shared" si="15"/>
        <v>163</v>
      </c>
      <c r="O60" s="19">
        <f t="shared" si="15"/>
        <v>167</v>
      </c>
      <c r="P60" s="19">
        <f t="shared" si="15"/>
        <v>203</v>
      </c>
      <c r="Q60" s="19">
        <f t="shared" si="15"/>
        <v>198</v>
      </c>
      <c r="R60" s="19">
        <f t="shared" si="15"/>
        <v>195</v>
      </c>
      <c r="S60" s="19">
        <f t="shared" si="15"/>
        <v>166</v>
      </c>
      <c r="T60" s="13">
        <f t="shared" ref="T60:T62" si="16">SUM(E60:S60)</f>
        <v>2569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41.0</v>
      </c>
      <c r="F61" s="19">
        <v>86.0</v>
      </c>
      <c r="G61" s="19">
        <v>33.0</v>
      </c>
      <c r="H61" s="19">
        <v>42.0</v>
      </c>
      <c r="I61" s="19">
        <v>31.0</v>
      </c>
      <c r="J61" s="19">
        <v>49.0</v>
      </c>
      <c r="K61" s="19">
        <v>46.0</v>
      </c>
      <c r="L61" s="19">
        <v>47.0</v>
      </c>
      <c r="M61" s="19">
        <v>35.0</v>
      </c>
      <c r="N61" s="19">
        <v>29.0</v>
      </c>
      <c r="O61" s="19">
        <v>17.0</v>
      </c>
      <c r="P61" s="19">
        <v>34.0</v>
      </c>
      <c r="Q61" s="19">
        <v>28.0</v>
      </c>
      <c r="R61" s="19">
        <v>33.0</v>
      </c>
      <c r="S61" s="19">
        <v>33.0</v>
      </c>
      <c r="T61" s="13">
        <f t="shared" si="16"/>
        <v>584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S62" si="17">SUM(E60:E61)</f>
        <v>226</v>
      </c>
      <c r="F62" s="13">
        <f t="shared" si="17"/>
        <v>208</v>
      </c>
      <c r="G62" s="13">
        <f t="shared" si="17"/>
        <v>204</v>
      </c>
      <c r="H62" s="13">
        <f t="shared" si="17"/>
        <v>171</v>
      </c>
      <c r="I62" s="13">
        <f t="shared" si="17"/>
        <v>205</v>
      </c>
      <c r="J62" s="13">
        <f t="shared" si="17"/>
        <v>228</v>
      </c>
      <c r="K62" s="13">
        <f t="shared" si="17"/>
        <v>219</v>
      </c>
      <c r="L62" s="13">
        <f t="shared" si="17"/>
        <v>213</v>
      </c>
      <c r="M62" s="13">
        <f t="shared" si="17"/>
        <v>213</v>
      </c>
      <c r="N62" s="13">
        <f t="shared" si="17"/>
        <v>192</v>
      </c>
      <c r="O62" s="13">
        <f t="shared" si="17"/>
        <v>184</v>
      </c>
      <c r="P62" s="13">
        <f t="shared" si="17"/>
        <v>237</v>
      </c>
      <c r="Q62" s="13">
        <f t="shared" si="17"/>
        <v>226</v>
      </c>
      <c r="R62" s="13">
        <f t="shared" si="17"/>
        <v>228</v>
      </c>
      <c r="S62" s="13">
        <f t="shared" si="17"/>
        <v>199</v>
      </c>
      <c r="T62" s="13">
        <f t="shared" si="16"/>
        <v>3153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S15 E45:S57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E30&lt;&gt;E46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E34&lt;&gt;#REF!</formula>
    </cfRule>
  </conditionalFormatting>
  <conditionalFormatting sqref="E60:S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8" width="8.71"/>
    <col customWidth="1" min="49" max="4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111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13" t="s">
        <v>96</v>
      </c>
      <c r="AG13" s="13" t="s">
        <v>97</v>
      </c>
      <c r="AH13" s="13" t="s">
        <v>98</v>
      </c>
      <c r="AI13" s="13" t="s">
        <v>99</v>
      </c>
      <c r="AJ13" s="13" t="s">
        <v>100</v>
      </c>
      <c r="AK13" s="13" t="s">
        <v>101</v>
      </c>
      <c r="AL13" s="13" t="s">
        <v>102</v>
      </c>
      <c r="AM13" s="13" t="s">
        <v>104</v>
      </c>
      <c r="AN13" s="13" t="s">
        <v>105</v>
      </c>
      <c r="AO13" s="13" t="s">
        <v>106</v>
      </c>
      <c r="AP13" s="13" t="s">
        <v>107</v>
      </c>
      <c r="AQ13" s="13" t="s">
        <v>108</v>
      </c>
      <c r="AR13" s="13" t="s">
        <v>109</v>
      </c>
      <c r="AS13" s="13" t="s">
        <v>112</v>
      </c>
      <c r="AT13" s="13" t="s">
        <v>113</v>
      </c>
      <c r="AU13" s="13" t="s">
        <v>114</v>
      </c>
      <c r="AV13" s="13" t="s">
        <v>115</v>
      </c>
      <c r="AW13" s="36"/>
    </row>
    <row r="14" ht="12.75" customHeight="1">
      <c r="A14" s="18"/>
      <c r="B14" s="22" t="s">
        <v>11</v>
      </c>
      <c r="C14" s="23"/>
      <c r="D14" s="19" t="s">
        <v>12</v>
      </c>
      <c r="E14" s="19">
        <v>122.0</v>
      </c>
      <c r="F14" s="19">
        <v>134.0</v>
      </c>
      <c r="G14" s="19">
        <v>140.0</v>
      </c>
      <c r="H14" s="19">
        <v>123.0</v>
      </c>
      <c r="I14" s="19">
        <v>120.0</v>
      </c>
      <c r="J14" s="19">
        <v>138.0</v>
      </c>
      <c r="K14" s="19">
        <v>136.0</v>
      </c>
      <c r="L14" s="19">
        <v>141.0</v>
      </c>
      <c r="M14" s="19">
        <v>141.0</v>
      </c>
      <c r="N14" s="19">
        <v>117.0</v>
      </c>
      <c r="O14" s="19">
        <v>136.0</v>
      </c>
      <c r="P14" s="19">
        <v>133.0</v>
      </c>
      <c r="Q14" s="19">
        <v>126.0</v>
      </c>
      <c r="R14" s="19">
        <v>138.0</v>
      </c>
      <c r="S14" s="19">
        <v>134.0</v>
      </c>
      <c r="T14" s="19">
        <v>129.0</v>
      </c>
      <c r="U14" s="19">
        <v>148.0</v>
      </c>
      <c r="V14" s="19">
        <v>127.0</v>
      </c>
      <c r="W14" s="19">
        <v>122.0</v>
      </c>
      <c r="X14" s="19">
        <v>135.0</v>
      </c>
      <c r="Y14" s="19">
        <v>108.0</v>
      </c>
      <c r="Z14" s="19">
        <v>124.0</v>
      </c>
      <c r="AA14" s="19">
        <v>109.0</v>
      </c>
      <c r="AB14" s="19">
        <v>133.0</v>
      </c>
      <c r="AC14" s="19">
        <v>129.0</v>
      </c>
      <c r="AD14" s="19">
        <v>135.0</v>
      </c>
      <c r="AE14" s="19">
        <v>141.0</v>
      </c>
      <c r="AF14" s="19">
        <v>127.0</v>
      </c>
      <c r="AG14" s="19">
        <v>123.0</v>
      </c>
      <c r="AH14" s="19">
        <v>146.0</v>
      </c>
      <c r="AI14" s="19">
        <v>111.0</v>
      </c>
      <c r="AJ14" s="19">
        <v>117.0</v>
      </c>
      <c r="AK14" s="19">
        <v>128.0</v>
      </c>
      <c r="AL14" s="19">
        <v>131.0</v>
      </c>
      <c r="AM14" s="19">
        <v>138.0</v>
      </c>
      <c r="AN14" s="19">
        <v>128.0</v>
      </c>
      <c r="AO14" s="19">
        <v>142.0</v>
      </c>
      <c r="AP14" s="19">
        <v>140.0</v>
      </c>
      <c r="AQ14" s="19">
        <v>141.0</v>
      </c>
      <c r="AR14" s="19">
        <v>130.0</v>
      </c>
      <c r="AS14" s="19">
        <v>127.0</v>
      </c>
      <c r="AT14" s="19">
        <v>131.0</v>
      </c>
      <c r="AU14" s="19">
        <v>147.0</v>
      </c>
      <c r="AV14" s="19">
        <v>147.0</v>
      </c>
      <c r="AW14" s="13">
        <f t="shared" ref="AW14:AW16" si="1">SUM(E14:AV14)</f>
        <v>5773</v>
      </c>
    </row>
    <row r="15" ht="12.75" customHeight="1">
      <c r="A15" s="18"/>
      <c r="B15" s="26"/>
      <c r="C15" s="27"/>
      <c r="D15" s="19" t="s">
        <v>13</v>
      </c>
      <c r="E15" s="19">
        <v>129.0</v>
      </c>
      <c r="F15" s="19">
        <v>138.0</v>
      </c>
      <c r="G15" s="19">
        <v>133.0</v>
      </c>
      <c r="H15" s="19">
        <v>132.0</v>
      </c>
      <c r="I15" s="19">
        <v>152.0</v>
      </c>
      <c r="J15" s="19">
        <v>135.0</v>
      </c>
      <c r="K15" s="19">
        <v>129.0</v>
      </c>
      <c r="L15" s="19">
        <v>137.0</v>
      </c>
      <c r="M15" s="19">
        <v>138.0</v>
      </c>
      <c r="N15" s="19">
        <v>144.0</v>
      </c>
      <c r="O15" s="19">
        <v>134.0</v>
      </c>
      <c r="P15" s="19">
        <v>132.0</v>
      </c>
      <c r="Q15" s="19">
        <v>139.0</v>
      </c>
      <c r="R15" s="19">
        <v>149.0</v>
      </c>
      <c r="S15" s="19">
        <v>131.0</v>
      </c>
      <c r="T15" s="19">
        <v>134.0</v>
      </c>
      <c r="U15" s="19">
        <v>139.0</v>
      </c>
      <c r="V15" s="19">
        <v>141.0</v>
      </c>
      <c r="W15" s="19">
        <v>133.0</v>
      </c>
      <c r="X15" s="19">
        <v>141.0</v>
      </c>
      <c r="Y15" s="19">
        <v>129.0</v>
      </c>
      <c r="Z15" s="19">
        <v>133.0</v>
      </c>
      <c r="AA15" s="19">
        <v>131.0</v>
      </c>
      <c r="AB15" s="19">
        <v>139.0</v>
      </c>
      <c r="AC15" s="19">
        <v>138.0</v>
      </c>
      <c r="AD15" s="19">
        <v>140.0</v>
      </c>
      <c r="AE15" s="19">
        <v>123.0</v>
      </c>
      <c r="AF15" s="19">
        <v>145.0</v>
      </c>
      <c r="AG15" s="19">
        <v>133.0</v>
      </c>
      <c r="AH15" s="19">
        <v>140.0</v>
      </c>
      <c r="AI15" s="19">
        <v>102.0</v>
      </c>
      <c r="AJ15" s="19">
        <v>131.0</v>
      </c>
      <c r="AK15" s="19">
        <v>141.0</v>
      </c>
      <c r="AL15" s="19">
        <v>148.0</v>
      </c>
      <c r="AM15" s="19">
        <v>136.0</v>
      </c>
      <c r="AN15" s="19">
        <v>137.0</v>
      </c>
      <c r="AO15" s="19">
        <v>145.0</v>
      </c>
      <c r="AP15" s="19">
        <v>147.0</v>
      </c>
      <c r="AQ15" s="19">
        <v>138.0</v>
      </c>
      <c r="AR15" s="19">
        <v>143.0</v>
      </c>
      <c r="AS15" s="19">
        <v>133.0</v>
      </c>
      <c r="AT15" s="19">
        <v>133.0</v>
      </c>
      <c r="AU15" s="19">
        <v>139.0</v>
      </c>
      <c r="AV15" s="19">
        <v>127.0</v>
      </c>
      <c r="AW15" s="13">
        <f t="shared" si="1"/>
        <v>5991</v>
      </c>
    </row>
    <row r="16" ht="12.75" customHeight="1">
      <c r="A16" s="25"/>
      <c r="B16" s="21"/>
      <c r="C16" s="28"/>
      <c r="D16" s="13" t="s">
        <v>14</v>
      </c>
      <c r="E16" s="13">
        <f t="shared" ref="E16:AV16" si="2">SUM(E14:E15)</f>
        <v>251</v>
      </c>
      <c r="F16" s="13">
        <f t="shared" si="2"/>
        <v>272</v>
      </c>
      <c r="G16" s="13">
        <f t="shared" si="2"/>
        <v>273</v>
      </c>
      <c r="H16" s="13">
        <f t="shared" si="2"/>
        <v>255</v>
      </c>
      <c r="I16" s="13">
        <f t="shared" si="2"/>
        <v>272</v>
      </c>
      <c r="J16" s="13">
        <f t="shared" si="2"/>
        <v>273</v>
      </c>
      <c r="K16" s="13">
        <f t="shared" si="2"/>
        <v>265</v>
      </c>
      <c r="L16" s="13">
        <f t="shared" si="2"/>
        <v>278</v>
      </c>
      <c r="M16" s="13">
        <f t="shared" si="2"/>
        <v>279</v>
      </c>
      <c r="N16" s="13">
        <f t="shared" si="2"/>
        <v>261</v>
      </c>
      <c r="O16" s="13">
        <f t="shared" si="2"/>
        <v>270</v>
      </c>
      <c r="P16" s="13">
        <f t="shared" si="2"/>
        <v>265</v>
      </c>
      <c r="Q16" s="13">
        <f t="shared" si="2"/>
        <v>265</v>
      </c>
      <c r="R16" s="13">
        <f t="shared" si="2"/>
        <v>287</v>
      </c>
      <c r="S16" s="13">
        <f t="shared" si="2"/>
        <v>265</v>
      </c>
      <c r="T16" s="13">
        <f t="shared" si="2"/>
        <v>263</v>
      </c>
      <c r="U16" s="13">
        <f t="shared" si="2"/>
        <v>287</v>
      </c>
      <c r="V16" s="13">
        <f t="shared" si="2"/>
        <v>268</v>
      </c>
      <c r="W16" s="13">
        <f t="shared" si="2"/>
        <v>255</v>
      </c>
      <c r="X16" s="13">
        <f t="shared" si="2"/>
        <v>276</v>
      </c>
      <c r="Y16" s="13">
        <f t="shared" si="2"/>
        <v>237</v>
      </c>
      <c r="Z16" s="13">
        <f t="shared" si="2"/>
        <v>257</v>
      </c>
      <c r="AA16" s="13">
        <f t="shared" si="2"/>
        <v>240</v>
      </c>
      <c r="AB16" s="13">
        <f t="shared" si="2"/>
        <v>272</v>
      </c>
      <c r="AC16" s="13">
        <f t="shared" si="2"/>
        <v>267</v>
      </c>
      <c r="AD16" s="13">
        <f t="shared" si="2"/>
        <v>275</v>
      </c>
      <c r="AE16" s="13">
        <f t="shared" si="2"/>
        <v>264</v>
      </c>
      <c r="AF16" s="13">
        <f t="shared" si="2"/>
        <v>272</v>
      </c>
      <c r="AG16" s="13">
        <f t="shared" si="2"/>
        <v>256</v>
      </c>
      <c r="AH16" s="13">
        <f t="shared" si="2"/>
        <v>286</v>
      </c>
      <c r="AI16" s="13">
        <f t="shared" si="2"/>
        <v>213</v>
      </c>
      <c r="AJ16" s="13">
        <f t="shared" si="2"/>
        <v>248</v>
      </c>
      <c r="AK16" s="13">
        <f t="shared" si="2"/>
        <v>269</v>
      </c>
      <c r="AL16" s="13">
        <f t="shared" si="2"/>
        <v>279</v>
      </c>
      <c r="AM16" s="13">
        <f t="shared" si="2"/>
        <v>274</v>
      </c>
      <c r="AN16" s="13">
        <f t="shared" si="2"/>
        <v>265</v>
      </c>
      <c r="AO16" s="13">
        <f t="shared" si="2"/>
        <v>287</v>
      </c>
      <c r="AP16" s="13">
        <f t="shared" si="2"/>
        <v>287</v>
      </c>
      <c r="AQ16" s="13">
        <f t="shared" si="2"/>
        <v>279</v>
      </c>
      <c r="AR16" s="13">
        <f t="shared" si="2"/>
        <v>273</v>
      </c>
      <c r="AS16" s="13">
        <f t="shared" si="2"/>
        <v>260</v>
      </c>
      <c r="AT16" s="13">
        <f t="shared" si="2"/>
        <v>264</v>
      </c>
      <c r="AU16" s="13">
        <f t="shared" si="2"/>
        <v>286</v>
      </c>
      <c r="AV16" s="13">
        <f t="shared" si="2"/>
        <v>274</v>
      </c>
      <c r="AW16" s="13">
        <f t="shared" si="1"/>
        <v>11764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87.0</v>
      </c>
      <c r="F19" s="19">
        <v>95.0</v>
      </c>
      <c r="G19" s="19">
        <v>99.0</v>
      </c>
      <c r="H19" s="19">
        <v>89.0</v>
      </c>
      <c r="I19" s="19">
        <v>83.0</v>
      </c>
      <c r="J19" s="19">
        <v>106.0</v>
      </c>
      <c r="K19" s="19">
        <v>95.0</v>
      </c>
      <c r="L19" s="19">
        <v>96.0</v>
      </c>
      <c r="M19" s="19">
        <v>92.0</v>
      </c>
      <c r="N19" s="19">
        <v>87.0</v>
      </c>
      <c r="O19" s="19">
        <v>92.0</v>
      </c>
      <c r="P19" s="19">
        <v>104.0</v>
      </c>
      <c r="Q19" s="19">
        <v>93.0</v>
      </c>
      <c r="R19" s="19">
        <v>102.0</v>
      </c>
      <c r="S19" s="19">
        <v>96.0</v>
      </c>
      <c r="T19" s="19">
        <v>85.0</v>
      </c>
      <c r="U19" s="19">
        <v>110.0</v>
      </c>
      <c r="V19" s="19">
        <v>104.0</v>
      </c>
      <c r="W19" s="19">
        <v>97.0</v>
      </c>
      <c r="X19" s="19">
        <v>95.0</v>
      </c>
      <c r="Y19" s="19">
        <v>80.0</v>
      </c>
      <c r="Z19" s="19">
        <v>97.0</v>
      </c>
      <c r="AA19" s="19">
        <v>71.0</v>
      </c>
      <c r="AB19" s="19">
        <v>93.0</v>
      </c>
      <c r="AC19" s="19">
        <v>104.0</v>
      </c>
      <c r="AD19" s="19">
        <v>83.0</v>
      </c>
      <c r="AE19" s="19">
        <v>89.0</v>
      </c>
      <c r="AF19" s="19">
        <v>90.0</v>
      </c>
      <c r="AG19" s="19">
        <v>89.0</v>
      </c>
      <c r="AH19" s="19">
        <v>98.0</v>
      </c>
      <c r="AI19" s="19">
        <v>83.0</v>
      </c>
      <c r="AJ19" s="19">
        <v>87.0</v>
      </c>
      <c r="AK19" s="19">
        <v>88.0</v>
      </c>
      <c r="AL19" s="19">
        <v>96.0</v>
      </c>
      <c r="AM19" s="19">
        <v>91.0</v>
      </c>
      <c r="AN19" s="19">
        <v>99.0</v>
      </c>
      <c r="AO19" s="19">
        <v>111.0</v>
      </c>
      <c r="AP19" s="19">
        <v>108.0</v>
      </c>
      <c r="AQ19" s="19">
        <v>114.0</v>
      </c>
      <c r="AR19" s="19">
        <v>93.0</v>
      </c>
      <c r="AS19" s="19">
        <v>93.0</v>
      </c>
      <c r="AT19" s="19">
        <v>110.0</v>
      </c>
      <c r="AU19" s="19">
        <v>96.0</v>
      </c>
      <c r="AV19" s="19">
        <v>105.0</v>
      </c>
      <c r="AW19" s="13">
        <f t="shared" ref="AW19:AW30" si="3">SUM(E19:AV19)</f>
        <v>4175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117.0</v>
      </c>
      <c r="G20" s="19">
        <v>113.0</v>
      </c>
      <c r="H20" s="19">
        <v>112.0</v>
      </c>
      <c r="I20" s="19">
        <v>110.0</v>
      </c>
      <c r="J20" s="19">
        <v>110.0</v>
      </c>
      <c r="K20" s="19">
        <v>99.0</v>
      </c>
      <c r="L20" s="19">
        <v>116.0</v>
      </c>
      <c r="M20" s="19">
        <v>104.0</v>
      </c>
      <c r="N20" s="19">
        <v>105.0</v>
      </c>
      <c r="O20" s="19">
        <v>101.0</v>
      </c>
      <c r="P20" s="19">
        <v>107.0</v>
      </c>
      <c r="Q20" s="19">
        <v>108.0</v>
      </c>
      <c r="R20" s="19">
        <v>133.0</v>
      </c>
      <c r="S20" s="19">
        <v>102.0</v>
      </c>
      <c r="T20" s="19">
        <v>102.0</v>
      </c>
      <c r="U20" s="19">
        <v>118.0</v>
      </c>
      <c r="V20" s="19">
        <v>121.0</v>
      </c>
      <c r="W20" s="19">
        <v>113.0</v>
      </c>
      <c r="X20" s="19">
        <v>112.0</v>
      </c>
      <c r="Y20" s="19">
        <v>100.0</v>
      </c>
      <c r="Z20" s="19">
        <v>103.0</v>
      </c>
      <c r="AA20" s="19">
        <v>105.0</v>
      </c>
      <c r="AB20" s="19">
        <v>107.0</v>
      </c>
      <c r="AC20" s="19">
        <v>113.0</v>
      </c>
      <c r="AD20" s="19">
        <v>106.0</v>
      </c>
      <c r="AE20" s="19">
        <v>116.0</v>
      </c>
      <c r="AF20" s="19">
        <v>116.0</v>
      </c>
      <c r="AG20" s="19">
        <v>104.0</v>
      </c>
      <c r="AH20" s="19">
        <v>112.0</v>
      </c>
      <c r="AI20" s="19">
        <v>81.0</v>
      </c>
      <c r="AJ20" s="19">
        <v>98.0</v>
      </c>
      <c r="AK20" s="19">
        <v>103.0</v>
      </c>
      <c r="AL20" s="19">
        <v>116.0</v>
      </c>
      <c r="AM20" s="19">
        <v>111.0</v>
      </c>
      <c r="AN20" s="19">
        <v>106.0</v>
      </c>
      <c r="AO20" s="19">
        <v>118.0</v>
      </c>
      <c r="AP20" s="19">
        <v>110.0</v>
      </c>
      <c r="AQ20" s="19">
        <v>111.0</v>
      </c>
      <c r="AR20" s="19">
        <v>107.0</v>
      </c>
      <c r="AS20" s="19">
        <v>115.0</v>
      </c>
      <c r="AT20" s="19">
        <v>107.0</v>
      </c>
      <c r="AU20" s="19">
        <v>101.0</v>
      </c>
      <c r="AV20" s="19">
        <v>108.0</v>
      </c>
      <c r="AW20" s="13">
        <f t="shared" si="3"/>
        <v>4782</v>
      </c>
    </row>
    <row r="21" ht="12.75" customHeight="1">
      <c r="A21" s="35"/>
      <c r="B21" s="28"/>
      <c r="C21" s="36"/>
      <c r="D21" s="13" t="s">
        <v>14</v>
      </c>
      <c r="E21" s="13">
        <f t="shared" ref="E21:AV21" si="4">SUM(E19:E20)</f>
        <v>192</v>
      </c>
      <c r="F21" s="13">
        <f t="shared" si="4"/>
        <v>212</v>
      </c>
      <c r="G21" s="13">
        <f t="shared" si="4"/>
        <v>212</v>
      </c>
      <c r="H21" s="13">
        <f t="shared" si="4"/>
        <v>201</v>
      </c>
      <c r="I21" s="13">
        <f t="shared" si="4"/>
        <v>193</v>
      </c>
      <c r="J21" s="13">
        <f t="shared" si="4"/>
        <v>216</v>
      </c>
      <c r="K21" s="13">
        <f t="shared" si="4"/>
        <v>194</v>
      </c>
      <c r="L21" s="13">
        <f t="shared" si="4"/>
        <v>212</v>
      </c>
      <c r="M21" s="13">
        <f t="shared" si="4"/>
        <v>196</v>
      </c>
      <c r="N21" s="13">
        <f t="shared" si="4"/>
        <v>192</v>
      </c>
      <c r="O21" s="13">
        <f t="shared" si="4"/>
        <v>193</v>
      </c>
      <c r="P21" s="13">
        <f t="shared" si="4"/>
        <v>211</v>
      </c>
      <c r="Q21" s="13">
        <f t="shared" si="4"/>
        <v>201</v>
      </c>
      <c r="R21" s="13">
        <f t="shared" si="4"/>
        <v>235</v>
      </c>
      <c r="S21" s="13">
        <f t="shared" si="4"/>
        <v>198</v>
      </c>
      <c r="T21" s="13">
        <f t="shared" si="4"/>
        <v>187</v>
      </c>
      <c r="U21" s="13">
        <f t="shared" si="4"/>
        <v>228</v>
      </c>
      <c r="V21" s="13">
        <f t="shared" si="4"/>
        <v>225</v>
      </c>
      <c r="W21" s="13">
        <f t="shared" si="4"/>
        <v>210</v>
      </c>
      <c r="X21" s="13">
        <f t="shared" si="4"/>
        <v>207</v>
      </c>
      <c r="Y21" s="13">
        <f t="shared" si="4"/>
        <v>180</v>
      </c>
      <c r="Z21" s="13">
        <f t="shared" si="4"/>
        <v>200</v>
      </c>
      <c r="AA21" s="13">
        <f t="shared" si="4"/>
        <v>176</v>
      </c>
      <c r="AB21" s="13">
        <f t="shared" si="4"/>
        <v>200</v>
      </c>
      <c r="AC21" s="13">
        <f t="shared" si="4"/>
        <v>217</v>
      </c>
      <c r="AD21" s="13">
        <f t="shared" si="4"/>
        <v>189</v>
      </c>
      <c r="AE21" s="13">
        <f t="shared" si="4"/>
        <v>205</v>
      </c>
      <c r="AF21" s="13">
        <f t="shared" si="4"/>
        <v>206</v>
      </c>
      <c r="AG21" s="13">
        <f t="shared" si="4"/>
        <v>193</v>
      </c>
      <c r="AH21" s="13">
        <f t="shared" si="4"/>
        <v>210</v>
      </c>
      <c r="AI21" s="13">
        <f t="shared" si="4"/>
        <v>164</v>
      </c>
      <c r="AJ21" s="13">
        <f t="shared" si="4"/>
        <v>185</v>
      </c>
      <c r="AK21" s="13">
        <f t="shared" si="4"/>
        <v>191</v>
      </c>
      <c r="AL21" s="13">
        <f t="shared" si="4"/>
        <v>212</v>
      </c>
      <c r="AM21" s="13">
        <f t="shared" si="4"/>
        <v>202</v>
      </c>
      <c r="AN21" s="13">
        <f t="shared" si="4"/>
        <v>205</v>
      </c>
      <c r="AO21" s="13">
        <f t="shared" si="4"/>
        <v>229</v>
      </c>
      <c r="AP21" s="13">
        <f t="shared" si="4"/>
        <v>218</v>
      </c>
      <c r="AQ21" s="13">
        <f t="shared" si="4"/>
        <v>225</v>
      </c>
      <c r="AR21" s="13">
        <f t="shared" si="4"/>
        <v>200</v>
      </c>
      <c r="AS21" s="13">
        <f t="shared" si="4"/>
        <v>208</v>
      </c>
      <c r="AT21" s="13">
        <f t="shared" si="4"/>
        <v>217</v>
      </c>
      <c r="AU21" s="13">
        <f t="shared" si="4"/>
        <v>197</v>
      </c>
      <c r="AV21" s="13">
        <f t="shared" si="4"/>
        <v>213</v>
      </c>
      <c r="AW21" s="13">
        <f t="shared" si="3"/>
        <v>8957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1.0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2.0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V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2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0.0</v>
      </c>
      <c r="H25" s="19">
        <v>3.0</v>
      </c>
      <c r="I25" s="19">
        <v>3.0</v>
      </c>
      <c r="J25" s="19">
        <v>1.0</v>
      </c>
      <c r="K25" s="19">
        <v>1.0</v>
      </c>
      <c r="L25" s="19">
        <v>1.0</v>
      </c>
      <c r="M25" s="19">
        <v>1.0</v>
      </c>
      <c r="N25" s="19">
        <v>2.0</v>
      </c>
      <c r="O25" s="19">
        <v>3.0</v>
      </c>
      <c r="P25" s="19">
        <v>0.0</v>
      </c>
      <c r="Q25" s="19">
        <v>1.0</v>
      </c>
      <c r="R25" s="19">
        <v>1.0</v>
      </c>
      <c r="S25" s="19">
        <v>5.0</v>
      </c>
      <c r="T25" s="19">
        <v>2.0</v>
      </c>
      <c r="U25" s="19">
        <v>2.0</v>
      </c>
      <c r="V25" s="19">
        <v>0.0</v>
      </c>
      <c r="W25" s="19">
        <v>4.0</v>
      </c>
      <c r="X25" s="19">
        <v>4.0</v>
      </c>
      <c r="Y25" s="19">
        <v>3.0</v>
      </c>
      <c r="Z25" s="19">
        <v>5.0</v>
      </c>
      <c r="AA25" s="19">
        <v>4.0</v>
      </c>
      <c r="AB25" s="19">
        <v>0.0</v>
      </c>
      <c r="AC25" s="19">
        <v>1.0</v>
      </c>
      <c r="AD25" s="19">
        <v>3.0</v>
      </c>
      <c r="AE25" s="19">
        <v>4.0</v>
      </c>
      <c r="AF25" s="19">
        <v>2.0</v>
      </c>
      <c r="AG25" s="19">
        <v>7.0</v>
      </c>
      <c r="AH25" s="19">
        <v>5.0</v>
      </c>
      <c r="AI25" s="19">
        <v>1.0</v>
      </c>
      <c r="AJ25" s="19">
        <v>3.0</v>
      </c>
      <c r="AK25" s="19">
        <v>0.0</v>
      </c>
      <c r="AL25" s="19">
        <v>3.0</v>
      </c>
      <c r="AM25" s="19">
        <v>6.0</v>
      </c>
      <c r="AN25" s="19">
        <v>3.0</v>
      </c>
      <c r="AO25" s="19">
        <v>3.0</v>
      </c>
      <c r="AP25" s="19">
        <v>1.0</v>
      </c>
      <c r="AQ25" s="19">
        <v>1.0</v>
      </c>
      <c r="AR25" s="19">
        <v>1.0</v>
      </c>
      <c r="AS25" s="19">
        <v>0.0</v>
      </c>
      <c r="AT25" s="19">
        <v>2.0</v>
      </c>
      <c r="AU25" s="19">
        <v>1.0</v>
      </c>
      <c r="AV25" s="19">
        <v>8.0</v>
      </c>
      <c r="AW25" s="13">
        <f t="shared" si="3"/>
        <v>103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1.0</v>
      </c>
      <c r="H26" s="19">
        <v>4.0</v>
      </c>
      <c r="I26" s="19">
        <v>2.0</v>
      </c>
      <c r="J26" s="19">
        <v>0.0</v>
      </c>
      <c r="K26" s="19">
        <v>1.0</v>
      </c>
      <c r="L26" s="19">
        <v>1.0</v>
      </c>
      <c r="M26" s="19">
        <v>0.0</v>
      </c>
      <c r="N26" s="19">
        <v>5.0</v>
      </c>
      <c r="O26" s="19">
        <v>4.0</v>
      </c>
      <c r="P26" s="19">
        <v>0.0</v>
      </c>
      <c r="Q26" s="19">
        <v>4.0</v>
      </c>
      <c r="R26" s="19">
        <v>4.0</v>
      </c>
      <c r="S26" s="19">
        <v>3.0</v>
      </c>
      <c r="T26" s="19">
        <v>1.0</v>
      </c>
      <c r="U26" s="19">
        <v>2.0</v>
      </c>
      <c r="V26" s="19">
        <v>3.0</v>
      </c>
      <c r="W26" s="19">
        <v>2.0</v>
      </c>
      <c r="X26" s="19">
        <v>3.0</v>
      </c>
      <c r="Y26" s="19">
        <v>0.0</v>
      </c>
      <c r="Z26" s="19">
        <v>3.0</v>
      </c>
      <c r="AA26" s="19">
        <v>6.0</v>
      </c>
      <c r="AB26" s="19">
        <v>2.0</v>
      </c>
      <c r="AC26" s="19">
        <v>3.0</v>
      </c>
      <c r="AD26" s="19">
        <v>2.0</v>
      </c>
      <c r="AE26" s="19">
        <v>10.0</v>
      </c>
      <c r="AF26" s="19">
        <v>3.0</v>
      </c>
      <c r="AG26" s="19">
        <v>5.0</v>
      </c>
      <c r="AH26" s="19">
        <v>5.0</v>
      </c>
      <c r="AI26" s="19">
        <v>1.0</v>
      </c>
      <c r="AJ26" s="19">
        <v>4.0</v>
      </c>
      <c r="AK26" s="19">
        <v>0.0</v>
      </c>
      <c r="AL26" s="19">
        <v>9.0</v>
      </c>
      <c r="AM26" s="19">
        <v>3.0</v>
      </c>
      <c r="AN26" s="19">
        <v>5.0</v>
      </c>
      <c r="AO26" s="19">
        <v>1.0</v>
      </c>
      <c r="AP26" s="19">
        <v>2.0</v>
      </c>
      <c r="AQ26" s="19">
        <v>3.0</v>
      </c>
      <c r="AR26" s="19">
        <v>1.0</v>
      </c>
      <c r="AS26" s="19">
        <v>0.0</v>
      </c>
      <c r="AT26" s="19">
        <v>2.0</v>
      </c>
      <c r="AU26" s="19">
        <v>1.0</v>
      </c>
      <c r="AV26" s="19">
        <v>24.0</v>
      </c>
      <c r="AW26" s="13">
        <f t="shared" si="3"/>
        <v>137</v>
      </c>
    </row>
    <row r="27" ht="12.75" customHeight="1">
      <c r="A27" s="35"/>
      <c r="B27" s="28"/>
      <c r="C27" s="36"/>
      <c r="D27" s="13" t="s">
        <v>14</v>
      </c>
      <c r="E27" s="13">
        <f t="shared" ref="E27:AV27" si="6">SUM(E25:E26)</f>
        <v>0</v>
      </c>
      <c r="F27" s="13">
        <f t="shared" si="6"/>
        <v>4</v>
      </c>
      <c r="G27" s="13">
        <f t="shared" si="6"/>
        <v>1</v>
      </c>
      <c r="H27" s="13">
        <f t="shared" si="6"/>
        <v>7</v>
      </c>
      <c r="I27" s="13">
        <f t="shared" si="6"/>
        <v>5</v>
      </c>
      <c r="J27" s="13">
        <f t="shared" si="6"/>
        <v>1</v>
      </c>
      <c r="K27" s="13">
        <f t="shared" si="6"/>
        <v>2</v>
      </c>
      <c r="L27" s="13">
        <f t="shared" si="6"/>
        <v>2</v>
      </c>
      <c r="M27" s="13">
        <f t="shared" si="6"/>
        <v>1</v>
      </c>
      <c r="N27" s="13">
        <f t="shared" si="6"/>
        <v>7</v>
      </c>
      <c r="O27" s="13">
        <f t="shared" si="6"/>
        <v>7</v>
      </c>
      <c r="P27" s="13">
        <f t="shared" si="6"/>
        <v>0</v>
      </c>
      <c r="Q27" s="13">
        <f t="shared" si="6"/>
        <v>5</v>
      </c>
      <c r="R27" s="13">
        <f t="shared" si="6"/>
        <v>5</v>
      </c>
      <c r="S27" s="13">
        <f t="shared" si="6"/>
        <v>8</v>
      </c>
      <c r="T27" s="13">
        <f t="shared" si="6"/>
        <v>3</v>
      </c>
      <c r="U27" s="13">
        <f t="shared" si="6"/>
        <v>4</v>
      </c>
      <c r="V27" s="13">
        <f t="shared" si="6"/>
        <v>3</v>
      </c>
      <c r="W27" s="13">
        <f t="shared" si="6"/>
        <v>6</v>
      </c>
      <c r="X27" s="13">
        <f t="shared" si="6"/>
        <v>7</v>
      </c>
      <c r="Y27" s="13">
        <f t="shared" si="6"/>
        <v>3</v>
      </c>
      <c r="Z27" s="13">
        <f t="shared" si="6"/>
        <v>8</v>
      </c>
      <c r="AA27" s="13">
        <f t="shared" si="6"/>
        <v>10</v>
      </c>
      <c r="AB27" s="13">
        <f t="shared" si="6"/>
        <v>2</v>
      </c>
      <c r="AC27" s="13">
        <f t="shared" si="6"/>
        <v>4</v>
      </c>
      <c r="AD27" s="13">
        <f t="shared" si="6"/>
        <v>5</v>
      </c>
      <c r="AE27" s="13">
        <f t="shared" si="6"/>
        <v>14</v>
      </c>
      <c r="AF27" s="13">
        <f t="shared" si="6"/>
        <v>5</v>
      </c>
      <c r="AG27" s="13">
        <f t="shared" si="6"/>
        <v>12</v>
      </c>
      <c r="AH27" s="13">
        <f t="shared" si="6"/>
        <v>10</v>
      </c>
      <c r="AI27" s="13">
        <f t="shared" si="6"/>
        <v>2</v>
      </c>
      <c r="AJ27" s="13">
        <f t="shared" si="6"/>
        <v>7</v>
      </c>
      <c r="AK27" s="13">
        <f t="shared" si="6"/>
        <v>0</v>
      </c>
      <c r="AL27" s="13">
        <f t="shared" si="6"/>
        <v>12</v>
      </c>
      <c r="AM27" s="13">
        <f t="shared" si="6"/>
        <v>9</v>
      </c>
      <c r="AN27" s="13">
        <f t="shared" si="6"/>
        <v>8</v>
      </c>
      <c r="AO27" s="13">
        <f t="shared" si="6"/>
        <v>4</v>
      </c>
      <c r="AP27" s="13">
        <f t="shared" si="6"/>
        <v>3</v>
      </c>
      <c r="AQ27" s="13">
        <f t="shared" si="6"/>
        <v>4</v>
      </c>
      <c r="AR27" s="13">
        <f t="shared" si="6"/>
        <v>2</v>
      </c>
      <c r="AS27" s="13">
        <f t="shared" si="6"/>
        <v>0</v>
      </c>
      <c r="AT27" s="13">
        <f t="shared" si="6"/>
        <v>4</v>
      </c>
      <c r="AU27" s="13">
        <f t="shared" si="6"/>
        <v>2</v>
      </c>
      <c r="AV27" s="13">
        <f t="shared" si="6"/>
        <v>32</v>
      </c>
      <c r="AW27" s="13">
        <f t="shared" si="3"/>
        <v>240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V28" si="7">SUM(E19,E22,E25)</f>
        <v>87</v>
      </c>
      <c r="F28" s="13">
        <f t="shared" si="7"/>
        <v>97</v>
      </c>
      <c r="G28" s="13">
        <f t="shared" si="7"/>
        <v>99</v>
      </c>
      <c r="H28" s="13">
        <f t="shared" si="7"/>
        <v>92</v>
      </c>
      <c r="I28" s="13">
        <f t="shared" si="7"/>
        <v>86</v>
      </c>
      <c r="J28" s="13">
        <f t="shared" si="7"/>
        <v>107</v>
      </c>
      <c r="K28" s="13">
        <f t="shared" si="7"/>
        <v>96</v>
      </c>
      <c r="L28" s="13">
        <f t="shared" si="7"/>
        <v>97</v>
      </c>
      <c r="M28" s="13">
        <f t="shared" si="7"/>
        <v>93</v>
      </c>
      <c r="N28" s="13">
        <f t="shared" si="7"/>
        <v>89</v>
      </c>
      <c r="O28" s="13">
        <f t="shared" si="7"/>
        <v>95</v>
      </c>
      <c r="P28" s="13">
        <f t="shared" si="7"/>
        <v>104</v>
      </c>
      <c r="Q28" s="13">
        <f t="shared" si="7"/>
        <v>94</v>
      </c>
      <c r="R28" s="13">
        <f t="shared" si="7"/>
        <v>103</v>
      </c>
      <c r="S28" s="13">
        <f t="shared" si="7"/>
        <v>101</v>
      </c>
      <c r="T28" s="13">
        <f t="shared" si="7"/>
        <v>87</v>
      </c>
      <c r="U28" s="13">
        <f t="shared" si="7"/>
        <v>112</v>
      </c>
      <c r="V28" s="13">
        <f t="shared" si="7"/>
        <v>104</v>
      </c>
      <c r="W28" s="13">
        <f t="shared" si="7"/>
        <v>101</v>
      </c>
      <c r="X28" s="13">
        <f t="shared" si="7"/>
        <v>99</v>
      </c>
      <c r="Y28" s="13">
        <f t="shared" si="7"/>
        <v>83</v>
      </c>
      <c r="Z28" s="13">
        <f t="shared" si="7"/>
        <v>102</v>
      </c>
      <c r="AA28" s="13">
        <f t="shared" si="7"/>
        <v>75</v>
      </c>
      <c r="AB28" s="13">
        <f t="shared" si="7"/>
        <v>93</v>
      </c>
      <c r="AC28" s="13">
        <f t="shared" si="7"/>
        <v>106</v>
      </c>
      <c r="AD28" s="13">
        <f t="shared" si="7"/>
        <v>86</v>
      </c>
      <c r="AE28" s="13">
        <f t="shared" si="7"/>
        <v>93</v>
      </c>
      <c r="AF28" s="13">
        <f t="shared" si="7"/>
        <v>92</v>
      </c>
      <c r="AG28" s="13">
        <f t="shared" si="7"/>
        <v>96</v>
      </c>
      <c r="AH28" s="13">
        <f t="shared" si="7"/>
        <v>103</v>
      </c>
      <c r="AI28" s="13">
        <f t="shared" si="7"/>
        <v>84</v>
      </c>
      <c r="AJ28" s="13">
        <f t="shared" si="7"/>
        <v>90</v>
      </c>
      <c r="AK28" s="13">
        <f t="shared" si="7"/>
        <v>88</v>
      </c>
      <c r="AL28" s="13">
        <f t="shared" si="7"/>
        <v>99</v>
      </c>
      <c r="AM28" s="13">
        <f t="shared" si="7"/>
        <v>98</v>
      </c>
      <c r="AN28" s="13">
        <f t="shared" si="7"/>
        <v>102</v>
      </c>
      <c r="AO28" s="13">
        <f t="shared" si="7"/>
        <v>114</v>
      </c>
      <c r="AP28" s="13">
        <f t="shared" si="7"/>
        <v>109</v>
      </c>
      <c r="AQ28" s="13">
        <f t="shared" si="7"/>
        <v>115</v>
      </c>
      <c r="AR28" s="13">
        <f t="shared" si="7"/>
        <v>94</v>
      </c>
      <c r="AS28" s="13">
        <f t="shared" si="7"/>
        <v>93</v>
      </c>
      <c r="AT28" s="13">
        <f t="shared" si="7"/>
        <v>112</v>
      </c>
      <c r="AU28" s="13">
        <f t="shared" si="7"/>
        <v>97</v>
      </c>
      <c r="AV28" s="13">
        <f t="shared" si="7"/>
        <v>113</v>
      </c>
      <c r="AW28" s="13">
        <f t="shared" si="3"/>
        <v>4280</v>
      </c>
    </row>
    <row r="29" ht="12.75" customHeight="1">
      <c r="A29" s="35"/>
      <c r="B29" s="27"/>
      <c r="C29" s="34"/>
      <c r="D29" s="13" t="s">
        <v>13</v>
      </c>
      <c r="E29" s="13">
        <f t="shared" ref="E29:AV29" si="8">SUM(E20,E23,E26)</f>
        <v>105</v>
      </c>
      <c r="F29" s="13">
        <f t="shared" si="8"/>
        <v>119</v>
      </c>
      <c r="G29" s="13">
        <f t="shared" si="8"/>
        <v>114</v>
      </c>
      <c r="H29" s="13">
        <f t="shared" si="8"/>
        <v>116</v>
      </c>
      <c r="I29" s="13">
        <f t="shared" si="8"/>
        <v>112</v>
      </c>
      <c r="J29" s="13">
        <f t="shared" si="8"/>
        <v>111</v>
      </c>
      <c r="K29" s="13">
        <f t="shared" si="8"/>
        <v>100</v>
      </c>
      <c r="L29" s="13">
        <f t="shared" si="8"/>
        <v>117</v>
      </c>
      <c r="M29" s="13">
        <f t="shared" si="8"/>
        <v>104</v>
      </c>
      <c r="N29" s="13">
        <f t="shared" si="8"/>
        <v>110</v>
      </c>
      <c r="O29" s="13">
        <f t="shared" si="8"/>
        <v>105</v>
      </c>
      <c r="P29" s="13">
        <f t="shared" si="8"/>
        <v>107</v>
      </c>
      <c r="Q29" s="13">
        <f t="shared" si="8"/>
        <v>112</v>
      </c>
      <c r="R29" s="13">
        <f t="shared" si="8"/>
        <v>137</v>
      </c>
      <c r="S29" s="13">
        <f t="shared" si="8"/>
        <v>105</v>
      </c>
      <c r="T29" s="13">
        <f t="shared" si="8"/>
        <v>103</v>
      </c>
      <c r="U29" s="13">
        <f t="shared" si="8"/>
        <v>120</v>
      </c>
      <c r="V29" s="13">
        <f t="shared" si="8"/>
        <v>124</v>
      </c>
      <c r="W29" s="13">
        <f t="shared" si="8"/>
        <v>115</v>
      </c>
      <c r="X29" s="13">
        <f t="shared" si="8"/>
        <v>115</v>
      </c>
      <c r="Y29" s="13">
        <f t="shared" si="8"/>
        <v>100</v>
      </c>
      <c r="Z29" s="13">
        <f t="shared" si="8"/>
        <v>106</v>
      </c>
      <c r="AA29" s="13">
        <f t="shared" si="8"/>
        <v>111</v>
      </c>
      <c r="AB29" s="13">
        <f t="shared" si="8"/>
        <v>109</v>
      </c>
      <c r="AC29" s="13">
        <f t="shared" si="8"/>
        <v>116</v>
      </c>
      <c r="AD29" s="13">
        <f t="shared" si="8"/>
        <v>110</v>
      </c>
      <c r="AE29" s="13">
        <f t="shared" si="8"/>
        <v>126</v>
      </c>
      <c r="AF29" s="13">
        <f t="shared" si="8"/>
        <v>119</v>
      </c>
      <c r="AG29" s="13">
        <f t="shared" si="8"/>
        <v>109</v>
      </c>
      <c r="AH29" s="13">
        <f t="shared" si="8"/>
        <v>117</v>
      </c>
      <c r="AI29" s="13">
        <f t="shared" si="8"/>
        <v>82</v>
      </c>
      <c r="AJ29" s="13">
        <f t="shared" si="8"/>
        <v>102</v>
      </c>
      <c r="AK29" s="13">
        <f t="shared" si="8"/>
        <v>103</v>
      </c>
      <c r="AL29" s="13">
        <f t="shared" si="8"/>
        <v>125</v>
      </c>
      <c r="AM29" s="13">
        <f t="shared" si="8"/>
        <v>114</v>
      </c>
      <c r="AN29" s="13">
        <f t="shared" si="8"/>
        <v>111</v>
      </c>
      <c r="AO29" s="13">
        <f t="shared" si="8"/>
        <v>119</v>
      </c>
      <c r="AP29" s="13">
        <f t="shared" si="8"/>
        <v>112</v>
      </c>
      <c r="AQ29" s="13">
        <f t="shared" si="8"/>
        <v>114</v>
      </c>
      <c r="AR29" s="13">
        <f t="shared" si="8"/>
        <v>108</v>
      </c>
      <c r="AS29" s="13">
        <f t="shared" si="8"/>
        <v>115</v>
      </c>
      <c r="AT29" s="13">
        <f t="shared" si="8"/>
        <v>109</v>
      </c>
      <c r="AU29" s="13">
        <f t="shared" si="8"/>
        <v>102</v>
      </c>
      <c r="AV29" s="13">
        <f t="shared" si="8"/>
        <v>132</v>
      </c>
      <c r="AW29" s="13">
        <f t="shared" si="3"/>
        <v>4922</v>
      </c>
    </row>
    <row r="30" ht="12.75" customHeight="1">
      <c r="A30" s="35"/>
      <c r="B30" s="28"/>
      <c r="C30" s="36"/>
      <c r="D30" s="13" t="s">
        <v>14</v>
      </c>
      <c r="E30" s="13">
        <f t="shared" ref="E30:AV30" si="9">SUM(E28:E29)</f>
        <v>192</v>
      </c>
      <c r="F30" s="13">
        <f t="shared" si="9"/>
        <v>216</v>
      </c>
      <c r="G30" s="13">
        <f t="shared" si="9"/>
        <v>213</v>
      </c>
      <c r="H30" s="13">
        <f t="shared" si="9"/>
        <v>208</v>
      </c>
      <c r="I30" s="13">
        <f t="shared" si="9"/>
        <v>198</v>
      </c>
      <c r="J30" s="13">
        <f t="shared" si="9"/>
        <v>218</v>
      </c>
      <c r="K30" s="13">
        <f t="shared" si="9"/>
        <v>196</v>
      </c>
      <c r="L30" s="13">
        <f t="shared" si="9"/>
        <v>214</v>
      </c>
      <c r="M30" s="13">
        <f t="shared" si="9"/>
        <v>197</v>
      </c>
      <c r="N30" s="13">
        <f t="shared" si="9"/>
        <v>199</v>
      </c>
      <c r="O30" s="13">
        <f t="shared" si="9"/>
        <v>200</v>
      </c>
      <c r="P30" s="13">
        <f t="shared" si="9"/>
        <v>211</v>
      </c>
      <c r="Q30" s="13">
        <f t="shared" si="9"/>
        <v>206</v>
      </c>
      <c r="R30" s="13">
        <f t="shared" si="9"/>
        <v>240</v>
      </c>
      <c r="S30" s="13">
        <f t="shared" si="9"/>
        <v>206</v>
      </c>
      <c r="T30" s="13">
        <f t="shared" si="9"/>
        <v>190</v>
      </c>
      <c r="U30" s="13">
        <f t="shared" si="9"/>
        <v>232</v>
      </c>
      <c r="V30" s="13">
        <f t="shared" si="9"/>
        <v>228</v>
      </c>
      <c r="W30" s="13">
        <f t="shared" si="9"/>
        <v>216</v>
      </c>
      <c r="X30" s="13">
        <f t="shared" si="9"/>
        <v>214</v>
      </c>
      <c r="Y30" s="13">
        <f t="shared" si="9"/>
        <v>183</v>
      </c>
      <c r="Z30" s="13">
        <f t="shared" si="9"/>
        <v>208</v>
      </c>
      <c r="AA30" s="13">
        <f t="shared" si="9"/>
        <v>186</v>
      </c>
      <c r="AB30" s="13">
        <f t="shared" si="9"/>
        <v>202</v>
      </c>
      <c r="AC30" s="13">
        <f t="shared" si="9"/>
        <v>222</v>
      </c>
      <c r="AD30" s="13">
        <f t="shared" si="9"/>
        <v>196</v>
      </c>
      <c r="AE30" s="13">
        <f t="shared" si="9"/>
        <v>219</v>
      </c>
      <c r="AF30" s="13">
        <f t="shared" si="9"/>
        <v>211</v>
      </c>
      <c r="AG30" s="13">
        <f t="shared" si="9"/>
        <v>205</v>
      </c>
      <c r="AH30" s="13">
        <f t="shared" si="9"/>
        <v>220</v>
      </c>
      <c r="AI30" s="13">
        <f t="shared" si="9"/>
        <v>166</v>
      </c>
      <c r="AJ30" s="13">
        <f t="shared" si="9"/>
        <v>192</v>
      </c>
      <c r="AK30" s="13">
        <f t="shared" si="9"/>
        <v>191</v>
      </c>
      <c r="AL30" s="13">
        <f t="shared" si="9"/>
        <v>224</v>
      </c>
      <c r="AM30" s="13">
        <f t="shared" si="9"/>
        <v>212</v>
      </c>
      <c r="AN30" s="13">
        <f t="shared" si="9"/>
        <v>213</v>
      </c>
      <c r="AO30" s="13">
        <f t="shared" si="9"/>
        <v>233</v>
      </c>
      <c r="AP30" s="13">
        <f t="shared" si="9"/>
        <v>221</v>
      </c>
      <c r="AQ30" s="13">
        <f t="shared" si="9"/>
        <v>229</v>
      </c>
      <c r="AR30" s="13">
        <f t="shared" si="9"/>
        <v>202</v>
      </c>
      <c r="AS30" s="13">
        <f t="shared" si="9"/>
        <v>208</v>
      </c>
      <c r="AT30" s="13">
        <f t="shared" si="9"/>
        <v>221</v>
      </c>
      <c r="AU30" s="13">
        <f t="shared" si="9"/>
        <v>199</v>
      </c>
      <c r="AV30" s="13">
        <f t="shared" si="9"/>
        <v>245</v>
      </c>
      <c r="AW30" s="13">
        <f t="shared" si="3"/>
        <v>9202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59"/>
    </row>
    <row r="33" ht="12.75" customHeight="1">
      <c r="A33" s="19">
        <v>1.0</v>
      </c>
      <c r="B33" s="20" t="s">
        <v>27</v>
      </c>
      <c r="C33" s="15"/>
      <c r="D33" s="16"/>
      <c r="E33" s="19">
        <v>259.0</v>
      </c>
      <c r="F33" s="19">
        <v>279.0</v>
      </c>
      <c r="G33" s="19">
        <v>277.0</v>
      </c>
      <c r="H33" s="19">
        <v>261.0</v>
      </c>
      <c r="I33" s="19">
        <v>276.0</v>
      </c>
      <c r="J33" s="19">
        <v>278.0</v>
      </c>
      <c r="K33" s="19">
        <v>271.0</v>
      </c>
      <c r="L33" s="19">
        <v>284.0</v>
      </c>
      <c r="M33" s="19">
        <v>285.0</v>
      </c>
      <c r="N33" s="19">
        <v>267.0</v>
      </c>
      <c r="O33" s="19">
        <v>276.0</v>
      </c>
      <c r="P33" s="19">
        <v>271.0</v>
      </c>
      <c r="Q33" s="19">
        <v>271.0</v>
      </c>
      <c r="R33" s="19">
        <v>293.0</v>
      </c>
      <c r="S33" s="19">
        <v>271.0</v>
      </c>
      <c r="T33" s="19">
        <v>269.0</v>
      </c>
      <c r="U33" s="19">
        <v>293.0</v>
      </c>
      <c r="V33" s="19">
        <v>275.0</v>
      </c>
      <c r="W33" s="19">
        <v>261.0</v>
      </c>
      <c r="X33" s="19">
        <v>281.0</v>
      </c>
      <c r="Y33" s="19">
        <v>242.0</v>
      </c>
      <c r="Z33" s="19">
        <v>263.0</v>
      </c>
      <c r="AA33" s="19">
        <v>245.0</v>
      </c>
      <c r="AB33" s="19">
        <v>279.0</v>
      </c>
      <c r="AC33" s="19">
        <v>274.0</v>
      </c>
      <c r="AD33" s="19">
        <v>256.0</v>
      </c>
      <c r="AE33" s="19">
        <v>265.0</v>
      </c>
      <c r="AF33" s="19">
        <v>278.0</v>
      </c>
      <c r="AG33" s="19">
        <v>262.0</v>
      </c>
      <c r="AH33" s="19">
        <v>282.0</v>
      </c>
      <c r="AI33" s="19">
        <v>218.0</v>
      </c>
      <c r="AJ33" s="19">
        <v>253.0</v>
      </c>
      <c r="AK33" s="19">
        <v>275.0</v>
      </c>
      <c r="AL33" s="19">
        <v>285.0</v>
      </c>
      <c r="AM33" s="19">
        <v>251.0</v>
      </c>
      <c r="AN33" s="19">
        <v>272.0</v>
      </c>
      <c r="AO33" s="19">
        <v>293.0</v>
      </c>
      <c r="AP33" s="19">
        <v>293.0</v>
      </c>
      <c r="AQ33" s="19">
        <v>285.0</v>
      </c>
      <c r="AR33" s="19">
        <v>289.0</v>
      </c>
      <c r="AS33" s="19">
        <v>261.0</v>
      </c>
      <c r="AT33" s="19">
        <v>271.0</v>
      </c>
      <c r="AU33" s="19">
        <v>292.0</v>
      </c>
      <c r="AV33" s="19">
        <v>281.0</v>
      </c>
      <c r="AW33" s="13">
        <f t="shared" ref="AW33:AW36" si="10">SUM(E33:AV33)</f>
        <v>11963</v>
      </c>
    </row>
    <row r="34" ht="12.75" customHeight="1">
      <c r="A34" s="19">
        <v>2.0</v>
      </c>
      <c r="B34" s="20" t="s">
        <v>28</v>
      </c>
      <c r="C34" s="15"/>
      <c r="D34" s="16"/>
      <c r="E34" s="13">
        <v>192.0</v>
      </c>
      <c r="F34" s="13">
        <v>216.0</v>
      </c>
      <c r="G34" s="13">
        <v>213.0</v>
      </c>
      <c r="H34" s="13">
        <v>208.0</v>
      </c>
      <c r="I34" s="13">
        <v>198.0</v>
      </c>
      <c r="J34" s="13">
        <v>218.0</v>
      </c>
      <c r="K34" s="13">
        <v>196.0</v>
      </c>
      <c r="L34" s="13">
        <v>214.0</v>
      </c>
      <c r="M34" s="13">
        <v>197.0</v>
      </c>
      <c r="N34" s="13">
        <v>199.0</v>
      </c>
      <c r="O34" s="13">
        <v>201.0</v>
      </c>
      <c r="P34" s="13">
        <v>211.0</v>
      </c>
      <c r="Q34" s="13">
        <v>206.0</v>
      </c>
      <c r="R34" s="13">
        <v>240.0</v>
      </c>
      <c r="S34" s="13">
        <v>206.0</v>
      </c>
      <c r="T34" s="13">
        <v>190.0</v>
      </c>
      <c r="U34" s="13">
        <v>232.0</v>
      </c>
      <c r="V34" s="13">
        <v>228.0</v>
      </c>
      <c r="W34" s="13">
        <v>216.0</v>
      </c>
      <c r="X34" s="13">
        <v>214.0</v>
      </c>
      <c r="Y34" s="13">
        <v>183.0</v>
      </c>
      <c r="Z34" s="13">
        <v>208.0</v>
      </c>
      <c r="AA34" s="13">
        <v>186.0</v>
      </c>
      <c r="AB34" s="13">
        <v>202.0</v>
      </c>
      <c r="AC34" s="13">
        <v>220.0</v>
      </c>
      <c r="AD34" s="13">
        <v>196.0</v>
      </c>
      <c r="AE34" s="13">
        <v>207.0</v>
      </c>
      <c r="AF34" s="13">
        <v>211.0</v>
      </c>
      <c r="AG34" s="13">
        <v>205.0</v>
      </c>
      <c r="AH34" s="13">
        <v>220.0</v>
      </c>
      <c r="AI34" s="13">
        <v>166.0</v>
      </c>
      <c r="AJ34" s="13">
        <v>192.0</v>
      </c>
      <c r="AK34" s="13">
        <v>191.0</v>
      </c>
      <c r="AL34" s="13">
        <v>224.0</v>
      </c>
      <c r="AM34" s="13">
        <v>211.0</v>
      </c>
      <c r="AN34" s="13">
        <v>213.0</v>
      </c>
      <c r="AO34" s="13">
        <v>233.0</v>
      </c>
      <c r="AP34" s="13">
        <v>222.0</v>
      </c>
      <c r="AQ34" s="13">
        <v>225.0</v>
      </c>
      <c r="AR34" s="13">
        <v>210.0</v>
      </c>
      <c r="AS34" s="13">
        <v>200.0</v>
      </c>
      <c r="AT34" s="13">
        <v>215.0</v>
      </c>
      <c r="AU34" s="13">
        <v>206.0</v>
      </c>
      <c r="AV34" s="13">
        <v>232.0</v>
      </c>
      <c r="AW34" s="13">
        <f t="shared" si="10"/>
        <v>9173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3.0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1.0</v>
      </c>
      <c r="AG35" s="19">
        <v>1.0</v>
      </c>
      <c r="AH35" s="19">
        <v>0.0</v>
      </c>
      <c r="AI35" s="19">
        <v>0.0</v>
      </c>
      <c r="AJ35" s="19">
        <v>0.0</v>
      </c>
      <c r="AK35" s="19">
        <v>0.0</v>
      </c>
      <c r="AL35" s="19">
        <v>1.0</v>
      </c>
      <c r="AM35" s="19">
        <v>0.0</v>
      </c>
      <c r="AN35" s="19">
        <v>0.0</v>
      </c>
      <c r="AO35" s="19">
        <v>1.0</v>
      </c>
      <c r="AP35" s="19">
        <v>0.0</v>
      </c>
      <c r="AQ35" s="19">
        <v>8.0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3">
        <f t="shared" si="10"/>
        <v>17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V36" si="11">E33-(E34+E35)</f>
        <v>67</v>
      </c>
      <c r="F36" s="13">
        <f t="shared" si="11"/>
        <v>63</v>
      </c>
      <c r="G36" s="13">
        <f t="shared" si="11"/>
        <v>64</v>
      </c>
      <c r="H36" s="13">
        <f t="shared" si="11"/>
        <v>53</v>
      </c>
      <c r="I36" s="13">
        <f t="shared" si="11"/>
        <v>78</v>
      </c>
      <c r="J36" s="13">
        <f t="shared" si="11"/>
        <v>60</v>
      </c>
      <c r="K36" s="13">
        <f t="shared" si="11"/>
        <v>74</v>
      </c>
      <c r="L36" s="13">
        <f t="shared" si="11"/>
        <v>70</v>
      </c>
      <c r="M36" s="13">
        <f t="shared" si="11"/>
        <v>88</v>
      </c>
      <c r="N36" s="13">
        <f t="shared" si="11"/>
        <v>68</v>
      </c>
      <c r="O36" s="13">
        <f t="shared" si="11"/>
        <v>75</v>
      </c>
      <c r="P36" s="13">
        <f t="shared" si="11"/>
        <v>60</v>
      </c>
      <c r="Q36" s="13">
        <f t="shared" si="11"/>
        <v>62</v>
      </c>
      <c r="R36" s="13">
        <f t="shared" si="11"/>
        <v>53</v>
      </c>
      <c r="S36" s="13">
        <f t="shared" si="11"/>
        <v>65</v>
      </c>
      <c r="T36" s="13">
        <f t="shared" si="11"/>
        <v>79</v>
      </c>
      <c r="U36" s="13">
        <f t="shared" si="11"/>
        <v>60</v>
      </c>
      <c r="V36" s="13">
        <f t="shared" si="11"/>
        <v>47</v>
      </c>
      <c r="W36" s="13">
        <f t="shared" si="11"/>
        <v>45</v>
      </c>
      <c r="X36" s="13">
        <f t="shared" si="11"/>
        <v>67</v>
      </c>
      <c r="Y36" s="13">
        <f t="shared" si="11"/>
        <v>59</v>
      </c>
      <c r="Z36" s="13">
        <f t="shared" si="11"/>
        <v>55</v>
      </c>
      <c r="AA36" s="13">
        <f t="shared" si="11"/>
        <v>59</v>
      </c>
      <c r="AB36" s="13">
        <f t="shared" si="11"/>
        <v>77</v>
      </c>
      <c r="AC36" s="13">
        <f t="shared" si="11"/>
        <v>54</v>
      </c>
      <c r="AD36" s="13">
        <f t="shared" si="11"/>
        <v>60</v>
      </c>
      <c r="AE36" s="13">
        <f t="shared" si="11"/>
        <v>58</v>
      </c>
      <c r="AF36" s="13">
        <f t="shared" si="11"/>
        <v>66</v>
      </c>
      <c r="AG36" s="13">
        <f t="shared" si="11"/>
        <v>56</v>
      </c>
      <c r="AH36" s="13">
        <f t="shared" si="11"/>
        <v>62</v>
      </c>
      <c r="AI36" s="13">
        <f t="shared" si="11"/>
        <v>52</v>
      </c>
      <c r="AJ36" s="13">
        <f t="shared" si="11"/>
        <v>61</v>
      </c>
      <c r="AK36" s="13">
        <f t="shared" si="11"/>
        <v>84</v>
      </c>
      <c r="AL36" s="13">
        <f t="shared" si="11"/>
        <v>60</v>
      </c>
      <c r="AM36" s="13">
        <f t="shared" si="11"/>
        <v>40</v>
      </c>
      <c r="AN36" s="13">
        <f t="shared" si="11"/>
        <v>59</v>
      </c>
      <c r="AO36" s="13">
        <f t="shared" si="11"/>
        <v>59</v>
      </c>
      <c r="AP36" s="13">
        <f t="shared" si="11"/>
        <v>71</v>
      </c>
      <c r="AQ36" s="13">
        <f t="shared" si="11"/>
        <v>52</v>
      </c>
      <c r="AR36" s="13">
        <f t="shared" si="11"/>
        <v>79</v>
      </c>
      <c r="AS36" s="13">
        <f t="shared" si="11"/>
        <v>61</v>
      </c>
      <c r="AT36" s="13">
        <f t="shared" si="11"/>
        <v>56</v>
      </c>
      <c r="AU36" s="13">
        <f t="shared" si="11"/>
        <v>86</v>
      </c>
      <c r="AV36" s="13">
        <f t="shared" si="11"/>
        <v>49</v>
      </c>
      <c r="AW36" s="13">
        <f t="shared" si="10"/>
        <v>2773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6"/>
      <c r="AR37" s="19"/>
      <c r="AS37" s="19"/>
      <c r="AT37" s="19"/>
      <c r="AU37" s="19"/>
      <c r="AV37" s="19"/>
      <c r="AW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3">
        <f t="shared" ref="AW39:AW41" si="12">SUM(E39:AV39)</f>
        <v>0</v>
      </c>
    </row>
    <row r="40" ht="12.75" customHeight="1">
      <c r="A40" s="33"/>
      <c r="C40" s="27"/>
      <c r="D40" s="19" t="s">
        <v>13</v>
      </c>
      <c r="E40" s="19">
        <v>3.0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>
        <v>2.0</v>
      </c>
      <c r="Q40" s="19"/>
      <c r="R40" s="19"/>
      <c r="S40" s="19"/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3.0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AV41" si="13">SUM(E39:E40)</f>
        <v>3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2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3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6"/>
      <c r="AR42" s="19"/>
      <c r="AS42" s="19"/>
      <c r="AT42" s="19"/>
      <c r="AU42" s="19"/>
      <c r="AV42" s="19"/>
      <c r="A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3"/>
    </row>
    <row r="45" ht="12.75" customHeight="1">
      <c r="A45" s="30"/>
      <c r="B45" s="47" t="s">
        <v>17</v>
      </c>
      <c r="C45" s="48" t="s">
        <v>37</v>
      </c>
      <c r="D45" s="16"/>
      <c r="E45" s="19">
        <v>10.0</v>
      </c>
      <c r="F45" s="19">
        <v>12.0</v>
      </c>
      <c r="G45" s="19">
        <v>14.0</v>
      </c>
      <c r="H45" s="19">
        <v>10.0</v>
      </c>
      <c r="I45" s="19">
        <v>29.0</v>
      </c>
      <c r="J45" s="19">
        <v>26.0</v>
      </c>
      <c r="K45" s="19">
        <v>7.0</v>
      </c>
      <c r="L45" s="19">
        <v>10.0</v>
      </c>
      <c r="M45" s="19">
        <v>11.0</v>
      </c>
      <c r="N45" s="19">
        <v>6.0</v>
      </c>
      <c r="O45" s="19">
        <v>7.0</v>
      </c>
      <c r="P45" s="19">
        <v>14.0</v>
      </c>
      <c r="Q45" s="19">
        <v>12.0</v>
      </c>
      <c r="R45" s="19">
        <v>6.0</v>
      </c>
      <c r="S45" s="19">
        <v>16.0</v>
      </c>
      <c r="T45" s="19">
        <v>4.0</v>
      </c>
      <c r="U45" s="19">
        <v>20.0</v>
      </c>
      <c r="V45" s="19">
        <v>19.0</v>
      </c>
      <c r="W45" s="19">
        <v>21.0</v>
      </c>
      <c r="X45" s="19">
        <v>14.0</v>
      </c>
      <c r="Y45" s="19">
        <v>10.0</v>
      </c>
      <c r="Z45" s="19">
        <v>3.0</v>
      </c>
      <c r="AA45" s="19">
        <v>12.0</v>
      </c>
      <c r="AB45" s="19">
        <v>14.0</v>
      </c>
      <c r="AC45" s="19">
        <v>22.0</v>
      </c>
      <c r="AD45" s="19">
        <v>6.0</v>
      </c>
      <c r="AE45" s="19">
        <v>8.0</v>
      </c>
      <c r="AF45" s="19">
        <v>15.0</v>
      </c>
      <c r="AG45" s="19">
        <v>9.0</v>
      </c>
      <c r="AH45" s="19">
        <v>13.0</v>
      </c>
      <c r="AI45" s="19">
        <v>15.0</v>
      </c>
      <c r="AJ45" s="19">
        <v>11.0</v>
      </c>
      <c r="AK45" s="19">
        <v>13.0</v>
      </c>
      <c r="AL45" s="19">
        <v>19.0</v>
      </c>
      <c r="AM45" s="19">
        <v>22.0</v>
      </c>
      <c r="AN45" s="19">
        <v>16.0</v>
      </c>
      <c r="AO45" s="19">
        <v>13.0</v>
      </c>
      <c r="AP45" s="19">
        <v>8.0</v>
      </c>
      <c r="AQ45" s="19">
        <v>25.0</v>
      </c>
      <c r="AR45" s="19">
        <v>15.0</v>
      </c>
      <c r="AS45" s="19">
        <v>13.0</v>
      </c>
      <c r="AT45" s="19">
        <v>10.0</v>
      </c>
      <c r="AU45" s="19">
        <v>5.0</v>
      </c>
      <c r="AV45" s="19">
        <v>13.0</v>
      </c>
      <c r="AW45" s="13">
        <f t="shared" ref="AW45:AW57" si="14">SUM(E45:AV45)</f>
        <v>578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36.0</v>
      </c>
      <c r="F46" s="19">
        <v>41.0</v>
      </c>
      <c r="G46" s="19">
        <v>41.0</v>
      </c>
      <c r="H46" s="19">
        <v>47.0</v>
      </c>
      <c r="I46" s="19">
        <v>34.0</v>
      </c>
      <c r="J46" s="19">
        <v>38.0</v>
      </c>
      <c r="K46" s="19">
        <v>43.0</v>
      </c>
      <c r="L46" s="19">
        <v>41.0</v>
      </c>
      <c r="M46" s="19">
        <v>59.0</v>
      </c>
      <c r="N46" s="19">
        <v>42.0</v>
      </c>
      <c r="O46" s="19">
        <v>30.0</v>
      </c>
      <c r="P46" s="19">
        <v>48.0</v>
      </c>
      <c r="Q46" s="19">
        <v>36.0</v>
      </c>
      <c r="R46" s="19">
        <v>41.0</v>
      </c>
      <c r="S46" s="19">
        <v>27.0</v>
      </c>
      <c r="T46" s="19">
        <v>22.0</v>
      </c>
      <c r="U46" s="19">
        <v>27.0</v>
      </c>
      <c r="V46" s="19">
        <v>34.0</v>
      </c>
      <c r="W46" s="19">
        <v>32.0</v>
      </c>
      <c r="X46" s="19">
        <v>27.0</v>
      </c>
      <c r="Y46" s="19">
        <v>25.0</v>
      </c>
      <c r="Z46" s="19">
        <v>25.0</v>
      </c>
      <c r="AA46" s="19">
        <v>25.0</v>
      </c>
      <c r="AB46" s="19">
        <v>33.0</v>
      </c>
      <c r="AC46" s="19">
        <v>23.0</v>
      </c>
      <c r="AD46" s="19">
        <v>39.0</v>
      </c>
      <c r="AE46" s="19">
        <v>27.0</v>
      </c>
      <c r="AF46" s="19">
        <v>20.0</v>
      </c>
      <c r="AG46" s="19">
        <v>40.0</v>
      </c>
      <c r="AH46" s="19">
        <v>34.0</v>
      </c>
      <c r="AI46" s="19">
        <v>28.0</v>
      </c>
      <c r="AJ46" s="19">
        <v>37.0</v>
      </c>
      <c r="AK46" s="19">
        <v>35.0</v>
      </c>
      <c r="AL46" s="19">
        <v>43.0</v>
      </c>
      <c r="AM46" s="19">
        <v>36.0</v>
      </c>
      <c r="AN46" s="19">
        <v>34.0</v>
      </c>
      <c r="AO46" s="19">
        <v>30.0</v>
      </c>
      <c r="AP46" s="19">
        <v>36.0</v>
      </c>
      <c r="AQ46" s="19">
        <v>19.0</v>
      </c>
      <c r="AR46" s="19">
        <v>32.0</v>
      </c>
      <c r="AS46" s="19">
        <v>25.0</v>
      </c>
      <c r="AT46" s="19">
        <v>37.0</v>
      </c>
      <c r="AU46" s="19">
        <v>28.0</v>
      </c>
      <c r="AV46" s="19">
        <v>37.0</v>
      </c>
      <c r="AW46" s="13">
        <f t="shared" si="14"/>
        <v>1494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17.0</v>
      </c>
      <c r="F47" s="19">
        <v>10.0</v>
      </c>
      <c r="G47" s="19">
        <v>14.0</v>
      </c>
      <c r="H47" s="19">
        <v>15.0</v>
      </c>
      <c r="I47" s="19">
        <v>8.0</v>
      </c>
      <c r="J47" s="19">
        <v>12.0</v>
      </c>
      <c r="K47" s="19">
        <v>6.0</v>
      </c>
      <c r="L47" s="19">
        <v>13.0</v>
      </c>
      <c r="M47" s="19">
        <v>11.0</v>
      </c>
      <c r="N47" s="19">
        <v>10.0</v>
      </c>
      <c r="O47" s="19">
        <v>5.0</v>
      </c>
      <c r="P47" s="19">
        <v>13.0</v>
      </c>
      <c r="Q47" s="19">
        <v>6.0</v>
      </c>
      <c r="R47" s="19">
        <v>19.0</v>
      </c>
      <c r="S47" s="19">
        <v>15.0</v>
      </c>
      <c r="T47" s="19">
        <v>16.0</v>
      </c>
      <c r="U47" s="19">
        <v>10.0</v>
      </c>
      <c r="V47" s="19">
        <v>7.0</v>
      </c>
      <c r="W47" s="19">
        <v>19.0</v>
      </c>
      <c r="X47" s="19">
        <v>13.0</v>
      </c>
      <c r="Y47" s="19">
        <v>9.0</v>
      </c>
      <c r="Z47" s="19">
        <v>7.0</v>
      </c>
      <c r="AA47" s="19">
        <v>11.0</v>
      </c>
      <c r="AB47" s="19">
        <v>7.0</v>
      </c>
      <c r="AC47" s="19">
        <v>14.0</v>
      </c>
      <c r="AD47" s="19">
        <v>6.0</v>
      </c>
      <c r="AE47" s="19">
        <v>14.0</v>
      </c>
      <c r="AF47" s="19">
        <v>12.0</v>
      </c>
      <c r="AG47" s="19">
        <v>9.0</v>
      </c>
      <c r="AH47" s="19">
        <v>10.0</v>
      </c>
      <c r="AI47" s="19">
        <v>14.0</v>
      </c>
      <c r="AJ47" s="19">
        <v>12.0</v>
      </c>
      <c r="AK47" s="19">
        <v>8.0</v>
      </c>
      <c r="AL47" s="19">
        <v>16.0</v>
      </c>
      <c r="AM47" s="19">
        <v>11.0</v>
      </c>
      <c r="AN47" s="19">
        <v>11.0</v>
      </c>
      <c r="AO47" s="19">
        <v>30.0</v>
      </c>
      <c r="AP47" s="19">
        <v>14.0</v>
      </c>
      <c r="AQ47" s="19">
        <v>16.0</v>
      </c>
      <c r="AR47" s="19">
        <v>12.0</v>
      </c>
      <c r="AS47" s="19">
        <v>7.0</v>
      </c>
      <c r="AT47" s="19">
        <v>16.0</v>
      </c>
      <c r="AU47" s="19">
        <v>7.0</v>
      </c>
      <c r="AV47" s="19">
        <v>9.0</v>
      </c>
      <c r="AW47" s="13">
        <f t="shared" si="14"/>
        <v>521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23.0</v>
      </c>
      <c r="F48" s="19">
        <v>21.0</v>
      </c>
      <c r="G48" s="19">
        <v>20.0</v>
      </c>
      <c r="H48" s="19">
        <v>25.0</v>
      </c>
      <c r="I48" s="19">
        <v>18.0</v>
      </c>
      <c r="J48" s="19">
        <v>18.0</v>
      </c>
      <c r="K48" s="19">
        <v>16.0</v>
      </c>
      <c r="L48" s="19">
        <v>20.0</v>
      </c>
      <c r="M48" s="19">
        <v>18.0</v>
      </c>
      <c r="N48" s="19">
        <v>14.0</v>
      </c>
      <c r="O48" s="19">
        <v>20.0</v>
      </c>
      <c r="P48" s="19">
        <v>18.0</v>
      </c>
      <c r="Q48" s="19">
        <v>23.0</v>
      </c>
      <c r="R48" s="19">
        <v>22.0</v>
      </c>
      <c r="S48" s="19">
        <v>26.0</v>
      </c>
      <c r="T48" s="19">
        <v>20.0</v>
      </c>
      <c r="U48" s="19">
        <v>32.0</v>
      </c>
      <c r="V48" s="19">
        <v>22.0</v>
      </c>
      <c r="W48" s="19">
        <v>18.0</v>
      </c>
      <c r="X48" s="19">
        <v>21.0</v>
      </c>
      <c r="Y48" s="19">
        <v>13.0</v>
      </c>
      <c r="Z48" s="19">
        <v>21.0</v>
      </c>
      <c r="AA48" s="19">
        <v>18.0</v>
      </c>
      <c r="AB48" s="19">
        <v>16.0</v>
      </c>
      <c r="AC48" s="19">
        <v>16.0</v>
      </c>
      <c r="AD48" s="19">
        <v>19.0</v>
      </c>
      <c r="AE48" s="19">
        <v>20.0</v>
      </c>
      <c r="AF48" s="19">
        <v>25.0</v>
      </c>
      <c r="AG48" s="19">
        <v>19.0</v>
      </c>
      <c r="AH48" s="19">
        <v>24.0</v>
      </c>
      <c r="AI48" s="19">
        <v>20.0</v>
      </c>
      <c r="AJ48" s="19">
        <v>26.0</v>
      </c>
      <c r="AK48" s="19">
        <v>17.0</v>
      </c>
      <c r="AL48" s="19">
        <v>18.0</v>
      </c>
      <c r="AM48" s="19">
        <v>26.0</v>
      </c>
      <c r="AN48" s="19">
        <v>24.0</v>
      </c>
      <c r="AO48" s="19">
        <v>19.0</v>
      </c>
      <c r="AP48" s="19">
        <v>15.0</v>
      </c>
      <c r="AQ48" s="19">
        <v>18.0</v>
      </c>
      <c r="AR48" s="19">
        <v>19.0</v>
      </c>
      <c r="AS48" s="19">
        <v>27.0</v>
      </c>
      <c r="AT48" s="19">
        <v>17.0</v>
      </c>
      <c r="AU48" s="19">
        <v>16.0</v>
      </c>
      <c r="AV48" s="19">
        <v>32.0</v>
      </c>
      <c r="AW48" s="13">
        <f t="shared" si="14"/>
        <v>900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13.0</v>
      </c>
      <c r="F49" s="19">
        <v>19.0</v>
      </c>
      <c r="G49" s="19">
        <v>19.0</v>
      </c>
      <c r="H49" s="19">
        <v>25.0</v>
      </c>
      <c r="I49" s="19">
        <v>10.0</v>
      </c>
      <c r="J49" s="19">
        <v>14.0</v>
      </c>
      <c r="K49" s="19">
        <v>34.0</v>
      </c>
      <c r="L49" s="19">
        <v>14.0</v>
      </c>
      <c r="M49" s="19">
        <v>7.0</v>
      </c>
      <c r="N49" s="19">
        <v>12.0</v>
      </c>
      <c r="O49" s="19">
        <v>15.0</v>
      </c>
      <c r="P49" s="19">
        <v>20.0</v>
      </c>
      <c r="Q49" s="19">
        <v>11.0</v>
      </c>
      <c r="R49" s="19">
        <v>20.0</v>
      </c>
      <c r="S49" s="19">
        <v>17.0</v>
      </c>
      <c r="T49" s="19">
        <v>25.0</v>
      </c>
      <c r="U49" s="19">
        <v>19.0</v>
      </c>
      <c r="V49" s="19">
        <v>21.0</v>
      </c>
      <c r="W49" s="19">
        <v>17.0</v>
      </c>
      <c r="X49" s="19">
        <v>12.0</v>
      </c>
      <c r="Y49" s="19">
        <v>25.0</v>
      </c>
      <c r="Z49" s="19">
        <v>30.0</v>
      </c>
      <c r="AA49" s="19">
        <v>13.0</v>
      </c>
      <c r="AB49" s="19">
        <v>17.0</v>
      </c>
      <c r="AC49" s="19">
        <v>17.0</v>
      </c>
      <c r="AD49" s="19">
        <v>23.0</v>
      </c>
      <c r="AE49" s="19">
        <v>9.0</v>
      </c>
      <c r="AF49" s="19">
        <v>16.0</v>
      </c>
      <c r="AG49" s="19">
        <v>13.0</v>
      </c>
      <c r="AH49" s="19">
        <v>24.0</v>
      </c>
      <c r="AI49" s="19">
        <v>13.0</v>
      </c>
      <c r="AJ49" s="19">
        <v>24.0</v>
      </c>
      <c r="AK49" s="19">
        <v>11.0</v>
      </c>
      <c r="AL49" s="19">
        <v>17.0</v>
      </c>
      <c r="AM49" s="19">
        <v>17.0</v>
      </c>
      <c r="AN49" s="19">
        <v>20.0</v>
      </c>
      <c r="AO49" s="19">
        <v>21.0</v>
      </c>
      <c r="AP49" s="19">
        <v>10.0</v>
      </c>
      <c r="AQ49" s="19">
        <v>21.0</v>
      </c>
      <c r="AR49" s="19">
        <v>17.0</v>
      </c>
      <c r="AS49" s="19">
        <v>15.0</v>
      </c>
      <c r="AT49" s="19">
        <v>8.0</v>
      </c>
      <c r="AU49" s="19">
        <v>16.0</v>
      </c>
      <c r="AV49" s="19">
        <v>21.0</v>
      </c>
      <c r="AW49" s="13">
        <f t="shared" si="14"/>
        <v>762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13.0</v>
      </c>
      <c r="F50" s="19">
        <v>6.0</v>
      </c>
      <c r="G50" s="19">
        <v>12.0</v>
      </c>
      <c r="H50" s="19">
        <v>13.0</v>
      </c>
      <c r="I50" s="19">
        <v>13.0</v>
      </c>
      <c r="J50" s="19">
        <v>9.0</v>
      </c>
      <c r="K50" s="19">
        <v>13.0</v>
      </c>
      <c r="L50" s="19">
        <v>13.0</v>
      </c>
      <c r="M50" s="19">
        <v>13.0</v>
      </c>
      <c r="N50" s="19">
        <v>6.0</v>
      </c>
      <c r="O50" s="19">
        <v>9.0</v>
      </c>
      <c r="P50" s="19">
        <v>3.0</v>
      </c>
      <c r="Q50" s="19">
        <v>7.0</v>
      </c>
      <c r="R50" s="19">
        <v>12.0</v>
      </c>
      <c r="S50" s="19">
        <v>12.0</v>
      </c>
      <c r="T50" s="19">
        <v>8.0</v>
      </c>
      <c r="U50" s="19">
        <v>15.0</v>
      </c>
      <c r="V50" s="19">
        <v>24.0</v>
      </c>
      <c r="W50" s="19">
        <v>14.0</v>
      </c>
      <c r="X50" s="19">
        <v>12.0</v>
      </c>
      <c r="Y50" s="19">
        <v>14.0</v>
      </c>
      <c r="Z50" s="19">
        <v>13.0</v>
      </c>
      <c r="AA50" s="19">
        <v>11.0</v>
      </c>
      <c r="AB50" s="19">
        <v>19.0</v>
      </c>
      <c r="AC50" s="19">
        <v>19.0</v>
      </c>
      <c r="AD50" s="19">
        <v>8.0</v>
      </c>
      <c r="AE50" s="19">
        <v>9.0</v>
      </c>
      <c r="AF50" s="19">
        <v>14.0</v>
      </c>
      <c r="AG50" s="19">
        <v>9.0</v>
      </c>
      <c r="AH50" s="19">
        <v>10.0</v>
      </c>
      <c r="AI50" s="19">
        <v>6.0</v>
      </c>
      <c r="AJ50" s="19">
        <v>9.0</v>
      </c>
      <c r="AK50" s="19">
        <v>5.0</v>
      </c>
      <c r="AL50" s="19">
        <v>20.0</v>
      </c>
      <c r="AM50" s="19">
        <v>11.0</v>
      </c>
      <c r="AN50" s="19">
        <v>9.0</v>
      </c>
      <c r="AO50" s="19">
        <v>23.0</v>
      </c>
      <c r="AP50" s="19">
        <v>12.0</v>
      </c>
      <c r="AQ50" s="19">
        <v>19.0</v>
      </c>
      <c r="AR50" s="19">
        <v>11.0</v>
      </c>
      <c r="AS50" s="19">
        <v>10.0</v>
      </c>
      <c r="AT50" s="19">
        <v>5.0</v>
      </c>
      <c r="AU50" s="19">
        <v>4.0</v>
      </c>
      <c r="AV50" s="19">
        <v>11.0</v>
      </c>
      <c r="AW50" s="13">
        <f t="shared" si="14"/>
        <v>508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2.0</v>
      </c>
      <c r="G51" s="19">
        <v>1.0</v>
      </c>
      <c r="H51" s="19">
        <v>1.0</v>
      </c>
      <c r="I51" s="19">
        <v>3.0</v>
      </c>
      <c r="J51" s="19">
        <v>1.0</v>
      </c>
      <c r="K51" s="19">
        <v>3.0</v>
      </c>
      <c r="L51" s="19">
        <v>3.0</v>
      </c>
      <c r="M51" s="19">
        <v>1.0</v>
      </c>
      <c r="N51" s="19">
        <v>5.0</v>
      </c>
      <c r="O51" s="19">
        <v>5.0</v>
      </c>
      <c r="P51" s="19">
        <v>4.0</v>
      </c>
      <c r="Q51" s="19">
        <v>4.0</v>
      </c>
      <c r="R51" s="19">
        <v>3.0</v>
      </c>
      <c r="S51" s="19">
        <v>1.0</v>
      </c>
      <c r="T51" s="19">
        <v>2.0</v>
      </c>
      <c r="U51" s="19">
        <v>1.0</v>
      </c>
      <c r="V51" s="19">
        <v>0.0</v>
      </c>
      <c r="W51" s="19">
        <v>2.0</v>
      </c>
      <c r="X51" s="19">
        <v>1.0</v>
      </c>
      <c r="Y51" s="19">
        <v>1.0</v>
      </c>
      <c r="Z51" s="19">
        <v>2.0</v>
      </c>
      <c r="AA51" s="19">
        <v>5.0</v>
      </c>
      <c r="AB51" s="19">
        <v>3.0</v>
      </c>
      <c r="AC51" s="19">
        <v>2.0</v>
      </c>
      <c r="AD51" s="19">
        <v>3.0</v>
      </c>
      <c r="AE51" s="19">
        <v>4.0</v>
      </c>
      <c r="AF51" s="19">
        <v>2.0</v>
      </c>
      <c r="AG51" s="19">
        <v>4.0</v>
      </c>
      <c r="AH51" s="19">
        <v>1.0</v>
      </c>
      <c r="AI51" s="19">
        <v>2.0</v>
      </c>
      <c r="AJ51" s="19">
        <v>4.0</v>
      </c>
      <c r="AK51" s="19">
        <v>1.0</v>
      </c>
      <c r="AL51" s="19">
        <v>2.0</v>
      </c>
      <c r="AM51" s="19">
        <v>0.0</v>
      </c>
      <c r="AN51" s="19">
        <v>3.0</v>
      </c>
      <c r="AO51" s="19">
        <v>7.0</v>
      </c>
      <c r="AP51" s="19">
        <v>6.0</v>
      </c>
      <c r="AQ51" s="19">
        <v>2.0</v>
      </c>
      <c r="AR51" s="19">
        <v>6.0</v>
      </c>
      <c r="AS51" s="19">
        <v>2.0</v>
      </c>
      <c r="AT51" s="19">
        <v>2.0</v>
      </c>
      <c r="AU51" s="19">
        <v>2.0</v>
      </c>
      <c r="AV51" s="19">
        <v>4.0</v>
      </c>
      <c r="AW51" s="13">
        <f t="shared" si="14"/>
        <v>116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3.0</v>
      </c>
      <c r="F52" s="19">
        <v>2.0</v>
      </c>
      <c r="G52" s="19">
        <v>6.0</v>
      </c>
      <c r="H52" s="19">
        <v>3.0</v>
      </c>
      <c r="I52" s="19">
        <v>4.0</v>
      </c>
      <c r="J52" s="19">
        <v>2.0</v>
      </c>
      <c r="K52" s="19">
        <v>1.0</v>
      </c>
      <c r="L52" s="19">
        <v>4.0</v>
      </c>
      <c r="M52" s="19">
        <v>3.0</v>
      </c>
      <c r="N52" s="19">
        <v>4.0</v>
      </c>
      <c r="O52" s="19">
        <v>2.0</v>
      </c>
      <c r="P52" s="19">
        <v>3.0</v>
      </c>
      <c r="Q52" s="19">
        <v>3.0</v>
      </c>
      <c r="R52" s="19">
        <v>2.0</v>
      </c>
      <c r="S52" s="19">
        <v>1.0</v>
      </c>
      <c r="T52" s="19">
        <v>1.0</v>
      </c>
      <c r="U52" s="19">
        <v>3.0</v>
      </c>
      <c r="V52" s="19">
        <v>2.0</v>
      </c>
      <c r="W52" s="19">
        <v>2.0</v>
      </c>
      <c r="X52" s="19">
        <v>2.0</v>
      </c>
      <c r="Y52" s="19">
        <v>4.0</v>
      </c>
      <c r="Z52" s="19">
        <v>5.0</v>
      </c>
      <c r="AA52" s="19">
        <v>3.0</v>
      </c>
      <c r="AB52" s="19">
        <v>9.0</v>
      </c>
      <c r="AC52" s="19">
        <v>3.0</v>
      </c>
      <c r="AD52" s="19">
        <v>6.0</v>
      </c>
      <c r="AE52" s="19">
        <v>4.0</v>
      </c>
      <c r="AF52" s="19">
        <v>1.0</v>
      </c>
      <c r="AG52" s="19">
        <v>1.0</v>
      </c>
      <c r="AH52" s="19">
        <v>2.0</v>
      </c>
      <c r="AI52" s="19">
        <v>2.0</v>
      </c>
      <c r="AJ52" s="19">
        <v>3.0</v>
      </c>
      <c r="AK52" s="19">
        <v>4.0</v>
      </c>
      <c r="AL52" s="19">
        <v>5.0</v>
      </c>
      <c r="AM52" s="19">
        <v>5.0</v>
      </c>
      <c r="AN52" s="19">
        <v>6.0</v>
      </c>
      <c r="AO52" s="19">
        <v>1.0</v>
      </c>
      <c r="AP52" s="19">
        <v>5.0</v>
      </c>
      <c r="AQ52" s="19">
        <v>4.0</v>
      </c>
      <c r="AR52" s="19">
        <v>1.0</v>
      </c>
      <c r="AS52" s="19">
        <v>3.0</v>
      </c>
      <c r="AT52" s="19">
        <v>7.0</v>
      </c>
      <c r="AU52" s="19">
        <v>5.0</v>
      </c>
      <c r="AV52" s="19">
        <v>4.0</v>
      </c>
      <c r="AW52" s="13">
        <f t="shared" si="14"/>
        <v>146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2.0</v>
      </c>
      <c r="G53" s="19">
        <v>3.0</v>
      </c>
      <c r="H53" s="19">
        <v>1.0</v>
      </c>
      <c r="I53" s="19">
        <v>0.0</v>
      </c>
      <c r="J53" s="19">
        <v>1.0</v>
      </c>
      <c r="K53" s="19">
        <v>1.0</v>
      </c>
      <c r="L53" s="19">
        <v>1.0</v>
      </c>
      <c r="M53" s="19">
        <v>1.0</v>
      </c>
      <c r="N53" s="19">
        <v>0.0</v>
      </c>
      <c r="O53" s="19">
        <v>2.0</v>
      </c>
      <c r="P53" s="19">
        <v>0.0</v>
      </c>
      <c r="Q53" s="19">
        <v>0.0</v>
      </c>
      <c r="R53" s="19">
        <v>1.0</v>
      </c>
      <c r="S53" s="19">
        <v>0.0</v>
      </c>
      <c r="T53" s="19">
        <v>1.0</v>
      </c>
      <c r="U53" s="19">
        <v>2.0</v>
      </c>
      <c r="V53" s="19">
        <v>0.0</v>
      </c>
      <c r="W53" s="19">
        <v>0.0</v>
      </c>
      <c r="X53" s="19">
        <v>1.0</v>
      </c>
      <c r="Y53" s="19">
        <v>1.0</v>
      </c>
      <c r="Z53" s="19">
        <v>3.0</v>
      </c>
      <c r="AA53" s="19">
        <v>2.0</v>
      </c>
      <c r="AB53" s="19">
        <v>1.0</v>
      </c>
      <c r="AC53" s="19">
        <v>1.0</v>
      </c>
      <c r="AD53" s="19">
        <v>1.0</v>
      </c>
      <c r="AE53" s="19">
        <v>1.0</v>
      </c>
      <c r="AF53" s="19">
        <v>0.0</v>
      </c>
      <c r="AG53" s="19">
        <v>1.0</v>
      </c>
      <c r="AH53" s="19">
        <v>2.0</v>
      </c>
      <c r="AI53" s="19">
        <v>0.0</v>
      </c>
      <c r="AJ53" s="19">
        <v>1.0</v>
      </c>
      <c r="AK53" s="19">
        <v>0.0</v>
      </c>
      <c r="AL53" s="19">
        <v>1.0</v>
      </c>
      <c r="AM53" s="19">
        <v>0.0</v>
      </c>
      <c r="AN53" s="19">
        <v>1.0</v>
      </c>
      <c r="AO53" s="19">
        <v>1.0</v>
      </c>
      <c r="AP53" s="19">
        <v>2.0</v>
      </c>
      <c r="AQ53" s="19">
        <v>1.0</v>
      </c>
      <c r="AR53" s="19">
        <v>0.0</v>
      </c>
      <c r="AS53" s="19">
        <v>1.0</v>
      </c>
      <c r="AT53" s="19">
        <v>1.0</v>
      </c>
      <c r="AU53" s="19">
        <v>1.0</v>
      </c>
      <c r="AV53" s="19">
        <v>0.0</v>
      </c>
      <c r="AW53" s="13">
        <f t="shared" si="14"/>
        <v>41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24.0</v>
      </c>
      <c r="F54" s="19">
        <v>36.0</v>
      </c>
      <c r="G54" s="19">
        <v>26.0</v>
      </c>
      <c r="H54" s="19">
        <v>28.0</v>
      </c>
      <c r="I54" s="19">
        <v>17.0</v>
      </c>
      <c r="J54" s="19">
        <v>24.0</v>
      </c>
      <c r="K54" s="19">
        <v>19.0</v>
      </c>
      <c r="L54" s="19">
        <v>31.0</v>
      </c>
      <c r="M54" s="19">
        <v>22.0</v>
      </c>
      <c r="N54" s="19">
        <v>34.0</v>
      </c>
      <c r="O54" s="19">
        <v>37.0</v>
      </c>
      <c r="P54" s="19">
        <v>26.0</v>
      </c>
      <c r="Q54" s="19">
        <v>38.0</v>
      </c>
      <c r="R54" s="19">
        <v>29.0</v>
      </c>
      <c r="S54" s="19">
        <v>37.0</v>
      </c>
      <c r="T54" s="19">
        <v>32.0</v>
      </c>
      <c r="U54" s="19">
        <v>36.0</v>
      </c>
      <c r="V54" s="19">
        <v>20.0</v>
      </c>
      <c r="W54" s="19">
        <v>26.0</v>
      </c>
      <c r="X54" s="19">
        <v>20.0</v>
      </c>
      <c r="Y54" s="19">
        <v>23.0</v>
      </c>
      <c r="Z54" s="19">
        <v>24.0</v>
      </c>
      <c r="AA54" s="19">
        <v>26.0</v>
      </c>
      <c r="AB54" s="19">
        <v>25.0</v>
      </c>
      <c r="AC54" s="19">
        <v>28.0</v>
      </c>
      <c r="AD54" s="19">
        <v>33.0</v>
      </c>
      <c r="AE54" s="19">
        <v>25.0</v>
      </c>
      <c r="AF54" s="19">
        <v>36.0</v>
      </c>
      <c r="AG54" s="19">
        <v>32.0</v>
      </c>
      <c r="AH54" s="19">
        <v>25.0</v>
      </c>
      <c r="AI54" s="19">
        <v>16.0</v>
      </c>
      <c r="AJ54" s="19">
        <v>23.0</v>
      </c>
      <c r="AK54" s="19">
        <v>42.0</v>
      </c>
      <c r="AL54" s="19">
        <v>23.0</v>
      </c>
      <c r="AM54" s="19">
        <v>19.0</v>
      </c>
      <c r="AN54" s="19">
        <v>27.0</v>
      </c>
      <c r="AO54" s="19">
        <v>25.0</v>
      </c>
      <c r="AP54" s="19">
        <v>35.0</v>
      </c>
      <c r="AQ54" s="19">
        <v>39.0</v>
      </c>
      <c r="AR54" s="19">
        <v>25.0</v>
      </c>
      <c r="AS54" s="19">
        <v>37.0</v>
      </c>
      <c r="AT54" s="19">
        <v>26.0</v>
      </c>
      <c r="AU54" s="19">
        <v>33.0</v>
      </c>
      <c r="AV54" s="19">
        <v>32.0</v>
      </c>
      <c r="AW54" s="13">
        <f t="shared" si="14"/>
        <v>1241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0.0</v>
      </c>
      <c r="G55" s="19">
        <v>1.0</v>
      </c>
      <c r="H55" s="19">
        <v>2.0</v>
      </c>
      <c r="I55" s="19">
        <v>0.0</v>
      </c>
      <c r="J55" s="19">
        <v>1.0</v>
      </c>
      <c r="K55" s="19">
        <v>3.0</v>
      </c>
      <c r="L55" s="19">
        <v>0.0</v>
      </c>
      <c r="M55" s="19">
        <v>1.0</v>
      </c>
      <c r="N55" s="19">
        <v>1.0</v>
      </c>
      <c r="O55" s="19">
        <v>2.0</v>
      </c>
      <c r="P55" s="19">
        <v>0.0</v>
      </c>
      <c r="Q55" s="19">
        <v>1.0</v>
      </c>
      <c r="R55" s="19">
        <v>1.0</v>
      </c>
      <c r="S55" s="19">
        <v>0.0</v>
      </c>
      <c r="T55" s="19">
        <v>2.0</v>
      </c>
      <c r="U55" s="19">
        <v>3.0</v>
      </c>
      <c r="V55" s="19">
        <v>2.0</v>
      </c>
      <c r="W55" s="19">
        <v>0.0</v>
      </c>
      <c r="X55" s="19">
        <v>1.0</v>
      </c>
      <c r="Y55" s="19">
        <v>2.0</v>
      </c>
      <c r="Z55" s="19">
        <v>0.0</v>
      </c>
      <c r="AA55" s="19">
        <v>1.0</v>
      </c>
      <c r="AB55" s="19">
        <v>0.0</v>
      </c>
      <c r="AC55" s="19">
        <v>1.0</v>
      </c>
      <c r="AD55" s="19">
        <v>1.0</v>
      </c>
      <c r="AE55" s="19">
        <v>4.0</v>
      </c>
      <c r="AF55" s="19">
        <v>0.0</v>
      </c>
      <c r="AG55" s="19">
        <v>1.0</v>
      </c>
      <c r="AH55" s="19">
        <v>1.0</v>
      </c>
      <c r="AI55" s="19">
        <v>0.0</v>
      </c>
      <c r="AJ55" s="19">
        <v>1.0</v>
      </c>
      <c r="AK55" s="19">
        <v>0.0</v>
      </c>
      <c r="AL55" s="19">
        <v>3.0</v>
      </c>
      <c r="AM55" s="19">
        <v>0.0</v>
      </c>
      <c r="AN55" s="19">
        <v>5.0</v>
      </c>
      <c r="AO55" s="19">
        <v>3.0</v>
      </c>
      <c r="AP55" s="19">
        <v>4.0</v>
      </c>
      <c r="AQ55" s="19">
        <v>1.0</v>
      </c>
      <c r="AR55" s="19">
        <v>2.0</v>
      </c>
      <c r="AS55" s="19">
        <v>0.0</v>
      </c>
      <c r="AT55" s="19">
        <v>0.0</v>
      </c>
      <c r="AU55" s="19">
        <v>0.0</v>
      </c>
      <c r="AV55" s="19">
        <v>0.0</v>
      </c>
      <c r="AW55" s="13">
        <f t="shared" si="14"/>
        <v>51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26.0</v>
      </c>
      <c r="F56" s="19">
        <v>34.0</v>
      </c>
      <c r="G56" s="19">
        <v>28.0</v>
      </c>
      <c r="H56" s="19">
        <v>16.0</v>
      </c>
      <c r="I56" s="19">
        <v>16.0</v>
      </c>
      <c r="J56" s="19">
        <v>20.0</v>
      </c>
      <c r="K56" s="19">
        <v>14.0</v>
      </c>
      <c r="L56" s="19">
        <v>24.0</v>
      </c>
      <c r="M56" s="19">
        <v>18.0</v>
      </c>
      <c r="N56" s="19">
        <v>25.0</v>
      </c>
      <c r="O56" s="19">
        <v>18.0</v>
      </c>
      <c r="P56" s="19">
        <v>13.0</v>
      </c>
      <c r="Q56" s="19">
        <v>17.0</v>
      </c>
      <c r="R56" s="19">
        <v>34.0</v>
      </c>
      <c r="S56" s="19">
        <v>21.0</v>
      </c>
      <c r="T56" s="19">
        <v>15.0</v>
      </c>
      <c r="U56" s="19">
        <v>33.0</v>
      </c>
      <c r="V56" s="19">
        <v>46.0</v>
      </c>
      <c r="W56" s="19">
        <v>28.0</v>
      </c>
      <c r="X56" s="19">
        <v>12.0</v>
      </c>
      <c r="Y56" s="19">
        <v>17.0</v>
      </c>
      <c r="Z56" s="19">
        <v>18.0</v>
      </c>
      <c r="AA56" s="19">
        <v>21.0</v>
      </c>
      <c r="AB56" s="19">
        <v>17.0</v>
      </c>
      <c r="AC56" s="19">
        <v>28.0</v>
      </c>
      <c r="AD56" s="19">
        <v>18.0</v>
      </c>
      <c r="AE56" s="19">
        <v>17.0</v>
      </c>
      <c r="AF56" s="19">
        <v>13.0</v>
      </c>
      <c r="AG56" s="19">
        <v>24.0</v>
      </c>
      <c r="AH56" s="19">
        <v>28.0</v>
      </c>
      <c r="AI56" s="19">
        <v>27.0</v>
      </c>
      <c r="AJ56" s="19">
        <v>10.0</v>
      </c>
      <c r="AK56" s="19">
        <v>16.0</v>
      </c>
      <c r="AL56" s="19">
        <v>26.0</v>
      </c>
      <c r="AM56" s="19">
        <v>17.0</v>
      </c>
      <c r="AN56" s="19">
        <v>34.0</v>
      </c>
      <c r="AO56" s="19">
        <v>26.0</v>
      </c>
      <c r="AP56" s="19">
        <v>17.0</v>
      </c>
      <c r="AQ56" s="19">
        <v>43.0</v>
      </c>
      <c r="AR56" s="19">
        <v>22.0</v>
      </c>
      <c r="AS56" s="19">
        <v>20.0</v>
      </c>
      <c r="AT56" s="19">
        <v>18.0</v>
      </c>
      <c r="AU56" s="19">
        <v>35.0</v>
      </c>
      <c r="AV56" s="19">
        <v>22.0</v>
      </c>
      <c r="AW56" s="13">
        <f t="shared" si="14"/>
        <v>992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4.0</v>
      </c>
      <c r="G57" s="19">
        <v>2.0</v>
      </c>
      <c r="H57" s="19">
        <v>1.0</v>
      </c>
      <c r="I57" s="19">
        <v>1.0</v>
      </c>
      <c r="J57" s="19">
        <v>3.0</v>
      </c>
      <c r="K57" s="19">
        <v>1.0</v>
      </c>
      <c r="L57" s="19">
        <v>1.0</v>
      </c>
      <c r="M57" s="19">
        <v>0.0</v>
      </c>
      <c r="N57" s="19">
        <v>2.0</v>
      </c>
      <c r="O57" s="19">
        <v>6.0</v>
      </c>
      <c r="P57" s="19">
        <v>3.0</v>
      </c>
      <c r="Q57" s="19">
        <v>3.0</v>
      </c>
      <c r="R57" s="19">
        <v>2.0</v>
      </c>
      <c r="S57" s="19">
        <v>2.0</v>
      </c>
      <c r="T57" s="19">
        <v>2.0</v>
      </c>
      <c r="U57" s="19">
        <v>0.0</v>
      </c>
      <c r="V57" s="19">
        <v>4.0</v>
      </c>
      <c r="W57" s="19">
        <v>1.0</v>
      </c>
      <c r="X57" s="19">
        <v>3.0</v>
      </c>
      <c r="Y57" s="19">
        <v>4.0</v>
      </c>
      <c r="Z57" s="19">
        <v>3.0</v>
      </c>
      <c r="AA57" s="19">
        <v>1.0</v>
      </c>
      <c r="AB57" s="19">
        <v>3.0</v>
      </c>
      <c r="AC57" s="19">
        <v>1.0</v>
      </c>
      <c r="AD57" s="19">
        <v>0.0</v>
      </c>
      <c r="AE57" s="19">
        <v>3.0</v>
      </c>
      <c r="AF57" s="19">
        <v>2.0</v>
      </c>
      <c r="AG57" s="19">
        <v>4.0</v>
      </c>
      <c r="AH57" s="19">
        <v>1.0</v>
      </c>
      <c r="AI57" s="19">
        <v>1.0</v>
      </c>
      <c r="AJ57" s="19">
        <v>2.0</v>
      </c>
      <c r="AK57" s="19">
        <v>3.0</v>
      </c>
      <c r="AL57" s="19">
        <v>1.0</v>
      </c>
      <c r="AM57" s="19">
        <v>0.0</v>
      </c>
      <c r="AN57" s="19">
        <v>4.0</v>
      </c>
      <c r="AO57" s="19">
        <v>4.0</v>
      </c>
      <c r="AP57" s="19">
        <v>1.0</v>
      </c>
      <c r="AQ57" s="19">
        <v>1.0</v>
      </c>
      <c r="AR57" s="19">
        <v>5.0</v>
      </c>
      <c r="AS57" s="19">
        <v>2.0</v>
      </c>
      <c r="AT57" s="19">
        <v>1.0</v>
      </c>
      <c r="AU57" s="19">
        <v>0.0</v>
      </c>
      <c r="AV57" s="19">
        <v>1.0</v>
      </c>
      <c r="AW57" s="13">
        <f t="shared" si="14"/>
        <v>91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V60" si="15">SUM(E45:E57)</f>
        <v>171</v>
      </c>
      <c r="F60" s="19">
        <f t="shared" si="15"/>
        <v>189</v>
      </c>
      <c r="G60" s="19">
        <f t="shared" si="15"/>
        <v>187</v>
      </c>
      <c r="H60" s="19">
        <f t="shared" si="15"/>
        <v>187</v>
      </c>
      <c r="I60" s="19">
        <f t="shared" si="15"/>
        <v>153</v>
      </c>
      <c r="J60" s="19">
        <f t="shared" si="15"/>
        <v>169</v>
      </c>
      <c r="K60" s="19">
        <f t="shared" si="15"/>
        <v>161</v>
      </c>
      <c r="L60" s="19">
        <f t="shared" si="15"/>
        <v>175</v>
      </c>
      <c r="M60" s="19">
        <f t="shared" si="15"/>
        <v>165</v>
      </c>
      <c r="N60" s="19">
        <f t="shared" si="15"/>
        <v>161</v>
      </c>
      <c r="O60" s="19">
        <f t="shared" si="15"/>
        <v>158</v>
      </c>
      <c r="P60" s="19">
        <f t="shared" si="15"/>
        <v>165</v>
      </c>
      <c r="Q60" s="19">
        <f t="shared" si="15"/>
        <v>161</v>
      </c>
      <c r="R60" s="19">
        <f t="shared" si="15"/>
        <v>192</v>
      </c>
      <c r="S60" s="19">
        <f t="shared" si="15"/>
        <v>175</v>
      </c>
      <c r="T60" s="19">
        <f t="shared" si="15"/>
        <v>150</v>
      </c>
      <c r="U60" s="19">
        <f t="shared" si="15"/>
        <v>201</v>
      </c>
      <c r="V60" s="19">
        <f t="shared" si="15"/>
        <v>201</v>
      </c>
      <c r="W60" s="19">
        <f t="shared" si="15"/>
        <v>180</v>
      </c>
      <c r="X60" s="19">
        <f t="shared" si="15"/>
        <v>139</v>
      </c>
      <c r="Y60" s="19">
        <f t="shared" si="15"/>
        <v>148</v>
      </c>
      <c r="Z60" s="19">
        <f t="shared" si="15"/>
        <v>154</v>
      </c>
      <c r="AA60" s="19">
        <f t="shared" si="15"/>
        <v>149</v>
      </c>
      <c r="AB60" s="19">
        <f t="shared" si="15"/>
        <v>164</v>
      </c>
      <c r="AC60" s="19">
        <f t="shared" si="15"/>
        <v>175</v>
      </c>
      <c r="AD60" s="19">
        <f t="shared" si="15"/>
        <v>163</v>
      </c>
      <c r="AE60" s="19">
        <f t="shared" si="15"/>
        <v>145</v>
      </c>
      <c r="AF60" s="19">
        <f t="shared" si="15"/>
        <v>156</v>
      </c>
      <c r="AG60" s="19">
        <f t="shared" si="15"/>
        <v>166</v>
      </c>
      <c r="AH60" s="19">
        <f t="shared" si="15"/>
        <v>175</v>
      </c>
      <c r="AI60" s="19">
        <f t="shared" si="15"/>
        <v>144</v>
      </c>
      <c r="AJ60" s="19">
        <f t="shared" si="15"/>
        <v>163</v>
      </c>
      <c r="AK60" s="19">
        <f t="shared" si="15"/>
        <v>155</v>
      </c>
      <c r="AL60" s="19">
        <f t="shared" si="15"/>
        <v>194</v>
      </c>
      <c r="AM60" s="19">
        <f t="shared" si="15"/>
        <v>164</v>
      </c>
      <c r="AN60" s="19">
        <f t="shared" si="15"/>
        <v>194</v>
      </c>
      <c r="AO60" s="19">
        <f t="shared" si="15"/>
        <v>203</v>
      </c>
      <c r="AP60" s="19">
        <f t="shared" si="15"/>
        <v>165</v>
      </c>
      <c r="AQ60" s="19">
        <f t="shared" si="15"/>
        <v>209</v>
      </c>
      <c r="AR60" s="19">
        <f t="shared" si="15"/>
        <v>167</v>
      </c>
      <c r="AS60" s="19">
        <f t="shared" si="15"/>
        <v>162</v>
      </c>
      <c r="AT60" s="19">
        <f t="shared" si="15"/>
        <v>148</v>
      </c>
      <c r="AU60" s="19">
        <f t="shared" si="15"/>
        <v>152</v>
      </c>
      <c r="AV60" s="19">
        <f t="shared" si="15"/>
        <v>186</v>
      </c>
      <c r="AW60" s="13">
        <f t="shared" ref="AW60:AW62" si="16">SUM(E60:AV60)</f>
        <v>7441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21.0</v>
      </c>
      <c r="F61" s="19">
        <v>27.0</v>
      </c>
      <c r="G61" s="19">
        <v>26.0</v>
      </c>
      <c r="H61" s="19">
        <v>21.0</v>
      </c>
      <c r="I61" s="19">
        <v>45.0</v>
      </c>
      <c r="J61" s="19">
        <v>46.0</v>
      </c>
      <c r="K61" s="19">
        <v>39.0</v>
      </c>
      <c r="L61" s="19">
        <v>39.0</v>
      </c>
      <c r="M61" s="19">
        <v>32.0</v>
      </c>
      <c r="N61" s="19">
        <v>38.0</v>
      </c>
      <c r="O61" s="19">
        <v>43.0</v>
      </c>
      <c r="P61" s="19">
        <v>46.0</v>
      </c>
      <c r="Q61" s="19">
        <v>45.0</v>
      </c>
      <c r="R61" s="19">
        <v>48.0</v>
      </c>
      <c r="S61" s="19">
        <v>31.0</v>
      </c>
      <c r="T61" s="19">
        <v>40.0</v>
      </c>
      <c r="U61" s="19">
        <v>31.0</v>
      </c>
      <c r="V61" s="19">
        <v>27.0</v>
      </c>
      <c r="W61" s="19">
        <v>37.0</v>
      </c>
      <c r="X61" s="19">
        <v>75.0</v>
      </c>
      <c r="Y61" s="19">
        <v>35.0</v>
      </c>
      <c r="Z61" s="19">
        <v>54.0</v>
      </c>
      <c r="AA61" s="19">
        <v>37.0</v>
      </c>
      <c r="AB61" s="19">
        <v>38.0</v>
      </c>
      <c r="AC61" s="19">
        <v>45.0</v>
      </c>
      <c r="AD61" s="19">
        <v>33.0</v>
      </c>
      <c r="AE61" s="19">
        <v>60.0</v>
      </c>
      <c r="AF61" s="19">
        <v>55.0</v>
      </c>
      <c r="AG61" s="19">
        <v>39.0</v>
      </c>
      <c r="AH61" s="19">
        <v>45.0</v>
      </c>
      <c r="AI61" s="19">
        <v>22.0</v>
      </c>
      <c r="AJ61" s="19">
        <v>29.0</v>
      </c>
      <c r="AK61" s="19">
        <v>36.0</v>
      </c>
      <c r="AL61" s="19">
        <v>30.0</v>
      </c>
      <c r="AM61" s="19">
        <v>47.0</v>
      </c>
      <c r="AN61" s="19">
        <v>19.0</v>
      </c>
      <c r="AO61" s="19">
        <v>29.0</v>
      </c>
      <c r="AP61" s="19">
        <v>58.0</v>
      </c>
      <c r="AQ61" s="19">
        <v>16.0</v>
      </c>
      <c r="AR61" s="19">
        <v>43.0</v>
      </c>
      <c r="AS61" s="19">
        <v>38.0</v>
      </c>
      <c r="AT61" s="19">
        <v>67.0</v>
      </c>
      <c r="AU61" s="19">
        <v>55.0</v>
      </c>
      <c r="AV61" s="19">
        <v>46.0</v>
      </c>
      <c r="AW61" s="13">
        <f t="shared" si="16"/>
        <v>1733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V62" si="17">SUM(E60:E61)</f>
        <v>192</v>
      </c>
      <c r="F62" s="13">
        <f t="shared" si="17"/>
        <v>216</v>
      </c>
      <c r="G62" s="13">
        <f t="shared" si="17"/>
        <v>213</v>
      </c>
      <c r="H62" s="13">
        <f t="shared" si="17"/>
        <v>208</v>
      </c>
      <c r="I62" s="13">
        <f t="shared" si="17"/>
        <v>198</v>
      </c>
      <c r="J62" s="13">
        <f t="shared" si="17"/>
        <v>215</v>
      </c>
      <c r="K62" s="13">
        <f t="shared" si="17"/>
        <v>200</v>
      </c>
      <c r="L62" s="13">
        <f t="shared" si="17"/>
        <v>214</v>
      </c>
      <c r="M62" s="13">
        <f t="shared" si="17"/>
        <v>197</v>
      </c>
      <c r="N62" s="13">
        <f t="shared" si="17"/>
        <v>199</v>
      </c>
      <c r="O62" s="13">
        <f t="shared" si="17"/>
        <v>201</v>
      </c>
      <c r="P62" s="13">
        <f t="shared" si="17"/>
        <v>211</v>
      </c>
      <c r="Q62" s="13">
        <f t="shared" si="17"/>
        <v>206</v>
      </c>
      <c r="R62" s="13">
        <f t="shared" si="17"/>
        <v>240</v>
      </c>
      <c r="S62" s="13">
        <f t="shared" si="17"/>
        <v>206</v>
      </c>
      <c r="T62" s="13">
        <f t="shared" si="17"/>
        <v>190</v>
      </c>
      <c r="U62" s="13">
        <f t="shared" si="17"/>
        <v>232</v>
      </c>
      <c r="V62" s="13">
        <f t="shared" si="17"/>
        <v>228</v>
      </c>
      <c r="W62" s="13">
        <f t="shared" si="17"/>
        <v>217</v>
      </c>
      <c r="X62" s="13">
        <f t="shared" si="17"/>
        <v>214</v>
      </c>
      <c r="Y62" s="13">
        <f t="shared" si="17"/>
        <v>183</v>
      </c>
      <c r="Z62" s="13">
        <f t="shared" si="17"/>
        <v>208</v>
      </c>
      <c r="AA62" s="13">
        <f t="shared" si="17"/>
        <v>186</v>
      </c>
      <c r="AB62" s="13">
        <f t="shared" si="17"/>
        <v>202</v>
      </c>
      <c r="AC62" s="13">
        <f t="shared" si="17"/>
        <v>220</v>
      </c>
      <c r="AD62" s="13">
        <f t="shared" si="17"/>
        <v>196</v>
      </c>
      <c r="AE62" s="13">
        <f t="shared" si="17"/>
        <v>205</v>
      </c>
      <c r="AF62" s="13">
        <f t="shared" si="17"/>
        <v>211</v>
      </c>
      <c r="AG62" s="13">
        <f t="shared" si="17"/>
        <v>205</v>
      </c>
      <c r="AH62" s="13">
        <f t="shared" si="17"/>
        <v>220</v>
      </c>
      <c r="AI62" s="13">
        <f t="shared" si="17"/>
        <v>166</v>
      </c>
      <c r="AJ62" s="13">
        <f t="shared" si="17"/>
        <v>192</v>
      </c>
      <c r="AK62" s="13">
        <f t="shared" si="17"/>
        <v>191</v>
      </c>
      <c r="AL62" s="13">
        <f t="shared" si="17"/>
        <v>224</v>
      </c>
      <c r="AM62" s="13">
        <f t="shared" si="17"/>
        <v>211</v>
      </c>
      <c r="AN62" s="13">
        <f t="shared" si="17"/>
        <v>213</v>
      </c>
      <c r="AO62" s="13">
        <f t="shared" si="17"/>
        <v>232</v>
      </c>
      <c r="AP62" s="13">
        <f t="shared" si="17"/>
        <v>223</v>
      </c>
      <c r="AQ62" s="13">
        <f t="shared" si="17"/>
        <v>225</v>
      </c>
      <c r="AR62" s="13">
        <f t="shared" si="17"/>
        <v>210</v>
      </c>
      <c r="AS62" s="13">
        <f t="shared" si="17"/>
        <v>200</v>
      </c>
      <c r="AT62" s="13">
        <f t="shared" si="17"/>
        <v>215</v>
      </c>
      <c r="AU62" s="13">
        <f t="shared" si="17"/>
        <v>207</v>
      </c>
      <c r="AV62" s="13">
        <f t="shared" si="17"/>
        <v>232</v>
      </c>
      <c r="AW62" s="13">
        <f t="shared" si="16"/>
        <v>9174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V12"/>
    <mergeCell ref="AW12:A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Q37"/>
    <mergeCell ref="B38:D38"/>
    <mergeCell ref="B39:C41"/>
    <mergeCell ref="A42:D42"/>
    <mergeCell ref="E42:AQ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14:AV15 E45:AV57">
    <cfRule type="containsBlanks" dxfId="1" priority="1">
      <formula>LEN(TRIM(E14))=0</formula>
    </cfRule>
  </conditionalFormatting>
  <conditionalFormatting sqref="E19:AV20">
    <cfRule type="containsBlanks" dxfId="1" priority="2">
      <formula>LEN(TRIM(E19))=0</formula>
    </cfRule>
  </conditionalFormatting>
  <conditionalFormatting sqref="E22:AV23 E25:AV26 E33:AV33 E35:AV35 E39:AV40">
    <cfRule type="containsBlanks" dxfId="1" priority="3">
      <formula>LEN(TRIM(E22))=0</formula>
    </cfRule>
  </conditionalFormatting>
  <conditionalFormatting sqref="E30:AV30">
    <cfRule type="expression" dxfId="0" priority="4">
      <formula>E30&lt;&gt;E46</formula>
    </cfRule>
  </conditionalFormatting>
  <conditionalFormatting sqref="E30:AV30">
    <cfRule type="expression" dxfId="0" priority="5">
      <formula>E30&lt;&gt;E34</formula>
    </cfRule>
  </conditionalFormatting>
  <conditionalFormatting sqref="E34:AV34">
    <cfRule type="expression" dxfId="2" priority="6">
      <formula>E30&lt;&gt;E34</formula>
    </cfRule>
  </conditionalFormatting>
  <conditionalFormatting sqref="E34:AV34">
    <cfRule type="expression" dxfId="3" priority="7">
      <formula>E30=E34</formula>
    </cfRule>
  </conditionalFormatting>
  <conditionalFormatting sqref="E34:AV34">
    <cfRule type="expression" dxfId="0" priority="8">
      <formula>E34&lt;&gt;E30</formula>
    </cfRule>
  </conditionalFormatting>
  <conditionalFormatting sqref="E34:AV34">
    <cfRule type="expression" dxfId="0" priority="9">
      <formula>E34&lt;&gt;#REF!</formula>
    </cfRule>
  </conditionalFormatting>
  <conditionalFormatting sqref="E60:AV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116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13" t="s">
        <v>96</v>
      </c>
      <c r="AG13" s="13" t="s">
        <v>97</v>
      </c>
      <c r="AH13" s="36"/>
    </row>
    <row r="14" ht="12.75" customHeight="1">
      <c r="A14" s="18"/>
      <c r="B14" s="22" t="s">
        <v>11</v>
      </c>
      <c r="C14" s="23"/>
      <c r="D14" s="19" t="s">
        <v>12</v>
      </c>
      <c r="E14" s="19">
        <v>147.0</v>
      </c>
      <c r="F14" s="19">
        <v>147.0</v>
      </c>
      <c r="G14" s="19">
        <v>148.0</v>
      </c>
      <c r="H14" s="19">
        <v>148.0</v>
      </c>
      <c r="I14" s="19">
        <v>133.0</v>
      </c>
      <c r="J14" s="19">
        <v>145.0</v>
      </c>
      <c r="K14" s="19">
        <v>143.0</v>
      </c>
      <c r="L14" s="19">
        <v>127.0</v>
      </c>
      <c r="M14" s="19">
        <v>135.0</v>
      </c>
      <c r="N14" s="19">
        <v>137.0</v>
      </c>
      <c r="O14" s="19">
        <v>145.0</v>
      </c>
      <c r="P14" s="19">
        <v>148.0</v>
      </c>
      <c r="Q14" s="19">
        <v>151.0</v>
      </c>
      <c r="R14" s="19">
        <v>147.0</v>
      </c>
      <c r="S14" s="19">
        <v>151.0</v>
      </c>
      <c r="T14" s="19">
        <v>141.0</v>
      </c>
      <c r="U14" s="19">
        <v>129.0</v>
      </c>
      <c r="V14" s="19">
        <v>143.0</v>
      </c>
      <c r="W14" s="19">
        <v>141.0</v>
      </c>
      <c r="X14" s="19">
        <v>134.0</v>
      </c>
      <c r="Y14" s="19">
        <v>144.0</v>
      </c>
      <c r="Z14" s="19">
        <v>147.0</v>
      </c>
      <c r="AA14" s="19">
        <v>131.0</v>
      </c>
      <c r="AB14" s="19">
        <v>140.0</v>
      </c>
      <c r="AC14" s="19">
        <v>146.0</v>
      </c>
      <c r="AD14" s="19">
        <v>137.0</v>
      </c>
      <c r="AE14" s="19">
        <v>137.0</v>
      </c>
      <c r="AF14" s="19">
        <v>117.0</v>
      </c>
      <c r="AG14" s="19">
        <v>71.0</v>
      </c>
      <c r="AH14" s="13">
        <f t="shared" ref="AH14:AH16" si="1">SUM(E14:AG14)</f>
        <v>4010</v>
      </c>
    </row>
    <row r="15" ht="12.75" customHeight="1">
      <c r="A15" s="18"/>
      <c r="B15" s="26"/>
      <c r="C15" s="27"/>
      <c r="D15" s="19" t="s">
        <v>13</v>
      </c>
      <c r="E15" s="19">
        <v>132.0</v>
      </c>
      <c r="F15" s="19">
        <v>131.0</v>
      </c>
      <c r="G15" s="19">
        <v>143.0</v>
      </c>
      <c r="H15" s="19">
        <v>148.0</v>
      </c>
      <c r="I15" s="19">
        <v>146.0</v>
      </c>
      <c r="J15" s="19">
        <v>137.0</v>
      </c>
      <c r="K15" s="19">
        <v>138.0</v>
      </c>
      <c r="L15" s="19">
        <v>130.0</v>
      </c>
      <c r="M15" s="19">
        <v>149.0</v>
      </c>
      <c r="N15" s="19">
        <v>137.0</v>
      </c>
      <c r="O15" s="19">
        <v>153.0</v>
      </c>
      <c r="P15" s="19">
        <v>149.0</v>
      </c>
      <c r="Q15" s="19">
        <v>139.0</v>
      </c>
      <c r="R15" s="19">
        <v>150.0</v>
      </c>
      <c r="S15" s="19">
        <v>139.0</v>
      </c>
      <c r="T15" s="19">
        <v>152.0</v>
      </c>
      <c r="U15" s="19">
        <v>145.0</v>
      </c>
      <c r="V15" s="19">
        <v>127.0</v>
      </c>
      <c r="W15" s="19">
        <v>132.0</v>
      </c>
      <c r="X15" s="19">
        <v>139.0</v>
      </c>
      <c r="Y15" s="19">
        <v>148.0</v>
      </c>
      <c r="Z15" s="19">
        <v>135.0</v>
      </c>
      <c r="AA15" s="19">
        <v>141.0</v>
      </c>
      <c r="AB15" s="19">
        <v>136.0</v>
      </c>
      <c r="AC15" s="19">
        <v>140.0</v>
      </c>
      <c r="AD15" s="19">
        <v>133.0</v>
      </c>
      <c r="AE15" s="19">
        <v>139.0</v>
      </c>
      <c r="AF15" s="19">
        <v>94.0</v>
      </c>
      <c r="AG15" s="19">
        <v>75.0</v>
      </c>
      <c r="AH15" s="13">
        <f t="shared" si="1"/>
        <v>3957</v>
      </c>
    </row>
    <row r="16" ht="12.75" customHeight="1">
      <c r="A16" s="25"/>
      <c r="B16" s="21"/>
      <c r="C16" s="28"/>
      <c r="D16" s="13" t="s">
        <v>14</v>
      </c>
      <c r="E16" s="13">
        <f t="shared" ref="E16:AG16" si="2">SUM(E14:E15)</f>
        <v>279</v>
      </c>
      <c r="F16" s="13">
        <f t="shared" si="2"/>
        <v>278</v>
      </c>
      <c r="G16" s="13">
        <f t="shared" si="2"/>
        <v>291</v>
      </c>
      <c r="H16" s="13">
        <f t="shared" si="2"/>
        <v>296</v>
      </c>
      <c r="I16" s="13">
        <f t="shared" si="2"/>
        <v>279</v>
      </c>
      <c r="J16" s="13">
        <f t="shared" si="2"/>
        <v>282</v>
      </c>
      <c r="K16" s="13">
        <f t="shared" si="2"/>
        <v>281</v>
      </c>
      <c r="L16" s="13">
        <f t="shared" si="2"/>
        <v>257</v>
      </c>
      <c r="M16" s="13">
        <f t="shared" si="2"/>
        <v>284</v>
      </c>
      <c r="N16" s="13">
        <f t="shared" si="2"/>
        <v>274</v>
      </c>
      <c r="O16" s="13">
        <f t="shared" si="2"/>
        <v>298</v>
      </c>
      <c r="P16" s="13">
        <f t="shared" si="2"/>
        <v>297</v>
      </c>
      <c r="Q16" s="13">
        <f t="shared" si="2"/>
        <v>290</v>
      </c>
      <c r="R16" s="13">
        <f t="shared" si="2"/>
        <v>297</v>
      </c>
      <c r="S16" s="13">
        <f t="shared" si="2"/>
        <v>290</v>
      </c>
      <c r="T16" s="13">
        <f t="shared" si="2"/>
        <v>293</v>
      </c>
      <c r="U16" s="13">
        <f t="shared" si="2"/>
        <v>274</v>
      </c>
      <c r="V16" s="13">
        <f t="shared" si="2"/>
        <v>270</v>
      </c>
      <c r="W16" s="13">
        <f t="shared" si="2"/>
        <v>273</v>
      </c>
      <c r="X16" s="13">
        <f t="shared" si="2"/>
        <v>273</v>
      </c>
      <c r="Y16" s="13">
        <f t="shared" si="2"/>
        <v>292</v>
      </c>
      <c r="Z16" s="13">
        <f t="shared" si="2"/>
        <v>282</v>
      </c>
      <c r="AA16" s="13">
        <f t="shared" si="2"/>
        <v>272</v>
      </c>
      <c r="AB16" s="13">
        <f t="shared" si="2"/>
        <v>276</v>
      </c>
      <c r="AC16" s="13">
        <f t="shared" si="2"/>
        <v>286</v>
      </c>
      <c r="AD16" s="13">
        <f t="shared" si="2"/>
        <v>270</v>
      </c>
      <c r="AE16" s="13">
        <f t="shared" si="2"/>
        <v>276</v>
      </c>
      <c r="AF16" s="13">
        <f t="shared" si="2"/>
        <v>211</v>
      </c>
      <c r="AG16" s="13">
        <f t="shared" si="2"/>
        <v>146</v>
      </c>
      <c r="AH16" s="13">
        <f t="shared" si="1"/>
        <v>7967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115.0</v>
      </c>
      <c r="F19" s="19">
        <v>109.0</v>
      </c>
      <c r="G19" s="19">
        <v>124.0</v>
      </c>
      <c r="H19" s="19">
        <v>112.0</v>
      </c>
      <c r="I19" s="19">
        <v>102.0</v>
      </c>
      <c r="J19" s="19">
        <v>101.0</v>
      </c>
      <c r="K19" s="19">
        <v>107.0</v>
      </c>
      <c r="L19" s="19">
        <v>87.0</v>
      </c>
      <c r="M19" s="19">
        <v>104.0</v>
      </c>
      <c r="N19" s="19">
        <v>101.0</v>
      </c>
      <c r="O19" s="19">
        <v>104.0</v>
      </c>
      <c r="P19" s="19">
        <v>95.0</v>
      </c>
      <c r="Q19" s="19">
        <v>95.0</v>
      </c>
      <c r="R19" s="19">
        <v>113.0</v>
      </c>
      <c r="S19" s="19">
        <v>103.0</v>
      </c>
      <c r="T19" s="19">
        <v>107.0</v>
      </c>
      <c r="U19" s="19">
        <v>94.0</v>
      </c>
      <c r="V19" s="19">
        <v>110.0</v>
      </c>
      <c r="W19" s="19">
        <v>113.0</v>
      </c>
      <c r="X19" s="19">
        <v>102.0</v>
      </c>
      <c r="Y19" s="19">
        <v>107.0</v>
      </c>
      <c r="Z19" s="19">
        <v>108.0</v>
      </c>
      <c r="AA19" s="19">
        <v>96.0</v>
      </c>
      <c r="AB19" s="19">
        <v>104.0</v>
      </c>
      <c r="AC19" s="19">
        <v>113.0</v>
      </c>
      <c r="AD19" s="19">
        <v>101.0</v>
      </c>
      <c r="AE19" s="19">
        <v>102.0</v>
      </c>
      <c r="AF19" s="19">
        <v>88.0</v>
      </c>
      <c r="AG19" s="19">
        <v>53.0</v>
      </c>
      <c r="AH19" s="13">
        <f t="shared" ref="AH19:AH30" si="3">SUM(E19:AG19)</f>
        <v>2970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104.0</v>
      </c>
      <c r="G20" s="19">
        <v>120.0</v>
      </c>
      <c r="H20" s="19">
        <v>123.0</v>
      </c>
      <c r="I20" s="19">
        <v>116.0</v>
      </c>
      <c r="J20" s="19">
        <v>106.0</v>
      </c>
      <c r="K20" s="19">
        <v>109.0</v>
      </c>
      <c r="L20" s="19">
        <v>106.0</v>
      </c>
      <c r="M20" s="19">
        <v>121.0</v>
      </c>
      <c r="N20" s="19">
        <v>108.0</v>
      </c>
      <c r="O20" s="19">
        <v>122.0</v>
      </c>
      <c r="P20" s="19">
        <v>122.0</v>
      </c>
      <c r="Q20" s="19">
        <v>106.0</v>
      </c>
      <c r="R20" s="19">
        <v>130.0</v>
      </c>
      <c r="S20" s="19">
        <v>106.0</v>
      </c>
      <c r="T20" s="19">
        <v>117.0</v>
      </c>
      <c r="U20" s="19">
        <v>122.0</v>
      </c>
      <c r="V20" s="19">
        <v>108.0</v>
      </c>
      <c r="W20" s="19">
        <v>111.0</v>
      </c>
      <c r="X20" s="19">
        <v>112.0</v>
      </c>
      <c r="Y20" s="19">
        <v>124.0</v>
      </c>
      <c r="Z20" s="19">
        <v>102.0</v>
      </c>
      <c r="AA20" s="19">
        <v>104.0</v>
      </c>
      <c r="AB20" s="19">
        <v>113.0</v>
      </c>
      <c r="AC20" s="19">
        <v>115.0</v>
      </c>
      <c r="AD20" s="19">
        <v>105.0</v>
      </c>
      <c r="AE20" s="19">
        <v>117.0</v>
      </c>
      <c r="AF20" s="19">
        <v>71.0</v>
      </c>
      <c r="AG20" s="33">
        <v>60.0</v>
      </c>
      <c r="AH20" s="13">
        <f t="shared" si="3"/>
        <v>3189</v>
      </c>
    </row>
    <row r="21" ht="12.75" customHeight="1">
      <c r="A21" s="35"/>
      <c r="B21" s="28"/>
      <c r="C21" s="36"/>
      <c r="D21" s="13" t="s">
        <v>14</v>
      </c>
      <c r="E21" s="13">
        <f t="shared" ref="E21:AG21" si="4">SUM(E19:E20)</f>
        <v>224</v>
      </c>
      <c r="F21" s="13">
        <f t="shared" si="4"/>
        <v>213</v>
      </c>
      <c r="G21" s="13">
        <f t="shared" si="4"/>
        <v>244</v>
      </c>
      <c r="H21" s="13">
        <f t="shared" si="4"/>
        <v>235</v>
      </c>
      <c r="I21" s="13">
        <f t="shared" si="4"/>
        <v>218</v>
      </c>
      <c r="J21" s="13">
        <f t="shared" si="4"/>
        <v>207</v>
      </c>
      <c r="K21" s="13">
        <f t="shared" si="4"/>
        <v>216</v>
      </c>
      <c r="L21" s="13">
        <f t="shared" si="4"/>
        <v>193</v>
      </c>
      <c r="M21" s="13">
        <f t="shared" si="4"/>
        <v>225</v>
      </c>
      <c r="N21" s="13">
        <f t="shared" si="4"/>
        <v>209</v>
      </c>
      <c r="O21" s="13">
        <f t="shared" si="4"/>
        <v>226</v>
      </c>
      <c r="P21" s="13">
        <f t="shared" si="4"/>
        <v>217</v>
      </c>
      <c r="Q21" s="13">
        <f t="shared" si="4"/>
        <v>201</v>
      </c>
      <c r="R21" s="13">
        <f t="shared" si="4"/>
        <v>243</v>
      </c>
      <c r="S21" s="13">
        <f t="shared" si="4"/>
        <v>209</v>
      </c>
      <c r="T21" s="13">
        <f t="shared" si="4"/>
        <v>224</v>
      </c>
      <c r="U21" s="13">
        <f t="shared" si="4"/>
        <v>216</v>
      </c>
      <c r="V21" s="13">
        <f t="shared" si="4"/>
        <v>218</v>
      </c>
      <c r="W21" s="13">
        <f t="shared" si="4"/>
        <v>224</v>
      </c>
      <c r="X21" s="13">
        <f t="shared" si="4"/>
        <v>214</v>
      </c>
      <c r="Y21" s="13">
        <f t="shared" si="4"/>
        <v>231</v>
      </c>
      <c r="Z21" s="13">
        <f t="shared" si="4"/>
        <v>210</v>
      </c>
      <c r="AA21" s="13">
        <f t="shared" si="4"/>
        <v>200</v>
      </c>
      <c r="AB21" s="13">
        <f t="shared" si="4"/>
        <v>217</v>
      </c>
      <c r="AC21" s="13">
        <f t="shared" si="4"/>
        <v>228</v>
      </c>
      <c r="AD21" s="13">
        <f t="shared" si="4"/>
        <v>206</v>
      </c>
      <c r="AE21" s="13">
        <f t="shared" si="4"/>
        <v>219</v>
      </c>
      <c r="AF21" s="13">
        <f t="shared" si="4"/>
        <v>159</v>
      </c>
      <c r="AG21" s="13">
        <f t="shared" si="4"/>
        <v>113</v>
      </c>
      <c r="AH21" s="13">
        <f t="shared" si="3"/>
        <v>6159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1.0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3.0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G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3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0.0</v>
      </c>
      <c r="H25" s="19">
        <v>5.0</v>
      </c>
      <c r="I25" s="19">
        <v>0.0</v>
      </c>
      <c r="J25" s="19">
        <v>5.0</v>
      </c>
      <c r="K25" s="19">
        <v>1.0</v>
      </c>
      <c r="L25" s="19">
        <v>2.0</v>
      </c>
      <c r="M25" s="19">
        <v>0.0</v>
      </c>
      <c r="N25" s="19">
        <v>1.0</v>
      </c>
      <c r="O25" s="19">
        <v>0.0</v>
      </c>
      <c r="P25" s="19">
        <v>0.0</v>
      </c>
      <c r="Q25" s="19">
        <v>1.0</v>
      </c>
      <c r="R25" s="19">
        <v>0.0</v>
      </c>
      <c r="S25" s="19">
        <v>1.0</v>
      </c>
      <c r="T25" s="19">
        <v>5.0</v>
      </c>
      <c r="U25" s="19">
        <v>6.0</v>
      </c>
      <c r="V25" s="19">
        <v>1.0</v>
      </c>
      <c r="W25" s="19">
        <v>0.0</v>
      </c>
      <c r="X25" s="19">
        <v>2.0</v>
      </c>
      <c r="Y25" s="19">
        <v>0.0</v>
      </c>
      <c r="Z25" s="19">
        <v>1.0</v>
      </c>
      <c r="AA25" s="19">
        <v>1.0</v>
      </c>
      <c r="AB25" s="19">
        <v>2.0</v>
      </c>
      <c r="AC25" s="19">
        <v>0.0</v>
      </c>
      <c r="AD25" s="19">
        <v>2.0</v>
      </c>
      <c r="AE25" s="19">
        <v>2.0</v>
      </c>
      <c r="AF25" s="19">
        <v>2.0</v>
      </c>
      <c r="AG25" s="19">
        <v>0.0</v>
      </c>
      <c r="AH25" s="13">
        <f t="shared" si="3"/>
        <v>42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1.0</v>
      </c>
      <c r="G26" s="19">
        <v>3.0</v>
      </c>
      <c r="H26" s="19">
        <v>1.0</v>
      </c>
      <c r="I26" s="19">
        <v>1.0</v>
      </c>
      <c r="J26" s="19">
        <v>2.0</v>
      </c>
      <c r="K26" s="19">
        <v>0.0</v>
      </c>
      <c r="L26" s="19">
        <v>1.0</v>
      </c>
      <c r="M26" s="19">
        <v>3.0</v>
      </c>
      <c r="N26" s="19">
        <v>2.0</v>
      </c>
      <c r="O26" s="19">
        <v>0.0</v>
      </c>
      <c r="P26" s="19">
        <v>0.0</v>
      </c>
      <c r="Q26" s="19">
        <v>8.0</v>
      </c>
      <c r="R26" s="19">
        <v>0.0</v>
      </c>
      <c r="S26" s="19">
        <v>5.0</v>
      </c>
      <c r="T26" s="19">
        <v>7.0</v>
      </c>
      <c r="U26" s="19">
        <v>2.0</v>
      </c>
      <c r="V26" s="19">
        <v>5.0</v>
      </c>
      <c r="W26" s="19">
        <v>2.0</v>
      </c>
      <c r="X26" s="19">
        <v>5.0</v>
      </c>
      <c r="Y26" s="19">
        <v>0.0</v>
      </c>
      <c r="Z26" s="19">
        <v>3.0</v>
      </c>
      <c r="AA26" s="19">
        <v>5.0</v>
      </c>
      <c r="AB26" s="19">
        <v>3.0</v>
      </c>
      <c r="AC26" s="19">
        <v>0.0</v>
      </c>
      <c r="AD26" s="19">
        <v>4.0</v>
      </c>
      <c r="AE26" s="19">
        <v>3.0</v>
      </c>
      <c r="AF26" s="19">
        <v>1.0</v>
      </c>
      <c r="AG26" s="19">
        <v>0.0</v>
      </c>
      <c r="AH26" s="13">
        <f t="shared" si="3"/>
        <v>71</v>
      </c>
    </row>
    <row r="27" ht="12.75" customHeight="1">
      <c r="A27" s="35"/>
      <c r="B27" s="28"/>
      <c r="C27" s="36"/>
      <c r="D27" s="13" t="s">
        <v>14</v>
      </c>
      <c r="E27" s="13">
        <f t="shared" ref="E27:AG27" si="6">SUM(E25:E26)</f>
        <v>5</v>
      </c>
      <c r="F27" s="13">
        <f t="shared" si="6"/>
        <v>2</v>
      </c>
      <c r="G27" s="13">
        <f t="shared" si="6"/>
        <v>3</v>
      </c>
      <c r="H27" s="13">
        <f t="shared" si="6"/>
        <v>6</v>
      </c>
      <c r="I27" s="13">
        <f t="shared" si="6"/>
        <v>1</v>
      </c>
      <c r="J27" s="13">
        <f t="shared" si="6"/>
        <v>7</v>
      </c>
      <c r="K27" s="13">
        <f t="shared" si="6"/>
        <v>1</v>
      </c>
      <c r="L27" s="13">
        <f t="shared" si="6"/>
        <v>3</v>
      </c>
      <c r="M27" s="13">
        <f t="shared" si="6"/>
        <v>3</v>
      </c>
      <c r="N27" s="13">
        <f t="shared" si="6"/>
        <v>3</v>
      </c>
      <c r="O27" s="13">
        <f t="shared" si="6"/>
        <v>0</v>
      </c>
      <c r="P27" s="13">
        <f t="shared" si="6"/>
        <v>0</v>
      </c>
      <c r="Q27" s="13">
        <f t="shared" si="6"/>
        <v>9</v>
      </c>
      <c r="R27" s="13">
        <f t="shared" si="6"/>
        <v>0</v>
      </c>
      <c r="S27" s="13">
        <f t="shared" si="6"/>
        <v>6</v>
      </c>
      <c r="T27" s="13">
        <f t="shared" si="6"/>
        <v>12</v>
      </c>
      <c r="U27" s="13">
        <f t="shared" si="6"/>
        <v>8</v>
      </c>
      <c r="V27" s="13">
        <f t="shared" si="6"/>
        <v>6</v>
      </c>
      <c r="W27" s="13">
        <f t="shared" si="6"/>
        <v>2</v>
      </c>
      <c r="X27" s="13">
        <f t="shared" si="6"/>
        <v>7</v>
      </c>
      <c r="Y27" s="13">
        <f t="shared" si="6"/>
        <v>0</v>
      </c>
      <c r="Z27" s="13">
        <f t="shared" si="6"/>
        <v>4</v>
      </c>
      <c r="AA27" s="13">
        <f t="shared" si="6"/>
        <v>6</v>
      </c>
      <c r="AB27" s="13">
        <f t="shared" si="6"/>
        <v>5</v>
      </c>
      <c r="AC27" s="13">
        <f t="shared" si="6"/>
        <v>0</v>
      </c>
      <c r="AD27" s="13">
        <f t="shared" si="6"/>
        <v>6</v>
      </c>
      <c r="AE27" s="13">
        <f t="shared" si="6"/>
        <v>5</v>
      </c>
      <c r="AF27" s="13">
        <f t="shared" si="6"/>
        <v>3</v>
      </c>
      <c r="AG27" s="13">
        <f t="shared" si="6"/>
        <v>0</v>
      </c>
      <c r="AH27" s="13">
        <f t="shared" si="3"/>
        <v>113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G28" si="7">SUM(E19,E22,E25)</f>
        <v>116</v>
      </c>
      <c r="F28" s="13">
        <f t="shared" si="7"/>
        <v>110</v>
      </c>
      <c r="G28" s="13">
        <f t="shared" si="7"/>
        <v>124</v>
      </c>
      <c r="H28" s="13">
        <f t="shared" si="7"/>
        <v>117</v>
      </c>
      <c r="I28" s="13">
        <f t="shared" si="7"/>
        <v>102</v>
      </c>
      <c r="J28" s="13">
        <f t="shared" si="7"/>
        <v>106</v>
      </c>
      <c r="K28" s="13">
        <f t="shared" si="7"/>
        <v>108</v>
      </c>
      <c r="L28" s="13">
        <f t="shared" si="7"/>
        <v>89</v>
      </c>
      <c r="M28" s="13">
        <f t="shared" si="7"/>
        <v>104</v>
      </c>
      <c r="N28" s="13">
        <f t="shared" si="7"/>
        <v>102</v>
      </c>
      <c r="O28" s="13">
        <f t="shared" si="7"/>
        <v>104</v>
      </c>
      <c r="P28" s="13">
        <f t="shared" si="7"/>
        <v>95</v>
      </c>
      <c r="Q28" s="13">
        <f t="shared" si="7"/>
        <v>96</v>
      </c>
      <c r="R28" s="13">
        <f t="shared" si="7"/>
        <v>113</v>
      </c>
      <c r="S28" s="13">
        <f t="shared" si="7"/>
        <v>104</v>
      </c>
      <c r="T28" s="13">
        <f t="shared" si="7"/>
        <v>112</v>
      </c>
      <c r="U28" s="13">
        <f t="shared" si="7"/>
        <v>100</v>
      </c>
      <c r="V28" s="13">
        <f t="shared" si="7"/>
        <v>111</v>
      </c>
      <c r="W28" s="13">
        <f t="shared" si="7"/>
        <v>113</v>
      </c>
      <c r="X28" s="13">
        <f t="shared" si="7"/>
        <v>104</v>
      </c>
      <c r="Y28" s="13">
        <f t="shared" si="7"/>
        <v>107</v>
      </c>
      <c r="Z28" s="13">
        <f t="shared" si="7"/>
        <v>110</v>
      </c>
      <c r="AA28" s="13">
        <f t="shared" si="7"/>
        <v>97</v>
      </c>
      <c r="AB28" s="13">
        <f t="shared" si="7"/>
        <v>106</v>
      </c>
      <c r="AC28" s="13">
        <f t="shared" si="7"/>
        <v>113</v>
      </c>
      <c r="AD28" s="13">
        <f t="shared" si="7"/>
        <v>103</v>
      </c>
      <c r="AE28" s="13">
        <f t="shared" si="7"/>
        <v>104</v>
      </c>
      <c r="AF28" s="13">
        <f t="shared" si="7"/>
        <v>90</v>
      </c>
      <c r="AG28" s="13">
        <f t="shared" si="7"/>
        <v>53</v>
      </c>
      <c r="AH28" s="13">
        <f t="shared" si="3"/>
        <v>3013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113</v>
      </c>
      <c r="F29" s="13">
        <f t="shared" si="8"/>
        <v>105</v>
      </c>
      <c r="G29" s="13">
        <f t="shared" si="8"/>
        <v>123</v>
      </c>
      <c r="H29" s="13">
        <f t="shared" si="8"/>
        <v>124</v>
      </c>
      <c r="I29" s="13">
        <f t="shared" si="8"/>
        <v>117</v>
      </c>
      <c r="J29" s="13">
        <f t="shared" si="8"/>
        <v>108</v>
      </c>
      <c r="K29" s="13">
        <f t="shared" si="8"/>
        <v>109</v>
      </c>
      <c r="L29" s="13">
        <f t="shared" si="8"/>
        <v>107</v>
      </c>
      <c r="M29" s="13">
        <f t="shared" si="8"/>
        <v>124</v>
      </c>
      <c r="N29" s="13">
        <f t="shared" si="8"/>
        <v>110</v>
      </c>
      <c r="O29" s="13">
        <f t="shared" si="8"/>
        <v>123</v>
      </c>
      <c r="P29" s="13">
        <f t="shared" si="8"/>
        <v>122</v>
      </c>
      <c r="Q29" s="13">
        <f t="shared" si="8"/>
        <v>117</v>
      </c>
      <c r="R29" s="13">
        <f t="shared" si="8"/>
        <v>130</v>
      </c>
      <c r="S29" s="13">
        <f t="shared" si="8"/>
        <v>111</v>
      </c>
      <c r="T29" s="13">
        <f t="shared" si="8"/>
        <v>124</v>
      </c>
      <c r="U29" s="13">
        <f t="shared" si="8"/>
        <v>124</v>
      </c>
      <c r="V29" s="13">
        <f t="shared" si="8"/>
        <v>113</v>
      </c>
      <c r="W29" s="13">
        <v>113.0</v>
      </c>
      <c r="X29" s="13">
        <v>117.0</v>
      </c>
      <c r="Y29" s="13">
        <v>124.0</v>
      </c>
      <c r="Z29" s="13">
        <v>105.0</v>
      </c>
      <c r="AA29" s="13">
        <v>109.0</v>
      </c>
      <c r="AB29" s="13">
        <v>116.0</v>
      </c>
      <c r="AC29" s="13">
        <v>115.0</v>
      </c>
      <c r="AD29" s="13">
        <v>109.0</v>
      </c>
      <c r="AE29" s="13">
        <v>120.0</v>
      </c>
      <c r="AF29" s="13">
        <v>72.0</v>
      </c>
      <c r="AG29" s="13">
        <v>60.0</v>
      </c>
      <c r="AH29" s="13">
        <f t="shared" si="3"/>
        <v>3264</v>
      </c>
    </row>
    <row r="30" ht="12.75" customHeight="1">
      <c r="A30" s="35"/>
      <c r="B30" s="28"/>
      <c r="C30" s="36"/>
      <c r="D30" s="13" t="s">
        <v>14</v>
      </c>
      <c r="E30" s="13">
        <f t="shared" ref="E30:AG30" si="9">SUM(E28:E29)</f>
        <v>229</v>
      </c>
      <c r="F30" s="13">
        <f t="shared" si="9"/>
        <v>215</v>
      </c>
      <c r="G30" s="13">
        <f t="shared" si="9"/>
        <v>247</v>
      </c>
      <c r="H30" s="13">
        <f t="shared" si="9"/>
        <v>241</v>
      </c>
      <c r="I30" s="13">
        <f t="shared" si="9"/>
        <v>219</v>
      </c>
      <c r="J30" s="13">
        <f t="shared" si="9"/>
        <v>214</v>
      </c>
      <c r="K30" s="13">
        <f t="shared" si="9"/>
        <v>217</v>
      </c>
      <c r="L30" s="13">
        <f t="shared" si="9"/>
        <v>196</v>
      </c>
      <c r="M30" s="13">
        <f t="shared" si="9"/>
        <v>228</v>
      </c>
      <c r="N30" s="13">
        <f t="shared" si="9"/>
        <v>212</v>
      </c>
      <c r="O30" s="13">
        <f t="shared" si="9"/>
        <v>227</v>
      </c>
      <c r="P30" s="13">
        <f t="shared" si="9"/>
        <v>217</v>
      </c>
      <c r="Q30" s="13">
        <f t="shared" si="9"/>
        <v>213</v>
      </c>
      <c r="R30" s="13">
        <f t="shared" si="9"/>
        <v>243</v>
      </c>
      <c r="S30" s="13">
        <f t="shared" si="9"/>
        <v>215</v>
      </c>
      <c r="T30" s="13">
        <f t="shared" si="9"/>
        <v>236</v>
      </c>
      <c r="U30" s="13">
        <f t="shared" si="9"/>
        <v>224</v>
      </c>
      <c r="V30" s="13">
        <f t="shared" si="9"/>
        <v>224</v>
      </c>
      <c r="W30" s="13">
        <f t="shared" si="9"/>
        <v>226</v>
      </c>
      <c r="X30" s="13">
        <f t="shared" si="9"/>
        <v>221</v>
      </c>
      <c r="Y30" s="13">
        <f t="shared" si="9"/>
        <v>231</v>
      </c>
      <c r="Z30" s="13">
        <f t="shared" si="9"/>
        <v>215</v>
      </c>
      <c r="AA30" s="13">
        <f t="shared" si="9"/>
        <v>206</v>
      </c>
      <c r="AB30" s="13">
        <f t="shared" si="9"/>
        <v>222</v>
      </c>
      <c r="AC30" s="13">
        <f t="shared" si="9"/>
        <v>228</v>
      </c>
      <c r="AD30" s="13">
        <f t="shared" si="9"/>
        <v>212</v>
      </c>
      <c r="AE30" s="13">
        <f t="shared" si="9"/>
        <v>224</v>
      </c>
      <c r="AF30" s="13">
        <f t="shared" si="9"/>
        <v>162</v>
      </c>
      <c r="AG30" s="13">
        <f t="shared" si="9"/>
        <v>113</v>
      </c>
      <c r="AH30" s="13">
        <f t="shared" si="3"/>
        <v>6277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59"/>
    </row>
    <row r="33" ht="12.75" customHeight="1">
      <c r="A33" s="19">
        <v>1.0</v>
      </c>
      <c r="B33" s="20" t="s">
        <v>27</v>
      </c>
      <c r="C33" s="15"/>
      <c r="D33" s="16"/>
      <c r="E33" s="19">
        <v>285.0</v>
      </c>
      <c r="F33" s="19">
        <v>284.0</v>
      </c>
      <c r="G33" s="19">
        <v>297.0</v>
      </c>
      <c r="H33" s="19">
        <v>303.0</v>
      </c>
      <c r="I33" s="19">
        <v>285.0</v>
      </c>
      <c r="J33" s="19">
        <v>288.0</v>
      </c>
      <c r="K33" s="19">
        <v>288.0</v>
      </c>
      <c r="L33" s="19">
        <v>263.0</v>
      </c>
      <c r="M33" s="19">
        <v>290.0</v>
      </c>
      <c r="N33" s="19">
        <v>280.0</v>
      </c>
      <c r="O33" s="19">
        <v>304.0</v>
      </c>
      <c r="P33" s="19">
        <v>303.0</v>
      </c>
      <c r="Q33" s="19">
        <v>296.0</v>
      </c>
      <c r="R33" s="19">
        <v>293.0</v>
      </c>
      <c r="S33" s="19">
        <v>286.0</v>
      </c>
      <c r="T33" s="19">
        <v>299.0</v>
      </c>
      <c r="U33" s="19">
        <v>280.0</v>
      </c>
      <c r="V33" s="19">
        <v>276.0</v>
      </c>
      <c r="W33" s="19">
        <v>279.0</v>
      </c>
      <c r="X33" s="19">
        <v>279.0</v>
      </c>
      <c r="Y33" s="19">
        <v>298.0</v>
      </c>
      <c r="Z33" s="19">
        <v>288.0</v>
      </c>
      <c r="AA33" s="19">
        <v>278.0</v>
      </c>
      <c r="AB33" s="19">
        <v>282.0</v>
      </c>
      <c r="AC33" s="19">
        <v>292.0</v>
      </c>
      <c r="AD33" s="19">
        <v>276.0</v>
      </c>
      <c r="AE33" s="19">
        <v>282.0</v>
      </c>
      <c r="AF33" s="19">
        <v>216.0</v>
      </c>
      <c r="AG33" s="19">
        <v>139.0</v>
      </c>
      <c r="AH33" s="13">
        <f t="shared" ref="AH33:AH36" si="10">SUM(E33:AG33)</f>
        <v>8109</v>
      </c>
    </row>
    <row r="34" ht="12.75" customHeight="1">
      <c r="A34" s="19">
        <v>2.0</v>
      </c>
      <c r="B34" s="20" t="s">
        <v>28</v>
      </c>
      <c r="C34" s="15"/>
      <c r="D34" s="16"/>
      <c r="E34" s="13">
        <v>229.0</v>
      </c>
      <c r="F34" s="13">
        <v>215.0</v>
      </c>
      <c r="G34" s="13">
        <v>247.0</v>
      </c>
      <c r="H34" s="13">
        <v>241.0</v>
      </c>
      <c r="I34" s="13">
        <v>219.0</v>
      </c>
      <c r="J34" s="13">
        <v>214.0</v>
      </c>
      <c r="K34" s="13">
        <v>217.0</v>
      </c>
      <c r="L34" s="13">
        <v>196.0</v>
      </c>
      <c r="M34" s="13">
        <v>228.0</v>
      </c>
      <c r="N34" s="13">
        <v>212.0</v>
      </c>
      <c r="O34" s="13">
        <v>227.0</v>
      </c>
      <c r="P34" s="13">
        <v>217.0</v>
      </c>
      <c r="Q34" s="13">
        <v>212.0</v>
      </c>
      <c r="R34" s="13">
        <v>244.0</v>
      </c>
      <c r="S34" s="13">
        <v>215.0</v>
      </c>
      <c r="T34" s="13">
        <v>236.0</v>
      </c>
      <c r="U34" s="13">
        <v>224.0</v>
      </c>
      <c r="V34" s="13">
        <v>224.0</v>
      </c>
      <c r="W34" s="13">
        <v>226.0</v>
      </c>
      <c r="X34" s="13">
        <v>221.0</v>
      </c>
      <c r="Y34" s="13">
        <v>231.0</v>
      </c>
      <c r="Z34" s="13">
        <v>215.0</v>
      </c>
      <c r="AA34" s="13">
        <v>206.0</v>
      </c>
      <c r="AB34" s="13">
        <v>222.0</v>
      </c>
      <c r="AC34" s="13">
        <v>228.0</v>
      </c>
      <c r="AD34" s="13">
        <v>212.0</v>
      </c>
      <c r="AE34" s="13">
        <v>224.0</v>
      </c>
      <c r="AF34" s="13">
        <v>162.0</v>
      </c>
      <c r="AG34" s="13">
        <v>113.0</v>
      </c>
      <c r="AH34" s="13">
        <f t="shared" si="10"/>
        <v>6277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1.0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G36" si="11">E33-(E34+E35)</f>
        <v>56</v>
      </c>
      <c r="F36" s="13">
        <f t="shared" si="11"/>
        <v>68</v>
      </c>
      <c r="G36" s="13">
        <f t="shared" si="11"/>
        <v>49</v>
      </c>
      <c r="H36" s="13">
        <f t="shared" si="11"/>
        <v>61</v>
      </c>
      <c r="I36" s="13">
        <f t="shared" si="11"/>
        <v>66</v>
      </c>
      <c r="J36" s="13">
        <f t="shared" si="11"/>
        <v>74</v>
      </c>
      <c r="K36" s="13">
        <f t="shared" si="11"/>
        <v>71</v>
      </c>
      <c r="L36" s="13">
        <f t="shared" si="11"/>
        <v>67</v>
      </c>
      <c r="M36" s="13">
        <f t="shared" si="11"/>
        <v>62</v>
      </c>
      <c r="N36" s="13">
        <f t="shared" si="11"/>
        <v>68</v>
      </c>
      <c r="O36" s="13">
        <f t="shared" si="11"/>
        <v>77</v>
      </c>
      <c r="P36" s="13">
        <f t="shared" si="11"/>
        <v>86</v>
      </c>
      <c r="Q36" s="13">
        <f t="shared" si="11"/>
        <v>84</v>
      </c>
      <c r="R36" s="13">
        <f t="shared" si="11"/>
        <v>49</v>
      </c>
      <c r="S36" s="13">
        <f t="shared" si="11"/>
        <v>70</v>
      </c>
      <c r="T36" s="13">
        <f t="shared" si="11"/>
        <v>63</v>
      </c>
      <c r="U36" s="13">
        <f t="shared" si="11"/>
        <v>55</v>
      </c>
      <c r="V36" s="13">
        <f t="shared" si="11"/>
        <v>52</v>
      </c>
      <c r="W36" s="13">
        <f t="shared" si="11"/>
        <v>53</v>
      </c>
      <c r="X36" s="13">
        <f t="shared" si="11"/>
        <v>58</v>
      </c>
      <c r="Y36" s="13">
        <f t="shared" si="11"/>
        <v>67</v>
      </c>
      <c r="Z36" s="13">
        <f t="shared" si="11"/>
        <v>73</v>
      </c>
      <c r="AA36" s="13">
        <f t="shared" si="11"/>
        <v>72</v>
      </c>
      <c r="AB36" s="13">
        <f t="shared" si="11"/>
        <v>60</v>
      </c>
      <c r="AC36" s="13">
        <f t="shared" si="11"/>
        <v>64</v>
      </c>
      <c r="AD36" s="13">
        <f t="shared" si="11"/>
        <v>64</v>
      </c>
      <c r="AE36" s="13">
        <f t="shared" si="11"/>
        <v>58</v>
      </c>
      <c r="AF36" s="13">
        <f t="shared" si="11"/>
        <v>54</v>
      </c>
      <c r="AG36" s="13">
        <f t="shared" si="11"/>
        <v>26</v>
      </c>
      <c r="AH36" s="13">
        <f t="shared" si="10"/>
        <v>1827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4.0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3">
        <f t="shared" ref="AH39:AH41" si="12">SUM(E39:AG39)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G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4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3"/>
    </row>
    <row r="45" ht="12.75" customHeight="1">
      <c r="A45" s="30"/>
      <c r="B45" s="47" t="s">
        <v>17</v>
      </c>
      <c r="C45" s="48" t="s">
        <v>37</v>
      </c>
      <c r="D45" s="16"/>
      <c r="E45" s="19">
        <v>10.0</v>
      </c>
      <c r="F45" s="19">
        <v>22.0</v>
      </c>
      <c r="G45" s="19">
        <v>28.0</v>
      </c>
      <c r="H45" s="19">
        <v>10.0</v>
      </c>
      <c r="I45" s="19">
        <v>16.0</v>
      </c>
      <c r="J45" s="19">
        <v>16.0</v>
      </c>
      <c r="K45" s="19">
        <v>20.0</v>
      </c>
      <c r="L45" s="19">
        <v>9.0</v>
      </c>
      <c r="M45" s="19">
        <v>15.0</v>
      </c>
      <c r="N45" s="19">
        <v>21.0</v>
      </c>
      <c r="O45" s="19">
        <v>17.0</v>
      </c>
      <c r="P45" s="19">
        <v>25.0</v>
      </c>
      <c r="Q45" s="19">
        <v>20.0</v>
      </c>
      <c r="R45" s="19">
        <v>27.0</v>
      </c>
      <c r="S45" s="19">
        <v>15.0</v>
      </c>
      <c r="T45" s="19">
        <v>13.0</v>
      </c>
      <c r="U45" s="19">
        <v>13.0</v>
      </c>
      <c r="V45" s="19">
        <v>23.0</v>
      </c>
      <c r="W45" s="19">
        <v>8.0</v>
      </c>
      <c r="X45" s="19">
        <v>17.0</v>
      </c>
      <c r="Y45" s="19">
        <v>23.0</v>
      </c>
      <c r="Z45" s="19">
        <v>17.0</v>
      </c>
      <c r="AA45" s="19">
        <v>15.0</v>
      </c>
      <c r="AB45" s="19">
        <v>16.0</v>
      </c>
      <c r="AC45" s="19">
        <v>8.0</v>
      </c>
      <c r="AD45" s="19">
        <v>10.0</v>
      </c>
      <c r="AE45" s="19">
        <v>10.0</v>
      </c>
      <c r="AF45" s="19">
        <v>26.0</v>
      </c>
      <c r="AG45" s="19">
        <v>7.0</v>
      </c>
      <c r="AH45" s="13">
        <f t="shared" ref="AH45:AH57" si="14">SUM(E45:AG45)</f>
        <v>477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45.0</v>
      </c>
      <c r="F46" s="19">
        <v>33.0</v>
      </c>
      <c r="G46" s="19">
        <v>32.0</v>
      </c>
      <c r="H46" s="19">
        <v>39.0</v>
      </c>
      <c r="I46" s="19">
        <v>33.0</v>
      </c>
      <c r="J46" s="19">
        <v>29.0</v>
      </c>
      <c r="K46" s="19">
        <v>38.0</v>
      </c>
      <c r="L46" s="19">
        <v>18.0</v>
      </c>
      <c r="M46" s="19">
        <v>28.0</v>
      </c>
      <c r="N46" s="19">
        <v>21.0</v>
      </c>
      <c r="O46" s="19">
        <v>26.0</v>
      </c>
      <c r="P46" s="19">
        <v>33.0</v>
      </c>
      <c r="Q46" s="19">
        <v>33.0</v>
      </c>
      <c r="R46" s="19">
        <v>43.0</v>
      </c>
      <c r="S46" s="19">
        <v>25.0</v>
      </c>
      <c r="T46" s="19">
        <v>24.0</v>
      </c>
      <c r="U46" s="19">
        <v>20.0</v>
      </c>
      <c r="V46" s="19">
        <v>22.0</v>
      </c>
      <c r="W46" s="19">
        <v>24.0</v>
      </c>
      <c r="X46" s="19">
        <v>19.0</v>
      </c>
      <c r="Y46" s="19">
        <v>26.0</v>
      </c>
      <c r="Z46" s="19">
        <v>25.0</v>
      </c>
      <c r="AA46" s="19">
        <v>19.0</v>
      </c>
      <c r="AB46" s="19">
        <v>19.0</v>
      </c>
      <c r="AC46" s="19">
        <v>36.0</v>
      </c>
      <c r="AD46" s="19">
        <v>31.0</v>
      </c>
      <c r="AE46" s="19">
        <v>18.0</v>
      </c>
      <c r="AF46" s="19">
        <v>29.0</v>
      </c>
      <c r="AG46" s="19">
        <v>10.0</v>
      </c>
      <c r="AH46" s="13">
        <f t="shared" si="14"/>
        <v>798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10.0</v>
      </c>
      <c r="F47" s="19">
        <v>15.0</v>
      </c>
      <c r="G47" s="19">
        <v>20.0</v>
      </c>
      <c r="H47" s="19">
        <v>10.0</v>
      </c>
      <c r="I47" s="19">
        <v>16.0</v>
      </c>
      <c r="J47" s="19">
        <v>5.0</v>
      </c>
      <c r="K47" s="19">
        <v>10.0</v>
      </c>
      <c r="L47" s="19">
        <v>10.0</v>
      </c>
      <c r="M47" s="19">
        <v>28.0</v>
      </c>
      <c r="N47" s="19">
        <v>6.0</v>
      </c>
      <c r="O47" s="19">
        <v>8.0</v>
      </c>
      <c r="P47" s="19">
        <v>19.0</v>
      </c>
      <c r="Q47" s="19">
        <v>12.0</v>
      </c>
      <c r="R47" s="19">
        <v>11.0</v>
      </c>
      <c r="S47" s="19">
        <v>17.0</v>
      </c>
      <c r="T47" s="19">
        <v>12.0</v>
      </c>
      <c r="U47" s="19">
        <v>15.0</v>
      </c>
      <c r="V47" s="19">
        <v>13.0</v>
      </c>
      <c r="W47" s="19">
        <v>15.0</v>
      </c>
      <c r="X47" s="19">
        <v>14.0</v>
      </c>
      <c r="Y47" s="19">
        <v>12.0</v>
      </c>
      <c r="Z47" s="19">
        <v>14.0</v>
      </c>
      <c r="AA47" s="19">
        <v>9.0</v>
      </c>
      <c r="AB47" s="19">
        <v>14.0</v>
      </c>
      <c r="AC47" s="19">
        <v>12.0</v>
      </c>
      <c r="AD47" s="19">
        <v>13.0</v>
      </c>
      <c r="AE47" s="19">
        <v>10.0</v>
      </c>
      <c r="AF47" s="19">
        <v>8.0</v>
      </c>
      <c r="AG47" s="19">
        <v>6.0</v>
      </c>
      <c r="AH47" s="13">
        <f t="shared" si="14"/>
        <v>364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39.0</v>
      </c>
      <c r="F48" s="19">
        <v>38.0</v>
      </c>
      <c r="G48" s="19">
        <v>28.0</v>
      </c>
      <c r="H48" s="19">
        <v>36.0</v>
      </c>
      <c r="I48" s="19">
        <v>26.0</v>
      </c>
      <c r="J48" s="19">
        <v>32.0</v>
      </c>
      <c r="K48" s="19">
        <v>27.0</v>
      </c>
      <c r="L48" s="19">
        <v>18.0</v>
      </c>
      <c r="M48" s="19">
        <v>30.0</v>
      </c>
      <c r="N48" s="19">
        <v>28.0</v>
      </c>
      <c r="O48" s="19">
        <v>22.0</v>
      </c>
      <c r="P48" s="19">
        <v>24.0</v>
      </c>
      <c r="Q48" s="19">
        <v>15.0</v>
      </c>
      <c r="R48" s="19">
        <v>22.0</v>
      </c>
      <c r="S48" s="19">
        <v>24.0</v>
      </c>
      <c r="T48" s="19">
        <v>27.0</v>
      </c>
      <c r="U48" s="19">
        <v>36.0</v>
      </c>
      <c r="V48" s="19">
        <v>16.0</v>
      </c>
      <c r="W48" s="19">
        <v>22.0</v>
      </c>
      <c r="X48" s="19">
        <v>28.0</v>
      </c>
      <c r="Y48" s="19">
        <v>34.0</v>
      </c>
      <c r="Z48" s="19">
        <v>22.0</v>
      </c>
      <c r="AA48" s="19">
        <v>26.0</v>
      </c>
      <c r="AB48" s="19">
        <v>29.0</v>
      </c>
      <c r="AC48" s="19">
        <v>24.0</v>
      </c>
      <c r="AD48" s="19">
        <v>26.0</v>
      </c>
      <c r="AE48" s="19">
        <v>34.0</v>
      </c>
      <c r="AF48" s="19">
        <v>28.0</v>
      </c>
      <c r="AG48" s="19">
        <v>11.0</v>
      </c>
      <c r="AH48" s="13">
        <f t="shared" si="14"/>
        <v>772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19.0</v>
      </c>
      <c r="F49" s="19">
        <v>22.0</v>
      </c>
      <c r="G49" s="19">
        <v>19.0</v>
      </c>
      <c r="H49" s="19">
        <v>17.0</v>
      </c>
      <c r="I49" s="19">
        <v>15.0</v>
      </c>
      <c r="J49" s="19">
        <v>18.0</v>
      </c>
      <c r="K49" s="19">
        <v>18.0</v>
      </c>
      <c r="L49" s="19">
        <v>19.0</v>
      </c>
      <c r="M49" s="19">
        <v>16.0</v>
      </c>
      <c r="N49" s="19">
        <v>23.0</v>
      </c>
      <c r="O49" s="19">
        <v>24.0</v>
      </c>
      <c r="P49" s="19">
        <v>14.0</v>
      </c>
      <c r="Q49" s="19">
        <v>21.0</v>
      </c>
      <c r="R49" s="19">
        <v>29.0</v>
      </c>
      <c r="S49" s="19">
        <v>45.0</v>
      </c>
      <c r="T49" s="19">
        <v>18.0</v>
      </c>
      <c r="U49" s="19">
        <v>22.0</v>
      </c>
      <c r="V49" s="19">
        <v>18.0</v>
      </c>
      <c r="W49" s="19">
        <v>9.0</v>
      </c>
      <c r="X49" s="19">
        <v>50.0</v>
      </c>
      <c r="Y49" s="19">
        <v>26.0</v>
      </c>
      <c r="Z49" s="19">
        <v>21.0</v>
      </c>
      <c r="AA49" s="19">
        <v>10.0</v>
      </c>
      <c r="AB49" s="19">
        <v>27.0</v>
      </c>
      <c r="AC49" s="19">
        <v>23.0</v>
      </c>
      <c r="AD49" s="19">
        <v>16.0</v>
      </c>
      <c r="AE49" s="19">
        <v>19.0</v>
      </c>
      <c r="AF49" s="19">
        <v>15.0</v>
      </c>
      <c r="AG49" s="19">
        <v>5.0</v>
      </c>
      <c r="AH49" s="13">
        <f t="shared" si="14"/>
        <v>598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12.0</v>
      </c>
      <c r="F50" s="19">
        <v>11.0</v>
      </c>
      <c r="G50" s="19">
        <v>7.0</v>
      </c>
      <c r="H50" s="19">
        <v>9.0</v>
      </c>
      <c r="I50" s="19">
        <v>7.0</v>
      </c>
      <c r="J50" s="19">
        <v>8.0</v>
      </c>
      <c r="K50" s="19">
        <v>9.0</v>
      </c>
      <c r="L50" s="19">
        <v>13.0</v>
      </c>
      <c r="M50" s="19">
        <v>11.0</v>
      </c>
      <c r="N50" s="19">
        <v>9.0</v>
      </c>
      <c r="O50" s="19">
        <v>6.0</v>
      </c>
      <c r="P50" s="19">
        <v>13.0</v>
      </c>
      <c r="Q50" s="19">
        <v>16.0</v>
      </c>
      <c r="R50" s="19">
        <v>8.0</v>
      </c>
      <c r="S50" s="19">
        <v>7.0</v>
      </c>
      <c r="T50" s="19">
        <v>9.0</v>
      </c>
      <c r="U50" s="19">
        <v>13.0</v>
      </c>
      <c r="V50" s="19">
        <v>15.0</v>
      </c>
      <c r="W50" s="19">
        <v>7.0</v>
      </c>
      <c r="X50" s="19">
        <v>12.0</v>
      </c>
      <c r="Y50" s="19">
        <v>15.0</v>
      </c>
      <c r="Z50" s="19">
        <v>13.0</v>
      </c>
      <c r="AA50" s="19">
        <v>11.0</v>
      </c>
      <c r="AB50" s="19">
        <v>12.0</v>
      </c>
      <c r="AC50" s="19">
        <v>16.0</v>
      </c>
      <c r="AD50" s="19">
        <v>23.0</v>
      </c>
      <c r="AE50" s="19">
        <v>11.0</v>
      </c>
      <c r="AF50" s="19">
        <v>7.0</v>
      </c>
      <c r="AG50" s="19">
        <v>3.0</v>
      </c>
      <c r="AH50" s="13">
        <f t="shared" si="14"/>
        <v>313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0.0</v>
      </c>
      <c r="G51" s="19">
        <v>2.0</v>
      </c>
      <c r="H51" s="19">
        <v>4.0</v>
      </c>
      <c r="I51" s="19">
        <v>2.0</v>
      </c>
      <c r="J51" s="19">
        <v>3.0</v>
      </c>
      <c r="K51" s="19">
        <v>3.0</v>
      </c>
      <c r="L51" s="19">
        <v>0.0</v>
      </c>
      <c r="M51" s="19">
        <v>7.0</v>
      </c>
      <c r="N51" s="19">
        <v>1.0</v>
      </c>
      <c r="O51" s="19">
        <v>10.0</v>
      </c>
      <c r="P51" s="19">
        <v>3.0</v>
      </c>
      <c r="Q51" s="19">
        <v>3.0</v>
      </c>
      <c r="R51" s="19">
        <v>2.0</v>
      </c>
      <c r="S51" s="19">
        <v>1.0</v>
      </c>
      <c r="T51" s="19">
        <v>4.0</v>
      </c>
      <c r="U51" s="19">
        <v>1.0</v>
      </c>
      <c r="V51" s="19">
        <v>5.0</v>
      </c>
      <c r="W51" s="19">
        <v>6.0</v>
      </c>
      <c r="X51" s="19">
        <v>4.0</v>
      </c>
      <c r="Y51" s="19">
        <v>1.0</v>
      </c>
      <c r="Z51" s="19">
        <v>3.0</v>
      </c>
      <c r="AA51" s="19">
        <v>1.0</v>
      </c>
      <c r="AB51" s="19">
        <v>1.0</v>
      </c>
      <c r="AC51" s="19">
        <v>3.0</v>
      </c>
      <c r="AD51" s="19">
        <v>2.0</v>
      </c>
      <c r="AE51" s="19">
        <v>3.0</v>
      </c>
      <c r="AF51" s="19">
        <v>0.0</v>
      </c>
      <c r="AG51" s="19">
        <v>2.0</v>
      </c>
      <c r="AH51" s="13">
        <f t="shared" si="14"/>
        <v>78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2.0</v>
      </c>
      <c r="F52" s="19">
        <v>2.0</v>
      </c>
      <c r="G52" s="19">
        <v>2.0</v>
      </c>
      <c r="H52" s="19">
        <v>3.0</v>
      </c>
      <c r="I52" s="19">
        <v>3.0</v>
      </c>
      <c r="J52" s="19">
        <v>4.0</v>
      </c>
      <c r="K52" s="19">
        <v>3.0</v>
      </c>
      <c r="L52" s="19">
        <v>0.0</v>
      </c>
      <c r="M52" s="19">
        <v>7.0</v>
      </c>
      <c r="N52" s="19">
        <v>1.0</v>
      </c>
      <c r="O52" s="19">
        <v>10.0</v>
      </c>
      <c r="P52" s="19">
        <v>3.0</v>
      </c>
      <c r="Q52" s="19">
        <v>2.0</v>
      </c>
      <c r="R52" s="19">
        <v>7.0</v>
      </c>
      <c r="S52" s="19">
        <v>11.0</v>
      </c>
      <c r="T52" s="19">
        <v>4.0</v>
      </c>
      <c r="U52" s="19">
        <v>3.0</v>
      </c>
      <c r="V52" s="19">
        <v>3.0</v>
      </c>
      <c r="W52" s="19">
        <v>2.0</v>
      </c>
      <c r="X52" s="19">
        <v>3.0</v>
      </c>
      <c r="Y52" s="19">
        <v>0.0</v>
      </c>
      <c r="Z52" s="19">
        <v>4.0</v>
      </c>
      <c r="AA52" s="19">
        <v>1.0</v>
      </c>
      <c r="AB52" s="19">
        <v>2.0</v>
      </c>
      <c r="AC52" s="19">
        <v>3.0</v>
      </c>
      <c r="AD52" s="19">
        <v>0.0</v>
      </c>
      <c r="AE52" s="19">
        <v>1.0</v>
      </c>
      <c r="AF52" s="19">
        <v>7.0</v>
      </c>
      <c r="AG52" s="19">
        <v>4.0</v>
      </c>
      <c r="AH52" s="13">
        <f t="shared" si="14"/>
        <v>97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1.0</v>
      </c>
      <c r="G53" s="19">
        <v>0.0</v>
      </c>
      <c r="H53" s="19">
        <v>2.0</v>
      </c>
      <c r="I53" s="19">
        <v>1.0</v>
      </c>
      <c r="J53" s="19">
        <v>1.0</v>
      </c>
      <c r="K53" s="19">
        <v>1.0</v>
      </c>
      <c r="L53" s="19">
        <v>0.0</v>
      </c>
      <c r="M53" s="19">
        <v>0.0</v>
      </c>
      <c r="N53" s="19">
        <v>0.0</v>
      </c>
      <c r="O53" s="19">
        <v>5.0</v>
      </c>
      <c r="P53" s="19">
        <v>0.0</v>
      </c>
      <c r="Q53" s="19">
        <v>0.0</v>
      </c>
      <c r="R53" s="19">
        <v>1.0</v>
      </c>
      <c r="S53" s="19">
        <v>1.0</v>
      </c>
      <c r="T53" s="19">
        <v>2.0</v>
      </c>
      <c r="U53" s="19">
        <v>3.0</v>
      </c>
      <c r="V53" s="19">
        <v>1.0</v>
      </c>
      <c r="W53" s="19">
        <v>0.0</v>
      </c>
      <c r="X53" s="19">
        <v>0.0</v>
      </c>
      <c r="Y53" s="19">
        <v>2.0</v>
      </c>
      <c r="Z53" s="19">
        <v>0.0</v>
      </c>
      <c r="AA53" s="19">
        <v>1.0</v>
      </c>
      <c r="AB53" s="19">
        <v>3.0</v>
      </c>
      <c r="AC53" s="19">
        <v>1.0</v>
      </c>
      <c r="AD53" s="19">
        <v>0.0</v>
      </c>
      <c r="AE53" s="19">
        <v>2.0</v>
      </c>
      <c r="AF53" s="19">
        <v>0.0</v>
      </c>
      <c r="AG53" s="19">
        <v>1.0</v>
      </c>
      <c r="AH53" s="13">
        <f t="shared" si="14"/>
        <v>30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23.0</v>
      </c>
      <c r="F54" s="19">
        <v>15.0</v>
      </c>
      <c r="G54" s="19">
        <v>31.0</v>
      </c>
      <c r="H54" s="19">
        <v>41.0</v>
      </c>
      <c r="I54" s="19">
        <v>28.0</v>
      </c>
      <c r="J54" s="19">
        <v>18.0</v>
      </c>
      <c r="K54" s="19">
        <v>24.0</v>
      </c>
      <c r="L54" s="19">
        <v>33.0</v>
      </c>
      <c r="M54" s="19">
        <v>27.0</v>
      </c>
      <c r="N54" s="19">
        <v>32.0</v>
      </c>
      <c r="O54" s="19">
        <v>23.0</v>
      </c>
      <c r="P54" s="19">
        <v>20.0</v>
      </c>
      <c r="Q54" s="19">
        <v>17.0</v>
      </c>
      <c r="R54" s="19">
        <v>16.0</v>
      </c>
      <c r="S54" s="19">
        <v>13.0</v>
      </c>
      <c r="T54" s="19">
        <v>29.0</v>
      </c>
      <c r="U54" s="19">
        <v>24.0</v>
      </c>
      <c r="V54" s="19">
        <v>21.0</v>
      </c>
      <c r="W54" s="19">
        <v>24.0</v>
      </c>
      <c r="X54" s="19">
        <v>14.0</v>
      </c>
      <c r="Y54" s="19">
        <v>16.0</v>
      </c>
      <c r="Z54" s="19">
        <v>27.0</v>
      </c>
      <c r="AA54" s="19">
        <v>28.0</v>
      </c>
      <c r="AB54" s="19">
        <v>31.0</v>
      </c>
      <c r="AC54" s="19">
        <v>37.0</v>
      </c>
      <c r="AD54" s="19">
        <v>20.0</v>
      </c>
      <c r="AE54" s="19">
        <v>33.0</v>
      </c>
      <c r="AF54" s="19">
        <v>20.0</v>
      </c>
      <c r="AG54" s="19">
        <v>19.0</v>
      </c>
      <c r="AH54" s="13">
        <f t="shared" si="14"/>
        <v>704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1.0</v>
      </c>
      <c r="G55" s="19">
        <v>0.0</v>
      </c>
      <c r="H55" s="19">
        <v>3.0</v>
      </c>
      <c r="I55" s="19">
        <v>1.0</v>
      </c>
      <c r="J55" s="19">
        <v>1.0</v>
      </c>
      <c r="K55" s="19">
        <v>3.0</v>
      </c>
      <c r="L55" s="19">
        <v>0.0</v>
      </c>
      <c r="M55" s="19">
        <v>3.0</v>
      </c>
      <c r="N55" s="19">
        <v>0.0</v>
      </c>
      <c r="O55" s="19">
        <v>0.0</v>
      </c>
      <c r="P55" s="19">
        <v>0.0</v>
      </c>
      <c r="Q55" s="19">
        <v>2.0</v>
      </c>
      <c r="R55" s="19">
        <v>1.0</v>
      </c>
      <c r="S55" s="19">
        <v>0.0</v>
      </c>
      <c r="T55" s="19">
        <v>0.0</v>
      </c>
      <c r="U55" s="19">
        <v>1.0</v>
      </c>
      <c r="V55" s="19">
        <v>0.0</v>
      </c>
      <c r="W55" s="19">
        <v>3.0</v>
      </c>
      <c r="X55" s="19">
        <v>0.0</v>
      </c>
      <c r="Y55" s="19">
        <v>4.0</v>
      </c>
      <c r="Z55" s="19">
        <v>0.0</v>
      </c>
      <c r="AA55" s="19">
        <v>1.0</v>
      </c>
      <c r="AB55" s="19">
        <v>0.0</v>
      </c>
      <c r="AC55" s="19">
        <v>1.0</v>
      </c>
      <c r="AD55" s="19">
        <v>0.0</v>
      </c>
      <c r="AE55" s="19">
        <v>2.0</v>
      </c>
      <c r="AF55" s="19">
        <v>1.0</v>
      </c>
      <c r="AG55" s="19">
        <v>3.0</v>
      </c>
      <c r="AH55" s="13">
        <f t="shared" si="14"/>
        <v>33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30.0</v>
      </c>
      <c r="F56" s="19">
        <v>34.0</v>
      </c>
      <c r="G56" s="19">
        <v>37.0</v>
      </c>
      <c r="H56" s="19">
        <v>35.0</v>
      </c>
      <c r="I56" s="19">
        <v>19.0</v>
      </c>
      <c r="J56" s="19">
        <v>32.0</v>
      </c>
      <c r="K56" s="19">
        <v>18.0</v>
      </c>
      <c r="L56" s="19">
        <v>29.0</v>
      </c>
      <c r="M56" s="19">
        <v>35.0</v>
      </c>
      <c r="N56" s="19">
        <v>33.0</v>
      </c>
      <c r="O56" s="19">
        <v>39.0</v>
      </c>
      <c r="P56" s="19">
        <v>29.0</v>
      </c>
      <c r="Q56" s="19">
        <v>21.0</v>
      </c>
      <c r="R56" s="19">
        <v>32.0</v>
      </c>
      <c r="S56" s="19">
        <v>20.0</v>
      </c>
      <c r="T56" s="19">
        <v>49.0</v>
      </c>
      <c r="U56" s="19">
        <v>24.0</v>
      </c>
      <c r="V56" s="19">
        <v>38.0</v>
      </c>
      <c r="W56" s="19">
        <v>28.0</v>
      </c>
      <c r="X56" s="19">
        <v>15.0</v>
      </c>
      <c r="Y56" s="19">
        <v>30.0</v>
      </c>
      <c r="Z56" s="19">
        <v>34.0</v>
      </c>
      <c r="AA56" s="19">
        <v>26.0</v>
      </c>
      <c r="AB56" s="19">
        <v>25.0</v>
      </c>
      <c r="AC56" s="19">
        <v>38.0</v>
      </c>
      <c r="AD56" s="19">
        <v>37.0</v>
      </c>
      <c r="AE56" s="19">
        <v>33.0</v>
      </c>
      <c r="AF56" s="19">
        <v>16.0</v>
      </c>
      <c r="AG56" s="19">
        <v>18.0</v>
      </c>
      <c r="AH56" s="13">
        <f t="shared" si="14"/>
        <v>854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5.0</v>
      </c>
      <c r="F57" s="19">
        <v>1.0</v>
      </c>
      <c r="G57" s="19">
        <v>3.0</v>
      </c>
      <c r="H57" s="19">
        <v>3.0</v>
      </c>
      <c r="I57" s="19">
        <v>1.0</v>
      </c>
      <c r="J57" s="19">
        <v>3.0</v>
      </c>
      <c r="K57" s="19">
        <v>3.0</v>
      </c>
      <c r="L57" s="19">
        <v>1.0</v>
      </c>
      <c r="M57" s="19">
        <v>2.0</v>
      </c>
      <c r="N57" s="19">
        <v>2.0</v>
      </c>
      <c r="O57" s="19">
        <v>0.0</v>
      </c>
      <c r="P57" s="19">
        <v>1.0</v>
      </c>
      <c r="Q57" s="19">
        <v>2.0</v>
      </c>
      <c r="R57" s="19">
        <v>2.0</v>
      </c>
      <c r="S57" s="19">
        <v>1.0</v>
      </c>
      <c r="T57" s="19">
        <v>6.0</v>
      </c>
      <c r="U57" s="19">
        <v>2.0</v>
      </c>
      <c r="V57" s="19">
        <v>5.0</v>
      </c>
      <c r="W57" s="19">
        <v>5.0</v>
      </c>
      <c r="X57" s="19">
        <v>2.0</v>
      </c>
      <c r="Y57" s="19">
        <v>1.0</v>
      </c>
      <c r="Z57" s="19">
        <v>4.0</v>
      </c>
      <c r="AA57" s="19">
        <v>3.0</v>
      </c>
      <c r="AB57" s="19">
        <v>1.0</v>
      </c>
      <c r="AC57" s="19">
        <v>4.0</v>
      </c>
      <c r="AD57" s="19">
        <v>1.0</v>
      </c>
      <c r="AE57" s="19">
        <v>1.0</v>
      </c>
      <c r="AF57" s="19">
        <v>2.0</v>
      </c>
      <c r="AG57" s="19">
        <v>2.0</v>
      </c>
      <c r="AH57" s="13">
        <f t="shared" si="14"/>
        <v>69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G60" si="15">SUM(E45:E57)</f>
        <v>199</v>
      </c>
      <c r="F60" s="19">
        <f t="shared" si="15"/>
        <v>195</v>
      </c>
      <c r="G60" s="19">
        <f t="shared" si="15"/>
        <v>209</v>
      </c>
      <c r="H60" s="19">
        <f t="shared" si="15"/>
        <v>212</v>
      </c>
      <c r="I60" s="19">
        <f t="shared" si="15"/>
        <v>168</v>
      </c>
      <c r="J60" s="19">
        <f t="shared" si="15"/>
        <v>170</v>
      </c>
      <c r="K60" s="19">
        <f t="shared" si="15"/>
        <v>177</v>
      </c>
      <c r="L60" s="19">
        <f t="shared" si="15"/>
        <v>150</v>
      </c>
      <c r="M60" s="19">
        <f t="shared" si="15"/>
        <v>209</v>
      </c>
      <c r="N60" s="19">
        <f t="shared" si="15"/>
        <v>177</v>
      </c>
      <c r="O60" s="19">
        <f t="shared" si="15"/>
        <v>190</v>
      </c>
      <c r="P60" s="19">
        <f t="shared" si="15"/>
        <v>184</v>
      </c>
      <c r="Q60" s="19">
        <f t="shared" si="15"/>
        <v>164</v>
      </c>
      <c r="R60" s="19">
        <f t="shared" si="15"/>
        <v>201</v>
      </c>
      <c r="S60" s="19">
        <f t="shared" si="15"/>
        <v>180</v>
      </c>
      <c r="T60" s="19">
        <f t="shared" si="15"/>
        <v>197</v>
      </c>
      <c r="U60" s="19">
        <f t="shared" si="15"/>
        <v>177</v>
      </c>
      <c r="V60" s="19">
        <f t="shared" si="15"/>
        <v>180</v>
      </c>
      <c r="W60" s="19">
        <f t="shared" si="15"/>
        <v>153</v>
      </c>
      <c r="X60" s="19">
        <f t="shared" si="15"/>
        <v>178</v>
      </c>
      <c r="Y60" s="19">
        <f t="shared" si="15"/>
        <v>190</v>
      </c>
      <c r="Z60" s="19">
        <f t="shared" si="15"/>
        <v>184</v>
      </c>
      <c r="AA60" s="19">
        <f t="shared" si="15"/>
        <v>151</v>
      </c>
      <c r="AB60" s="19">
        <f t="shared" si="15"/>
        <v>180</v>
      </c>
      <c r="AC60" s="19">
        <f t="shared" si="15"/>
        <v>206</v>
      </c>
      <c r="AD60" s="19">
        <f t="shared" si="15"/>
        <v>179</v>
      </c>
      <c r="AE60" s="19">
        <f t="shared" si="15"/>
        <v>177</v>
      </c>
      <c r="AF60" s="19">
        <f t="shared" si="15"/>
        <v>159</v>
      </c>
      <c r="AG60" s="19">
        <f t="shared" si="15"/>
        <v>91</v>
      </c>
      <c r="AH60" s="13">
        <f t="shared" ref="AH60:AH62" si="16">SUM(E60:AG60)</f>
        <v>5187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30.0</v>
      </c>
      <c r="F61" s="19">
        <v>20.0</v>
      </c>
      <c r="G61" s="19">
        <v>38.0</v>
      </c>
      <c r="H61" s="19">
        <v>29.0</v>
      </c>
      <c r="I61" s="19">
        <v>51.0</v>
      </c>
      <c r="J61" s="19">
        <v>44.0</v>
      </c>
      <c r="K61" s="19">
        <v>40.0</v>
      </c>
      <c r="L61" s="19">
        <v>43.0</v>
      </c>
      <c r="M61" s="19">
        <v>24.0</v>
      </c>
      <c r="N61" s="19">
        <v>36.0</v>
      </c>
      <c r="O61" s="19">
        <v>43.0</v>
      </c>
      <c r="P61" s="19">
        <v>33.0</v>
      </c>
      <c r="Q61" s="19">
        <v>48.0</v>
      </c>
      <c r="R61" s="19">
        <v>40.0</v>
      </c>
      <c r="S61" s="19">
        <v>29.0</v>
      </c>
      <c r="T61" s="19">
        <v>39.0</v>
      </c>
      <c r="U61" s="19">
        <v>47.0</v>
      </c>
      <c r="V61" s="19">
        <v>44.0</v>
      </c>
      <c r="W61" s="19">
        <v>73.0</v>
      </c>
      <c r="X61" s="19">
        <v>43.0</v>
      </c>
      <c r="Y61" s="19">
        <v>41.0</v>
      </c>
      <c r="Z61" s="19">
        <v>31.0</v>
      </c>
      <c r="AA61" s="19">
        <v>55.0</v>
      </c>
      <c r="AB61" s="19">
        <v>42.0</v>
      </c>
      <c r="AC61" s="19">
        <v>22.0</v>
      </c>
      <c r="AD61" s="19">
        <v>33.0</v>
      </c>
      <c r="AE61" s="19">
        <v>46.0</v>
      </c>
      <c r="AF61" s="19">
        <v>4.0</v>
      </c>
      <c r="AG61" s="19">
        <v>22.0</v>
      </c>
      <c r="AH61" s="13">
        <f t="shared" si="16"/>
        <v>1090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G62" si="17">SUM(E60:E61)</f>
        <v>229</v>
      </c>
      <c r="F62" s="13">
        <f t="shared" si="17"/>
        <v>215</v>
      </c>
      <c r="G62" s="13">
        <f t="shared" si="17"/>
        <v>247</v>
      </c>
      <c r="H62" s="13">
        <f t="shared" si="17"/>
        <v>241</v>
      </c>
      <c r="I62" s="13">
        <f t="shared" si="17"/>
        <v>219</v>
      </c>
      <c r="J62" s="13">
        <f t="shared" si="17"/>
        <v>214</v>
      </c>
      <c r="K62" s="13">
        <f t="shared" si="17"/>
        <v>217</v>
      </c>
      <c r="L62" s="13">
        <f t="shared" si="17"/>
        <v>193</v>
      </c>
      <c r="M62" s="13">
        <f t="shared" si="17"/>
        <v>233</v>
      </c>
      <c r="N62" s="13">
        <f t="shared" si="17"/>
        <v>213</v>
      </c>
      <c r="O62" s="13">
        <f t="shared" si="17"/>
        <v>233</v>
      </c>
      <c r="P62" s="13">
        <f t="shared" si="17"/>
        <v>217</v>
      </c>
      <c r="Q62" s="13">
        <f t="shared" si="17"/>
        <v>212</v>
      </c>
      <c r="R62" s="13">
        <f t="shared" si="17"/>
        <v>241</v>
      </c>
      <c r="S62" s="13">
        <f t="shared" si="17"/>
        <v>209</v>
      </c>
      <c r="T62" s="13">
        <f t="shared" si="17"/>
        <v>236</v>
      </c>
      <c r="U62" s="13">
        <f t="shared" si="17"/>
        <v>224</v>
      </c>
      <c r="V62" s="13">
        <f t="shared" si="17"/>
        <v>224</v>
      </c>
      <c r="W62" s="13">
        <f t="shared" si="17"/>
        <v>226</v>
      </c>
      <c r="X62" s="13">
        <f t="shared" si="17"/>
        <v>221</v>
      </c>
      <c r="Y62" s="13">
        <f t="shared" si="17"/>
        <v>231</v>
      </c>
      <c r="Z62" s="13">
        <f t="shared" si="17"/>
        <v>215</v>
      </c>
      <c r="AA62" s="13">
        <f t="shared" si="17"/>
        <v>206</v>
      </c>
      <c r="AB62" s="13">
        <f t="shared" si="17"/>
        <v>222</v>
      </c>
      <c r="AC62" s="13">
        <f t="shared" si="17"/>
        <v>228</v>
      </c>
      <c r="AD62" s="13">
        <f t="shared" si="17"/>
        <v>212</v>
      </c>
      <c r="AE62" s="13">
        <f t="shared" si="17"/>
        <v>223</v>
      </c>
      <c r="AF62" s="13">
        <f t="shared" si="17"/>
        <v>163</v>
      </c>
      <c r="AG62" s="13">
        <f t="shared" si="17"/>
        <v>113</v>
      </c>
      <c r="AH62" s="13">
        <f t="shared" si="16"/>
        <v>6277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14:AG15 E19:AG20 E45:AG57">
    <cfRule type="containsBlanks" dxfId="1" priority="1">
      <formula>LEN(TRIM(E14))=0</formula>
    </cfRule>
  </conditionalFormatting>
  <conditionalFormatting sqref="E22:AG23 E25:AG26 E33:AG33 E35:AG35 E39:AG40">
    <cfRule type="containsBlanks" dxfId="1" priority="2">
      <formula>LEN(TRIM(E22))=0</formula>
    </cfRule>
  </conditionalFormatting>
  <conditionalFormatting sqref="E30:AG30">
    <cfRule type="expression" dxfId="0" priority="3">
      <formula>E30&lt;&gt;E46</formula>
    </cfRule>
  </conditionalFormatting>
  <conditionalFormatting sqref="E30:AG30">
    <cfRule type="expression" dxfId="0" priority="4">
      <formula>E30&lt;&gt;E34</formula>
    </cfRule>
  </conditionalFormatting>
  <conditionalFormatting sqref="E34:AG34">
    <cfRule type="expression" dxfId="2" priority="5">
      <formula>E30&lt;&gt;E34</formula>
    </cfRule>
  </conditionalFormatting>
  <conditionalFormatting sqref="E34:AG34">
    <cfRule type="expression" dxfId="3" priority="6">
      <formula>E30=E34</formula>
    </cfRule>
  </conditionalFormatting>
  <conditionalFormatting sqref="E34:AG34">
    <cfRule type="expression" dxfId="0" priority="7">
      <formula>E34&lt;&gt;E30</formula>
    </cfRule>
  </conditionalFormatting>
  <conditionalFormatting sqref="E34:AG34">
    <cfRule type="expression" dxfId="0" priority="8">
      <formula>E34&lt;&gt;#REF!</formula>
    </cfRule>
  </conditionalFormatting>
  <conditionalFormatting sqref="E60:AG61">
    <cfRule type="containsBlanks" dxfId="1" priority="9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117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  <c r="X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130.0</v>
      </c>
      <c r="F14" s="19">
        <v>147.0</v>
      </c>
      <c r="G14" s="19">
        <v>137.0</v>
      </c>
      <c r="H14" s="19">
        <v>136.0</v>
      </c>
      <c r="I14" s="19">
        <v>141.0</v>
      </c>
      <c r="J14" s="19">
        <v>133.0</v>
      </c>
      <c r="K14" s="19">
        <v>135.0</v>
      </c>
      <c r="L14" s="19">
        <v>142.0</v>
      </c>
      <c r="M14" s="19">
        <v>131.0</v>
      </c>
      <c r="N14" s="19">
        <v>137.0</v>
      </c>
      <c r="O14" s="19">
        <v>140.0</v>
      </c>
      <c r="P14" s="19">
        <v>140.0</v>
      </c>
      <c r="Q14" s="19">
        <v>134.0</v>
      </c>
      <c r="R14" s="19">
        <v>135.0</v>
      </c>
      <c r="S14" s="19">
        <v>130.0</v>
      </c>
      <c r="T14" s="19">
        <v>132.0</v>
      </c>
      <c r="U14" s="19">
        <v>137.0</v>
      </c>
      <c r="V14" s="19">
        <v>124.0</v>
      </c>
      <c r="W14" s="19">
        <v>139.0</v>
      </c>
      <c r="X14" s="19">
        <v>143.0</v>
      </c>
      <c r="Y14" s="19">
        <v>141.0</v>
      </c>
      <c r="Z14" s="19">
        <v>134.0</v>
      </c>
      <c r="AA14" s="19">
        <v>141.0</v>
      </c>
      <c r="AB14" s="19">
        <v>141.0</v>
      </c>
      <c r="AC14" s="13">
        <f t="shared" ref="AC14:AC16" si="1">SUM(E14:AB14)</f>
        <v>3280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142.0</v>
      </c>
      <c r="G15" s="19">
        <v>147.0</v>
      </c>
      <c r="H15" s="19">
        <v>141.0</v>
      </c>
      <c r="I15" s="19">
        <v>134.0</v>
      </c>
      <c r="J15" s="19">
        <v>126.0</v>
      </c>
      <c r="K15" s="19">
        <v>139.0</v>
      </c>
      <c r="L15" s="19">
        <v>143.0</v>
      </c>
      <c r="M15" s="19">
        <v>146.0</v>
      </c>
      <c r="N15" s="19">
        <v>139.0</v>
      </c>
      <c r="O15" s="19">
        <v>137.0</v>
      </c>
      <c r="P15" s="19">
        <v>145.0</v>
      </c>
      <c r="Q15" s="19">
        <v>144.0</v>
      </c>
      <c r="R15" s="19">
        <v>141.0</v>
      </c>
      <c r="S15" s="19">
        <v>134.0</v>
      </c>
      <c r="T15" s="19">
        <v>138.0</v>
      </c>
      <c r="U15" s="19">
        <v>139.0</v>
      </c>
      <c r="V15" s="19">
        <v>126.0</v>
      </c>
      <c r="W15" s="19">
        <v>138.0</v>
      </c>
      <c r="X15" s="19">
        <v>146.0</v>
      </c>
      <c r="Y15" s="19">
        <v>135.0</v>
      </c>
      <c r="Z15" s="19">
        <v>138.0</v>
      </c>
      <c r="AA15" s="19">
        <v>141.0</v>
      </c>
      <c r="AB15" s="19">
        <v>134.0</v>
      </c>
      <c r="AC15" s="13">
        <f t="shared" si="1"/>
        <v>3335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272</v>
      </c>
      <c r="F16" s="13">
        <f t="shared" si="2"/>
        <v>289</v>
      </c>
      <c r="G16" s="13">
        <f t="shared" si="2"/>
        <v>284</v>
      </c>
      <c r="H16" s="13">
        <f t="shared" si="2"/>
        <v>277</v>
      </c>
      <c r="I16" s="13">
        <f t="shared" si="2"/>
        <v>275</v>
      </c>
      <c r="J16" s="13">
        <f t="shared" si="2"/>
        <v>259</v>
      </c>
      <c r="K16" s="13">
        <f t="shared" si="2"/>
        <v>274</v>
      </c>
      <c r="L16" s="13">
        <f t="shared" si="2"/>
        <v>285</v>
      </c>
      <c r="M16" s="13">
        <f t="shared" si="2"/>
        <v>277</v>
      </c>
      <c r="N16" s="13">
        <f t="shared" si="2"/>
        <v>276</v>
      </c>
      <c r="O16" s="13">
        <f t="shared" si="2"/>
        <v>277</v>
      </c>
      <c r="P16" s="13">
        <f t="shared" si="2"/>
        <v>285</v>
      </c>
      <c r="Q16" s="13">
        <f t="shared" si="2"/>
        <v>278</v>
      </c>
      <c r="R16" s="13">
        <f t="shared" si="2"/>
        <v>276</v>
      </c>
      <c r="S16" s="13">
        <f t="shared" si="2"/>
        <v>264</v>
      </c>
      <c r="T16" s="13">
        <f t="shared" si="2"/>
        <v>270</v>
      </c>
      <c r="U16" s="13">
        <f t="shared" si="2"/>
        <v>276</v>
      </c>
      <c r="V16" s="13">
        <f t="shared" si="2"/>
        <v>250</v>
      </c>
      <c r="W16" s="13">
        <f t="shared" si="2"/>
        <v>277</v>
      </c>
      <c r="X16" s="13">
        <f t="shared" si="2"/>
        <v>289</v>
      </c>
      <c r="Y16" s="13">
        <f t="shared" si="2"/>
        <v>276</v>
      </c>
      <c r="Z16" s="13">
        <f t="shared" si="2"/>
        <v>272</v>
      </c>
      <c r="AA16" s="13">
        <f t="shared" si="2"/>
        <v>282</v>
      </c>
      <c r="AB16" s="13">
        <f t="shared" si="2"/>
        <v>275</v>
      </c>
      <c r="AC16" s="13">
        <f t="shared" si="1"/>
        <v>6615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19"/>
      <c r="S17" s="19"/>
      <c r="T17" s="58"/>
      <c r="U17" s="58"/>
      <c r="V17" s="58"/>
      <c r="W17" s="58"/>
      <c r="X17" s="58"/>
      <c r="Y17" s="58"/>
      <c r="Z17" s="58"/>
      <c r="AA17" s="58"/>
      <c r="AB17" s="58"/>
      <c r="AC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19"/>
      <c r="S18" s="19"/>
      <c r="T18" s="58"/>
      <c r="U18" s="58"/>
      <c r="V18" s="58"/>
      <c r="W18" s="58"/>
      <c r="X18" s="58"/>
      <c r="Y18" s="58"/>
      <c r="Z18" s="58"/>
      <c r="AA18" s="58"/>
      <c r="AB18" s="58"/>
      <c r="AC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94.0</v>
      </c>
      <c r="F19" s="19">
        <v>114.0</v>
      </c>
      <c r="G19" s="19">
        <v>100.0</v>
      </c>
      <c r="H19" s="19">
        <v>100.0</v>
      </c>
      <c r="I19" s="19">
        <v>87.0</v>
      </c>
      <c r="J19" s="19">
        <v>92.0</v>
      </c>
      <c r="K19" s="19">
        <v>96.0</v>
      </c>
      <c r="L19" s="19">
        <v>101.0</v>
      </c>
      <c r="M19" s="19">
        <v>110.0</v>
      </c>
      <c r="N19" s="19">
        <v>110.0</v>
      </c>
      <c r="O19" s="19">
        <v>113.0</v>
      </c>
      <c r="P19" s="19">
        <v>111.0</v>
      </c>
      <c r="Q19" s="19">
        <v>101.0</v>
      </c>
      <c r="R19" s="19">
        <v>107.0</v>
      </c>
      <c r="S19" s="19">
        <v>99.0</v>
      </c>
      <c r="T19" s="19">
        <v>112.0</v>
      </c>
      <c r="U19" s="19">
        <v>102.0</v>
      </c>
      <c r="V19" s="19">
        <v>102.0</v>
      </c>
      <c r="W19" s="19">
        <v>110.0</v>
      </c>
      <c r="X19" s="19">
        <v>122.0</v>
      </c>
      <c r="Y19" s="19">
        <v>113.0</v>
      </c>
      <c r="Z19" s="19">
        <v>110.0</v>
      </c>
      <c r="AA19" s="19">
        <v>115.0</v>
      </c>
      <c r="AB19" s="19">
        <v>107.0</v>
      </c>
      <c r="AC19" s="13">
        <f t="shared" ref="AC19:AC30" si="3">SUM(E19:AB19)</f>
        <v>2528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107.0</v>
      </c>
      <c r="G20" s="19">
        <v>114.0</v>
      </c>
      <c r="H20" s="19">
        <v>104.0</v>
      </c>
      <c r="I20" s="19">
        <v>97.0</v>
      </c>
      <c r="J20" s="19">
        <v>91.0</v>
      </c>
      <c r="K20" s="19">
        <v>106.0</v>
      </c>
      <c r="L20" s="19">
        <v>109.0</v>
      </c>
      <c r="M20" s="19">
        <v>118.0</v>
      </c>
      <c r="N20" s="19">
        <v>113.0</v>
      </c>
      <c r="O20" s="19">
        <v>121.0</v>
      </c>
      <c r="P20" s="19">
        <v>120.0</v>
      </c>
      <c r="Q20" s="19">
        <v>118.0</v>
      </c>
      <c r="R20" s="19">
        <v>103.0</v>
      </c>
      <c r="S20" s="19">
        <v>105.0</v>
      </c>
      <c r="T20" s="19">
        <v>114.0</v>
      </c>
      <c r="U20" s="19">
        <v>108.0</v>
      </c>
      <c r="V20" s="19">
        <v>108.0</v>
      </c>
      <c r="W20" s="19">
        <v>114.0</v>
      </c>
      <c r="X20" s="19">
        <v>132.0</v>
      </c>
      <c r="Y20" s="19">
        <v>108.0</v>
      </c>
      <c r="Z20" s="19">
        <v>117.0</v>
      </c>
      <c r="AA20" s="19">
        <v>117.0</v>
      </c>
      <c r="AB20" s="19">
        <v>108.0</v>
      </c>
      <c r="AC20" s="13">
        <f t="shared" si="3"/>
        <v>2661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203</v>
      </c>
      <c r="F21" s="13">
        <f t="shared" si="4"/>
        <v>221</v>
      </c>
      <c r="G21" s="13">
        <f t="shared" si="4"/>
        <v>214</v>
      </c>
      <c r="H21" s="13">
        <f t="shared" si="4"/>
        <v>204</v>
      </c>
      <c r="I21" s="13">
        <f t="shared" si="4"/>
        <v>184</v>
      </c>
      <c r="J21" s="13">
        <f t="shared" si="4"/>
        <v>183</v>
      </c>
      <c r="K21" s="13">
        <f t="shared" si="4"/>
        <v>202</v>
      </c>
      <c r="L21" s="13">
        <f t="shared" si="4"/>
        <v>210</v>
      </c>
      <c r="M21" s="13">
        <f t="shared" si="4"/>
        <v>228</v>
      </c>
      <c r="N21" s="13">
        <f t="shared" si="4"/>
        <v>223</v>
      </c>
      <c r="O21" s="13">
        <f t="shared" si="4"/>
        <v>234</v>
      </c>
      <c r="P21" s="13">
        <f t="shared" si="4"/>
        <v>231</v>
      </c>
      <c r="Q21" s="13">
        <f t="shared" si="4"/>
        <v>219</v>
      </c>
      <c r="R21" s="13">
        <f t="shared" si="4"/>
        <v>210</v>
      </c>
      <c r="S21" s="13">
        <f t="shared" si="4"/>
        <v>204</v>
      </c>
      <c r="T21" s="13">
        <f t="shared" si="4"/>
        <v>226</v>
      </c>
      <c r="U21" s="13">
        <f t="shared" si="4"/>
        <v>210</v>
      </c>
      <c r="V21" s="13">
        <f t="shared" si="4"/>
        <v>210</v>
      </c>
      <c r="W21" s="13">
        <f t="shared" si="4"/>
        <v>224</v>
      </c>
      <c r="X21" s="13">
        <f t="shared" si="4"/>
        <v>254</v>
      </c>
      <c r="Y21" s="13">
        <f t="shared" si="4"/>
        <v>221</v>
      </c>
      <c r="Z21" s="13">
        <f t="shared" si="4"/>
        <v>227</v>
      </c>
      <c r="AA21" s="13">
        <f t="shared" si="4"/>
        <v>232</v>
      </c>
      <c r="AB21" s="13">
        <f t="shared" si="4"/>
        <v>215</v>
      </c>
      <c r="AC21" s="13">
        <f t="shared" si="3"/>
        <v>5189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1.0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3.0</v>
      </c>
      <c r="G25" s="19">
        <v>4.0</v>
      </c>
      <c r="H25" s="19">
        <v>3.0</v>
      </c>
      <c r="I25" s="19">
        <v>2.0</v>
      </c>
      <c r="J25" s="19">
        <v>0.0</v>
      </c>
      <c r="K25" s="19">
        <v>2.0</v>
      </c>
      <c r="L25" s="19">
        <v>4.0</v>
      </c>
      <c r="M25" s="19">
        <v>4.0</v>
      </c>
      <c r="N25" s="19">
        <v>0.0</v>
      </c>
      <c r="O25" s="19">
        <v>0.0</v>
      </c>
      <c r="P25" s="19">
        <v>0.0</v>
      </c>
      <c r="Q25" s="19">
        <v>0.0</v>
      </c>
      <c r="R25" s="19">
        <v>2.0</v>
      </c>
      <c r="S25" s="19">
        <v>1.0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3">
        <f t="shared" si="3"/>
        <v>29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3.0</v>
      </c>
      <c r="G26" s="19">
        <v>4.0</v>
      </c>
      <c r="H26" s="19">
        <v>2.0</v>
      </c>
      <c r="I26" s="19">
        <v>1.0</v>
      </c>
      <c r="J26" s="19">
        <v>0.0</v>
      </c>
      <c r="K26" s="19">
        <v>5.0</v>
      </c>
      <c r="L26" s="19">
        <v>2.0</v>
      </c>
      <c r="M26" s="19">
        <v>1.0</v>
      </c>
      <c r="N26" s="19">
        <v>0.0</v>
      </c>
      <c r="O26" s="19">
        <v>0.0</v>
      </c>
      <c r="P26" s="19">
        <v>0.0</v>
      </c>
      <c r="Q26" s="19">
        <v>0.0</v>
      </c>
      <c r="R26" s="19">
        <v>1.0</v>
      </c>
      <c r="S26" s="19">
        <v>2.0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3">
        <f t="shared" si="3"/>
        <v>22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5</v>
      </c>
      <c r="F27" s="13">
        <f t="shared" si="6"/>
        <v>6</v>
      </c>
      <c r="G27" s="13">
        <f t="shared" si="6"/>
        <v>8</v>
      </c>
      <c r="H27" s="13">
        <f t="shared" si="6"/>
        <v>5</v>
      </c>
      <c r="I27" s="13">
        <f t="shared" si="6"/>
        <v>3</v>
      </c>
      <c r="J27" s="13">
        <f t="shared" si="6"/>
        <v>0</v>
      </c>
      <c r="K27" s="13">
        <f t="shared" si="6"/>
        <v>7</v>
      </c>
      <c r="L27" s="13">
        <f t="shared" si="6"/>
        <v>6</v>
      </c>
      <c r="M27" s="13">
        <f t="shared" si="6"/>
        <v>5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3</v>
      </c>
      <c r="S27" s="13">
        <f t="shared" si="6"/>
        <v>3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3"/>
        <v>51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7">SUM(E19,E22,E25)</f>
        <v>98</v>
      </c>
      <c r="F28" s="13">
        <f t="shared" si="7"/>
        <v>117</v>
      </c>
      <c r="G28" s="13">
        <f t="shared" si="7"/>
        <v>104</v>
      </c>
      <c r="H28" s="13">
        <f t="shared" si="7"/>
        <v>103</v>
      </c>
      <c r="I28" s="13">
        <f t="shared" si="7"/>
        <v>89</v>
      </c>
      <c r="J28" s="13">
        <f t="shared" si="7"/>
        <v>92</v>
      </c>
      <c r="K28" s="13">
        <f t="shared" si="7"/>
        <v>98</v>
      </c>
      <c r="L28" s="13">
        <f t="shared" si="7"/>
        <v>105</v>
      </c>
      <c r="M28" s="13">
        <f t="shared" si="7"/>
        <v>115</v>
      </c>
      <c r="N28" s="13">
        <f t="shared" si="7"/>
        <v>110</v>
      </c>
      <c r="O28" s="13">
        <f t="shared" si="7"/>
        <v>114</v>
      </c>
      <c r="P28" s="13">
        <f t="shared" si="7"/>
        <v>111</v>
      </c>
      <c r="Q28" s="13">
        <f t="shared" si="7"/>
        <v>101</v>
      </c>
      <c r="R28" s="13">
        <f t="shared" si="7"/>
        <v>109</v>
      </c>
      <c r="S28" s="13">
        <f t="shared" si="7"/>
        <v>100</v>
      </c>
      <c r="T28" s="13">
        <f t="shared" si="7"/>
        <v>112</v>
      </c>
      <c r="U28" s="13">
        <f t="shared" si="7"/>
        <v>102</v>
      </c>
      <c r="V28" s="13">
        <f t="shared" si="7"/>
        <v>102</v>
      </c>
      <c r="W28" s="13">
        <f t="shared" si="7"/>
        <v>110</v>
      </c>
      <c r="X28" s="13">
        <f t="shared" si="7"/>
        <v>122</v>
      </c>
      <c r="Y28" s="13">
        <f t="shared" si="7"/>
        <v>113</v>
      </c>
      <c r="Z28" s="13">
        <f t="shared" si="7"/>
        <v>110</v>
      </c>
      <c r="AA28" s="13">
        <f t="shared" si="7"/>
        <v>115</v>
      </c>
      <c r="AB28" s="13">
        <f t="shared" si="7"/>
        <v>107</v>
      </c>
      <c r="AC28" s="13">
        <f t="shared" si="3"/>
        <v>2559</v>
      </c>
    </row>
    <row r="29" ht="12.75" customHeight="1">
      <c r="A29" s="35"/>
      <c r="B29" s="27"/>
      <c r="C29" s="34"/>
      <c r="D29" s="13" t="s">
        <v>13</v>
      </c>
      <c r="E29" s="13">
        <f t="shared" ref="E29:AB29" si="8">SUM(E20,E23,E26)</f>
        <v>110</v>
      </c>
      <c r="F29" s="13">
        <f t="shared" si="8"/>
        <v>110</v>
      </c>
      <c r="G29" s="13">
        <f t="shared" si="8"/>
        <v>118</v>
      </c>
      <c r="H29" s="13">
        <f t="shared" si="8"/>
        <v>106</v>
      </c>
      <c r="I29" s="13">
        <f t="shared" si="8"/>
        <v>98</v>
      </c>
      <c r="J29" s="13">
        <f t="shared" si="8"/>
        <v>91</v>
      </c>
      <c r="K29" s="13">
        <f t="shared" si="8"/>
        <v>111</v>
      </c>
      <c r="L29" s="13">
        <f t="shared" si="8"/>
        <v>111</v>
      </c>
      <c r="M29" s="13">
        <f t="shared" si="8"/>
        <v>119</v>
      </c>
      <c r="N29" s="13">
        <f t="shared" si="8"/>
        <v>113</v>
      </c>
      <c r="O29" s="13">
        <f t="shared" si="8"/>
        <v>121</v>
      </c>
      <c r="P29" s="13">
        <f t="shared" si="8"/>
        <v>120</v>
      </c>
      <c r="Q29" s="13">
        <f t="shared" si="8"/>
        <v>118</v>
      </c>
      <c r="R29" s="13">
        <f t="shared" si="8"/>
        <v>104</v>
      </c>
      <c r="S29" s="13">
        <f t="shared" si="8"/>
        <v>108</v>
      </c>
      <c r="T29" s="13">
        <f t="shared" si="8"/>
        <v>114</v>
      </c>
      <c r="U29" s="13">
        <f t="shared" si="8"/>
        <v>108</v>
      </c>
      <c r="V29" s="13">
        <f t="shared" si="8"/>
        <v>108</v>
      </c>
      <c r="W29" s="13">
        <f t="shared" si="8"/>
        <v>114</v>
      </c>
      <c r="X29" s="13">
        <f t="shared" si="8"/>
        <v>132</v>
      </c>
      <c r="Y29" s="13">
        <f t="shared" si="8"/>
        <v>108</v>
      </c>
      <c r="Z29" s="13">
        <f t="shared" si="8"/>
        <v>117</v>
      </c>
      <c r="AA29" s="13">
        <f t="shared" si="8"/>
        <v>117</v>
      </c>
      <c r="AB29" s="13">
        <f t="shared" si="8"/>
        <v>108</v>
      </c>
      <c r="AC29" s="13">
        <f t="shared" si="3"/>
        <v>2684</v>
      </c>
    </row>
    <row r="30" ht="12.75" customHeight="1">
      <c r="A30" s="35"/>
      <c r="B30" s="28"/>
      <c r="C30" s="36"/>
      <c r="D30" s="13" t="s">
        <v>14</v>
      </c>
      <c r="E30" s="13">
        <f t="shared" ref="E30:AB30" si="9">SUM(E28:E29)</f>
        <v>208</v>
      </c>
      <c r="F30" s="13">
        <f t="shared" si="9"/>
        <v>227</v>
      </c>
      <c r="G30" s="13">
        <f t="shared" si="9"/>
        <v>222</v>
      </c>
      <c r="H30" s="13">
        <f t="shared" si="9"/>
        <v>209</v>
      </c>
      <c r="I30" s="13">
        <f t="shared" si="9"/>
        <v>187</v>
      </c>
      <c r="J30" s="13">
        <f t="shared" si="9"/>
        <v>183</v>
      </c>
      <c r="K30" s="13">
        <f t="shared" si="9"/>
        <v>209</v>
      </c>
      <c r="L30" s="13">
        <f t="shared" si="9"/>
        <v>216</v>
      </c>
      <c r="M30" s="13">
        <f t="shared" si="9"/>
        <v>234</v>
      </c>
      <c r="N30" s="13">
        <f t="shared" si="9"/>
        <v>223</v>
      </c>
      <c r="O30" s="13">
        <f t="shared" si="9"/>
        <v>235</v>
      </c>
      <c r="P30" s="13">
        <f t="shared" si="9"/>
        <v>231</v>
      </c>
      <c r="Q30" s="13">
        <f t="shared" si="9"/>
        <v>219</v>
      </c>
      <c r="R30" s="13">
        <f t="shared" si="9"/>
        <v>213</v>
      </c>
      <c r="S30" s="13">
        <f t="shared" si="9"/>
        <v>208</v>
      </c>
      <c r="T30" s="13">
        <f t="shared" si="9"/>
        <v>226</v>
      </c>
      <c r="U30" s="13">
        <f t="shared" si="9"/>
        <v>210</v>
      </c>
      <c r="V30" s="13">
        <f t="shared" si="9"/>
        <v>210</v>
      </c>
      <c r="W30" s="13">
        <f t="shared" si="9"/>
        <v>224</v>
      </c>
      <c r="X30" s="13">
        <f t="shared" si="9"/>
        <v>254</v>
      </c>
      <c r="Y30" s="13">
        <f t="shared" si="9"/>
        <v>221</v>
      </c>
      <c r="Z30" s="13">
        <f t="shared" si="9"/>
        <v>227</v>
      </c>
      <c r="AA30" s="13">
        <f t="shared" si="9"/>
        <v>232</v>
      </c>
      <c r="AB30" s="13">
        <f t="shared" si="9"/>
        <v>215</v>
      </c>
      <c r="AC30" s="13">
        <f t="shared" si="3"/>
        <v>5243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19"/>
      <c r="S31" s="19"/>
      <c r="T31" s="58"/>
      <c r="U31" s="58"/>
      <c r="V31" s="58"/>
      <c r="W31" s="58"/>
      <c r="X31" s="58"/>
      <c r="Y31" s="58"/>
      <c r="Z31" s="58"/>
      <c r="AA31" s="58"/>
      <c r="AB31" s="58"/>
      <c r="AC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13"/>
      <c r="T32" s="60"/>
      <c r="U32" s="60"/>
      <c r="V32" s="60"/>
      <c r="W32" s="60"/>
      <c r="X32" s="60"/>
      <c r="Y32" s="60"/>
      <c r="Z32" s="60"/>
      <c r="AA32" s="60"/>
      <c r="AB32" s="60"/>
      <c r="AC32" s="59"/>
    </row>
    <row r="33" ht="12.75" customHeight="1">
      <c r="A33" s="19">
        <v>1.0</v>
      </c>
      <c r="B33" s="20" t="s">
        <v>27</v>
      </c>
      <c r="C33" s="15"/>
      <c r="D33" s="16"/>
      <c r="E33" s="19">
        <v>278.0</v>
      </c>
      <c r="F33" s="19">
        <v>276.0</v>
      </c>
      <c r="G33" s="19">
        <v>290.0</v>
      </c>
      <c r="H33" s="19">
        <v>283.0</v>
      </c>
      <c r="I33" s="19">
        <v>281.0</v>
      </c>
      <c r="J33" s="19">
        <v>265.0</v>
      </c>
      <c r="K33" s="19">
        <v>280.0</v>
      </c>
      <c r="L33" s="19">
        <v>292.0</v>
      </c>
      <c r="M33" s="19">
        <v>283.0</v>
      </c>
      <c r="N33" s="19">
        <v>282.0</v>
      </c>
      <c r="O33" s="19">
        <v>283.0</v>
      </c>
      <c r="P33" s="19">
        <v>292.0</v>
      </c>
      <c r="Q33" s="19">
        <v>284.0</v>
      </c>
      <c r="R33" s="19">
        <v>280.0</v>
      </c>
      <c r="S33" s="19">
        <v>270.0</v>
      </c>
      <c r="T33" s="19">
        <v>276.0</v>
      </c>
      <c r="U33" s="19">
        <v>282.0</v>
      </c>
      <c r="V33" s="19">
        <v>255.0</v>
      </c>
      <c r="W33" s="19">
        <v>281.0</v>
      </c>
      <c r="X33" s="19">
        <v>295.0</v>
      </c>
      <c r="Y33" s="19">
        <v>282.0</v>
      </c>
      <c r="Z33" s="19">
        <v>278.0</v>
      </c>
      <c r="AA33" s="19">
        <v>288.0</v>
      </c>
      <c r="AB33" s="19">
        <v>261.0</v>
      </c>
      <c r="AC33" s="13">
        <f t="shared" ref="AC33:AC36" si="10">SUM(E33:AB33)</f>
        <v>6717</v>
      </c>
    </row>
    <row r="34" ht="12.75" customHeight="1">
      <c r="A34" s="19">
        <v>2.0</v>
      </c>
      <c r="B34" s="20" t="s">
        <v>28</v>
      </c>
      <c r="C34" s="15"/>
      <c r="D34" s="16"/>
      <c r="E34" s="13">
        <v>208.0</v>
      </c>
      <c r="F34" s="13">
        <v>227.0</v>
      </c>
      <c r="G34" s="13">
        <v>222.0</v>
      </c>
      <c r="H34" s="13">
        <v>209.0</v>
      </c>
      <c r="I34" s="13">
        <v>187.0</v>
      </c>
      <c r="J34" s="13">
        <v>183.0</v>
      </c>
      <c r="K34" s="13">
        <v>209.0</v>
      </c>
      <c r="L34" s="13">
        <v>216.0</v>
      </c>
      <c r="M34" s="13">
        <v>234.0</v>
      </c>
      <c r="N34" s="13">
        <v>223.0</v>
      </c>
      <c r="O34" s="13">
        <v>235.0</v>
      </c>
      <c r="P34" s="13">
        <v>232.0</v>
      </c>
      <c r="Q34" s="13">
        <v>219.0</v>
      </c>
      <c r="R34" s="13">
        <v>213.0</v>
      </c>
      <c r="S34" s="13">
        <v>207.0</v>
      </c>
      <c r="T34" s="13">
        <v>226.0</v>
      </c>
      <c r="U34" s="13">
        <v>210.0</v>
      </c>
      <c r="V34" s="13">
        <v>219.0</v>
      </c>
      <c r="W34" s="13">
        <v>224.0</v>
      </c>
      <c r="X34" s="13">
        <v>254.0</v>
      </c>
      <c r="Y34" s="13">
        <v>221.0</v>
      </c>
      <c r="Z34" s="13">
        <v>227.0</v>
      </c>
      <c r="AA34" s="13">
        <v>232.0</v>
      </c>
      <c r="AB34" s="13">
        <v>223.0</v>
      </c>
      <c r="AC34" s="13">
        <f t="shared" si="10"/>
        <v>5260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5.0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70</v>
      </c>
      <c r="F36" s="13">
        <f t="shared" si="11"/>
        <v>49</v>
      </c>
      <c r="G36" s="13">
        <f t="shared" si="11"/>
        <v>68</v>
      </c>
      <c r="H36" s="13">
        <f t="shared" si="11"/>
        <v>74</v>
      </c>
      <c r="I36" s="13">
        <f t="shared" si="11"/>
        <v>94</v>
      </c>
      <c r="J36" s="13">
        <f t="shared" si="11"/>
        <v>82</v>
      </c>
      <c r="K36" s="13">
        <f t="shared" si="11"/>
        <v>71</v>
      </c>
      <c r="L36" s="13">
        <f t="shared" si="11"/>
        <v>76</v>
      </c>
      <c r="M36" s="13">
        <f t="shared" si="11"/>
        <v>49</v>
      </c>
      <c r="N36" s="13">
        <f t="shared" si="11"/>
        <v>59</v>
      </c>
      <c r="O36" s="13">
        <f t="shared" si="11"/>
        <v>48</v>
      </c>
      <c r="P36" s="13">
        <f t="shared" si="11"/>
        <v>55</v>
      </c>
      <c r="Q36" s="13">
        <f t="shared" si="11"/>
        <v>65</v>
      </c>
      <c r="R36" s="13">
        <f t="shared" si="11"/>
        <v>67</v>
      </c>
      <c r="S36" s="13">
        <f t="shared" si="11"/>
        <v>63</v>
      </c>
      <c r="T36" s="13">
        <f t="shared" si="11"/>
        <v>50</v>
      </c>
      <c r="U36" s="13">
        <f t="shared" si="11"/>
        <v>72</v>
      </c>
      <c r="V36" s="13">
        <f t="shared" si="11"/>
        <v>36</v>
      </c>
      <c r="W36" s="13">
        <f t="shared" si="11"/>
        <v>57</v>
      </c>
      <c r="X36" s="13">
        <f t="shared" si="11"/>
        <v>41</v>
      </c>
      <c r="Y36" s="13">
        <f t="shared" si="11"/>
        <v>61</v>
      </c>
      <c r="Z36" s="13">
        <f t="shared" si="11"/>
        <v>51</v>
      </c>
      <c r="AA36" s="13">
        <f t="shared" si="11"/>
        <v>56</v>
      </c>
      <c r="AB36" s="13">
        <f t="shared" si="11"/>
        <v>38</v>
      </c>
      <c r="AC36" s="13">
        <f t="shared" si="10"/>
        <v>1452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19"/>
      <c r="S37" s="19"/>
      <c r="T37" s="58"/>
      <c r="U37" s="61"/>
      <c r="V37" s="61"/>
      <c r="W37" s="61"/>
      <c r="X37" s="58"/>
      <c r="Y37" s="61"/>
      <c r="Z37" s="61"/>
      <c r="AA37" s="61"/>
      <c r="AB37" s="61"/>
      <c r="AC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13"/>
      <c r="T38" s="60"/>
      <c r="U38" s="60"/>
      <c r="V38" s="60"/>
      <c r="W38" s="60"/>
      <c r="X38" s="60"/>
      <c r="Y38" s="60"/>
      <c r="Z38" s="60"/>
      <c r="AA38" s="60"/>
      <c r="AB38" s="60"/>
      <c r="AC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3">
        <f t="shared" ref="AC39:AC41" si="12">SUM(E39:AB39)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9"/>
      <c r="S42" s="19"/>
      <c r="T42" s="58"/>
      <c r="U42" s="19"/>
      <c r="V42" s="58"/>
      <c r="W42" s="19"/>
      <c r="X42" s="58"/>
      <c r="Y42" s="19"/>
      <c r="Z42" s="58"/>
      <c r="AA42" s="19"/>
      <c r="AB42" s="58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60"/>
      <c r="U43" s="13"/>
      <c r="V43" s="60"/>
      <c r="W43" s="13"/>
      <c r="X43" s="60"/>
      <c r="Y43" s="13"/>
      <c r="Z43" s="60"/>
      <c r="AA43" s="13"/>
      <c r="AB43" s="60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58"/>
      <c r="U44" s="19"/>
      <c r="V44" s="58"/>
      <c r="W44" s="19"/>
      <c r="X44" s="58"/>
      <c r="Y44" s="19"/>
      <c r="Z44" s="58"/>
      <c r="AA44" s="19"/>
      <c r="AB44" s="58"/>
      <c r="AC44" s="13"/>
    </row>
    <row r="45" ht="12.75" customHeight="1">
      <c r="A45" s="30"/>
      <c r="B45" s="47" t="s">
        <v>17</v>
      </c>
      <c r="C45" s="48" t="s">
        <v>37</v>
      </c>
      <c r="D45" s="16"/>
      <c r="E45" s="19">
        <v>23.0</v>
      </c>
      <c r="F45" s="19">
        <v>16.0</v>
      </c>
      <c r="G45" s="19">
        <v>10.0</v>
      </c>
      <c r="H45" s="19">
        <v>13.0</v>
      </c>
      <c r="I45" s="19">
        <v>15.0</v>
      </c>
      <c r="J45" s="19">
        <v>17.0</v>
      </c>
      <c r="K45" s="19">
        <v>13.0</v>
      </c>
      <c r="L45" s="19">
        <v>14.0</v>
      </c>
      <c r="M45" s="19">
        <v>15.0</v>
      </c>
      <c r="N45" s="19">
        <v>33.0</v>
      </c>
      <c r="O45" s="19">
        <v>24.0</v>
      </c>
      <c r="P45" s="19">
        <v>25.0</v>
      </c>
      <c r="Q45" s="19">
        <v>19.0</v>
      </c>
      <c r="R45" s="19">
        <v>15.0</v>
      </c>
      <c r="S45" s="19">
        <v>21.0</v>
      </c>
      <c r="T45" s="19">
        <v>21.0</v>
      </c>
      <c r="U45" s="19">
        <v>20.0</v>
      </c>
      <c r="V45" s="19">
        <v>27.0</v>
      </c>
      <c r="W45" s="19">
        <v>17.0</v>
      </c>
      <c r="X45" s="19">
        <v>22.0</v>
      </c>
      <c r="Y45" s="19">
        <v>16.0</v>
      </c>
      <c r="Z45" s="19">
        <v>18.0</v>
      </c>
      <c r="AA45" s="19">
        <v>16.0</v>
      </c>
      <c r="AB45" s="19">
        <v>15.0</v>
      </c>
      <c r="AC45" s="13">
        <f t="shared" ref="AC45:AC57" si="14">SUM(E45:AB45)</f>
        <v>445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34.0</v>
      </c>
      <c r="F46" s="19">
        <v>22.0</v>
      </c>
      <c r="G46" s="19">
        <v>32.0</v>
      </c>
      <c r="H46" s="19">
        <v>32.0</v>
      </c>
      <c r="I46" s="19">
        <v>26.0</v>
      </c>
      <c r="J46" s="19">
        <v>37.0</v>
      </c>
      <c r="K46" s="19">
        <v>30.0</v>
      </c>
      <c r="L46" s="19">
        <v>29.0</v>
      </c>
      <c r="M46" s="19">
        <v>36.0</v>
      </c>
      <c r="N46" s="19">
        <v>51.0</v>
      </c>
      <c r="O46" s="19">
        <v>32.0</v>
      </c>
      <c r="P46" s="19">
        <v>30.0</v>
      </c>
      <c r="Q46" s="19">
        <v>44.0</v>
      </c>
      <c r="R46" s="19">
        <v>34.0</v>
      </c>
      <c r="S46" s="19">
        <v>25.0</v>
      </c>
      <c r="T46" s="19">
        <v>25.0</v>
      </c>
      <c r="U46" s="19">
        <v>23.0</v>
      </c>
      <c r="V46" s="19">
        <v>20.0</v>
      </c>
      <c r="W46" s="19">
        <v>28.0</v>
      </c>
      <c r="X46" s="19">
        <v>21.0</v>
      </c>
      <c r="Y46" s="19">
        <v>21.0</v>
      </c>
      <c r="Z46" s="19">
        <v>26.0</v>
      </c>
      <c r="AA46" s="19">
        <v>19.0</v>
      </c>
      <c r="AB46" s="19">
        <v>29.0</v>
      </c>
      <c r="AC46" s="13">
        <f t="shared" si="14"/>
        <v>706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16.0</v>
      </c>
      <c r="F47" s="19">
        <v>20.0</v>
      </c>
      <c r="G47" s="19">
        <v>16.0</v>
      </c>
      <c r="H47" s="19">
        <v>17.0</v>
      </c>
      <c r="I47" s="19">
        <v>14.0</v>
      </c>
      <c r="J47" s="19">
        <v>12.0</v>
      </c>
      <c r="K47" s="19">
        <v>17.0</v>
      </c>
      <c r="L47" s="19">
        <v>19.0</v>
      </c>
      <c r="M47" s="19">
        <v>18.0</v>
      </c>
      <c r="N47" s="19">
        <v>19.0</v>
      </c>
      <c r="O47" s="19">
        <v>23.0</v>
      </c>
      <c r="P47" s="19">
        <v>16.0</v>
      </c>
      <c r="Q47" s="19">
        <v>7.0</v>
      </c>
      <c r="R47" s="19">
        <v>14.0</v>
      </c>
      <c r="S47" s="19">
        <v>11.0</v>
      </c>
      <c r="T47" s="19">
        <v>21.0</v>
      </c>
      <c r="U47" s="19">
        <v>19.0</v>
      </c>
      <c r="V47" s="19">
        <v>12.0</v>
      </c>
      <c r="W47" s="19">
        <v>11.0</v>
      </c>
      <c r="X47" s="19">
        <v>10.0</v>
      </c>
      <c r="Y47" s="19">
        <v>10.0</v>
      </c>
      <c r="Z47" s="19">
        <v>13.0</v>
      </c>
      <c r="AA47" s="19">
        <v>7.0</v>
      </c>
      <c r="AB47" s="19">
        <v>14.0</v>
      </c>
      <c r="AC47" s="13">
        <f t="shared" si="14"/>
        <v>356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27.0</v>
      </c>
      <c r="F48" s="19">
        <v>37.0</v>
      </c>
      <c r="G48" s="19">
        <v>32.0</v>
      </c>
      <c r="H48" s="19">
        <v>23.0</v>
      </c>
      <c r="I48" s="19">
        <v>18.0</v>
      </c>
      <c r="J48" s="19">
        <v>15.0</v>
      </c>
      <c r="K48" s="19">
        <v>30.0</v>
      </c>
      <c r="L48" s="19">
        <v>22.0</v>
      </c>
      <c r="M48" s="19">
        <v>27.0</v>
      </c>
      <c r="N48" s="19">
        <v>40.0</v>
      </c>
      <c r="O48" s="19">
        <v>41.0</v>
      </c>
      <c r="P48" s="19">
        <v>30.0</v>
      </c>
      <c r="Q48" s="19">
        <v>34.0</v>
      </c>
      <c r="R48" s="19">
        <v>19.0</v>
      </c>
      <c r="S48" s="19">
        <v>27.0</v>
      </c>
      <c r="T48" s="19">
        <v>29.0</v>
      </c>
      <c r="U48" s="19">
        <v>32.0</v>
      </c>
      <c r="V48" s="19">
        <v>40.0</v>
      </c>
      <c r="W48" s="19">
        <v>36.0</v>
      </c>
      <c r="X48" s="19">
        <v>37.0</v>
      </c>
      <c r="Y48" s="19">
        <v>33.0</v>
      </c>
      <c r="Z48" s="19">
        <v>41.0</v>
      </c>
      <c r="AA48" s="19">
        <v>57.0</v>
      </c>
      <c r="AB48" s="19">
        <v>39.0</v>
      </c>
      <c r="AC48" s="13">
        <f t="shared" si="14"/>
        <v>766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24.0</v>
      </c>
      <c r="F49" s="19">
        <v>15.0</v>
      </c>
      <c r="G49" s="19">
        <v>21.0</v>
      </c>
      <c r="H49" s="19">
        <v>22.0</v>
      </c>
      <c r="I49" s="19">
        <v>14.0</v>
      </c>
      <c r="J49" s="19">
        <v>20.0</v>
      </c>
      <c r="K49" s="19">
        <v>22.0</v>
      </c>
      <c r="L49" s="19">
        <v>27.0</v>
      </c>
      <c r="M49" s="19">
        <v>22.0</v>
      </c>
      <c r="N49" s="19">
        <v>13.0</v>
      </c>
      <c r="O49" s="19">
        <v>18.0</v>
      </c>
      <c r="P49" s="19">
        <v>30.0</v>
      </c>
      <c r="Q49" s="19">
        <v>17.0</v>
      </c>
      <c r="R49" s="19">
        <v>21.0</v>
      </c>
      <c r="S49" s="19">
        <v>24.0</v>
      </c>
      <c r="T49" s="19">
        <v>18.0</v>
      </c>
      <c r="U49" s="19">
        <v>13.0</v>
      </c>
      <c r="V49" s="19">
        <v>14.0</v>
      </c>
      <c r="W49" s="19">
        <v>19.0</v>
      </c>
      <c r="X49" s="19">
        <v>25.0</v>
      </c>
      <c r="Y49" s="19">
        <v>24.0</v>
      </c>
      <c r="Z49" s="19">
        <v>25.0</v>
      </c>
      <c r="AA49" s="19">
        <v>12.0</v>
      </c>
      <c r="AB49" s="19">
        <v>8.0</v>
      </c>
      <c r="AC49" s="13">
        <f t="shared" si="14"/>
        <v>468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14.0</v>
      </c>
      <c r="F50" s="19">
        <v>6.0</v>
      </c>
      <c r="G50" s="19">
        <v>9.0</v>
      </c>
      <c r="H50" s="19">
        <v>5.0</v>
      </c>
      <c r="I50" s="19">
        <v>8.0</v>
      </c>
      <c r="J50" s="19">
        <v>10.0</v>
      </c>
      <c r="K50" s="19">
        <v>5.0</v>
      </c>
      <c r="L50" s="19">
        <v>16.0</v>
      </c>
      <c r="M50" s="19">
        <v>18.0</v>
      </c>
      <c r="N50" s="19">
        <v>13.0</v>
      </c>
      <c r="O50" s="19">
        <v>8.0</v>
      </c>
      <c r="P50" s="19">
        <v>9.0</v>
      </c>
      <c r="Q50" s="19">
        <v>16.0</v>
      </c>
      <c r="R50" s="19">
        <v>11.0</v>
      </c>
      <c r="S50" s="19">
        <v>12.0</v>
      </c>
      <c r="T50" s="19">
        <v>9.0</v>
      </c>
      <c r="U50" s="19">
        <v>18.0</v>
      </c>
      <c r="V50" s="19">
        <v>25.0</v>
      </c>
      <c r="W50" s="19">
        <v>25.0</v>
      </c>
      <c r="X50" s="19">
        <v>16.0</v>
      </c>
      <c r="Y50" s="19">
        <v>15.0</v>
      </c>
      <c r="Z50" s="19">
        <v>10.0</v>
      </c>
      <c r="AA50" s="19">
        <v>8.0</v>
      </c>
      <c r="AB50" s="19">
        <v>4.0</v>
      </c>
      <c r="AC50" s="13">
        <f t="shared" si="14"/>
        <v>290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1.0</v>
      </c>
      <c r="G51" s="19">
        <v>5.0</v>
      </c>
      <c r="H51" s="19">
        <v>3.0</v>
      </c>
      <c r="I51" s="19">
        <v>3.0</v>
      </c>
      <c r="J51" s="19">
        <v>3.0</v>
      </c>
      <c r="K51" s="19">
        <v>0.0</v>
      </c>
      <c r="L51" s="19">
        <v>1.0</v>
      </c>
      <c r="M51" s="19">
        <v>5.0</v>
      </c>
      <c r="N51" s="19">
        <v>1.0</v>
      </c>
      <c r="O51" s="19">
        <v>2.0</v>
      </c>
      <c r="P51" s="19">
        <v>0.0</v>
      </c>
      <c r="Q51" s="19">
        <v>3.0</v>
      </c>
      <c r="R51" s="19">
        <v>6.0</v>
      </c>
      <c r="S51" s="19">
        <v>2.0</v>
      </c>
      <c r="T51" s="33">
        <v>4.0</v>
      </c>
      <c r="U51" s="19">
        <v>4.0</v>
      </c>
      <c r="V51" s="19">
        <v>4.0</v>
      </c>
      <c r="W51" s="19">
        <v>3.0</v>
      </c>
      <c r="X51" s="19">
        <v>1.0</v>
      </c>
      <c r="Y51" s="19">
        <v>2.0</v>
      </c>
      <c r="Z51" s="19">
        <v>5.0</v>
      </c>
      <c r="AA51" s="19">
        <v>3.0</v>
      </c>
      <c r="AB51" s="19">
        <v>3.0</v>
      </c>
      <c r="AC51" s="13">
        <f t="shared" si="14"/>
        <v>67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3.0</v>
      </c>
      <c r="F52" s="19">
        <v>4.0</v>
      </c>
      <c r="G52" s="19">
        <v>6.0</v>
      </c>
      <c r="H52" s="19">
        <v>9.0</v>
      </c>
      <c r="I52" s="19">
        <v>6.0</v>
      </c>
      <c r="J52" s="19">
        <v>2.0</v>
      </c>
      <c r="K52" s="19">
        <v>4.0</v>
      </c>
      <c r="L52" s="19">
        <v>2.0</v>
      </c>
      <c r="M52" s="19">
        <v>2.0</v>
      </c>
      <c r="N52" s="19">
        <v>1.0</v>
      </c>
      <c r="O52" s="19">
        <v>2.0</v>
      </c>
      <c r="P52" s="19">
        <v>3.0</v>
      </c>
      <c r="Q52" s="19">
        <v>4.0</v>
      </c>
      <c r="R52" s="19">
        <v>3.0</v>
      </c>
      <c r="S52" s="19">
        <v>3.0</v>
      </c>
      <c r="T52" s="19">
        <v>6.0</v>
      </c>
      <c r="U52" s="19">
        <v>2.0</v>
      </c>
      <c r="V52" s="19">
        <v>2.0</v>
      </c>
      <c r="W52" s="19">
        <v>2.0</v>
      </c>
      <c r="X52" s="19">
        <v>3.0</v>
      </c>
      <c r="Y52" s="19">
        <v>6.0</v>
      </c>
      <c r="Z52" s="19">
        <v>7.0</v>
      </c>
      <c r="AA52" s="19">
        <v>1.0</v>
      </c>
      <c r="AB52" s="19">
        <v>3.0</v>
      </c>
      <c r="AC52" s="13">
        <f t="shared" si="14"/>
        <v>86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1.0</v>
      </c>
      <c r="G53" s="19">
        <v>0.0</v>
      </c>
      <c r="H53" s="19">
        <v>0.0</v>
      </c>
      <c r="I53" s="19">
        <v>1.0</v>
      </c>
      <c r="J53" s="19">
        <v>0.0</v>
      </c>
      <c r="K53" s="19">
        <v>2.0</v>
      </c>
      <c r="L53" s="19">
        <v>1.0</v>
      </c>
      <c r="M53" s="19">
        <v>5.0</v>
      </c>
      <c r="N53" s="19">
        <v>1.0</v>
      </c>
      <c r="O53" s="19">
        <v>0.0</v>
      </c>
      <c r="P53" s="19">
        <v>2.0</v>
      </c>
      <c r="Q53" s="19">
        <v>1.0</v>
      </c>
      <c r="R53" s="19">
        <v>1.0</v>
      </c>
      <c r="S53" s="19">
        <v>0.0</v>
      </c>
      <c r="T53" s="19">
        <v>1.0</v>
      </c>
      <c r="U53" s="19">
        <v>0.0</v>
      </c>
      <c r="V53" s="19">
        <v>0.0</v>
      </c>
      <c r="W53" s="19">
        <v>1.0</v>
      </c>
      <c r="X53" s="19">
        <v>3.0</v>
      </c>
      <c r="Y53" s="19">
        <v>0.0</v>
      </c>
      <c r="Z53" s="19">
        <v>0.0</v>
      </c>
      <c r="AA53" s="19">
        <v>1.0</v>
      </c>
      <c r="AB53" s="19">
        <v>1.0</v>
      </c>
      <c r="AC53" s="13">
        <f t="shared" si="14"/>
        <v>22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11.0</v>
      </c>
      <c r="F54" s="19">
        <v>13.0</v>
      </c>
      <c r="G54" s="19">
        <v>16.0</v>
      </c>
      <c r="H54" s="19">
        <v>15.0</v>
      </c>
      <c r="I54" s="19">
        <v>6.0</v>
      </c>
      <c r="J54" s="19">
        <v>8.0</v>
      </c>
      <c r="K54" s="19">
        <v>18.0</v>
      </c>
      <c r="L54" s="19">
        <v>15.0</v>
      </c>
      <c r="M54" s="19">
        <v>18.0</v>
      </c>
      <c r="N54" s="19">
        <v>13.0</v>
      </c>
      <c r="O54" s="19">
        <v>29.0</v>
      </c>
      <c r="P54" s="19">
        <v>35.0</v>
      </c>
      <c r="Q54" s="19">
        <v>16.0</v>
      </c>
      <c r="R54" s="19">
        <v>21.0</v>
      </c>
      <c r="S54" s="19">
        <v>15.0</v>
      </c>
      <c r="T54" s="19">
        <v>31.0</v>
      </c>
      <c r="U54" s="19">
        <v>25.0</v>
      </c>
      <c r="V54" s="19">
        <v>18.0</v>
      </c>
      <c r="W54" s="19">
        <v>19.0</v>
      </c>
      <c r="X54" s="19">
        <v>27.0</v>
      </c>
      <c r="Y54" s="19">
        <v>22.0</v>
      </c>
      <c r="Z54" s="19">
        <v>27.0</v>
      </c>
      <c r="AA54" s="19">
        <v>26.0</v>
      </c>
      <c r="AB54" s="19">
        <v>27.0</v>
      </c>
      <c r="AC54" s="13">
        <f t="shared" si="14"/>
        <v>471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3.0</v>
      </c>
      <c r="G55" s="19">
        <v>0.0</v>
      </c>
      <c r="H55" s="19">
        <v>2.0</v>
      </c>
      <c r="I55" s="19">
        <v>0.0</v>
      </c>
      <c r="J55" s="19">
        <v>1.0</v>
      </c>
      <c r="K55" s="19">
        <v>1.0</v>
      </c>
      <c r="L55" s="19">
        <v>0.0</v>
      </c>
      <c r="M55" s="19">
        <v>0.0</v>
      </c>
      <c r="N55" s="19">
        <v>2.0</v>
      </c>
      <c r="O55" s="19">
        <v>1.0</v>
      </c>
      <c r="P55" s="19">
        <v>0.0</v>
      </c>
      <c r="Q55" s="19">
        <v>3.0</v>
      </c>
      <c r="R55" s="19">
        <v>1.0</v>
      </c>
      <c r="S55" s="19">
        <v>5.0</v>
      </c>
      <c r="T55" s="19">
        <v>0.0</v>
      </c>
      <c r="U55" s="19">
        <v>1.0</v>
      </c>
      <c r="V55" s="19">
        <v>0.0</v>
      </c>
      <c r="W55" s="19">
        <v>1.0</v>
      </c>
      <c r="X55" s="19">
        <v>0.0</v>
      </c>
      <c r="Y55" s="19">
        <v>0.0</v>
      </c>
      <c r="Z55" s="19">
        <v>3.0</v>
      </c>
      <c r="AA55" s="19">
        <v>1.0</v>
      </c>
      <c r="AB55" s="19">
        <v>0.0</v>
      </c>
      <c r="AC55" s="13">
        <f t="shared" si="14"/>
        <v>26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31.0</v>
      </c>
      <c r="F56" s="19">
        <v>13.0</v>
      </c>
      <c r="G56" s="19">
        <v>15.0</v>
      </c>
      <c r="H56" s="19">
        <v>10.0</v>
      </c>
      <c r="I56" s="19">
        <v>21.0</v>
      </c>
      <c r="J56" s="19">
        <v>11.0</v>
      </c>
      <c r="K56" s="19">
        <v>15.0</v>
      </c>
      <c r="L56" s="19">
        <v>29.0</v>
      </c>
      <c r="M56" s="19">
        <v>23.0</v>
      </c>
      <c r="N56" s="19">
        <v>13.0</v>
      </c>
      <c r="O56" s="19">
        <v>23.0</v>
      </c>
      <c r="P56" s="19">
        <v>24.0</v>
      </c>
      <c r="Q56" s="19">
        <v>17.0</v>
      </c>
      <c r="R56" s="19">
        <v>24.0</v>
      </c>
      <c r="S56" s="19">
        <v>27.0</v>
      </c>
      <c r="T56" s="19">
        <v>21.0</v>
      </c>
      <c r="U56" s="19">
        <v>20.0</v>
      </c>
      <c r="V56" s="19">
        <v>14.0</v>
      </c>
      <c r="W56" s="19">
        <v>16.0</v>
      </c>
      <c r="X56" s="19">
        <v>23.0</v>
      </c>
      <c r="Y56" s="19">
        <v>25.0</v>
      </c>
      <c r="Z56" s="19">
        <v>24.0</v>
      </c>
      <c r="AA56" s="19">
        <v>22.0</v>
      </c>
      <c r="AB56" s="19">
        <v>22.0</v>
      </c>
      <c r="AC56" s="13">
        <f t="shared" si="14"/>
        <v>483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3.0</v>
      </c>
      <c r="G57" s="19">
        <v>3.0</v>
      </c>
      <c r="H57" s="19">
        <v>1.0</v>
      </c>
      <c r="I57" s="19">
        <v>3.0</v>
      </c>
      <c r="J57" s="19">
        <v>2.0</v>
      </c>
      <c r="K57" s="19">
        <v>1.0</v>
      </c>
      <c r="L57" s="19">
        <v>2.0</v>
      </c>
      <c r="M57" s="19">
        <v>1.0</v>
      </c>
      <c r="N57" s="19">
        <v>0.0</v>
      </c>
      <c r="O57" s="19">
        <v>4.0</v>
      </c>
      <c r="P57" s="19">
        <v>3.0</v>
      </c>
      <c r="Q57" s="19">
        <v>0.0</v>
      </c>
      <c r="R57" s="19">
        <v>1.0</v>
      </c>
      <c r="S57" s="19">
        <v>1.0</v>
      </c>
      <c r="T57" s="19">
        <v>2.0</v>
      </c>
      <c r="U57" s="19">
        <v>2.0</v>
      </c>
      <c r="V57" s="19">
        <v>2.0</v>
      </c>
      <c r="W57" s="19">
        <v>1.0</v>
      </c>
      <c r="X57" s="19">
        <v>2.0</v>
      </c>
      <c r="Y57" s="19">
        <v>4.0</v>
      </c>
      <c r="Z57" s="19">
        <v>1.0</v>
      </c>
      <c r="AA57" s="19">
        <v>1.0</v>
      </c>
      <c r="AB57" s="19">
        <v>2.0</v>
      </c>
      <c r="AC57" s="13">
        <f t="shared" si="14"/>
        <v>44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13"/>
      <c r="S59" s="13"/>
      <c r="T59" s="60"/>
      <c r="U59" s="60"/>
      <c r="V59" s="60"/>
      <c r="W59" s="60"/>
      <c r="X59" s="60"/>
      <c r="Y59" s="60"/>
      <c r="Z59" s="60"/>
      <c r="AA59" s="60"/>
      <c r="AB59" s="60"/>
      <c r="AC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B60" si="15">SUM(E45:E57)</f>
        <v>189</v>
      </c>
      <c r="F60" s="19">
        <f t="shared" si="15"/>
        <v>154</v>
      </c>
      <c r="G60" s="19">
        <f t="shared" si="15"/>
        <v>165</v>
      </c>
      <c r="H60" s="19">
        <f t="shared" si="15"/>
        <v>152</v>
      </c>
      <c r="I60" s="19">
        <f t="shared" si="15"/>
        <v>135</v>
      </c>
      <c r="J60" s="19">
        <f t="shared" si="15"/>
        <v>138</v>
      </c>
      <c r="K60" s="19">
        <f t="shared" si="15"/>
        <v>158</v>
      </c>
      <c r="L60" s="19">
        <f t="shared" si="15"/>
        <v>177</v>
      </c>
      <c r="M60" s="19">
        <f t="shared" si="15"/>
        <v>190</v>
      </c>
      <c r="N60" s="19">
        <f t="shared" si="15"/>
        <v>200</v>
      </c>
      <c r="O60" s="19">
        <f t="shared" si="15"/>
        <v>207</v>
      </c>
      <c r="P60" s="19">
        <f t="shared" si="15"/>
        <v>207</v>
      </c>
      <c r="Q60" s="19">
        <f t="shared" si="15"/>
        <v>181</v>
      </c>
      <c r="R60" s="19">
        <f t="shared" si="15"/>
        <v>171</v>
      </c>
      <c r="S60" s="19">
        <f t="shared" si="15"/>
        <v>173</v>
      </c>
      <c r="T60" s="19">
        <f t="shared" si="15"/>
        <v>188</v>
      </c>
      <c r="U60" s="19">
        <f t="shared" si="15"/>
        <v>179</v>
      </c>
      <c r="V60" s="19">
        <f t="shared" si="15"/>
        <v>178</v>
      </c>
      <c r="W60" s="19">
        <f t="shared" si="15"/>
        <v>179</v>
      </c>
      <c r="X60" s="19">
        <f t="shared" si="15"/>
        <v>190</v>
      </c>
      <c r="Y60" s="19">
        <f t="shared" si="15"/>
        <v>178</v>
      </c>
      <c r="Z60" s="19">
        <f t="shared" si="15"/>
        <v>200</v>
      </c>
      <c r="AA60" s="19">
        <f t="shared" si="15"/>
        <v>174</v>
      </c>
      <c r="AB60" s="19">
        <f t="shared" si="15"/>
        <v>167</v>
      </c>
      <c r="AC60" s="13">
        <f t="shared" ref="AC60:AC62" si="16">SUM(E60:AB60)</f>
        <v>4230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19.0</v>
      </c>
      <c r="F61" s="19">
        <v>73.0</v>
      </c>
      <c r="G61" s="19">
        <v>55.0</v>
      </c>
      <c r="H61" s="19">
        <v>59.0</v>
      </c>
      <c r="I61" s="19">
        <v>51.0</v>
      </c>
      <c r="J61" s="19">
        <v>45.0</v>
      </c>
      <c r="K61" s="19">
        <v>52.0</v>
      </c>
      <c r="L61" s="19">
        <v>39.0</v>
      </c>
      <c r="M61" s="19">
        <v>42.0</v>
      </c>
      <c r="N61" s="19">
        <v>25.0</v>
      </c>
      <c r="O61" s="19">
        <v>28.0</v>
      </c>
      <c r="P61" s="19">
        <v>25.0</v>
      </c>
      <c r="Q61" s="19">
        <v>38.0</v>
      </c>
      <c r="R61" s="19">
        <v>42.0</v>
      </c>
      <c r="S61" s="19">
        <v>34.0</v>
      </c>
      <c r="T61" s="19">
        <v>38.0</v>
      </c>
      <c r="U61" s="19">
        <v>31.0</v>
      </c>
      <c r="V61" s="19">
        <v>41.0</v>
      </c>
      <c r="W61" s="19">
        <v>45.0</v>
      </c>
      <c r="X61" s="19">
        <v>64.0</v>
      </c>
      <c r="Y61" s="19">
        <v>43.0</v>
      </c>
      <c r="Z61" s="19">
        <v>27.0</v>
      </c>
      <c r="AA61" s="19">
        <v>58.0</v>
      </c>
      <c r="AB61" s="19">
        <v>56.0</v>
      </c>
      <c r="AC61" s="13">
        <f t="shared" si="16"/>
        <v>1030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B62" si="17">SUM(E60:E61)</f>
        <v>208</v>
      </c>
      <c r="F62" s="13">
        <f t="shared" si="17"/>
        <v>227</v>
      </c>
      <c r="G62" s="13">
        <f t="shared" si="17"/>
        <v>220</v>
      </c>
      <c r="H62" s="13">
        <f t="shared" si="17"/>
        <v>211</v>
      </c>
      <c r="I62" s="13">
        <f t="shared" si="17"/>
        <v>186</v>
      </c>
      <c r="J62" s="13">
        <f t="shared" si="17"/>
        <v>183</v>
      </c>
      <c r="K62" s="13">
        <f t="shared" si="17"/>
        <v>210</v>
      </c>
      <c r="L62" s="13">
        <f t="shared" si="17"/>
        <v>216</v>
      </c>
      <c r="M62" s="13">
        <f t="shared" si="17"/>
        <v>232</v>
      </c>
      <c r="N62" s="13">
        <f t="shared" si="17"/>
        <v>225</v>
      </c>
      <c r="O62" s="13">
        <f t="shared" si="17"/>
        <v>235</v>
      </c>
      <c r="P62" s="13">
        <f t="shared" si="17"/>
        <v>232</v>
      </c>
      <c r="Q62" s="13">
        <f t="shared" si="17"/>
        <v>219</v>
      </c>
      <c r="R62" s="13">
        <f t="shared" si="17"/>
        <v>213</v>
      </c>
      <c r="S62" s="13">
        <f t="shared" si="17"/>
        <v>207</v>
      </c>
      <c r="T62" s="13">
        <f t="shared" si="17"/>
        <v>226</v>
      </c>
      <c r="U62" s="13">
        <f t="shared" si="17"/>
        <v>210</v>
      </c>
      <c r="V62" s="13">
        <f t="shared" si="17"/>
        <v>219</v>
      </c>
      <c r="W62" s="13">
        <f t="shared" si="17"/>
        <v>224</v>
      </c>
      <c r="X62" s="13">
        <f t="shared" si="17"/>
        <v>254</v>
      </c>
      <c r="Y62" s="13">
        <f t="shared" si="17"/>
        <v>221</v>
      </c>
      <c r="Z62" s="13">
        <f t="shared" si="17"/>
        <v>227</v>
      </c>
      <c r="AA62" s="13">
        <f t="shared" si="17"/>
        <v>232</v>
      </c>
      <c r="AB62" s="13">
        <f t="shared" si="17"/>
        <v>223</v>
      </c>
      <c r="AC62" s="13">
        <f t="shared" si="16"/>
        <v>5260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B15 E45:AB57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 E33:AB33 E35:AB35 E39:AB40">
    <cfRule type="containsBlanks" dxfId="1" priority="3">
      <formula>LEN(TRIM(E22))=0</formula>
    </cfRule>
  </conditionalFormatting>
  <conditionalFormatting sqref="E30:AB30">
    <cfRule type="expression" dxfId="0" priority="4">
      <formula>E30&lt;&gt;E46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2" priority="6">
      <formula>E30&lt;&gt;E34</formula>
    </cfRule>
  </conditionalFormatting>
  <conditionalFormatting sqref="E34:AB34">
    <cfRule type="expression" dxfId="3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34:AB34">
    <cfRule type="expression" dxfId="0" priority="9">
      <formula>E34&lt;&gt;#REF!</formula>
    </cfRule>
  </conditionalFormatting>
  <conditionalFormatting sqref="E60:AB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118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19">
        <v>152.0</v>
      </c>
      <c r="F14" s="19">
        <v>138.0</v>
      </c>
      <c r="G14" s="19">
        <v>145.0</v>
      </c>
      <c r="H14" s="19">
        <v>149.0</v>
      </c>
      <c r="I14" s="19">
        <v>142.0</v>
      </c>
      <c r="J14" s="19">
        <v>148.0</v>
      </c>
      <c r="K14" s="19">
        <v>142.0</v>
      </c>
      <c r="L14" s="19">
        <v>147.0</v>
      </c>
      <c r="M14" s="19">
        <v>149.0</v>
      </c>
      <c r="N14" s="19">
        <v>126.0</v>
      </c>
      <c r="O14" s="19">
        <v>121.0</v>
      </c>
      <c r="P14" s="19">
        <v>133.0</v>
      </c>
      <c r="Q14" s="19">
        <v>131.0</v>
      </c>
      <c r="R14" s="19">
        <v>112.0</v>
      </c>
      <c r="S14" s="19">
        <v>133.0</v>
      </c>
      <c r="T14" s="19">
        <v>143.0</v>
      </c>
      <c r="U14" s="19">
        <v>137.0</v>
      </c>
      <c r="V14" s="19">
        <v>118.0</v>
      </c>
      <c r="W14" s="19">
        <v>128.0</v>
      </c>
      <c r="X14" s="19">
        <v>128.0</v>
      </c>
      <c r="Y14" s="13">
        <f t="shared" ref="Y14:Y16" si="1">SUM(E14:X14)</f>
        <v>2722</v>
      </c>
    </row>
    <row r="15" ht="12.75" customHeight="1">
      <c r="A15" s="18"/>
      <c r="B15" s="26"/>
      <c r="C15" s="27"/>
      <c r="D15" s="19" t="s">
        <v>13</v>
      </c>
      <c r="E15" s="19">
        <v>118.0</v>
      </c>
      <c r="F15" s="19">
        <v>140.0</v>
      </c>
      <c r="G15" s="19">
        <v>138.0</v>
      </c>
      <c r="H15" s="19">
        <v>145.0</v>
      </c>
      <c r="I15" s="19">
        <v>128.0</v>
      </c>
      <c r="J15" s="19">
        <v>133.0</v>
      </c>
      <c r="K15" s="19">
        <v>146.0</v>
      </c>
      <c r="L15" s="19">
        <v>142.0</v>
      </c>
      <c r="M15" s="19">
        <v>141.0</v>
      </c>
      <c r="N15" s="19">
        <v>137.0</v>
      </c>
      <c r="O15" s="19">
        <v>125.0</v>
      </c>
      <c r="P15" s="19">
        <v>131.0</v>
      </c>
      <c r="Q15" s="19">
        <v>132.0</v>
      </c>
      <c r="R15" s="19">
        <v>108.0</v>
      </c>
      <c r="S15" s="19">
        <v>143.0</v>
      </c>
      <c r="T15" s="19">
        <v>139.0</v>
      </c>
      <c r="U15" s="19">
        <v>151.0</v>
      </c>
      <c r="V15" s="19">
        <v>126.0</v>
      </c>
      <c r="W15" s="19">
        <v>134.0</v>
      </c>
      <c r="X15" s="19">
        <v>131.0</v>
      </c>
      <c r="Y15" s="13">
        <f t="shared" si="1"/>
        <v>2688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270</v>
      </c>
      <c r="F16" s="13">
        <f t="shared" si="2"/>
        <v>278</v>
      </c>
      <c r="G16" s="13">
        <f t="shared" si="2"/>
        <v>283</v>
      </c>
      <c r="H16" s="13">
        <f t="shared" si="2"/>
        <v>294</v>
      </c>
      <c r="I16" s="13">
        <f t="shared" si="2"/>
        <v>270</v>
      </c>
      <c r="J16" s="13">
        <f t="shared" si="2"/>
        <v>281</v>
      </c>
      <c r="K16" s="13">
        <f t="shared" si="2"/>
        <v>288</v>
      </c>
      <c r="L16" s="13">
        <f t="shared" si="2"/>
        <v>289</v>
      </c>
      <c r="M16" s="13">
        <f t="shared" si="2"/>
        <v>290</v>
      </c>
      <c r="N16" s="13">
        <f t="shared" si="2"/>
        <v>263</v>
      </c>
      <c r="O16" s="13">
        <f t="shared" si="2"/>
        <v>246</v>
      </c>
      <c r="P16" s="13">
        <f t="shared" si="2"/>
        <v>264</v>
      </c>
      <c r="Q16" s="13">
        <f t="shared" si="2"/>
        <v>263</v>
      </c>
      <c r="R16" s="13">
        <f t="shared" si="2"/>
        <v>220</v>
      </c>
      <c r="S16" s="13">
        <f t="shared" si="2"/>
        <v>276</v>
      </c>
      <c r="T16" s="13">
        <f t="shared" si="2"/>
        <v>282</v>
      </c>
      <c r="U16" s="13">
        <f t="shared" si="2"/>
        <v>288</v>
      </c>
      <c r="V16" s="13">
        <f t="shared" si="2"/>
        <v>244</v>
      </c>
      <c r="W16" s="13">
        <f t="shared" si="2"/>
        <v>262</v>
      </c>
      <c r="X16" s="13">
        <f t="shared" si="2"/>
        <v>259</v>
      </c>
      <c r="Y16" s="13">
        <f t="shared" si="1"/>
        <v>5410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81.0</v>
      </c>
      <c r="G19" s="19">
        <v>90.0</v>
      </c>
      <c r="H19" s="19">
        <v>98.0</v>
      </c>
      <c r="I19" s="19">
        <v>97.0</v>
      </c>
      <c r="J19" s="19">
        <v>101.0</v>
      </c>
      <c r="K19" s="19">
        <v>114.0</v>
      </c>
      <c r="L19" s="19">
        <v>104.0</v>
      </c>
      <c r="M19" s="19">
        <v>103.0</v>
      </c>
      <c r="N19" s="19">
        <v>99.0</v>
      </c>
      <c r="O19" s="19">
        <v>99.0</v>
      </c>
      <c r="P19" s="19">
        <v>90.0</v>
      </c>
      <c r="Q19" s="19">
        <v>104.0</v>
      </c>
      <c r="R19" s="19">
        <v>85.0</v>
      </c>
      <c r="S19" s="19">
        <v>107.0</v>
      </c>
      <c r="T19" s="19">
        <v>121.0</v>
      </c>
      <c r="U19" s="19">
        <v>103.0</v>
      </c>
      <c r="V19" s="19">
        <v>86.0</v>
      </c>
      <c r="W19" s="19">
        <v>105.0</v>
      </c>
      <c r="X19" s="19">
        <v>107.0</v>
      </c>
      <c r="Y19" s="13">
        <f t="shared" ref="Y19:Y30" si="3">SUM(E19:X19)</f>
        <v>1984</v>
      </c>
    </row>
    <row r="20" ht="12.75" customHeight="1">
      <c r="A20" s="33"/>
      <c r="B20" s="27"/>
      <c r="C20" s="34"/>
      <c r="D20" s="19" t="s">
        <v>13</v>
      </c>
      <c r="E20" s="19">
        <v>103.0</v>
      </c>
      <c r="F20" s="19">
        <v>106.0</v>
      </c>
      <c r="G20" s="19">
        <v>89.0</v>
      </c>
      <c r="H20" s="19">
        <v>102.0</v>
      </c>
      <c r="I20" s="19">
        <v>109.0</v>
      </c>
      <c r="J20" s="19">
        <v>104.0</v>
      </c>
      <c r="K20" s="19">
        <v>94.0</v>
      </c>
      <c r="L20" s="19">
        <v>111.0</v>
      </c>
      <c r="M20" s="19">
        <v>116.0</v>
      </c>
      <c r="N20" s="19">
        <v>113.0</v>
      </c>
      <c r="O20" s="19">
        <v>102.0</v>
      </c>
      <c r="P20" s="19">
        <v>100.0</v>
      </c>
      <c r="Q20" s="19">
        <v>107.0</v>
      </c>
      <c r="R20" s="19">
        <v>91.0</v>
      </c>
      <c r="S20" s="19">
        <v>127.0</v>
      </c>
      <c r="T20" s="19">
        <v>122.0</v>
      </c>
      <c r="U20" s="19">
        <v>127.0</v>
      </c>
      <c r="V20" s="19">
        <v>97.0</v>
      </c>
      <c r="W20" s="19">
        <v>118.0</v>
      </c>
      <c r="X20" s="19">
        <v>109.0</v>
      </c>
      <c r="Y20" s="13">
        <f t="shared" si="3"/>
        <v>2147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193</v>
      </c>
      <c r="F21" s="13">
        <f t="shared" si="4"/>
        <v>187</v>
      </c>
      <c r="G21" s="13">
        <f t="shared" si="4"/>
        <v>179</v>
      </c>
      <c r="H21" s="13">
        <f t="shared" si="4"/>
        <v>200</v>
      </c>
      <c r="I21" s="13">
        <f t="shared" si="4"/>
        <v>206</v>
      </c>
      <c r="J21" s="13">
        <f t="shared" si="4"/>
        <v>205</v>
      </c>
      <c r="K21" s="13">
        <f t="shared" si="4"/>
        <v>208</v>
      </c>
      <c r="L21" s="13">
        <f t="shared" si="4"/>
        <v>215</v>
      </c>
      <c r="M21" s="13">
        <f t="shared" si="4"/>
        <v>219</v>
      </c>
      <c r="N21" s="13">
        <f t="shared" si="4"/>
        <v>212</v>
      </c>
      <c r="O21" s="13">
        <f t="shared" si="4"/>
        <v>201</v>
      </c>
      <c r="P21" s="13">
        <f t="shared" si="4"/>
        <v>190</v>
      </c>
      <c r="Q21" s="13">
        <f t="shared" si="4"/>
        <v>211</v>
      </c>
      <c r="R21" s="13">
        <f t="shared" si="4"/>
        <v>176</v>
      </c>
      <c r="S21" s="13">
        <f t="shared" si="4"/>
        <v>234</v>
      </c>
      <c r="T21" s="13">
        <f t="shared" si="4"/>
        <v>243</v>
      </c>
      <c r="U21" s="13">
        <f t="shared" si="4"/>
        <v>230</v>
      </c>
      <c r="V21" s="13">
        <f t="shared" si="4"/>
        <v>183</v>
      </c>
      <c r="W21" s="13">
        <f t="shared" si="4"/>
        <v>223</v>
      </c>
      <c r="X21" s="13">
        <f t="shared" si="4"/>
        <v>216</v>
      </c>
      <c r="Y21" s="13">
        <f t="shared" si="3"/>
        <v>4131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/>
      <c r="Y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/>
      <c r="Y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2.0</v>
      </c>
      <c r="I25" s="19">
        <v>2.0</v>
      </c>
      <c r="J25" s="19">
        <v>0.0</v>
      </c>
      <c r="K25" s="19">
        <v>0.0</v>
      </c>
      <c r="L25" s="19">
        <v>3.0</v>
      </c>
      <c r="M25" s="19">
        <v>2.0</v>
      </c>
      <c r="N25" s="19">
        <v>4.0</v>
      </c>
      <c r="O25" s="19">
        <v>2.0</v>
      </c>
      <c r="P25" s="19">
        <v>4.0</v>
      </c>
      <c r="Q25" s="19">
        <v>5.0</v>
      </c>
      <c r="R25" s="19">
        <v>18.0</v>
      </c>
      <c r="S25" s="19">
        <v>0.0</v>
      </c>
      <c r="T25" s="19">
        <v>2.0</v>
      </c>
      <c r="U25" s="19">
        <v>1.0</v>
      </c>
      <c r="V25" s="19">
        <v>0.0</v>
      </c>
      <c r="W25" s="19">
        <v>0.0</v>
      </c>
      <c r="X25" s="19">
        <v>3.0</v>
      </c>
      <c r="Y25" s="13">
        <f t="shared" si="3"/>
        <v>51</v>
      </c>
    </row>
    <row r="26" ht="12.75" customHeight="1">
      <c r="A26" s="33"/>
      <c r="B26" s="27"/>
      <c r="C26" s="34"/>
      <c r="D26" s="19" t="s">
        <v>13</v>
      </c>
      <c r="E26" s="19">
        <v>6.0</v>
      </c>
      <c r="F26" s="19">
        <v>1.0</v>
      </c>
      <c r="G26" s="19">
        <v>4.0</v>
      </c>
      <c r="H26" s="19">
        <v>1.0</v>
      </c>
      <c r="I26" s="19">
        <v>3.0</v>
      </c>
      <c r="J26" s="19">
        <v>1.0</v>
      </c>
      <c r="K26" s="19">
        <v>0.0</v>
      </c>
      <c r="L26" s="19">
        <v>4.0</v>
      </c>
      <c r="M26" s="19">
        <v>1.0</v>
      </c>
      <c r="N26" s="19">
        <v>3.0</v>
      </c>
      <c r="O26" s="19">
        <v>3.0</v>
      </c>
      <c r="P26" s="19">
        <v>7.0</v>
      </c>
      <c r="Q26" s="19">
        <v>7.0</v>
      </c>
      <c r="R26" s="19">
        <v>22.0</v>
      </c>
      <c r="S26" s="19">
        <v>0.0</v>
      </c>
      <c r="T26" s="19">
        <v>1.0</v>
      </c>
      <c r="U26" s="19">
        <v>2.0</v>
      </c>
      <c r="V26" s="19">
        <v>4.0</v>
      </c>
      <c r="W26" s="19">
        <v>0.0</v>
      </c>
      <c r="X26" s="19">
        <v>3.0</v>
      </c>
      <c r="Y26" s="13">
        <f t="shared" si="3"/>
        <v>73</v>
      </c>
    </row>
    <row r="27" ht="12.75" customHeight="1">
      <c r="A27" s="35"/>
      <c r="B27" s="28"/>
      <c r="C27" s="36"/>
      <c r="D27" s="13" t="s">
        <v>14</v>
      </c>
      <c r="E27" s="13">
        <f t="shared" ref="E27:X27" si="6">SUM(E25:E26)</f>
        <v>7</v>
      </c>
      <c r="F27" s="13">
        <f t="shared" si="6"/>
        <v>1</v>
      </c>
      <c r="G27" s="13">
        <f t="shared" si="6"/>
        <v>6</v>
      </c>
      <c r="H27" s="13">
        <f t="shared" si="6"/>
        <v>3</v>
      </c>
      <c r="I27" s="13">
        <f t="shared" si="6"/>
        <v>5</v>
      </c>
      <c r="J27" s="13">
        <f t="shared" si="6"/>
        <v>1</v>
      </c>
      <c r="K27" s="13">
        <f t="shared" si="6"/>
        <v>0</v>
      </c>
      <c r="L27" s="13">
        <f t="shared" si="6"/>
        <v>7</v>
      </c>
      <c r="M27" s="13">
        <f t="shared" si="6"/>
        <v>3</v>
      </c>
      <c r="N27" s="13">
        <f t="shared" si="6"/>
        <v>7</v>
      </c>
      <c r="O27" s="13">
        <f t="shared" si="6"/>
        <v>5</v>
      </c>
      <c r="P27" s="13">
        <f t="shared" si="6"/>
        <v>11</v>
      </c>
      <c r="Q27" s="13">
        <f t="shared" si="6"/>
        <v>12</v>
      </c>
      <c r="R27" s="13">
        <f t="shared" si="6"/>
        <v>40</v>
      </c>
      <c r="S27" s="13">
        <f t="shared" si="6"/>
        <v>0</v>
      </c>
      <c r="T27" s="13">
        <f t="shared" si="6"/>
        <v>3</v>
      </c>
      <c r="U27" s="13">
        <f t="shared" si="6"/>
        <v>3</v>
      </c>
      <c r="V27" s="13">
        <f t="shared" si="6"/>
        <v>4</v>
      </c>
      <c r="W27" s="13">
        <f t="shared" si="6"/>
        <v>0</v>
      </c>
      <c r="X27" s="13">
        <f t="shared" si="6"/>
        <v>6</v>
      </c>
      <c r="Y27" s="13">
        <f t="shared" si="3"/>
        <v>124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7">SUM(E19,E22,E25)</f>
        <v>91</v>
      </c>
      <c r="F28" s="13">
        <f t="shared" si="7"/>
        <v>81</v>
      </c>
      <c r="G28" s="13">
        <f t="shared" si="7"/>
        <v>92</v>
      </c>
      <c r="H28" s="13">
        <f t="shared" si="7"/>
        <v>100</v>
      </c>
      <c r="I28" s="13">
        <f t="shared" si="7"/>
        <v>99</v>
      </c>
      <c r="J28" s="13">
        <f t="shared" si="7"/>
        <v>101</v>
      </c>
      <c r="K28" s="13">
        <f t="shared" si="7"/>
        <v>114</v>
      </c>
      <c r="L28" s="13">
        <f t="shared" si="7"/>
        <v>107</v>
      </c>
      <c r="M28" s="13">
        <f t="shared" si="7"/>
        <v>105</v>
      </c>
      <c r="N28" s="13">
        <f t="shared" si="7"/>
        <v>104</v>
      </c>
      <c r="O28" s="13">
        <f t="shared" si="7"/>
        <v>101</v>
      </c>
      <c r="P28" s="13">
        <f t="shared" si="7"/>
        <v>94</v>
      </c>
      <c r="Q28" s="13">
        <f t="shared" si="7"/>
        <v>109</v>
      </c>
      <c r="R28" s="13">
        <f t="shared" si="7"/>
        <v>103</v>
      </c>
      <c r="S28" s="13">
        <f t="shared" si="7"/>
        <v>107</v>
      </c>
      <c r="T28" s="13">
        <f t="shared" si="7"/>
        <v>123</v>
      </c>
      <c r="U28" s="13">
        <f t="shared" si="7"/>
        <v>104</v>
      </c>
      <c r="V28" s="13">
        <f t="shared" si="7"/>
        <v>86</v>
      </c>
      <c r="W28" s="13">
        <f t="shared" si="7"/>
        <v>105</v>
      </c>
      <c r="X28" s="13">
        <f t="shared" si="7"/>
        <v>110</v>
      </c>
      <c r="Y28" s="13">
        <f t="shared" si="3"/>
        <v>2036</v>
      </c>
    </row>
    <row r="29" ht="12.75" customHeight="1">
      <c r="A29" s="35"/>
      <c r="B29" s="27"/>
      <c r="C29" s="34"/>
      <c r="D29" s="13" t="s">
        <v>13</v>
      </c>
      <c r="E29" s="13">
        <f t="shared" ref="E29:X29" si="8">SUM(E20,E23,E26)</f>
        <v>109</v>
      </c>
      <c r="F29" s="13">
        <f t="shared" si="8"/>
        <v>107</v>
      </c>
      <c r="G29" s="13">
        <f t="shared" si="8"/>
        <v>93</v>
      </c>
      <c r="H29" s="13">
        <f t="shared" si="8"/>
        <v>103</v>
      </c>
      <c r="I29" s="13">
        <f t="shared" si="8"/>
        <v>112</v>
      </c>
      <c r="J29" s="13">
        <f t="shared" si="8"/>
        <v>105</v>
      </c>
      <c r="K29" s="13">
        <f t="shared" si="8"/>
        <v>94</v>
      </c>
      <c r="L29" s="13">
        <f t="shared" si="8"/>
        <v>115</v>
      </c>
      <c r="M29" s="13">
        <f t="shared" si="8"/>
        <v>117</v>
      </c>
      <c r="N29" s="13">
        <f t="shared" si="8"/>
        <v>116</v>
      </c>
      <c r="O29" s="13">
        <f t="shared" si="8"/>
        <v>105</v>
      </c>
      <c r="P29" s="13">
        <f t="shared" si="8"/>
        <v>107</v>
      </c>
      <c r="Q29" s="13">
        <f t="shared" si="8"/>
        <v>114</v>
      </c>
      <c r="R29" s="13">
        <f t="shared" si="8"/>
        <v>113</v>
      </c>
      <c r="S29" s="13">
        <f t="shared" si="8"/>
        <v>127</v>
      </c>
      <c r="T29" s="13">
        <f t="shared" si="8"/>
        <v>123</v>
      </c>
      <c r="U29" s="13">
        <f t="shared" si="8"/>
        <v>129</v>
      </c>
      <c r="V29" s="13">
        <f t="shared" si="8"/>
        <v>101</v>
      </c>
      <c r="W29" s="13">
        <f t="shared" si="8"/>
        <v>118</v>
      </c>
      <c r="X29" s="13">
        <f t="shared" si="8"/>
        <v>112</v>
      </c>
      <c r="Y29" s="13">
        <f t="shared" si="3"/>
        <v>2220</v>
      </c>
    </row>
    <row r="30" ht="12.75" customHeight="1">
      <c r="A30" s="35"/>
      <c r="B30" s="28"/>
      <c r="C30" s="36"/>
      <c r="D30" s="13" t="s">
        <v>14</v>
      </c>
      <c r="E30" s="13">
        <f t="shared" ref="E30:X30" si="9">SUM(E28:E29)</f>
        <v>200</v>
      </c>
      <c r="F30" s="13">
        <f t="shared" si="9"/>
        <v>188</v>
      </c>
      <c r="G30" s="13">
        <f t="shared" si="9"/>
        <v>185</v>
      </c>
      <c r="H30" s="13">
        <f t="shared" si="9"/>
        <v>203</v>
      </c>
      <c r="I30" s="13">
        <f t="shared" si="9"/>
        <v>211</v>
      </c>
      <c r="J30" s="13">
        <f t="shared" si="9"/>
        <v>206</v>
      </c>
      <c r="K30" s="13">
        <f t="shared" si="9"/>
        <v>208</v>
      </c>
      <c r="L30" s="13">
        <f t="shared" si="9"/>
        <v>222</v>
      </c>
      <c r="M30" s="13">
        <f t="shared" si="9"/>
        <v>222</v>
      </c>
      <c r="N30" s="13">
        <f t="shared" si="9"/>
        <v>220</v>
      </c>
      <c r="O30" s="13">
        <f t="shared" si="9"/>
        <v>206</v>
      </c>
      <c r="P30" s="13">
        <f t="shared" si="9"/>
        <v>201</v>
      </c>
      <c r="Q30" s="13">
        <f t="shared" si="9"/>
        <v>223</v>
      </c>
      <c r="R30" s="13">
        <f t="shared" si="9"/>
        <v>216</v>
      </c>
      <c r="S30" s="13">
        <f t="shared" si="9"/>
        <v>234</v>
      </c>
      <c r="T30" s="13">
        <f t="shared" si="9"/>
        <v>246</v>
      </c>
      <c r="U30" s="13">
        <f t="shared" si="9"/>
        <v>233</v>
      </c>
      <c r="V30" s="13">
        <f t="shared" si="9"/>
        <v>187</v>
      </c>
      <c r="W30" s="13">
        <f t="shared" si="9"/>
        <v>223</v>
      </c>
      <c r="X30" s="13">
        <f t="shared" si="9"/>
        <v>222</v>
      </c>
      <c r="Y30" s="13">
        <f t="shared" si="3"/>
        <v>4256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59"/>
    </row>
    <row r="33" ht="12.75" customHeight="1">
      <c r="A33" s="19">
        <v>1.0</v>
      </c>
      <c r="B33" s="20" t="s">
        <v>27</v>
      </c>
      <c r="C33" s="15"/>
      <c r="D33" s="16"/>
      <c r="E33" s="19">
        <v>276.0</v>
      </c>
      <c r="F33" s="19">
        <v>284.0</v>
      </c>
      <c r="G33" s="19">
        <v>289.0</v>
      </c>
      <c r="H33" s="19">
        <v>296.0</v>
      </c>
      <c r="I33" s="19">
        <v>270.0</v>
      </c>
      <c r="J33" s="19">
        <v>283.0</v>
      </c>
      <c r="K33" s="19">
        <v>274.0</v>
      </c>
      <c r="L33" s="19">
        <v>295.0</v>
      </c>
      <c r="M33" s="19">
        <v>296.0</v>
      </c>
      <c r="N33" s="19">
        <v>269.0</v>
      </c>
      <c r="O33" s="19">
        <v>251.0</v>
      </c>
      <c r="P33" s="19">
        <v>270.0</v>
      </c>
      <c r="Q33" s="19">
        <v>266.0</v>
      </c>
      <c r="R33" s="19">
        <v>225.0</v>
      </c>
      <c r="S33" s="19">
        <v>282.0</v>
      </c>
      <c r="T33" s="19">
        <v>288.0</v>
      </c>
      <c r="U33" s="19">
        <v>294.0</v>
      </c>
      <c r="V33" s="19">
        <v>250.0</v>
      </c>
      <c r="W33" s="19">
        <v>268.0</v>
      </c>
      <c r="X33" s="19">
        <v>264.0</v>
      </c>
      <c r="Y33" s="13">
        <f t="shared" ref="Y33:Y36" si="10">SUM(E33:X33)</f>
        <v>5490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188.0</v>
      </c>
      <c r="G34" s="13">
        <v>185.0</v>
      </c>
      <c r="H34" s="13">
        <v>203.0</v>
      </c>
      <c r="I34" s="13">
        <v>211.0</v>
      </c>
      <c r="J34" s="13">
        <v>206.0</v>
      </c>
      <c r="K34" s="13">
        <v>208.0</v>
      </c>
      <c r="L34" s="13">
        <v>222.0</v>
      </c>
      <c r="M34" s="13">
        <v>222.0</v>
      </c>
      <c r="N34" s="13">
        <v>219.0</v>
      </c>
      <c r="O34" s="13">
        <v>206.0</v>
      </c>
      <c r="P34" s="13">
        <v>201.0</v>
      </c>
      <c r="Q34" s="13">
        <v>223.0</v>
      </c>
      <c r="R34" s="13">
        <v>216.0</v>
      </c>
      <c r="S34" s="13">
        <v>234.0</v>
      </c>
      <c r="T34" s="13">
        <v>246.0</v>
      </c>
      <c r="U34" s="13">
        <v>233.0</v>
      </c>
      <c r="V34" s="13">
        <v>187.0</v>
      </c>
      <c r="W34" s="13">
        <v>223.0</v>
      </c>
      <c r="X34" s="13">
        <v>222.0</v>
      </c>
      <c r="Y34" s="13">
        <f t="shared" si="10"/>
        <v>4255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1.0</v>
      </c>
      <c r="H35" s="19">
        <v>0.0</v>
      </c>
      <c r="I35" s="19">
        <v>4.0</v>
      </c>
      <c r="J35" s="19">
        <v>4.0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76</v>
      </c>
      <c r="F36" s="13">
        <f t="shared" si="11"/>
        <v>95</v>
      </c>
      <c r="G36" s="13">
        <f t="shared" si="11"/>
        <v>103</v>
      </c>
      <c r="H36" s="13">
        <f t="shared" si="11"/>
        <v>93</v>
      </c>
      <c r="I36" s="13">
        <f t="shared" si="11"/>
        <v>55</v>
      </c>
      <c r="J36" s="13">
        <f t="shared" si="11"/>
        <v>73</v>
      </c>
      <c r="K36" s="13">
        <f t="shared" si="11"/>
        <v>66</v>
      </c>
      <c r="L36" s="13">
        <f t="shared" si="11"/>
        <v>73</v>
      </c>
      <c r="M36" s="13">
        <f t="shared" si="11"/>
        <v>74</v>
      </c>
      <c r="N36" s="13">
        <f t="shared" si="11"/>
        <v>50</v>
      </c>
      <c r="O36" s="13">
        <f t="shared" si="11"/>
        <v>45</v>
      </c>
      <c r="P36" s="13">
        <f t="shared" si="11"/>
        <v>69</v>
      </c>
      <c r="Q36" s="13">
        <f t="shared" si="11"/>
        <v>43</v>
      </c>
      <c r="R36" s="13">
        <f t="shared" si="11"/>
        <v>9</v>
      </c>
      <c r="S36" s="13">
        <f t="shared" si="11"/>
        <v>48</v>
      </c>
      <c r="T36" s="13">
        <f t="shared" si="11"/>
        <v>42</v>
      </c>
      <c r="U36" s="13">
        <f t="shared" si="11"/>
        <v>61</v>
      </c>
      <c r="V36" s="13">
        <f t="shared" si="11"/>
        <v>63</v>
      </c>
      <c r="W36" s="13">
        <f t="shared" si="11"/>
        <v>45</v>
      </c>
      <c r="X36" s="13">
        <f t="shared" si="11"/>
        <v>42</v>
      </c>
      <c r="Y36" s="13">
        <f t="shared" si="10"/>
        <v>1225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3">
        <f t="shared" ref="Y39:Y41" si="12">SUM(E39:X39)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1.0</v>
      </c>
      <c r="P40" s="19">
        <v>0.0</v>
      </c>
      <c r="Q40" s="19">
        <v>1.0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1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3"/>
    </row>
    <row r="45" ht="12.75" customHeight="1">
      <c r="A45" s="30"/>
      <c r="B45" s="47" t="s">
        <v>17</v>
      </c>
      <c r="C45" s="48" t="s">
        <v>37</v>
      </c>
      <c r="D45" s="16"/>
      <c r="E45" s="19">
        <v>19.0</v>
      </c>
      <c r="F45" s="19">
        <v>21.0</v>
      </c>
      <c r="G45" s="19">
        <v>18.0</v>
      </c>
      <c r="H45" s="19">
        <v>14.0</v>
      </c>
      <c r="I45" s="19">
        <v>14.0</v>
      </c>
      <c r="J45" s="19">
        <v>17.0</v>
      </c>
      <c r="K45" s="19">
        <v>27.0</v>
      </c>
      <c r="L45" s="19">
        <v>26.0</v>
      </c>
      <c r="M45" s="19">
        <v>17.0</v>
      </c>
      <c r="N45" s="19">
        <v>7.0</v>
      </c>
      <c r="O45" s="19">
        <v>18.0</v>
      </c>
      <c r="P45" s="19">
        <v>18.0</v>
      </c>
      <c r="Q45" s="19">
        <v>17.0</v>
      </c>
      <c r="R45" s="19">
        <v>21.0</v>
      </c>
      <c r="S45" s="19">
        <v>25.0</v>
      </c>
      <c r="T45" s="19">
        <v>21.0</v>
      </c>
      <c r="U45" s="19">
        <v>26.0</v>
      </c>
      <c r="V45" s="19">
        <v>20.0</v>
      </c>
      <c r="W45" s="19">
        <v>21.0</v>
      </c>
      <c r="X45" s="19">
        <v>18.0</v>
      </c>
      <c r="Y45" s="13">
        <f t="shared" ref="Y45:Y57" si="14">SUM(E45:X45)</f>
        <v>385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27.0</v>
      </c>
      <c r="F46" s="19">
        <v>43.0</v>
      </c>
      <c r="G46" s="19">
        <v>27.0</v>
      </c>
      <c r="H46" s="19">
        <v>28.0</v>
      </c>
      <c r="I46" s="19">
        <v>37.0</v>
      </c>
      <c r="J46" s="19">
        <v>30.0</v>
      </c>
      <c r="K46" s="19">
        <v>33.0</v>
      </c>
      <c r="L46" s="19">
        <v>39.0</v>
      </c>
      <c r="M46" s="19">
        <v>13.0</v>
      </c>
      <c r="N46" s="19">
        <v>27.0</v>
      </c>
      <c r="O46" s="19">
        <v>21.0</v>
      </c>
      <c r="P46" s="19">
        <v>24.0</v>
      </c>
      <c r="Q46" s="19">
        <v>29.0</v>
      </c>
      <c r="R46" s="19">
        <v>32.0</v>
      </c>
      <c r="S46" s="19">
        <v>31.0</v>
      </c>
      <c r="T46" s="19">
        <v>33.0</v>
      </c>
      <c r="U46" s="19">
        <v>33.0</v>
      </c>
      <c r="V46" s="19">
        <v>29.0</v>
      </c>
      <c r="W46" s="19">
        <v>35.0</v>
      </c>
      <c r="X46" s="19">
        <v>34.0</v>
      </c>
      <c r="Y46" s="13">
        <f t="shared" si="14"/>
        <v>605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18.0</v>
      </c>
      <c r="F47" s="19">
        <v>15.0</v>
      </c>
      <c r="G47" s="19">
        <v>15.0</v>
      </c>
      <c r="H47" s="19">
        <v>15.0</v>
      </c>
      <c r="I47" s="19">
        <v>18.0</v>
      </c>
      <c r="J47" s="19">
        <v>15.0</v>
      </c>
      <c r="K47" s="19">
        <v>15.0</v>
      </c>
      <c r="L47" s="19">
        <v>12.0</v>
      </c>
      <c r="M47" s="19">
        <v>21.0</v>
      </c>
      <c r="N47" s="19">
        <v>24.0</v>
      </c>
      <c r="O47" s="19">
        <v>14.0</v>
      </c>
      <c r="P47" s="19">
        <v>8.0</v>
      </c>
      <c r="Q47" s="19">
        <v>11.0</v>
      </c>
      <c r="R47" s="19">
        <v>15.0</v>
      </c>
      <c r="S47" s="19">
        <v>14.0</v>
      </c>
      <c r="T47" s="19">
        <v>18.0</v>
      </c>
      <c r="U47" s="19">
        <v>20.0</v>
      </c>
      <c r="V47" s="19">
        <v>20.0</v>
      </c>
      <c r="W47" s="19">
        <v>17.0</v>
      </c>
      <c r="X47" s="19">
        <v>14.0</v>
      </c>
      <c r="Y47" s="13">
        <f t="shared" si="14"/>
        <v>319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18.0</v>
      </c>
      <c r="F48" s="19">
        <v>10.0</v>
      </c>
      <c r="G48" s="19">
        <v>19.0</v>
      </c>
      <c r="H48" s="19">
        <v>19.0</v>
      </c>
      <c r="I48" s="19">
        <v>16.0</v>
      </c>
      <c r="J48" s="19">
        <v>12.0</v>
      </c>
      <c r="K48" s="19">
        <v>22.0</v>
      </c>
      <c r="L48" s="19">
        <v>16.0</v>
      </c>
      <c r="M48" s="19">
        <v>28.0</v>
      </c>
      <c r="N48" s="19">
        <v>19.0</v>
      </c>
      <c r="O48" s="19">
        <v>16.0</v>
      </c>
      <c r="P48" s="19">
        <v>17.0</v>
      </c>
      <c r="Q48" s="19">
        <v>20.0</v>
      </c>
      <c r="R48" s="19">
        <v>15.0</v>
      </c>
      <c r="S48" s="19">
        <v>14.0</v>
      </c>
      <c r="T48" s="19">
        <v>28.0</v>
      </c>
      <c r="U48" s="19">
        <v>27.0</v>
      </c>
      <c r="V48" s="19">
        <v>21.0</v>
      </c>
      <c r="W48" s="19">
        <v>26.0</v>
      </c>
      <c r="X48" s="19">
        <v>15.0</v>
      </c>
      <c r="Y48" s="13">
        <f t="shared" si="14"/>
        <v>378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24.0</v>
      </c>
      <c r="F49" s="19">
        <v>10.0</v>
      </c>
      <c r="G49" s="19">
        <v>13.0</v>
      </c>
      <c r="H49" s="19">
        <v>16.0</v>
      </c>
      <c r="I49" s="19">
        <v>23.0</v>
      </c>
      <c r="J49" s="19">
        <v>15.0</v>
      </c>
      <c r="K49" s="19">
        <v>12.0</v>
      </c>
      <c r="L49" s="19">
        <v>14.0</v>
      </c>
      <c r="M49" s="19">
        <v>14.0</v>
      </c>
      <c r="N49" s="19">
        <v>19.0</v>
      </c>
      <c r="O49" s="19">
        <v>14.0</v>
      </c>
      <c r="P49" s="19">
        <v>20.0</v>
      </c>
      <c r="Q49" s="19">
        <v>21.0</v>
      </c>
      <c r="R49" s="19">
        <v>14.0</v>
      </c>
      <c r="S49" s="19">
        <v>39.0</v>
      </c>
      <c r="T49" s="19">
        <v>19.0</v>
      </c>
      <c r="U49" s="19">
        <v>20.0</v>
      </c>
      <c r="V49" s="19">
        <v>17.0</v>
      </c>
      <c r="W49" s="19">
        <v>19.0</v>
      </c>
      <c r="X49" s="19">
        <v>25.0</v>
      </c>
      <c r="Y49" s="13">
        <f t="shared" si="14"/>
        <v>368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17.0</v>
      </c>
      <c r="F50" s="19">
        <v>12.0</v>
      </c>
      <c r="G50" s="19">
        <v>16.0</v>
      </c>
      <c r="H50" s="19">
        <v>15.0</v>
      </c>
      <c r="I50" s="19">
        <v>12.0</v>
      </c>
      <c r="J50" s="19">
        <v>22.0</v>
      </c>
      <c r="K50" s="19">
        <v>12.0</v>
      </c>
      <c r="L50" s="19">
        <v>8.0</v>
      </c>
      <c r="M50" s="19">
        <v>15.0</v>
      </c>
      <c r="N50" s="19">
        <v>20.0</v>
      </c>
      <c r="O50" s="19">
        <v>17.0</v>
      </c>
      <c r="P50" s="19">
        <v>12.0</v>
      </c>
      <c r="Q50" s="19">
        <v>14.0</v>
      </c>
      <c r="R50" s="19">
        <v>17.0</v>
      </c>
      <c r="S50" s="19">
        <v>11.0</v>
      </c>
      <c r="T50" s="19">
        <v>22.0</v>
      </c>
      <c r="U50" s="19">
        <v>17.0</v>
      </c>
      <c r="V50" s="19">
        <v>12.0</v>
      </c>
      <c r="W50" s="19">
        <v>16.0</v>
      </c>
      <c r="X50" s="19">
        <v>19.0</v>
      </c>
      <c r="Y50" s="13">
        <f t="shared" si="14"/>
        <v>306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2.0</v>
      </c>
      <c r="G51" s="19">
        <v>0.0</v>
      </c>
      <c r="H51" s="19">
        <v>2.0</v>
      </c>
      <c r="I51" s="19">
        <v>1.0</v>
      </c>
      <c r="J51" s="19">
        <v>1.0</v>
      </c>
      <c r="K51" s="19">
        <v>2.0</v>
      </c>
      <c r="L51" s="19">
        <v>5.0</v>
      </c>
      <c r="M51" s="19">
        <v>6.0</v>
      </c>
      <c r="N51" s="19">
        <v>2.0</v>
      </c>
      <c r="O51" s="19">
        <v>1.0</v>
      </c>
      <c r="P51" s="19">
        <v>1.0</v>
      </c>
      <c r="Q51" s="19">
        <v>3.0</v>
      </c>
      <c r="R51" s="19">
        <v>1.0</v>
      </c>
      <c r="S51" s="19">
        <v>1.0</v>
      </c>
      <c r="T51" s="19">
        <v>3.0</v>
      </c>
      <c r="U51" s="19">
        <v>0.0</v>
      </c>
      <c r="V51" s="19">
        <v>1.0</v>
      </c>
      <c r="W51" s="19">
        <v>5.0</v>
      </c>
      <c r="X51" s="19">
        <v>7.0</v>
      </c>
      <c r="Y51" s="13">
        <f t="shared" si="14"/>
        <v>45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1.0</v>
      </c>
      <c r="F52" s="19">
        <v>3.0</v>
      </c>
      <c r="G52" s="19">
        <v>0.0</v>
      </c>
      <c r="H52" s="19">
        <v>3.0</v>
      </c>
      <c r="I52" s="19">
        <v>1.0</v>
      </c>
      <c r="J52" s="19">
        <v>4.0</v>
      </c>
      <c r="K52" s="19">
        <v>3.0</v>
      </c>
      <c r="L52" s="19">
        <v>4.0</v>
      </c>
      <c r="M52" s="19">
        <v>5.0</v>
      </c>
      <c r="N52" s="19">
        <v>2.0</v>
      </c>
      <c r="O52" s="19">
        <v>6.0</v>
      </c>
      <c r="P52" s="19">
        <v>1.0</v>
      </c>
      <c r="Q52" s="19">
        <v>3.0</v>
      </c>
      <c r="R52" s="19">
        <v>8.0</v>
      </c>
      <c r="S52" s="19">
        <v>5.0</v>
      </c>
      <c r="T52" s="19">
        <v>4.0</v>
      </c>
      <c r="U52" s="19">
        <v>4.0</v>
      </c>
      <c r="V52" s="19">
        <v>4.0</v>
      </c>
      <c r="W52" s="19">
        <v>4.0</v>
      </c>
      <c r="X52" s="19">
        <v>5.0</v>
      </c>
      <c r="Y52" s="13">
        <f t="shared" si="14"/>
        <v>70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3.0</v>
      </c>
      <c r="F53" s="19">
        <v>0.0</v>
      </c>
      <c r="G53" s="19">
        <v>1.0</v>
      </c>
      <c r="H53" s="19">
        <v>0.0</v>
      </c>
      <c r="I53" s="19">
        <v>0.0</v>
      </c>
      <c r="J53" s="19">
        <v>0.0</v>
      </c>
      <c r="K53" s="19">
        <v>1.0</v>
      </c>
      <c r="L53" s="19">
        <v>0.0</v>
      </c>
      <c r="M53" s="19">
        <v>2.0</v>
      </c>
      <c r="N53" s="19">
        <v>0.0</v>
      </c>
      <c r="O53" s="19">
        <v>0.0</v>
      </c>
      <c r="P53" s="19">
        <v>2.0</v>
      </c>
      <c r="Q53" s="19">
        <v>0.0</v>
      </c>
      <c r="R53" s="19">
        <v>2.0</v>
      </c>
      <c r="S53" s="19">
        <v>0.0</v>
      </c>
      <c r="T53" s="19">
        <v>0.0</v>
      </c>
      <c r="U53" s="19">
        <v>0.0</v>
      </c>
      <c r="V53" s="19">
        <v>1.0</v>
      </c>
      <c r="W53" s="19">
        <v>0.0</v>
      </c>
      <c r="X53" s="19">
        <v>1.0</v>
      </c>
      <c r="Y53" s="13">
        <f t="shared" si="14"/>
        <v>13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13.0</v>
      </c>
      <c r="F54" s="19">
        <v>19.0</v>
      </c>
      <c r="G54" s="19">
        <v>18.0</v>
      </c>
      <c r="H54" s="19">
        <v>20.0</v>
      </c>
      <c r="I54" s="19">
        <v>32.0</v>
      </c>
      <c r="J54" s="19">
        <v>26.0</v>
      </c>
      <c r="K54" s="19">
        <v>25.0</v>
      </c>
      <c r="L54" s="19">
        <v>32.0</v>
      </c>
      <c r="M54" s="19">
        <v>33.0</v>
      </c>
      <c r="N54" s="19">
        <v>21.0</v>
      </c>
      <c r="O54" s="19">
        <v>20.0</v>
      </c>
      <c r="P54" s="19">
        <v>22.0</v>
      </c>
      <c r="Q54" s="19">
        <v>28.0</v>
      </c>
      <c r="R54" s="19">
        <v>23.0</v>
      </c>
      <c r="S54" s="19">
        <v>34.0</v>
      </c>
      <c r="T54" s="19">
        <v>23.0</v>
      </c>
      <c r="U54" s="19">
        <v>19.0</v>
      </c>
      <c r="V54" s="19">
        <v>16.0</v>
      </c>
      <c r="W54" s="19">
        <v>21.0</v>
      </c>
      <c r="X54" s="19">
        <v>28.0</v>
      </c>
      <c r="Y54" s="13">
        <f t="shared" si="14"/>
        <v>473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1.0</v>
      </c>
      <c r="G55" s="19">
        <v>1.0</v>
      </c>
      <c r="H55" s="19">
        <v>2.0</v>
      </c>
      <c r="I55" s="19">
        <v>0.0</v>
      </c>
      <c r="J55" s="19">
        <v>0.0</v>
      </c>
      <c r="K55" s="19">
        <v>2.0</v>
      </c>
      <c r="L55" s="19">
        <v>3.0</v>
      </c>
      <c r="M55" s="19">
        <v>0.0</v>
      </c>
      <c r="N55" s="19">
        <v>0.0</v>
      </c>
      <c r="O55" s="19">
        <v>0.0</v>
      </c>
      <c r="P55" s="19">
        <v>3.0</v>
      </c>
      <c r="Q55" s="19">
        <v>1.0</v>
      </c>
      <c r="R55" s="19">
        <v>1.0</v>
      </c>
      <c r="S55" s="19">
        <v>1.0</v>
      </c>
      <c r="T55" s="19">
        <v>0.0</v>
      </c>
      <c r="U55" s="19">
        <v>0.0</v>
      </c>
      <c r="V55" s="19">
        <v>0.0</v>
      </c>
      <c r="W55" s="19">
        <v>0.0</v>
      </c>
      <c r="X55" s="19">
        <v>0.0</v>
      </c>
      <c r="Y55" s="13">
        <f t="shared" si="14"/>
        <v>17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15.0</v>
      </c>
      <c r="F56" s="19">
        <v>14.0</v>
      </c>
      <c r="G56" s="19">
        <v>18.0</v>
      </c>
      <c r="H56" s="19">
        <v>17.0</v>
      </c>
      <c r="I56" s="19">
        <v>23.0</v>
      </c>
      <c r="J56" s="19">
        <v>11.0</v>
      </c>
      <c r="K56" s="19">
        <v>25.0</v>
      </c>
      <c r="L56" s="19">
        <v>10.0</v>
      </c>
      <c r="M56" s="19">
        <v>14.0</v>
      </c>
      <c r="N56" s="19">
        <v>27.0</v>
      </c>
      <c r="O56" s="19">
        <v>30.0</v>
      </c>
      <c r="P56" s="19">
        <v>11.0</v>
      </c>
      <c r="Q56" s="19">
        <v>21.0</v>
      </c>
      <c r="R56" s="19">
        <v>31.0</v>
      </c>
      <c r="S56" s="19">
        <v>18.0</v>
      </c>
      <c r="T56" s="19">
        <v>16.0</v>
      </c>
      <c r="U56" s="19">
        <v>23.0</v>
      </c>
      <c r="V56" s="19">
        <v>12.0</v>
      </c>
      <c r="W56" s="19">
        <v>15.0</v>
      </c>
      <c r="X56" s="19">
        <v>17.0</v>
      </c>
      <c r="Y56" s="13">
        <f t="shared" si="14"/>
        <v>368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3.0</v>
      </c>
      <c r="G57" s="19">
        <v>1.0</v>
      </c>
      <c r="H57" s="19">
        <v>2.0</v>
      </c>
      <c r="I57" s="19">
        <v>1.0</v>
      </c>
      <c r="J57" s="19">
        <v>2.0</v>
      </c>
      <c r="K57" s="19">
        <v>1.0</v>
      </c>
      <c r="L57" s="19">
        <v>0.0</v>
      </c>
      <c r="M57" s="19">
        <v>1.0</v>
      </c>
      <c r="N57" s="19">
        <v>1.0</v>
      </c>
      <c r="O57" s="19">
        <v>2.0</v>
      </c>
      <c r="P57" s="19">
        <v>1.0</v>
      </c>
      <c r="Q57" s="19">
        <v>1.0</v>
      </c>
      <c r="R57" s="19">
        <v>1.0</v>
      </c>
      <c r="S57" s="19">
        <v>3.0</v>
      </c>
      <c r="T57" s="19">
        <v>3.0</v>
      </c>
      <c r="U57" s="19">
        <v>2.0</v>
      </c>
      <c r="V57" s="19">
        <v>0.0</v>
      </c>
      <c r="W57" s="19">
        <v>3.0</v>
      </c>
      <c r="X57" s="19">
        <v>2.0</v>
      </c>
      <c r="Y57" s="13">
        <f t="shared" si="14"/>
        <v>31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X60" si="15">SUM(E45:E57)</f>
        <v>159</v>
      </c>
      <c r="F60" s="19">
        <f t="shared" si="15"/>
        <v>153</v>
      </c>
      <c r="G60" s="19">
        <f t="shared" si="15"/>
        <v>147</v>
      </c>
      <c r="H60" s="19">
        <f t="shared" si="15"/>
        <v>153</v>
      </c>
      <c r="I60" s="19">
        <f t="shared" si="15"/>
        <v>178</v>
      </c>
      <c r="J60" s="19">
        <f t="shared" si="15"/>
        <v>155</v>
      </c>
      <c r="K60" s="19">
        <f t="shared" si="15"/>
        <v>180</v>
      </c>
      <c r="L60" s="19">
        <f t="shared" si="15"/>
        <v>169</v>
      </c>
      <c r="M60" s="19">
        <f t="shared" si="15"/>
        <v>169</v>
      </c>
      <c r="N60" s="19">
        <f t="shared" si="15"/>
        <v>169</v>
      </c>
      <c r="O60" s="19">
        <f t="shared" si="15"/>
        <v>159</v>
      </c>
      <c r="P60" s="19">
        <f t="shared" si="15"/>
        <v>140</v>
      </c>
      <c r="Q60" s="19">
        <f t="shared" si="15"/>
        <v>169</v>
      </c>
      <c r="R60" s="19">
        <f t="shared" si="15"/>
        <v>181</v>
      </c>
      <c r="S60" s="19">
        <f t="shared" si="15"/>
        <v>196</v>
      </c>
      <c r="T60" s="19">
        <f t="shared" si="15"/>
        <v>190</v>
      </c>
      <c r="U60" s="19">
        <f t="shared" si="15"/>
        <v>191</v>
      </c>
      <c r="V60" s="19">
        <f t="shared" si="15"/>
        <v>153</v>
      </c>
      <c r="W60" s="19">
        <f t="shared" si="15"/>
        <v>182</v>
      </c>
      <c r="X60" s="19">
        <f t="shared" si="15"/>
        <v>185</v>
      </c>
      <c r="Y60" s="13">
        <f t="shared" ref="Y60:Y62" si="16">SUM(E60:X60)</f>
        <v>3378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41.0</v>
      </c>
      <c r="F61" s="19">
        <v>35.0</v>
      </c>
      <c r="G61" s="19">
        <v>38.0</v>
      </c>
      <c r="H61" s="19">
        <v>52.0</v>
      </c>
      <c r="I61" s="19">
        <v>31.0</v>
      </c>
      <c r="J61" s="19">
        <v>51.0</v>
      </c>
      <c r="K61" s="19">
        <v>28.0</v>
      </c>
      <c r="L61" s="19">
        <v>53.0</v>
      </c>
      <c r="M61" s="19">
        <v>53.0</v>
      </c>
      <c r="N61" s="19">
        <v>50.0</v>
      </c>
      <c r="O61" s="19">
        <v>46.0</v>
      </c>
      <c r="P61" s="19">
        <v>61.0</v>
      </c>
      <c r="Q61" s="19">
        <v>54.0</v>
      </c>
      <c r="R61" s="19">
        <v>35.0</v>
      </c>
      <c r="S61" s="19">
        <v>39.0</v>
      </c>
      <c r="T61" s="19">
        <v>56.0</v>
      </c>
      <c r="U61" s="19">
        <v>42.0</v>
      </c>
      <c r="V61" s="19">
        <v>34.0</v>
      </c>
      <c r="W61" s="19">
        <v>41.0</v>
      </c>
      <c r="X61" s="19">
        <v>37.0</v>
      </c>
      <c r="Y61" s="13">
        <f t="shared" si="16"/>
        <v>877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X62" si="17">SUM(E60:E61)</f>
        <v>200</v>
      </c>
      <c r="F62" s="13">
        <f t="shared" si="17"/>
        <v>188</v>
      </c>
      <c r="G62" s="13">
        <f t="shared" si="17"/>
        <v>185</v>
      </c>
      <c r="H62" s="13">
        <f t="shared" si="17"/>
        <v>205</v>
      </c>
      <c r="I62" s="13">
        <f t="shared" si="17"/>
        <v>209</v>
      </c>
      <c r="J62" s="13">
        <f t="shared" si="17"/>
        <v>206</v>
      </c>
      <c r="K62" s="13">
        <f t="shared" si="17"/>
        <v>208</v>
      </c>
      <c r="L62" s="13">
        <f t="shared" si="17"/>
        <v>222</v>
      </c>
      <c r="M62" s="13">
        <f t="shared" si="17"/>
        <v>222</v>
      </c>
      <c r="N62" s="13">
        <f t="shared" si="17"/>
        <v>219</v>
      </c>
      <c r="O62" s="13">
        <f t="shared" si="17"/>
        <v>205</v>
      </c>
      <c r="P62" s="13">
        <f t="shared" si="17"/>
        <v>201</v>
      </c>
      <c r="Q62" s="13">
        <f t="shared" si="17"/>
        <v>223</v>
      </c>
      <c r="R62" s="13">
        <f t="shared" si="17"/>
        <v>216</v>
      </c>
      <c r="S62" s="13">
        <f t="shared" si="17"/>
        <v>235</v>
      </c>
      <c r="T62" s="13">
        <f t="shared" si="17"/>
        <v>246</v>
      </c>
      <c r="U62" s="13">
        <f t="shared" si="17"/>
        <v>233</v>
      </c>
      <c r="V62" s="13">
        <f t="shared" si="17"/>
        <v>187</v>
      </c>
      <c r="W62" s="13">
        <f t="shared" si="17"/>
        <v>223</v>
      </c>
      <c r="X62" s="13">
        <f t="shared" si="17"/>
        <v>222</v>
      </c>
      <c r="Y62" s="13">
        <f t="shared" si="16"/>
        <v>4255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 V34">
    <cfRule type="expression" dxfId="0" priority="1">
      <formula>E34&lt;&gt;#REF!</formula>
    </cfRule>
  </conditionalFormatting>
  <conditionalFormatting sqref="E14:X15 E45:X57">
    <cfRule type="containsBlanks" dxfId="1" priority="2">
      <formula>LEN(TRIM(E14))=0</formula>
    </cfRule>
  </conditionalFormatting>
  <conditionalFormatting sqref="E19:X20">
    <cfRule type="containsBlanks" dxfId="1" priority="3">
      <formula>LEN(TRIM(E19))=0</formula>
    </cfRule>
  </conditionalFormatting>
  <conditionalFormatting sqref="E22:X23 E25:X26 E33:X33 E35:X35 E39:X40">
    <cfRule type="containsBlanks" dxfId="1" priority="4">
      <formula>LEN(TRIM(E22))=0</formula>
    </cfRule>
  </conditionalFormatting>
  <conditionalFormatting sqref="E30:X30">
    <cfRule type="expression" dxfId="0" priority="5">
      <formula>E30&lt;&gt;E46</formula>
    </cfRule>
  </conditionalFormatting>
  <conditionalFormatting sqref="E30:X30">
    <cfRule type="expression" dxfId="0" priority="6">
      <formula>E30&lt;&gt;E34</formula>
    </cfRule>
  </conditionalFormatting>
  <conditionalFormatting sqref="E34:X34">
    <cfRule type="expression" dxfId="2" priority="7">
      <formula>E30&lt;&gt;E34</formula>
    </cfRule>
  </conditionalFormatting>
  <conditionalFormatting sqref="E34:X34">
    <cfRule type="expression" dxfId="3" priority="8">
      <formula>E30=E34</formula>
    </cfRule>
  </conditionalFormatting>
  <conditionalFormatting sqref="E34:X34">
    <cfRule type="expression" dxfId="0" priority="9">
      <formula>E34&lt;&gt;E30</formula>
    </cfRule>
  </conditionalFormatting>
  <conditionalFormatting sqref="E60:X61">
    <cfRule type="containsBlanks" dxfId="1" priority="10">
      <formula>LEN(TRIM(E60))=0</formula>
    </cfRule>
  </conditionalFormatting>
  <conditionalFormatting sqref="U34">
    <cfRule type="expression" dxfId="0" priority="11">
      <formula>U34&lt;&gt;U46</formula>
    </cfRule>
  </conditionalFormatting>
  <conditionalFormatting sqref="W34:X34">
    <cfRule type="expression" dxfId="0" priority="12">
      <formula>W34&lt;&gt;W46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9.14"/>
    <col customWidth="1" min="30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119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  <c r="S11" s="1"/>
      <c r="T11" s="1"/>
      <c r="U11" s="1"/>
      <c r="V11" s="1"/>
      <c r="W11" s="1"/>
      <c r="X11" s="1"/>
      <c r="Y11" s="2"/>
      <c r="AB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143.0</v>
      </c>
      <c r="F14" s="19">
        <v>141.0</v>
      </c>
      <c r="G14" s="19">
        <v>142.0</v>
      </c>
      <c r="H14" s="19">
        <v>154.0</v>
      </c>
      <c r="I14" s="19">
        <v>129.0</v>
      </c>
      <c r="J14" s="19">
        <v>129.0</v>
      </c>
      <c r="K14" s="19">
        <v>142.0</v>
      </c>
      <c r="L14" s="19">
        <v>139.0</v>
      </c>
      <c r="M14" s="19">
        <v>142.0</v>
      </c>
      <c r="N14" s="19">
        <v>134.0</v>
      </c>
      <c r="O14" s="19">
        <v>143.0</v>
      </c>
      <c r="P14" s="19">
        <v>151.0</v>
      </c>
      <c r="Q14" s="19">
        <v>150.0</v>
      </c>
      <c r="R14" s="19">
        <v>125.0</v>
      </c>
      <c r="S14" s="19">
        <v>142.0</v>
      </c>
      <c r="T14" s="19">
        <v>140.0</v>
      </c>
      <c r="U14" s="19">
        <v>150.0</v>
      </c>
      <c r="V14" s="19">
        <v>140.0</v>
      </c>
      <c r="W14" s="19">
        <v>136.0</v>
      </c>
      <c r="X14" s="19">
        <v>153.0</v>
      </c>
      <c r="Y14" s="19">
        <v>137.0</v>
      </c>
      <c r="Z14" s="19">
        <v>138.0</v>
      </c>
      <c r="AA14" s="19">
        <v>135.0</v>
      </c>
      <c r="AB14" s="19">
        <v>141.0</v>
      </c>
      <c r="AC14" s="19">
        <v>130.0</v>
      </c>
      <c r="AD14" s="19">
        <v>129.0</v>
      </c>
      <c r="AE14" s="19">
        <v>114.0</v>
      </c>
      <c r="AF14" s="13">
        <f t="shared" ref="AF14:AF16" si="1">SUM(E14:AE14)</f>
        <v>3749</v>
      </c>
    </row>
    <row r="15" ht="12.75" customHeight="1">
      <c r="A15" s="18"/>
      <c r="B15" s="26"/>
      <c r="C15" s="27"/>
      <c r="D15" s="19" t="s">
        <v>13</v>
      </c>
      <c r="E15" s="19">
        <v>124.0</v>
      </c>
      <c r="F15" s="19">
        <v>144.0</v>
      </c>
      <c r="G15" s="19">
        <v>129.0</v>
      </c>
      <c r="H15" s="19">
        <v>131.0</v>
      </c>
      <c r="I15" s="19">
        <v>130.0</v>
      </c>
      <c r="J15" s="19">
        <v>129.0</v>
      </c>
      <c r="K15" s="19">
        <v>130.0</v>
      </c>
      <c r="L15" s="19">
        <v>143.0</v>
      </c>
      <c r="M15" s="19">
        <v>144.0</v>
      </c>
      <c r="N15" s="19">
        <v>146.0</v>
      </c>
      <c r="O15" s="19">
        <v>134.0</v>
      </c>
      <c r="P15" s="19">
        <v>135.0</v>
      </c>
      <c r="Q15" s="19">
        <v>138.0</v>
      </c>
      <c r="R15" s="19">
        <v>148.0</v>
      </c>
      <c r="S15" s="19">
        <v>138.0</v>
      </c>
      <c r="T15" s="19">
        <v>138.0</v>
      </c>
      <c r="U15" s="19">
        <v>124.0</v>
      </c>
      <c r="V15" s="19">
        <v>134.0</v>
      </c>
      <c r="W15" s="19">
        <v>134.0</v>
      </c>
      <c r="X15" s="19">
        <v>137.0</v>
      </c>
      <c r="Y15" s="19">
        <v>145.0</v>
      </c>
      <c r="Z15" s="19">
        <v>142.0</v>
      </c>
      <c r="AA15" s="19">
        <v>146.0</v>
      </c>
      <c r="AB15" s="19">
        <v>154.0</v>
      </c>
      <c r="AC15" s="19">
        <v>146.0</v>
      </c>
      <c r="AD15" s="19">
        <v>142.0</v>
      </c>
      <c r="AE15" s="19">
        <v>124.0</v>
      </c>
      <c r="AF15" s="13">
        <f t="shared" si="1"/>
        <v>3709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267</v>
      </c>
      <c r="F16" s="13">
        <f t="shared" si="2"/>
        <v>285</v>
      </c>
      <c r="G16" s="13">
        <f t="shared" si="2"/>
        <v>271</v>
      </c>
      <c r="H16" s="13">
        <f t="shared" si="2"/>
        <v>285</v>
      </c>
      <c r="I16" s="13">
        <f t="shared" si="2"/>
        <v>259</v>
      </c>
      <c r="J16" s="13">
        <f t="shared" si="2"/>
        <v>258</v>
      </c>
      <c r="K16" s="13">
        <f t="shared" si="2"/>
        <v>272</v>
      </c>
      <c r="L16" s="13">
        <f t="shared" si="2"/>
        <v>282</v>
      </c>
      <c r="M16" s="13">
        <f t="shared" si="2"/>
        <v>286</v>
      </c>
      <c r="N16" s="13">
        <f t="shared" si="2"/>
        <v>280</v>
      </c>
      <c r="O16" s="13">
        <f t="shared" si="2"/>
        <v>277</v>
      </c>
      <c r="P16" s="13">
        <f t="shared" si="2"/>
        <v>286</v>
      </c>
      <c r="Q16" s="13">
        <f t="shared" si="2"/>
        <v>288</v>
      </c>
      <c r="R16" s="13">
        <f t="shared" si="2"/>
        <v>273</v>
      </c>
      <c r="S16" s="13">
        <f t="shared" si="2"/>
        <v>280</v>
      </c>
      <c r="T16" s="13">
        <f t="shared" si="2"/>
        <v>278</v>
      </c>
      <c r="U16" s="13">
        <f t="shared" si="2"/>
        <v>274</v>
      </c>
      <c r="V16" s="13">
        <f t="shared" si="2"/>
        <v>274</v>
      </c>
      <c r="W16" s="13">
        <f t="shared" si="2"/>
        <v>270</v>
      </c>
      <c r="X16" s="13">
        <f t="shared" si="2"/>
        <v>290</v>
      </c>
      <c r="Y16" s="13">
        <f t="shared" si="2"/>
        <v>282</v>
      </c>
      <c r="Z16" s="13">
        <f t="shared" si="2"/>
        <v>280</v>
      </c>
      <c r="AA16" s="13">
        <f t="shared" si="2"/>
        <v>281</v>
      </c>
      <c r="AB16" s="13">
        <f t="shared" si="2"/>
        <v>295</v>
      </c>
      <c r="AC16" s="13">
        <f t="shared" si="2"/>
        <v>276</v>
      </c>
      <c r="AD16" s="13">
        <f t="shared" si="2"/>
        <v>271</v>
      </c>
      <c r="AE16" s="13">
        <f t="shared" si="2"/>
        <v>238</v>
      </c>
      <c r="AF16" s="13">
        <f t="shared" si="1"/>
        <v>7458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19"/>
      <c r="R17" s="19"/>
      <c r="S17" s="19"/>
      <c r="T17" s="19"/>
      <c r="U17" s="19"/>
      <c r="V17" s="19"/>
      <c r="W17" s="19"/>
      <c r="X17" s="19"/>
      <c r="Y17" s="58"/>
      <c r="Z17" s="58"/>
      <c r="AA17" s="58"/>
      <c r="AB17" s="58"/>
      <c r="AC17" s="58"/>
      <c r="AD17" s="58"/>
      <c r="AE17" s="58"/>
      <c r="AF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19"/>
      <c r="R18" s="19"/>
      <c r="S18" s="19"/>
      <c r="T18" s="19"/>
      <c r="U18" s="19"/>
      <c r="V18" s="19"/>
      <c r="W18" s="19"/>
      <c r="X18" s="19"/>
      <c r="Y18" s="58"/>
      <c r="Z18" s="58"/>
      <c r="AA18" s="58"/>
      <c r="AB18" s="58"/>
      <c r="AC18" s="58"/>
      <c r="AD18" s="58"/>
      <c r="AE18" s="58"/>
      <c r="AF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102.0</v>
      </c>
      <c r="F19" s="19">
        <v>105.0</v>
      </c>
      <c r="G19" s="19">
        <v>112.0</v>
      </c>
      <c r="H19" s="19">
        <v>113.0</v>
      </c>
      <c r="I19" s="19">
        <v>103.0</v>
      </c>
      <c r="J19" s="19">
        <v>95.0</v>
      </c>
      <c r="K19" s="19">
        <v>89.0</v>
      </c>
      <c r="L19" s="19">
        <v>112.0</v>
      </c>
      <c r="M19" s="19">
        <v>105.0</v>
      </c>
      <c r="N19" s="19">
        <v>97.0</v>
      </c>
      <c r="O19" s="19">
        <v>113.0</v>
      </c>
      <c r="P19" s="19">
        <v>114.0</v>
      </c>
      <c r="Q19" s="19">
        <v>116.0</v>
      </c>
      <c r="R19" s="19">
        <v>103.0</v>
      </c>
      <c r="S19" s="19">
        <v>111.0</v>
      </c>
      <c r="T19" s="19">
        <v>109.0</v>
      </c>
      <c r="U19" s="19">
        <v>112.0</v>
      </c>
      <c r="V19" s="19">
        <v>98.0</v>
      </c>
      <c r="W19" s="19">
        <v>103.0</v>
      </c>
      <c r="X19" s="19">
        <v>126.0</v>
      </c>
      <c r="Y19" s="19">
        <v>120.0</v>
      </c>
      <c r="Z19" s="19">
        <v>108.0</v>
      </c>
      <c r="AA19" s="19">
        <v>117.0</v>
      </c>
      <c r="AB19" s="19">
        <v>106.0</v>
      </c>
      <c r="AC19" s="19">
        <v>101.0</v>
      </c>
      <c r="AD19" s="19">
        <v>106.0</v>
      </c>
      <c r="AE19" s="19">
        <v>86.0</v>
      </c>
      <c r="AF19" s="13">
        <f t="shared" ref="AF19:AF30" si="3">SUM(E19:AE19)</f>
        <v>2882</v>
      </c>
    </row>
    <row r="20" ht="12.75" customHeight="1">
      <c r="A20" s="33"/>
      <c r="B20" s="27"/>
      <c r="C20" s="34"/>
      <c r="D20" s="19" t="s">
        <v>13</v>
      </c>
      <c r="E20" s="19">
        <v>90.0</v>
      </c>
      <c r="F20" s="19">
        <v>122.0</v>
      </c>
      <c r="G20" s="19">
        <v>104.0</v>
      </c>
      <c r="H20" s="19">
        <v>111.0</v>
      </c>
      <c r="I20" s="19">
        <v>117.0</v>
      </c>
      <c r="J20" s="19">
        <v>106.0</v>
      </c>
      <c r="K20" s="19">
        <v>98.0</v>
      </c>
      <c r="L20" s="19">
        <v>122.0</v>
      </c>
      <c r="M20" s="19">
        <v>112.0</v>
      </c>
      <c r="N20" s="19">
        <v>117.0</v>
      </c>
      <c r="O20" s="19">
        <v>105.0</v>
      </c>
      <c r="P20" s="19">
        <v>114.0</v>
      </c>
      <c r="Q20" s="19">
        <v>111.0</v>
      </c>
      <c r="R20" s="19">
        <v>117.0</v>
      </c>
      <c r="S20" s="19">
        <v>112.0</v>
      </c>
      <c r="T20" s="19">
        <v>114.0</v>
      </c>
      <c r="U20" s="19">
        <v>94.0</v>
      </c>
      <c r="V20" s="19">
        <v>117.0</v>
      </c>
      <c r="W20" s="19">
        <v>102.0</v>
      </c>
      <c r="X20" s="19">
        <v>118.0</v>
      </c>
      <c r="Y20" s="19">
        <v>122.0</v>
      </c>
      <c r="Z20" s="19">
        <v>124.0</v>
      </c>
      <c r="AA20" s="19">
        <v>104.0</v>
      </c>
      <c r="AB20" s="19">
        <v>127.0</v>
      </c>
      <c r="AC20" s="19">
        <v>118.0</v>
      </c>
      <c r="AD20" s="19">
        <v>120.0</v>
      </c>
      <c r="AE20" s="19">
        <v>98.0</v>
      </c>
      <c r="AF20" s="13">
        <f t="shared" si="3"/>
        <v>3016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192</v>
      </c>
      <c r="F21" s="13">
        <f t="shared" si="4"/>
        <v>227</v>
      </c>
      <c r="G21" s="13">
        <f t="shared" si="4"/>
        <v>216</v>
      </c>
      <c r="H21" s="13">
        <f t="shared" si="4"/>
        <v>224</v>
      </c>
      <c r="I21" s="13">
        <f t="shared" si="4"/>
        <v>220</v>
      </c>
      <c r="J21" s="13">
        <f t="shared" si="4"/>
        <v>201</v>
      </c>
      <c r="K21" s="13">
        <f t="shared" si="4"/>
        <v>187</v>
      </c>
      <c r="L21" s="13">
        <f t="shared" si="4"/>
        <v>234</v>
      </c>
      <c r="M21" s="13">
        <f t="shared" si="4"/>
        <v>217</v>
      </c>
      <c r="N21" s="13">
        <f t="shared" si="4"/>
        <v>214</v>
      </c>
      <c r="O21" s="13">
        <f t="shared" si="4"/>
        <v>218</v>
      </c>
      <c r="P21" s="13">
        <f t="shared" si="4"/>
        <v>228</v>
      </c>
      <c r="Q21" s="13">
        <f t="shared" si="4"/>
        <v>227</v>
      </c>
      <c r="R21" s="13">
        <f t="shared" si="4"/>
        <v>220</v>
      </c>
      <c r="S21" s="13">
        <f t="shared" si="4"/>
        <v>223</v>
      </c>
      <c r="T21" s="13">
        <f t="shared" si="4"/>
        <v>223</v>
      </c>
      <c r="U21" s="13">
        <f t="shared" si="4"/>
        <v>206</v>
      </c>
      <c r="V21" s="13">
        <f t="shared" si="4"/>
        <v>215</v>
      </c>
      <c r="W21" s="13">
        <f t="shared" si="4"/>
        <v>205</v>
      </c>
      <c r="X21" s="13">
        <f t="shared" si="4"/>
        <v>244</v>
      </c>
      <c r="Y21" s="13">
        <f t="shared" si="4"/>
        <v>242</v>
      </c>
      <c r="Z21" s="13">
        <f t="shared" si="4"/>
        <v>232</v>
      </c>
      <c r="AA21" s="13">
        <f t="shared" si="4"/>
        <v>221</v>
      </c>
      <c r="AB21" s="13">
        <f t="shared" si="4"/>
        <v>233</v>
      </c>
      <c r="AC21" s="13">
        <f t="shared" si="4"/>
        <v>219</v>
      </c>
      <c r="AD21" s="13">
        <f t="shared" si="4"/>
        <v>226</v>
      </c>
      <c r="AE21" s="13">
        <f t="shared" si="4"/>
        <v>184</v>
      </c>
      <c r="AF21" s="13">
        <f t="shared" si="3"/>
        <v>5898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2.0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3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2.0</v>
      </c>
      <c r="G25" s="19">
        <v>5.0</v>
      </c>
      <c r="H25" s="19">
        <v>5.0</v>
      </c>
      <c r="I25" s="19">
        <v>2.0</v>
      </c>
      <c r="J25" s="19">
        <v>4.0</v>
      </c>
      <c r="K25" s="19">
        <v>4.0</v>
      </c>
      <c r="L25" s="19">
        <v>0.0</v>
      </c>
      <c r="M25" s="19">
        <v>0.0</v>
      </c>
      <c r="N25" s="19">
        <v>3.0</v>
      </c>
      <c r="O25" s="19">
        <v>1.0</v>
      </c>
      <c r="P25" s="19">
        <v>2.0</v>
      </c>
      <c r="Q25" s="19">
        <v>1.0</v>
      </c>
      <c r="R25" s="19">
        <v>0.0</v>
      </c>
      <c r="S25" s="19">
        <v>4.0</v>
      </c>
      <c r="T25" s="19">
        <v>0.0</v>
      </c>
      <c r="U25" s="19">
        <v>0.0</v>
      </c>
      <c r="V25" s="19">
        <v>0.0</v>
      </c>
      <c r="W25" s="19">
        <v>3.0</v>
      </c>
      <c r="X25" s="19">
        <v>2.0</v>
      </c>
      <c r="Y25" s="19">
        <v>1.0</v>
      </c>
      <c r="Z25" s="19">
        <v>1.0</v>
      </c>
      <c r="AA25" s="19">
        <v>2.0</v>
      </c>
      <c r="AB25" s="19">
        <v>2.0</v>
      </c>
      <c r="AC25" s="19">
        <v>0.0</v>
      </c>
      <c r="AD25" s="19">
        <v>0.0</v>
      </c>
      <c r="AE25" s="19">
        <v>0.0</v>
      </c>
      <c r="AF25" s="13">
        <f t="shared" si="3"/>
        <v>46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3.0</v>
      </c>
      <c r="G26" s="19">
        <v>3.0</v>
      </c>
      <c r="H26" s="19">
        <v>7.0</v>
      </c>
      <c r="I26" s="19">
        <v>0.0</v>
      </c>
      <c r="J26" s="19">
        <v>1.0</v>
      </c>
      <c r="K26" s="19">
        <v>6.0</v>
      </c>
      <c r="L26" s="19">
        <v>0.0</v>
      </c>
      <c r="M26" s="19">
        <v>0.0</v>
      </c>
      <c r="N26" s="19">
        <v>0.0</v>
      </c>
      <c r="O26" s="19">
        <v>4.0</v>
      </c>
      <c r="P26" s="19">
        <v>0.0</v>
      </c>
      <c r="Q26" s="19">
        <v>0.0</v>
      </c>
      <c r="R26" s="19">
        <v>0.0</v>
      </c>
      <c r="S26" s="19">
        <v>2.0</v>
      </c>
      <c r="T26" s="19">
        <v>0.0</v>
      </c>
      <c r="U26" s="19">
        <v>3.0</v>
      </c>
      <c r="V26" s="19">
        <v>0.0</v>
      </c>
      <c r="W26" s="19">
        <v>4.0</v>
      </c>
      <c r="X26" s="19">
        <v>2.0</v>
      </c>
      <c r="Y26" s="19">
        <v>1.0</v>
      </c>
      <c r="Z26" s="19">
        <v>4.0</v>
      </c>
      <c r="AA26" s="19">
        <v>2.0</v>
      </c>
      <c r="AB26" s="19">
        <v>0.0</v>
      </c>
      <c r="AC26" s="19">
        <v>1.0</v>
      </c>
      <c r="AD26" s="19">
        <v>0.0</v>
      </c>
      <c r="AE26" s="19">
        <v>1.0</v>
      </c>
      <c r="AF26" s="13">
        <f t="shared" si="3"/>
        <v>47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5</v>
      </c>
      <c r="F27" s="13">
        <f t="shared" si="6"/>
        <v>5</v>
      </c>
      <c r="G27" s="13">
        <f t="shared" si="6"/>
        <v>8</v>
      </c>
      <c r="H27" s="13">
        <f t="shared" si="6"/>
        <v>12</v>
      </c>
      <c r="I27" s="13">
        <f t="shared" si="6"/>
        <v>2</v>
      </c>
      <c r="J27" s="13">
        <f t="shared" si="6"/>
        <v>5</v>
      </c>
      <c r="K27" s="13">
        <f t="shared" si="6"/>
        <v>10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5</v>
      </c>
      <c r="P27" s="13">
        <f t="shared" si="6"/>
        <v>2</v>
      </c>
      <c r="Q27" s="13">
        <f t="shared" si="6"/>
        <v>1</v>
      </c>
      <c r="R27" s="13">
        <f t="shared" si="6"/>
        <v>0</v>
      </c>
      <c r="S27" s="13">
        <f t="shared" si="6"/>
        <v>6</v>
      </c>
      <c r="T27" s="13">
        <f t="shared" si="6"/>
        <v>0</v>
      </c>
      <c r="U27" s="13">
        <f t="shared" si="6"/>
        <v>3</v>
      </c>
      <c r="V27" s="13">
        <f t="shared" si="6"/>
        <v>0</v>
      </c>
      <c r="W27" s="13">
        <f t="shared" si="6"/>
        <v>7</v>
      </c>
      <c r="X27" s="13">
        <f t="shared" si="6"/>
        <v>4</v>
      </c>
      <c r="Y27" s="13">
        <f t="shared" si="6"/>
        <v>2</v>
      </c>
      <c r="Z27" s="13">
        <f t="shared" si="6"/>
        <v>5</v>
      </c>
      <c r="AA27" s="13">
        <f t="shared" si="6"/>
        <v>4</v>
      </c>
      <c r="AB27" s="13">
        <f t="shared" si="6"/>
        <v>2</v>
      </c>
      <c r="AC27" s="13">
        <f t="shared" si="6"/>
        <v>1</v>
      </c>
      <c r="AD27" s="13">
        <f t="shared" si="6"/>
        <v>0</v>
      </c>
      <c r="AE27" s="13">
        <f t="shared" si="6"/>
        <v>1</v>
      </c>
      <c r="AF27" s="13">
        <f t="shared" si="3"/>
        <v>93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104</v>
      </c>
      <c r="F28" s="13">
        <f t="shared" si="7"/>
        <v>107</v>
      </c>
      <c r="G28" s="13">
        <f t="shared" si="7"/>
        <v>117</v>
      </c>
      <c r="H28" s="13">
        <f t="shared" si="7"/>
        <v>118</v>
      </c>
      <c r="I28" s="13">
        <f t="shared" si="7"/>
        <v>106</v>
      </c>
      <c r="J28" s="13">
        <f t="shared" si="7"/>
        <v>99</v>
      </c>
      <c r="K28" s="13">
        <f t="shared" si="7"/>
        <v>93</v>
      </c>
      <c r="L28" s="13">
        <f t="shared" si="7"/>
        <v>112</v>
      </c>
      <c r="M28" s="13">
        <f t="shared" si="7"/>
        <v>105</v>
      </c>
      <c r="N28" s="13">
        <f t="shared" si="7"/>
        <v>100</v>
      </c>
      <c r="O28" s="13">
        <f t="shared" si="7"/>
        <v>114</v>
      </c>
      <c r="P28" s="13">
        <f t="shared" si="7"/>
        <v>116</v>
      </c>
      <c r="Q28" s="13">
        <f t="shared" si="7"/>
        <v>117</v>
      </c>
      <c r="R28" s="13">
        <f t="shared" si="7"/>
        <v>103</v>
      </c>
      <c r="S28" s="13">
        <f t="shared" si="7"/>
        <v>115</v>
      </c>
      <c r="T28" s="13">
        <f t="shared" si="7"/>
        <v>109</v>
      </c>
      <c r="U28" s="13">
        <f t="shared" si="7"/>
        <v>112</v>
      </c>
      <c r="V28" s="13">
        <f t="shared" si="7"/>
        <v>98</v>
      </c>
      <c r="W28" s="13">
        <f t="shared" si="7"/>
        <v>106</v>
      </c>
      <c r="X28" s="13">
        <f t="shared" si="7"/>
        <v>128</v>
      </c>
      <c r="Y28" s="13">
        <f t="shared" si="7"/>
        <v>121</v>
      </c>
      <c r="Z28" s="13">
        <f t="shared" si="7"/>
        <v>109</v>
      </c>
      <c r="AA28" s="13">
        <f t="shared" si="7"/>
        <v>119</v>
      </c>
      <c r="AB28" s="13">
        <f t="shared" si="7"/>
        <v>108</v>
      </c>
      <c r="AC28" s="13">
        <f t="shared" si="7"/>
        <v>101</v>
      </c>
      <c r="AD28" s="13">
        <f t="shared" si="7"/>
        <v>106</v>
      </c>
      <c r="AE28" s="13">
        <f t="shared" si="7"/>
        <v>86</v>
      </c>
      <c r="AF28" s="13">
        <f t="shared" si="3"/>
        <v>2929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93</v>
      </c>
      <c r="F29" s="13">
        <f t="shared" si="8"/>
        <v>125</v>
      </c>
      <c r="G29" s="13">
        <f t="shared" si="8"/>
        <v>107</v>
      </c>
      <c r="H29" s="13">
        <f t="shared" si="8"/>
        <v>118</v>
      </c>
      <c r="I29" s="13">
        <f t="shared" si="8"/>
        <v>119</v>
      </c>
      <c r="J29" s="13">
        <f t="shared" si="8"/>
        <v>107</v>
      </c>
      <c r="K29" s="13">
        <f t="shared" si="8"/>
        <v>104</v>
      </c>
      <c r="L29" s="13">
        <f t="shared" si="8"/>
        <v>122</v>
      </c>
      <c r="M29" s="13">
        <f t="shared" si="8"/>
        <v>112</v>
      </c>
      <c r="N29" s="13">
        <f t="shared" si="8"/>
        <v>117</v>
      </c>
      <c r="O29" s="13">
        <f t="shared" si="8"/>
        <v>109</v>
      </c>
      <c r="P29" s="13">
        <f t="shared" si="8"/>
        <v>114</v>
      </c>
      <c r="Q29" s="13">
        <f t="shared" si="8"/>
        <v>111</v>
      </c>
      <c r="R29" s="13">
        <f t="shared" si="8"/>
        <v>117</v>
      </c>
      <c r="S29" s="13">
        <f t="shared" si="8"/>
        <v>114</v>
      </c>
      <c r="T29" s="13">
        <f t="shared" si="8"/>
        <v>114</v>
      </c>
      <c r="U29" s="13">
        <f t="shared" si="8"/>
        <v>97</v>
      </c>
      <c r="V29" s="13">
        <f t="shared" si="8"/>
        <v>117</v>
      </c>
      <c r="W29" s="13">
        <f t="shared" si="8"/>
        <v>106</v>
      </c>
      <c r="X29" s="13">
        <f t="shared" si="8"/>
        <v>120</v>
      </c>
      <c r="Y29" s="13">
        <f t="shared" si="8"/>
        <v>123</v>
      </c>
      <c r="Z29" s="13">
        <f t="shared" si="8"/>
        <v>128</v>
      </c>
      <c r="AA29" s="13">
        <f t="shared" si="8"/>
        <v>106</v>
      </c>
      <c r="AB29" s="13">
        <f t="shared" si="8"/>
        <v>127</v>
      </c>
      <c r="AC29" s="13">
        <f t="shared" si="8"/>
        <v>119</v>
      </c>
      <c r="AD29" s="13">
        <f t="shared" si="8"/>
        <v>120</v>
      </c>
      <c r="AE29" s="13">
        <f t="shared" si="8"/>
        <v>99</v>
      </c>
      <c r="AF29" s="13">
        <f t="shared" si="3"/>
        <v>3065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197</v>
      </c>
      <c r="F30" s="13">
        <f t="shared" si="9"/>
        <v>232</v>
      </c>
      <c r="G30" s="13">
        <f t="shared" si="9"/>
        <v>224</v>
      </c>
      <c r="H30" s="13">
        <f t="shared" si="9"/>
        <v>236</v>
      </c>
      <c r="I30" s="13">
        <f t="shared" si="9"/>
        <v>225</v>
      </c>
      <c r="J30" s="13">
        <f t="shared" si="9"/>
        <v>206</v>
      </c>
      <c r="K30" s="13">
        <f t="shared" si="9"/>
        <v>197</v>
      </c>
      <c r="L30" s="13">
        <f t="shared" si="9"/>
        <v>234</v>
      </c>
      <c r="M30" s="13">
        <f t="shared" si="9"/>
        <v>217</v>
      </c>
      <c r="N30" s="13">
        <f t="shared" si="9"/>
        <v>217</v>
      </c>
      <c r="O30" s="13">
        <f t="shared" si="9"/>
        <v>223</v>
      </c>
      <c r="P30" s="13">
        <f t="shared" si="9"/>
        <v>230</v>
      </c>
      <c r="Q30" s="13">
        <f t="shared" si="9"/>
        <v>228</v>
      </c>
      <c r="R30" s="13">
        <f t="shared" si="9"/>
        <v>220</v>
      </c>
      <c r="S30" s="13">
        <f t="shared" si="9"/>
        <v>229</v>
      </c>
      <c r="T30" s="13">
        <f t="shared" si="9"/>
        <v>223</v>
      </c>
      <c r="U30" s="13">
        <f t="shared" si="9"/>
        <v>209</v>
      </c>
      <c r="V30" s="13">
        <f t="shared" si="9"/>
        <v>215</v>
      </c>
      <c r="W30" s="13">
        <f t="shared" si="9"/>
        <v>212</v>
      </c>
      <c r="X30" s="13">
        <f t="shared" si="9"/>
        <v>248</v>
      </c>
      <c r="Y30" s="13">
        <f t="shared" si="9"/>
        <v>244</v>
      </c>
      <c r="Z30" s="13">
        <f t="shared" si="9"/>
        <v>237</v>
      </c>
      <c r="AA30" s="13">
        <f t="shared" si="9"/>
        <v>225</v>
      </c>
      <c r="AB30" s="13">
        <f t="shared" si="9"/>
        <v>235</v>
      </c>
      <c r="AC30" s="13">
        <f t="shared" si="9"/>
        <v>220</v>
      </c>
      <c r="AD30" s="13">
        <f t="shared" si="9"/>
        <v>226</v>
      </c>
      <c r="AE30" s="13">
        <f t="shared" si="9"/>
        <v>185</v>
      </c>
      <c r="AF30" s="13">
        <f t="shared" si="3"/>
        <v>5994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19"/>
      <c r="R31" s="19"/>
      <c r="S31" s="19"/>
      <c r="T31" s="19"/>
      <c r="U31" s="19"/>
      <c r="V31" s="19"/>
      <c r="W31" s="19"/>
      <c r="X31" s="19"/>
      <c r="Y31" s="58"/>
      <c r="Z31" s="58"/>
      <c r="AA31" s="58"/>
      <c r="AB31" s="58"/>
      <c r="AC31" s="58"/>
      <c r="AD31" s="58"/>
      <c r="AE31" s="58"/>
      <c r="AF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13"/>
      <c r="R32" s="13"/>
      <c r="S32" s="13"/>
      <c r="T32" s="13"/>
      <c r="U32" s="13"/>
      <c r="V32" s="13"/>
      <c r="W32" s="13"/>
      <c r="X32" s="13"/>
      <c r="Y32" s="60"/>
      <c r="Z32" s="60"/>
      <c r="AA32" s="60"/>
      <c r="AB32" s="60"/>
      <c r="AC32" s="60"/>
      <c r="AD32" s="60"/>
      <c r="AE32" s="60"/>
      <c r="AF32" s="59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291.0</v>
      </c>
      <c r="G33" s="19">
        <v>279.0</v>
      </c>
      <c r="H33" s="19">
        <v>291.0</v>
      </c>
      <c r="I33" s="19">
        <v>266.0</v>
      </c>
      <c r="J33" s="19">
        <v>265.0</v>
      </c>
      <c r="K33" s="19">
        <v>278.0</v>
      </c>
      <c r="L33" s="19">
        <v>288.0</v>
      </c>
      <c r="M33" s="19">
        <v>292.0</v>
      </c>
      <c r="N33" s="19">
        <v>287.0</v>
      </c>
      <c r="O33" s="19">
        <v>283.0</v>
      </c>
      <c r="P33" s="19">
        <v>292.0</v>
      </c>
      <c r="Q33" s="19">
        <v>294.0</v>
      </c>
      <c r="R33" s="19">
        <v>279.0</v>
      </c>
      <c r="S33" s="19">
        <v>286.0</v>
      </c>
      <c r="T33" s="19">
        <v>283.0</v>
      </c>
      <c r="U33" s="19">
        <v>280.0</v>
      </c>
      <c r="V33" s="19">
        <v>280.0</v>
      </c>
      <c r="W33" s="19">
        <v>276.0</v>
      </c>
      <c r="X33" s="19">
        <v>296.0</v>
      </c>
      <c r="Y33" s="19">
        <v>288.0</v>
      </c>
      <c r="Z33" s="19">
        <v>286.0</v>
      </c>
      <c r="AA33" s="19">
        <v>287.0</v>
      </c>
      <c r="AB33" s="19">
        <v>300.0</v>
      </c>
      <c r="AC33" s="19">
        <v>283.0</v>
      </c>
      <c r="AD33" s="19">
        <v>277.0</v>
      </c>
      <c r="AE33" s="19">
        <v>243.0</v>
      </c>
      <c r="AF33" s="13">
        <f t="shared" ref="AF33:AF36" si="10">SUM(E33:AE33)</f>
        <v>7623</v>
      </c>
    </row>
    <row r="34" ht="12.75" customHeight="1">
      <c r="A34" s="19">
        <v>2.0</v>
      </c>
      <c r="B34" s="20" t="s">
        <v>28</v>
      </c>
      <c r="C34" s="15"/>
      <c r="D34" s="16"/>
      <c r="E34" s="13">
        <v>197.0</v>
      </c>
      <c r="F34" s="13">
        <v>232.0</v>
      </c>
      <c r="G34" s="13">
        <v>224.0</v>
      </c>
      <c r="H34" s="13">
        <v>236.0</v>
      </c>
      <c r="I34" s="13">
        <v>225.0</v>
      </c>
      <c r="J34" s="13">
        <v>206.0</v>
      </c>
      <c r="K34" s="13">
        <v>197.0</v>
      </c>
      <c r="L34" s="13">
        <v>234.0</v>
      </c>
      <c r="M34" s="13">
        <v>217.0</v>
      </c>
      <c r="N34" s="13">
        <v>217.0</v>
      </c>
      <c r="O34" s="13">
        <v>219.0</v>
      </c>
      <c r="P34" s="13">
        <v>234.0</v>
      </c>
      <c r="Q34" s="13">
        <v>228.0</v>
      </c>
      <c r="R34" s="13">
        <v>220.0</v>
      </c>
      <c r="S34" s="13">
        <v>229.0</v>
      </c>
      <c r="T34" s="13">
        <v>223.0</v>
      </c>
      <c r="U34" s="13">
        <v>209.0</v>
      </c>
      <c r="V34" s="13">
        <v>215.0</v>
      </c>
      <c r="W34" s="13">
        <v>212.0</v>
      </c>
      <c r="X34" s="13">
        <v>248.0</v>
      </c>
      <c r="Y34" s="13">
        <v>244.0</v>
      </c>
      <c r="Z34" s="13">
        <v>237.0</v>
      </c>
      <c r="AA34" s="13">
        <v>225.0</v>
      </c>
      <c r="AB34" s="13">
        <v>235.0</v>
      </c>
      <c r="AC34" s="13">
        <v>220.0</v>
      </c>
      <c r="AD34" s="13">
        <v>226.0</v>
      </c>
      <c r="AE34" s="13">
        <v>185.0</v>
      </c>
      <c r="AF34" s="13">
        <f t="shared" si="10"/>
        <v>5994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2.0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1.0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75</v>
      </c>
      <c r="F36" s="13">
        <f t="shared" si="11"/>
        <v>59</v>
      </c>
      <c r="G36" s="13">
        <f t="shared" si="11"/>
        <v>55</v>
      </c>
      <c r="H36" s="13">
        <f t="shared" si="11"/>
        <v>55</v>
      </c>
      <c r="I36" s="13">
        <f t="shared" si="11"/>
        <v>41</v>
      </c>
      <c r="J36" s="13">
        <f t="shared" si="11"/>
        <v>57</v>
      </c>
      <c r="K36" s="13">
        <f t="shared" si="11"/>
        <v>81</v>
      </c>
      <c r="L36" s="13">
        <f t="shared" si="11"/>
        <v>54</v>
      </c>
      <c r="M36" s="13">
        <f t="shared" si="11"/>
        <v>75</v>
      </c>
      <c r="N36" s="13">
        <f t="shared" si="11"/>
        <v>69</v>
      </c>
      <c r="O36" s="13">
        <f t="shared" si="11"/>
        <v>64</v>
      </c>
      <c r="P36" s="13">
        <f t="shared" si="11"/>
        <v>58</v>
      </c>
      <c r="Q36" s="13">
        <f t="shared" si="11"/>
        <v>66</v>
      </c>
      <c r="R36" s="13">
        <f t="shared" si="11"/>
        <v>58</v>
      </c>
      <c r="S36" s="13">
        <f t="shared" si="11"/>
        <v>57</v>
      </c>
      <c r="T36" s="13">
        <f t="shared" si="11"/>
        <v>60</v>
      </c>
      <c r="U36" s="13">
        <f t="shared" si="11"/>
        <v>71</v>
      </c>
      <c r="V36" s="13">
        <f t="shared" si="11"/>
        <v>65</v>
      </c>
      <c r="W36" s="13">
        <f t="shared" si="11"/>
        <v>64</v>
      </c>
      <c r="X36" s="13">
        <f t="shared" si="11"/>
        <v>48</v>
      </c>
      <c r="Y36" s="13">
        <f t="shared" si="11"/>
        <v>44</v>
      </c>
      <c r="Z36" s="13">
        <f t="shared" si="11"/>
        <v>49</v>
      </c>
      <c r="AA36" s="13">
        <f t="shared" si="11"/>
        <v>62</v>
      </c>
      <c r="AB36" s="13">
        <f t="shared" si="11"/>
        <v>65</v>
      </c>
      <c r="AC36" s="13">
        <f t="shared" si="11"/>
        <v>63</v>
      </c>
      <c r="AD36" s="13">
        <f t="shared" si="11"/>
        <v>51</v>
      </c>
      <c r="AE36" s="13">
        <f t="shared" si="11"/>
        <v>58</v>
      </c>
      <c r="AF36" s="13">
        <f t="shared" si="10"/>
        <v>1624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6"/>
      <c r="U37" s="19"/>
      <c r="V37" s="19"/>
      <c r="W37" s="19"/>
      <c r="X37" s="19"/>
      <c r="Y37" s="58"/>
      <c r="Z37" s="61"/>
      <c r="AA37" s="61"/>
      <c r="AB37" s="58"/>
      <c r="AC37" s="61"/>
      <c r="AD37" s="61"/>
      <c r="AE37" s="61"/>
      <c r="AF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13"/>
      <c r="R38" s="13"/>
      <c r="S38" s="13"/>
      <c r="T38" s="13"/>
      <c r="U38" s="13"/>
      <c r="V38" s="13"/>
      <c r="W38" s="13"/>
      <c r="X38" s="13"/>
      <c r="Y38" s="60"/>
      <c r="Z38" s="60"/>
      <c r="AA38" s="60"/>
      <c r="AB38" s="60"/>
      <c r="AC38" s="60"/>
      <c r="AD38" s="60"/>
      <c r="AE38" s="60"/>
      <c r="AF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3">
        <f t="shared" ref="AF39:AF41" si="12">SUM(E39:AE39)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6"/>
      <c r="U42" s="19"/>
      <c r="V42" s="19"/>
      <c r="W42" s="19"/>
      <c r="X42" s="19"/>
      <c r="Y42" s="58"/>
      <c r="Z42" s="19"/>
      <c r="AA42" s="58"/>
      <c r="AB42" s="58"/>
      <c r="AC42" s="19"/>
      <c r="AD42" s="58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13"/>
      <c r="U43" s="13"/>
      <c r="V43" s="13"/>
      <c r="W43" s="13"/>
      <c r="X43" s="13"/>
      <c r="Y43" s="60"/>
      <c r="Z43" s="13"/>
      <c r="AA43" s="60"/>
      <c r="AB43" s="60"/>
      <c r="AC43" s="13"/>
      <c r="AD43" s="60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19"/>
      <c r="U44" s="19"/>
      <c r="V44" s="19"/>
      <c r="W44" s="19"/>
      <c r="X44" s="19"/>
      <c r="Y44" s="58"/>
      <c r="Z44" s="19"/>
      <c r="AA44" s="58"/>
      <c r="AB44" s="58"/>
      <c r="AC44" s="19"/>
      <c r="AD44" s="58"/>
      <c r="AE44" s="19"/>
      <c r="AF44" s="13"/>
    </row>
    <row r="45" ht="12.75" customHeight="1">
      <c r="A45" s="30"/>
      <c r="B45" s="47" t="s">
        <v>17</v>
      </c>
      <c r="C45" s="48" t="s">
        <v>37</v>
      </c>
      <c r="D45" s="16"/>
      <c r="E45" s="19">
        <v>15.0</v>
      </c>
      <c r="F45" s="19">
        <v>16.0</v>
      </c>
      <c r="G45" s="19">
        <v>20.0</v>
      </c>
      <c r="H45" s="19">
        <v>30.0</v>
      </c>
      <c r="I45" s="19">
        <v>23.0</v>
      </c>
      <c r="J45" s="19">
        <v>12.0</v>
      </c>
      <c r="K45" s="19">
        <v>21.0</v>
      </c>
      <c r="L45" s="19">
        <v>19.0</v>
      </c>
      <c r="M45" s="19">
        <v>15.0</v>
      </c>
      <c r="N45" s="19">
        <v>24.0</v>
      </c>
      <c r="O45" s="19">
        <v>25.0</v>
      </c>
      <c r="P45" s="19">
        <v>21.0</v>
      </c>
      <c r="Q45" s="19">
        <v>12.0</v>
      </c>
      <c r="R45" s="19">
        <v>18.0</v>
      </c>
      <c r="S45" s="19">
        <v>22.0</v>
      </c>
      <c r="T45" s="19">
        <v>26.0</v>
      </c>
      <c r="U45" s="19">
        <v>19.0</v>
      </c>
      <c r="V45" s="19">
        <v>25.0</v>
      </c>
      <c r="W45" s="19">
        <v>31.0</v>
      </c>
      <c r="X45" s="19">
        <v>24.0</v>
      </c>
      <c r="Y45" s="19">
        <v>36.0</v>
      </c>
      <c r="Z45" s="19">
        <v>21.0</v>
      </c>
      <c r="AA45" s="19">
        <v>19.0</v>
      </c>
      <c r="AB45" s="19">
        <v>28.0</v>
      </c>
      <c r="AC45" s="19">
        <v>19.0</v>
      </c>
      <c r="AD45" s="19">
        <v>18.0</v>
      </c>
      <c r="AE45" s="19">
        <v>5.0</v>
      </c>
      <c r="AF45" s="13">
        <f t="shared" ref="AF45:AF57" si="14">SUM(E45:AE45)</f>
        <v>564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14.0</v>
      </c>
      <c r="F46" s="19">
        <v>37.0</v>
      </c>
      <c r="G46" s="19">
        <v>33.0</v>
      </c>
      <c r="H46" s="19">
        <v>32.0</v>
      </c>
      <c r="I46" s="19">
        <v>28.0</v>
      </c>
      <c r="J46" s="19">
        <v>40.0</v>
      </c>
      <c r="K46" s="19">
        <v>30.0</v>
      </c>
      <c r="L46" s="19">
        <v>27.0</v>
      </c>
      <c r="M46" s="19">
        <v>45.0</v>
      </c>
      <c r="N46" s="19">
        <v>31.0</v>
      </c>
      <c r="O46" s="19">
        <v>28.0</v>
      </c>
      <c r="P46" s="19">
        <v>39.0</v>
      </c>
      <c r="Q46" s="19">
        <v>22.0</v>
      </c>
      <c r="R46" s="19">
        <v>50.0</v>
      </c>
      <c r="S46" s="19">
        <v>29.0</v>
      </c>
      <c r="T46" s="19">
        <v>45.0</v>
      </c>
      <c r="U46" s="19">
        <v>40.0</v>
      </c>
      <c r="V46" s="19">
        <v>28.0</v>
      </c>
      <c r="W46" s="19">
        <v>22.0</v>
      </c>
      <c r="X46" s="19">
        <v>33.0</v>
      </c>
      <c r="Y46" s="19">
        <v>35.0</v>
      </c>
      <c r="Z46" s="19">
        <v>38.0</v>
      </c>
      <c r="AA46" s="19">
        <v>29.0</v>
      </c>
      <c r="AB46" s="19">
        <v>31.0</v>
      </c>
      <c r="AC46" s="19">
        <v>45.0</v>
      </c>
      <c r="AD46" s="19">
        <v>32.0</v>
      </c>
      <c r="AE46" s="19">
        <v>32.0</v>
      </c>
      <c r="AF46" s="13">
        <f t="shared" si="14"/>
        <v>895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16.0</v>
      </c>
      <c r="F47" s="19">
        <v>17.0</v>
      </c>
      <c r="G47" s="19">
        <v>12.0</v>
      </c>
      <c r="H47" s="19">
        <v>13.0</v>
      </c>
      <c r="I47" s="19">
        <v>21.0</v>
      </c>
      <c r="J47" s="19">
        <v>12.0</v>
      </c>
      <c r="K47" s="19">
        <v>14.0</v>
      </c>
      <c r="L47" s="19">
        <v>17.0</v>
      </c>
      <c r="M47" s="19">
        <v>10.0</v>
      </c>
      <c r="N47" s="19">
        <v>8.0</v>
      </c>
      <c r="O47" s="19">
        <v>19.0</v>
      </c>
      <c r="P47" s="19">
        <v>18.0</v>
      </c>
      <c r="Q47" s="19">
        <v>20.0</v>
      </c>
      <c r="R47" s="19">
        <v>15.0</v>
      </c>
      <c r="S47" s="19">
        <v>15.0</v>
      </c>
      <c r="T47" s="19">
        <v>11.0</v>
      </c>
      <c r="U47" s="19">
        <v>14.0</v>
      </c>
      <c r="V47" s="19">
        <v>18.0</v>
      </c>
      <c r="W47" s="19">
        <v>15.0</v>
      </c>
      <c r="X47" s="19">
        <v>17.0</v>
      </c>
      <c r="Y47" s="19">
        <v>9.0</v>
      </c>
      <c r="Z47" s="19">
        <v>24.0</v>
      </c>
      <c r="AA47" s="19">
        <v>23.0</v>
      </c>
      <c r="AB47" s="19">
        <v>18.0</v>
      </c>
      <c r="AC47" s="19">
        <v>15.0</v>
      </c>
      <c r="AD47" s="19">
        <v>26.0</v>
      </c>
      <c r="AE47" s="19">
        <v>11.0</v>
      </c>
      <c r="AF47" s="13">
        <f t="shared" si="14"/>
        <v>428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13.0</v>
      </c>
      <c r="F48" s="19">
        <v>23.0</v>
      </c>
      <c r="G48" s="19">
        <v>18.0</v>
      </c>
      <c r="H48" s="19">
        <v>35.0</v>
      </c>
      <c r="I48" s="19">
        <v>27.0</v>
      </c>
      <c r="J48" s="19">
        <v>15.0</v>
      </c>
      <c r="K48" s="19">
        <v>20.0</v>
      </c>
      <c r="L48" s="19">
        <v>31.0</v>
      </c>
      <c r="M48" s="19">
        <v>24.0</v>
      </c>
      <c r="N48" s="19">
        <v>20.0</v>
      </c>
      <c r="O48" s="19">
        <v>16.0</v>
      </c>
      <c r="P48" s="19">
        <v>25.0</v>
      </c>
      <c r="Q48" s="19">
        <v>34.0</v>
      </c>
      <c r="R48" s="19">
        <v>29.0</v>
      </c>
      <c r="S48" s="19">
        <v>26.0</v>
      </c>
      <c r="T48" s="19">
        <v>16.0</v>
      </c>
      <c r="U48" s="19">
        <v>22.0</v>
      </c>
      <c r="V48" s="19">
        <v>32.0</v>
      </c>
      <c r="W48" s="19">
        <v>34.0</v>
      </c>
      <c r="X48" s="19">
        <v>23.0</v>
      </c>
      <c r="Y48" s="19">
        <v>23.0</v>
      </c>
      <c r="Z48" s="19">
        <v>25.0</v>
      </c>
      <c r="AA48" s="19">
        <v>26.0</v>
      </c>
      <c r="AB48" s="19">
        <v>24.0</v>
      </c>
      <c r="AC48" s="19">
        <v>31.0</v>
      </c>
      <c r="AD48" s="19">
        <v>31.0</v>
      </c>
      <c r="AE48" s="19">
        <v>32.0</v>
      </c>
      <c r="AF48" s="13">
        <f t="shared" si="14"/>
        <v>675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18.0</v>
      </c>
      <c r="F49" s="19">
        <v>17.0</v>
      </c>
      <c r="G49" s="19">
        <v>15.0</v>
      </c>
      <c r="H49" s="19">
        <v>27.0</v>
      </c>
      <c r="I49" s="19">
        <v>16.0</v>
      </c>
      <c r="J49" s="19">
        <v>21.0</v>
      </c>
      <c r="K49" s="19">
        <v>10.0</v>
      </c>
      <c r="L49" s="19">
        <v>23.0</v>
      </c>
      <c r="M49" s="19">
        <v>21.0</v>
      </c>
      <c r="N49" s="19">
        <v>15.0</v>
      </c>
      <c r="O49" s="19">
        <v>12.0</v>
      </c>
      <c r="P49" s="19">
        <v>17.0</v>
      </c>
      <c r="Q49" s="19">
        <v>29.0</v>
      </c>
      <c r="R49" s="19">
        <v>11.0</v>
      </c>
      <c r="S49" s="19">
        <v>17.0</v>
      </c>
      <c r="T49" s="19">
        <v>18.0</v>
      </c>
      <c r="U49" s="19">
        <v>22.0</v>
      </c>
      <c r="V49" s="19">
        <v>33.0</v>
      </c>
      <c r="W49" s="19">
        <v>16.0</v>
      </c>
      <c r="X49" s="19">
        <v>24.0</v>
      </c>
      <c r="Y49" s="19">
        <v>17.0</v>
      </c>
      <c r="Z49" s="19">
        <v>15.0</v>
      </c>
      <c r="AA49" s="19">
        <v>19.0</v>
      </c>
      <c r="AB49" s="19">
        <v>12.0</v>
      </c>
      <c r="AC49" s="19">
        <v>12.0</v>
      </c>
      <c r="AD49" s="19">
        <v>11.0</v>
      </c>
      <c r="AE49" s="19">
        <v>7.0</v>
      </c>
      <c r="AF49" s="13">
        <f t="shared" si="14"/>
        <v>475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10.0</v>
      </c>
      <c r="F50" s="19">
        <v>16.0</v>
      </c>
      <c r="G50" s="19">
        <v>17.0</v>
      </c>
      <c r="H50" s="19">
        <v>4.0</v>
      </c>
      <c r="I50" s="19">
        <v>10.0</v>
      </c>
      <c r="J50" s="19">
        <v>10.0</v>
      </c>
      <c r="K50" s="19">
        <v>13.0</v>
      </c>
      <c r="L50" s="19">
        <v>9.0</v>
      </c>
      <c r="M50" s="19">
        <v>16.0</v>
      </c>
      <c r="N50" s="19">
        <v>10.0</v>
      </c>
      <c r="O50" s="19">
        <v>16.0</v>
      </c>
      <c r="P50" s="19">
        <v>16.0</v>
      </c>
      <c r="Q50" s="19">
        <v>11.0</v>
      </c>
      <c r="R50" s="19">
        <v>4.0</v>
      </c>
      <c r="S50" s="19">
        <v>4.0</v>
      </c>
      <c r="T50" s="19">
        <v>14.0</v>
      </c>
      <c r="U50" s="19">
        <v>11.0</v>
      </c>
      <c r="V50" s="19">
        <v>14.0</v>
      </c>
      <c r="W50" s="19">
        <v>12.0</v>
      </c>
      <c r="X50" s="19">
        <v>12.0</v>
      </c>
      <c r="Y50" s="19">
        <v>16.0</v>
      </c>
      <c r="Z50" s="19">
        <v>8.0</v>
      </c>
      <c r="AA50" s="19">
        <v>19.0</v>
      </c>
      <c r="AB50" s="19">
        <v>10.0</v>
      </c>
      <c r="AC50" s="19">
        <v>4.0</v>
      </c>
      <c r="AD50" s="19">
        <v>2.0</v>
      </c>
      <c r="AE50" s="19">
        <v>6.0</v>
      </c>
      <c r="AF50" s="13">
        <f t="shared" si="14"/>
        <v>294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3.0</v>
      </c>
      <c r="G51" s="19">
        <v>7.0</v>
      </c>
      <c r="H51" s="19">
        <v>2.0</v>
      </c>
      <c r="I51" s="19">
        <v>6.0</v>
      </c>
      <c r="J51" s="19">
        <v>1.0</v>
      </c>
      <c r="K51" s="19">
        <v>4.0</v>
      </c>
      <c r="L51" s="19">
        <v>11.0</v>
      </c>
      <c r="M51" s="19">
        <v>3.0</v>
      </c>
      <c r="N51" s="19">
        <v>4.0</v>
      </c>
      <c r="O51" s="19">
        <v>3.0</v>
      </c>
      <c r="P51" s="19">
        <v>1.0</v>
      </c>
      <c r="Q51" s="19">
        <v>4.0</v>
      </c>
      <c r="R51" s="19">
        <v>7.0</v>
      </c>
      <c r="S51" s="19">
        <v>4.0</v>
      </c>
      <c r="T51" s="19">
        <v>3.0</v>
      </c>
      <c r="U51" s="19">
        <v>5.0</v>
      </c>
      <c r="V51" s="19">
        <v>3.0</v>
      </c>
      <c r="W51" s="19">
        <v>4.0</v>
      </c>
      <c r="X51" s="19">
        <v>6.0</v>
      </c>
      <c r="Y51" s="19">
        <v>0.0</v>
      </c>
      <c r="Z51" s="19">
        <v>3.0</v>
      </c>
      <c r="AA51" s="19">
        <v>4.0</v>
      </c>
      <c r="AB51" s="19">
        <v>3.0</v>
      </c>
      <c r="AC51" s="19">
        <v>4.0</v>
      </c>
      <c r="AD51" s="19">
        <v>0.0</v>
      </c>
      <c r="AE51" s="19">
        <v>3.0</v>
      </c>
      <c r="AF51" s="13">
        <f t="shared" si="14"/>
        <v>101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4.0</v>
      </c>
      <c r="F52" s="19">
        <v>3.0</v>
      </c>
      <c r="G52" s="19">
        <v>3.0</v>
      </c>
      <c r="H52" s="19">
        <v>7.0</v>
      </c>
      <c r="I52" s="19">
        <v>3.0</v>
      </c>
      <c r="J52" s="19">
        <v>5.0</v>
      </c>
      <c r="K52" s="19">
        <v>8.0</v>
      </c>
      <c r="L52" s="19">
        <v>4.0</v>
      </c>
      <c r="M52" s="19">
        <v>6.0</v>
      </c>
      <c r="N52" s="19">
        <v>2.0</v>
      </c>
      <c r="O52" s="19">
        <v>4.0</v>
      </c>
      <c r="P52" s="19">
        <v>7.0</v>
      </c>
      <c r="Q52" s="19">
        <v>4.0</v>
      </c>
      <c r="R52" s="19">
        <v>5.0</v>
      </c>
      <c r="S52" s="33">
        <v>5.0</v>
      </c>
      <c r="T52" s="19">
        <v>5.0</v>
      </c>
      <c r="U52" s="19">
        <v>2.0</v>
      </c>
      <c r="V52" s="19">
        <v>6.0</v>
      </c>
      <c r="W52" s="19">
        <v>4.0</v>
      </c>
      <c r="X52" s="19">
        <v>9.0</v>
      </c>
      <c r="Y52" s="19">
        <v>2.0</v>
      </c>
      <c r="Z52" s="19">
        <v>8.0</v>
      </c>
      <c r="AA52" s="19">
        <v>3.0</v>
      </c>
      <c r="AB52" s="19">
        <v>4.0</v>
      </c>
      <c r="AC52" s="19">
        <v>2.0</v>
      </c>
      <c r="AD52" s="19">
        <v>6.0</v>
      </c>
      <c r="AE52" s="19">
        <v>3.0</v>
      </c>
      <c r="AF52" s="13">
        <f t="shared" si="14"/>
        <v>124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2.0</v>
      </c>
      <c r="G53" s="19">
        <v>0.0</v>
      </c>
      <c r="H53" s="19">
        <v>0.0</v>
      </c>
      <c r="I53" s="19">
        <v>0.0</v>
      </c>
      <c r="J53" s="19">
        <v>1.0</v>
      </c>
      <c r="K53" s="19">
        <v>1.0</v>
      </c>
      <c r="L53" s="19">
        <v>1.0</v>
      </c>
      <c r="M53" s="19">
        <v>1.0</v>
      </c>
      <c r="N53" s="19">
        <v>1.0</v>
      </c>
      <c r="O53" s="19">
        <v>0.0</v>
      </c>
      <c r="P53" s="19">
        <v>1.0</v>
      </c>
      <c r="Q53" s="19">
        <v>3.0</v>
      </c>
      <c r="R53" s="19">
        <v>0.0</v>
      </c>
      <c r="S53" s="19">
        <v>0.0</v>
      </c>
      <c r="T53" s="19">
        <v>1.0</v>
      </c>
      <c r="U53" s="19">
        <v>0.0</v>
      </c>
      <c r="V53" s="19">
        <v>0.0</v>
      </c>
      <c r="W53" s="19">
        <v>5.0</v>
      </c>
      <c r="X53" s="19">
        <v>1.0</v>
      </c>
      <c r="Y53" s="19">
        <v>0.0</v>
      </c>
      <c r="Z53" s="19">
        <v>0.0</v>
      </c>
      <c r="AA53" s="19">
        <v>0.0</v>
      </c>
      <c r="AB53" s="19">
        <v>0.0</v>
      </c>
      <c r="AC53" s="19">
        <v>1.0</v>
      </c>
      <c r="AD53" s="19">
        <v>1.0</v>
      </c>
      <c r="AE53" s="19">
        <v>0.0</v>
      </c>
      <c r="AF53" s="13">
        <f t="shared" si="14"/>
        <v>20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18.0</v>
      </c>
      <c r="F54" s="19">
        <v>33.0</v>
      </c>
      <c r="G54" s="19">
        <v>17.0</v>
      </c>
      <c r="H54" s="19">
        <v>31.0</v>
      </c>
      <c r="I54" s="19">
        <v>22.0</v>
      </c>
      <c r="J54" s="19">
        <v>25.0</v>
      </c>
      <c r="K54" s="19">
        <v>22.0</v>
      </c>
      <c r="L54" s="19">
        <v>33.0</v>
      </c>
      <c r="M54" s="19">
        <v>31.0</v>
      </c>
      <c r="N54" s="19">
        <v>32.0</v>
      </c>
      <c r="O54" s="19">
        <v>35.0</v>
      </c>
      <c r="P54" s="19">
        <v>33.0</v>
      </c>
      <c r="Q54" s="19">
        <v>38.0</v>
      </c>
      <c r="R54" s="19">
        <v>23.0</v>
      </c>
      <c r="S54" s="33">
        <v>33.0</v>
      </c>
      <c r="T54" s="19">
        <v>34.0</v>
      </c>
      <c r="U54" s="19">
        <v>25.0</v>
      </c>
      <c r="V54" s="19">
        <v>18.0</v>
      </c>
      <c r="W54" s="19">
        <v>11.0</v>
      </c>
      <c r="X54" s="19">
        <v>30.0</v>
      </c>
      <c r="Y54" s="19">
        <v>35.0</v>
      </c>
      <c r="Z54" s="19">
        <v>32.0</v>
      </c>
      <c r="AA54" s="19">
        <v>29.0</v>
      </c>
      <c r="AB54" s="19">
        <v>26.0</v>
      </c>
      <c r="AC54" s="19">
        <v>28.0</v>
      </c>
      <c r="AD54" s="19">
        <v>40.0</v>
      </c>
      <c r="AE54" s="19">
        <v>33.0</v>
      </c>
      <c r="AF54" s="13">
        <f t="shared" si="14"/>
        <v>767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0.0</v>
      </c>
      <c r="G55" s="19">
        <v>1.0</v>
      </c>
      <c r="H55" s="19">
        <v>1.0</v>
      </c>
      <c r="I55" s="19">
        <v>3.0</v>
      </c>
      <c r="J55" s="19">
        <v>1.0</v>
      </c>
      <c r="K55" s="19">
        <v>2.0</v>
      </c>
      <c r="L55" s="19">
        <v>3.0</v>
      </c>
      <c r="M55" s="19">
        <v>3.0</v>
      </c>
      <c r="N55" s="19">
        <v>2.0</v>
      </c>
      <c r="O55" s="19">
        <v>0.0</v>
      </c>
      <c r="P55" s="19">
        <v>1.0</v>
      </c>
      <c r="Q55" s="19">
        <v>1.0</v>
      </c>
      <c r="R55" s="19">
        <v>0.0</v>
      </c>
      <c r="S55" s="19">
        <v>5.0</v>
      </c>
      <c r="T55" s="19">
        <v>1.0</v>
      </c>
      <c r="U55" s="19">
        <v>1.0</v>
      </c>
      <c r="V55" s="19">
        <v>2.0</v>
      </c>
      <c r="W55" s="19">
        <v>3.0</v>
      </c>
      <c r="X55" s="19">
        <v>3.0</v>
      </c>
      <c r="Y55" s="19">
        <v>1.0</v>
      </c>
      <c r="Z55" s="19">
        <v>2.0</v>
      </c>
      <c r="AA55" s="19">
        <v>3.0</v>
      </c>
      <c r="AB55" s="19">
        <v>1.0</v>
      </c>
      <c r="AC55" s="19">
        <v>1.0</v>
      </c>
      <c r="AD55" s="19">
        <v>1.0</v>
      </c>
      <c r="AE55" s="19">
        <v>2.0</v>
      </c>
      <c r="AF55" s="13">
        <f t="shared" si="14"/>
        <v>44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30.0</v>
      </c>
      <c r="F56" s="19">
        <v>44.0</v>
      </c>
      <c r="G56" s="19">
        <v>41.0</v>
      </c>
      <c r="H56" s="19">
        <v>15.0</v>
      </c>
      <c r="I56" s="19">
        <v>21.0</v>
      </c>
      <c r="J56" s="19">
        <v>32.0</v>
      </c>
      <c r="K56" s="19">
        <v>25.0</v>
      </c>
      <c r="L56" s="19">
        <v>26.0</v>
      </c>
      <c r="M56" s="19">
        <v>12.0</v>
      </c>
      <c r="N56" s="19">
        <v>29.0</v>
      </c>
      <c r="O56" s="19">
        <v>22.0</v>
      </c>
      <c r="P56" s="19">
        <v>16.0</v>
      </c>
      <c r="Q56" s="19">
        <v>18.0</v>
      </c>
      <c r="R56" s="19">
        <v>16.0</v>
      </c>
      <c r="S56" s="19">
        <v>25.0</v>
      </c>
      <c r="T56" s="19">
        <v>28.0</v>
      </c>
      <c r="U56" s="19">
        <v>18.0</v>
      </c>
      <c r="V56" s="19">
        <v>19.0</v>
      </c>
      <c r="W56" s="19">
        <v>20.0</v>
      </c>
      <c r="X56" s="19">
        <v>28.0</v>
      </c>
      <c r="Y56" s="19">
        <v>39.0</v>
      </c>
      <c r="Z56" s="19">
        <v>27.0</v>
      </c>
      <c r="AA56" s="19">
        <v>28.0</v>
      </c>
      <c r="AB56" s="19">
        <v>18.0</v>
      </c>
      <c r="AC56" s="19">
        <v>31.0</v>
      </c>
      <c r="AD56" s="19">
        <v>22.0</v>
      </c>
      <c r="AE56" s="19">
        <v>31.0</v>
      </c>
      <c r="AF56" s="13">
        <f t="shared" si="14"/>
        <v>681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1.0</v>
      </c>
      <c r="G57" s="19">
        <v>2.0</v>
      </c>
      <c r="H57" s="19">
        <v>3.0</v>
      </c>
      <c r="I57" s="19">
        <v>1.0</v>
      </c>
      <c r="J57" s="19">
        <v>0.0</v>
      </c>
      <c r="K57" s="19">
        <v>2.0</v>
      </c>
      <c r="L57" s="19">
        <v>0.0</v>
      </c>
      <c r="M57" s="19">
        <v>0.0</v>
      </c>
      <c r="N57" s="19">
        <v>1.0</v>
      </c>
      <c r="O57" s="19">
        <v>2.0</v>
      </c>
      <c r="P57" s="19">
        <v>4.0</v>
      </c>
      <c r="Q57" s="19">
        <v>3.0</v>
      </c>
      <c r="R57" s="19">
        <v>3.0</v>
      </c>
      <c r="S57" s="19">
        <v>5.0</v>
      </c>
      <c r="T57" s="19">
        <v>1.0</v>
      </c>
      <c r="U57" s="19">
        <v>5.0</v>
      </c>
      <c r="V57" s="19">
        <v>3.0</v>
      </c>
      <c r="W57" s="19">
        <v>2.0</v>
      </c>
      <c r="X57" s="19">
        <v>2.0</v>
      </c>
      <c r="Y57" s="19">
        <v>2.0</v>
      </c>
      <c r="Z57" s="19">
        <v>2.0</v>
      </c>
      <c r="AA57" s="19">
        <v>0.0</v>
      </c>
      <c r="AB57" s="19">
        <v>3.0</v>
      </c>
      <c r="AC57" s="19">
        <v>0.0</v>
      </c>
      <c r="AD57" s="19">
        <v>3.0</v>
      </c>
      <c r="AE57" s="19">
        <v>1.0</v>
      </c>
      <c r="AF57" s="13">
        <f t="shared" si="14"/>
        <v>52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13"/>
      <c r="R59" s="13"/>
      <c r="S59" s="13"/>
      <c r="T59" s="13"/>
      <c r="U59" s="13"/>
      <c r="V59" s="13"/>
      <c r="W59" s="13"/>
      <c r="X59" s="13"/>
      <c r="Y59" s="60"/>
      <c r="Z59" s="60"/>
      <c r="AA59" s="60"/>
      <c r="AB59" s="60"/>
      <c r="AC59" s="60"/>
      <c r="AD59" s="60"/>
      <c r="AE59" s="60"/>
      <c r="AF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E60" si="15">SUM(E45:E57)</f>
        <v>142</v>
      </c>
      <c r="F60" s="19">
        <f t="shared" si="15"/>
        <v>212</v>
      </c>
      <c r="G60" s="19">
        <f t="shared" si="15"/>
        <v>186</v>
      </c>
      <c r="H60" s="19">
        <f t="shared" si="15"/>
        <v>200</v>
      </c>
      <c r="I60" s="19">
        <f t="shared" si="15"/>
        <v>181</v>
      </c>
      <c r="J60" s="19">
        <f t="shared" si="15"/>
        <v>175</v>
      </c>
      <c r="K60" s="19">
        <f t="shared" si="15"/>
        <v>172</v>
      </c>
      <c r="L60" s="19">
        <f t="shared" si="15"/>
        <v>204</v>
      </c>
      <c r="M60" s="19">
        <f t="shared" si="15"/>
        <v>187</v>
      </c>
      <c r="N60" s="19">
        <f t="shared" si="15"/>
        <v>179</v>
      </c>
      <c r="O60" s="19">
        <f t="shared" si="15"/>
        <v>182</v>
      </c>
      <c r="P60" s="19">
        <f t="shared" si="15"/>
        <v>199</v>
      </c>
      <c r="Q60" s="19">
        <f t="shared" si="15"/>
        <v>199</v>
      </c>
      <c r="R60" s="19">
        <f t="shared" si="15"/>
        <v>181</v>
      </c>
      <c r="S60" s="19">
        <f t="shared" si="15"/>
        <v>190</v>
      </c>
      <c r="T60" s="19">
        <f t="shared" si="15"/>
        <v>203</v>
      </c>
      <c r="U60" s="19">
        <f t="shared" si="15"/>
        <v>184</v>
      </c>
      <c r="V60" s="19">
        <f t="shared" si="15"/>
        <v>201</v>
      </c>
      <c r="W60" s="19">
        <f t="shared" si="15"/>
        <v>179</v>
      </c>
      <c r="X60" s="19">
        <f t="shared" si="15"/>
        <v>212</v>
      </c>
      <c r="Y60" s="19">
        <f t="shared" si="15"/>
        <v>215</v>
      </c>
      <c r="Z60" s="19">
        <f t="shared" si="15"/>
        <v>205</v>
      </c>
      <c r="AA60" s="19">
        <f t="shared" si="15"/>
        <v>202</v>
      </c>
      <c r="AB60" s="19">
        <f t="shared" si="15"/>
        <v>178</v>
      </c>
      <c r="AC60" s="19">
        <f t="shared" si="15"/>
        <v>193</v>
      </c>
      <c r="AD60" s="19">
        <f t="shared" si="15"/>
        <v>193</v>
      </c>
      <c r="AE60" s="19">
        <f t="shared" si="15"/>
        <v>166</v>
      </c>
      <c r="AF60" s="13">
        <f t="shared" ref="AF60:AF62" si="16">SUM(E60:AE60)</f>
        <v>5120</v>
      </c>
    </row>
    <row r="61" ht="12.75" customHeight="1">
      <c r="A61" s="35"/>
      <c r="B61" s="53" t="s">
        <v>63</v>
      </c>
      <c r="C61" s="54" t="s">
        <v>64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>
        <v>20.0</v>
      </c>
      <c r="U61" s="19">
        <v>25.0</v>
      </c>
      <c r="V61" s="19">
        <v>14.0</v>
      </c>
      <c r="W61" s="19">
        <v>33.0</v>
      </c>
      <c r="X61" s="19">
        <v>36.0</v>
      </c>
      <c r="Y61" s="19">
        <v>29.0</v>
      </c>
      <c r="Z61" s="19">
        <v>32.0</v>
      </c>
      <c r="AA61" s="19">
        <v>23.0</v>
      </c>
      <c r="AB61" s="19">
        <v>57.0</v>
      </c>
      <c r="AC61" s="19">
        <v>28.0</v>
      </c>
      <c r="AD61" s="19">
        <v>33.0</v>
      </c>
      <c r="AE61" s="19">
        <v>18.0</v>
      </c>
      <c r="AF61" s="13">
        <f t="shared" si="16"/>
        <v>348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E62" si="17">SUM(E60:E61)</f>
        <v>142</v>
      </c>
      <c r="F62" s="13">
        <f t="shared" si="17"/>
        <v>212</v>
      </c>
      <c r="G62" s="13">
        <f t="shared" si="17"/>
        <v>186</v>
      </c>
      <c r="H62" s="13">
        <f t="shared" si="17"/>
        <v>200</v>
      </c>
      <c r="I62" s="13">
        <f t="shared" si="17"/>
        <v>181</v>
      </c>
      <c r="J62" s="13">
        <f t="shared" si="17"/>
        <v>175</v>
      </c>
      <c r="K62" s="13">
        <f t="shared" si="17"/>
        <v>172</v>
      </c>
      <c r="L62" s="13">
        <f t="shared" si="17"/>
        <v>204</v>
      </c>
      <c r="M62" s="13">
        <f t="shared" si="17"/>
        <v>187</v>
      </c>
      <c r="N62" s="13">
        <f t="shared" si="17"/>
        <v>179</v>
      </c>
      <c r="O62" s="13">
        <f t="shared" si="17"/>
        <v>182</v>
      </c>
      <c r="P62" s="13">
        <f t="shared" si="17"/>
        <v>199</v>
      </c>
      <c r="Q62" s="13">
        <f t="shared" si="17"/>
        <v>199</v>
      </c>
      <c r="R62" s="13">
        <f t="shared" si="17"/>
        <v>181</v>
      </c>
      <c r="S62" s="13">
        <f t="shared" si="17"/>
        <v>190</v>
      </c>
      <c r="T62" s="13">
        <f t="shared" si="17"/>
        <v>223</v>
      </c>
      <c r="U62" s="13">
        <f t="shared" si="17"/>
        <v>209</v>
      </c>
      <c r="V62" s="13">
        <f t="shared" si="17"/>
        <v>215</v>
      </c>
      <c r="W62" s="13">
        <f t="shared" si="17"/>
        <v>212</v>
      </c>
      <c r="X62" s="13">
        <f t="shared" si="17"/>
        <v>248</v>
      </c>
      <c r="Y62" s="13">
        <f t="shared" si="17"/>
        <v>244</v>
      </c>
      <c r="Z62" s="13">
        <f t="shared" si="17"/>
        <v>237</v>
      </c>
      <c r="AA62" s="13">
        <f t="shared" si="17"/>
        <v>225</v>
      </c>
      <c r="AB62" s="13">
        <f t="shared" si="17"/>
        <v>235</v>
      </c>
      <c r="AC62" s="13">
        <f t="shared" si="17"/>
        <v>221</v>
      </c>
      <c r="AD62" s="13">
        <f t="shared" si="17"/>
        <v>226</v>
      </c>
      <c r="AE62" s="13">
        <f t="shared" si="17"/>
        <v>184</v>
      </c>
      <c r="AF62" s="13">
        <f t="shared" si="16"/>
        <v>5468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T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T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E15 E45:AE57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E30&lt;&gt;E46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34:AE34">
    <cfRule type="expression" dxfId="0" priority="9">
      <formula>E34&lt;&gt;#REF!</formula>
    </cfRule>
  </conditionalFormatting>
  <conditionalFormatting sqref="E60:AE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120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151.0</v>
      </c>
      <c r="F14" s="19">
        <v>146.0</v>
      </c>
      <c r="G14" s="19">
        <v>141.0</v>
      </c>
      <c r="H14" s="19">
        <v>141.0</v>
      </c>
      <c r="I14" s="19">
        <v>141.0</v>
      </c>
      <c r="J14" s="19">
        <v>152.0</v>
      </c>
      <c r="K14" s="19">
        <v>135.0</v>
      </c>
      <c r="L14" s="19">
        <v>144.0</v>
      </c>
      <c r="M14" s="19">
        <v>136.0</v>
      </c>
      <c r="N14" s="19">
        <v>137.0</v>
      </c>
      <c r="O14" s="19">
        <v>136.0</v>
      </c>
      <c r="P14" s="19">
        <v>127.0</v>
      </c>
      <c r="Q14" s="19">
        <v>144.0</v>
      </c>
      <c r="R14" s="19">
        <v>140.0</v>
      </c>
      <c r="S14" s="19">
        <v>138.0</v>
      </c>
      <c r="T14" s="19">
        <v>140.0</v>
      </c>
      <c r="U14" s="19">
        <v>134.0</v>
      </c>
      <c r="V14" s="19">
        <v>150.0</v>
      </c>
      <c r="W14" s="13">
        <f t="shared" ref="W14:W16" si="1">SUM(E14:V14)</f>
        <v>2533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135.0</v>
      </c>
      <c r="G15" s="19">
        <v>139.0</v>
      </c>
      <c r="H15" s="19">
        <v>146.0</v>
      </c>
      <c r="I15" s="19">
        <v>145.0</v>
      </c>
      <c r="J15" s="19">
        <v>141.0</v>
      </c>
      <c r="K15" s="19">
        <v>142.0</v>
      </c>
      <c r="L15" s="19">
        <v>144.0</v>
      </c>
      <c r="M15" s="19">
        <v>135.0</v>
      </c>
      <c r="N15" s="19">
        <v>149.0</v>
      </c>
      <c r="O15" s="19">
        <v>148.0</v>
      </c>
      <c r="P15" s="19">
        <v>157.0</v>
      </c>
      <c r="Q15" s="19">
        <v>133.0</v>
      </c>
      <c r="R15" s="19">
        <v>133.0</v>
      </c>
      <c r="S15" s="19">
        <v>147.0</v>
      </c>
      <c r="T15" s="19">
        <v>146.0</v>
      </c>
      <c r="U15" s="19">
        <v>147.0</v>
      </c>
      <c r="V15" s="19">
        <v>132.0</v>
      </c>
      <c r="W15" s="13">
        <f t="shared" si="1"/>
        <v>2552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284</v>
      </c>
      <c r="F16" s="13">
        <f t="shared" si="2"/>
        <v>281</v>
      </c>
      <c r="G16" s="13">
        <f t="shared" si="2"/>
        <v>280</v>
      </c>
      <c r="H16" s="13">
        <f t="shared" si="2"/>
        <v>287</v>
      </c>
      <c r="I16" s="13">
        <f t="shared" si="2"/>
        <v>286</v>
      </c>
      <c r="J16" s="13">
        <f t="shared" si="2"/>
        <v>293</v>
      </c>
      <c r="K16" s="13">
        <f t="shared" si="2"/>
        <v>277</v>
      </c>
      <c r="L16" s="13">
        <f t="shared" si="2"/>
        <v>288</v>
      </c>
      <c r="M16" s="13">
        <f t="shared" si="2"/>
        <v>271</v>
      </c>
      <c r="N16" s="13">
        <f t="shared" si="2"/>
        <v>286</v>
      </c>
      <c r="O16" s="13">
        <f t="shared" si="2"/>
        <v>284</v>
      </c>
      <c r="P16" s="13">
        <f t="shared" si="2"/>
        <v>284</v>
      </c>
      <c r="Q16" s="13">
        <f t="shared" si="2"/>
        <v>277</v>
      </c>
      <c r="R16" s="13">
        <f t="shared" si="2"/>
        <v>273</v>
      </c>
      <c r="S16" s="13">
        <f t="shared" si="2"/>
        <v>285</v>
      </c>
      <c r="T16" s="13">
        <f t="shared" si="2"/>
        <v>286</v>
      </c>
      <c r="U16" s="13">
        <f t="shared" si="2"/>
        <v>281</v>
      </c>
      <c r="V16" s="13">
        <f t="shared" si="2"/>
        <v>282</v>
      </c>
      <c r="W16" s="13">
        <f t="shared" si="1"/>
        <v>5085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108.0</v>
      </c>
      <c r="G19" s="19">
        <v>106.0</v>
      </c>
      <c r="H19" s="19">
        <v>109.0</v>
      </c>
      <c r="I19" s="19">
        <v>112.0</v>
      </c>
      <c r="J19" s="19">
        <v>117.0</v>
      </c>
      <c r="K19" s="19">
        <v>112.0</v>
      </c>
      <c r="L19" s="19">
        <v>108.0</v>
      </c>
      <c r="M19" s="19">
        <v>108.0</v>
      </c>
      <c r="N19" s="19">
        <v>104.0</v>
      </c>
      <c r="O19" s="19">
        <v>109.0</v>
      </c>
      <c r="P19" s="19">
        <v>100.0</v>
      </c>
      <c r="Q19" s="19">
        <v>102.0</v>
      </c>
      <c r="R19" s="19">
        <v>103.0</v>
      </c>
      <c r="S19" s="19">
        <v>103.0</v>
      </c>
      <c r="T19" s="19">
        <v>90.0</v>
      </c>
      <c r="U19" s="19">
        <v>92.0</v>
      </c>
      <c r="V19" s="19">
        <v>117.0</v>
      </c>
      <c r="W19" s="13">
        <f t="shared" ref="W19:W30" si="3">SUM(E19:V19)</f>
        <v>1911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101.0</v>
      </c>
      <c r="G20" s="19">
        <v>112.0</v>
      </c>
      <c r="H20" s="19">
        <v>119.0</v>
      </c>
      <c r="I20" s="19">
        <v>118.0</v>
      </c>
      <c r="J20" s="19">
        <v>110.0</v>
      </c>
      <c r="K20" s="19">
        <v>124.0</v>
      </c>
      <c r="L20" s="19">
        <v>120.0</v>
      </c>
      <c r="M20" s="19">
        <v>116.0</v>
      </c>
      <c r="N20" s="19">
        <v>114.0</v>
      </c>
      <c r="O20" s="19">
        <v>120.0</v>
      </c>
      <c r="P20" s="19">
        <v>124.0</v>
      </c>
      <c r="Q20" s="19">
        <v>107.0</v>
      </c>
      <c r="R20" s="19">
        <v>106.0</v>
      </c>
      <c r="S20" s="19">
        <v>113.0</v>
      </c>
      <c r="T20" s="19">
        <v>104.0</v>
      </c>
      <c r="U20" s="19">
        <v>111.0</v>
      </c>
      <c r="V20" s="19">
        <v>104.0</v>
      </c>
      <c r="W20" s="13">
        <f t="shared" si="3"/>
        <v>2032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220</v>
      </c>
      <c r="F21" s="13">
        <f t="shared" si="4"/>
        <v>209</v>
      </c>
      <c r="G21" s="13">
        <f t="shared" si="4"/>
        <v>218</v>
      </c>
      <c r="H21" s="13">
        <f t="shared" si="4"/>
        <v>228</v>
      </c>
      <c r="I21" s="13">
        <f t="shared" si="4"/>
        <v>230</v>
      </c>
      <c r="J21" s="13">
        <f t="shared" si="4"/>
        <v>227</v>
      </c>
      <c r="K21" s="13">
        <f t="shared" si="4"/>
        <v>236</v>
      </c>
      <c r="L21" s="13">
        <f t="shared" si="4"/>
        <v>228</v>
      </c>
      <c r="M21" s="13">
        <f t="shared" si="4"/>
        <v>224</v>
      </c>
      <c r="N21" s="13">
        <f t="shared" si="4"/>
        <v>218</v>
      </c>
      <c r="O21" s="13">
        <f t="shared" si="4"/>
        <v>229</v>
      </c>
      <c r="P21" s="13">
        <f t="shared" si="4"/>
        <v>224</v>
      </c>
      <c r="Q21" s="13">
        <f t="shared" si="4"/>
        <v>209</v>
      </c>
      <c r="R21" s="13">
        <f t="shared" si="4"/>
        <v>209</v>
      </c>
      <c r="S21" s="13">
        <f t="shared" si="4"/>
        <v>216</v>
      </c>
      <c r="T21" s="13">
        <f t="shared" si="4"/>
        <v>194</v>
      </c>
      <c r="U21" s="13">
        <f t="shared" si="4"/>
        <v>203</v>
      </c>
      <c r="V21" s="13">
        <f t="shared" si="4"/>
        <v>221</v>
      </c>
      <c r="W21" s="13">
        <f t="shared" si="3"/>
        <v>3943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1.0</v>
      </c>
      <c r="H25" s="19">
        <v>2.0</v>
      </c>
      <c r="I25" s="19">
        <v>0.0</v>
      </c>
      <c r="J25" s="19">
        <v>4.0</v>
      </c>
      <c r="K25" s="19">
        <v>1.0</v>
      </c>
      <c r="L25" s="19">
        <v>1.0</v>
      </c>
      <c r="M25" s="19">
        <v>1.0</v>
      </c>
      <c r="N25" s="19">
        <v>0.0</v>
      </c>
      <c r="O25" s="19">
        <v>0.0</v>
      </c>
      <c r="P25" s="19">
        <v>1.0</v>
      </c>
      <c r="Q25" s="19">
        <v>2.0</v>
      </c>
      <c r="R25" s="19">
        <v>3.0</v>
      </c>
      <c r="S25" s="19">
        <v>1.0</v>
      </c>
      <c r="T25" s="19">
        <v>1.0</v>
      </c>
      <c r="U25" s="19">
        <v>0.0</v>
      </c>
      <c r="V25" s="19">
        <v>0.0</v>
      </c>
      <c r="W25" s="13">
        <f t="shared" si="3"/>
        <v>20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5.0</v>
      </c>
      <c r="H26" s="19">
        <v>0.0</v>
      </c>
      <c r="I26" s="19">
        <v>0.0</v>
      </c>
      <c r="J26" s="19">
        <v>2.0</v>
      </c>
      <c r="K26" s="19">
        <v>0.0</v>
      </c>
      <c r="L26" s="19">
        <v>1.0</v>
      </c>
      <c r="M26" s="19">
        <v>2.0</v>
      </c>
      <c r="N26" s="19">
        <v>0.0</v>
      </c>
      <c r="O26" s="19">
        <v>3.0</v>
      </c>
      <c r="P26" s="19">
        <v>1.0</v>
      </c>
      <c r="Q26" s="19">
        <v>1.0</v>
      </c>
      <c r="R26" s="19">
        <v>4.0</v>
      </c>
      <c r="S26" s="19">
        <v>0.0</v>
      </c>
      <c r="T26" s="19">
        <v>0.0</v>
      </c>
      <c r="U26" s="19">
        <v>1.0</v>
      </c>
      <c r="V26" s="19">
        <v>2.0</v>
      </c>
      <c r="W26" s="13">
        <f t="shared" si="3"/>
        <v>23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1</v>
      </c>
      <c r="F27" s="13">
        <f t="shared" si="6"/>
        <v>2</v>
      </c>
      <c r="G27" s="13">
        <f t="shared" si="6"/>
        <v>6</v>
      </c>
      <c r="H27" s="13">
        <f t="shared" si="6"/>
        <v>2</v>
      </c>
      <c r="I27" s="13">
        <f t="shared" si="6"/>
        <v>0</v>
      </c>
      <c r="J27" s="13">
        <f t="shared" si="6"/>
        <v>6</v>
      </c>
      <c r="K27" s="13">
        <f t="shared" si="6"/>
        <v>1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3</v>
      </c>
      <c r="P27" s="13">
        <f t="shared" si="6"/>
        <v>2</v>
      </c>
      <c r="Q27" s="13">
        <f t="shared" si="6"/>
        <v>3</v>
      </c>
      <c r="R27" s="13">
        <f t="shared" si="6"/>
        <v>7</v>
      </c>
      <c r="S27" s="13">
        <f t="shared" si="6"/>
        <v>1</v>
      </c>
      <c r="T27" s="13">
        <f t="shared" si="6"/>
        <v>1</v>
      </c>
      <c r="U27" s="13">
        <f t="shared" si="6"/>
        <v>1</v>
      </c>
      <c r="V27" s="13">
        <f t="shared" si="6"/>
        <v>2</v>
      </c>
      <c r="W27" s="13">
        <f t="shared" si="3"/>
        <v>43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112</v>
      </c>
      <c r="F28" s="13">
        <f t="shared" si="7"/>
        <v>109</v>
      </c>
      <c r="G28" s="13">
        <f t="shared" si="7"/>
        <v>107</v>
      </c>
      <c r="H28" s="13">
        <f t="shared" si="7"/>
        <v>111</v>
      </c>
      <c r="I28" s="13">
        <f t="shared" si="7"/>
        <v>112</v>
      </c>
      <c r="J28" s="13">
        <f t="shared" si="7"/>
        <v>121</v>
      </c>
      <c r="K28" s="13">
        <f t="shared" si="7"/>
        <v>113</v>
      </c>
      <c r="L28" s="13">
        <f t="shared" si="7"/>
        <v>109</v>
      </c>
      <c r="M28" s="13">
        <f t="shared" si="7"/>
        <v>109</v>
      </c>
      <c r="N28" s="13">
        <f t="shared" si="7"/>
        <v>104</v>
      </c>
      <c r="O28" s="13">
        <f t="shared" si="7"/>
        <v>109</v>
      </c>
      <c r="P28" s="13">
        <f t="shared" si="7"/>
        <v>101</v>
      </c>
      <c r="Q28" s="13">
        <f t="shared" si="7"/>
        <v>104</v>
      </c>
      <c r="R28" s="13">
        <f t="shared" si="7"/>
        <v>106</v>
      </c>
      <c r="S28" s="13">
        <f t="shared" si="7"/>
        <v>104</v>
      </c>
      <c r="T28" s="13">
        <f t="shared" si="7"/>
        <v>91</v>
      </c>
      <c r="U28" s="13">
        <f t="shared" si="7"/>
        <v>92</v>
      </c>
      <c r="V28" s="13">
        <f t="shared" si="7"/>
        <v>117</v>
      </c>
      <c r="W28" s="13">
        <f t="shared" si="3"/>
        <v>1931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109</v>
      </c>
      <c r="F29" s="13">
        <f t="shared" si="8"/>
        <v>102</v>
      </c>
      <c r="G29" s="13">
        <f t="shared" si="8"/>
        <v>117</v>
      </c>
      <c r="H29" s="13">
        <f t="shared" si="8"/>
        <v>119</v>
      </c>
      <c r="I29" s="13">
        <f t="shared" si="8"/>
        <v>118</v>
      </c>
      <c r="J29" s="13">
        <f t="shared" si="8"/>
        <v>112</v>
      </c>
      <c r="K29" s="13">
        <f t="shared" si="8"/>
        <v>124</v>
      </c>
      <c r="L29" s="13">
        <f t="shared" si="8"/>
        <v>121</v>
      </c>
      <c r="M29" s="13">
        <f t="shared" si="8"/>
        <v>119</v>
      </c>
      <c r="N29" s="13">
        <f t="shared" si="8"/>
        <v>114</v>
      </c>
      <c r="O29" s="13">
        <f t="shared" si="8"/>
        <v>123</v>
      </c>
      <c r="P29" s="13">
        <f t="shared" si="8"/>
        <v>125</v>
      </c>
      <c r="Q29" s="13">
        <f t="shared" si="8"/>
        <v>108</v>
      </c>
      <c r="R29" s="13">
        <f t="shared" si="8"/>
        <v>110</v>
      </c>
      <c r="S29" s="13">
        <f t="shared" si="8"/>
        <v>113</v>
      </c>
      <c r="T29" s="13">
        <f t="shared" si="8"/>
        <v>104</v>
      </c>
      <c r="U29" s="13">
        <f t="shared" si="8"/>
        <v>112</v>
      </c>
      <c r="V29" s="13">
        <f t="shared" si="8"/>
        <v>106</v>
      </c>
      <c r="W29" s="13">
        <f t="shared" si="3"/>
        <v>2056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221</v>
      </c>
      <c r="F30" s="13">
        <f t="shared" si="9"/>
        <v>211</v>
      </c>
      <c r="G30" s="13">
        <f t="shared" si="9"/>
        <v>224</v>
      </c>
      <c r="H30" s="13">
        <f t="shared" si="9"/>
        <v>230</v>
      </c>
      <c r="I30" s="13">
        <f t="shared" si="9"/>
        <v>230</v>
      </c>
      <c r="J30" s="13">
        <f t="shared" si="9"/>
        <v>233</v>
      </c>
      <c r="K30" s="13">
        <f t="shared" si="9"/>
        <v>237</v>
      </c>
      <c r="L30" s="13">
        <f t="shared" si="9"/>
        <v>230</v>
      </c>
      <c r="M30" s="13">
        <f t="shared" si="9"/>
        <v>228</v>
      </c>
      <c r="N30" s="13">
        <f t="shared" si="9"/>
        <v>218</v>
      </c>
      <c r="O30" s="13">
        <f t="shared" si="9"/>
        <v>232</v>
      </c>
      <c r="P30" s="13">
        <f t="shared" si="9"/>
        <v>226</v>
      </c>
      <c r="Q30" s="13">
        <f t="shared" si="9"/>
        <v>212</v>
      </c>
      <c r="R30" s="13">
        <f t="shared" si="9"/>
        <v>216</v>
      </c>
      <c r="S30" s="13">
        <f t="shared" si="9"/>
        <v>217</v>
      </c>
      <c r="T30" s="13">
        <f t="shared" si="9"/>
        <v>195</v>
      </c>
      <c r="U30" s="13">
        <f t="shared" si="9"/>
        <v>204</v>
      </c>
      <c r="V30" s="13">
        <f t="shared" si="9"/>
        <v>223</v>
      </c>
      <c r="W30" s="13">
        <f t="shared" si="3"/>
        <v>3987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59"/>
    </row>
    <row r="33" ht="12.75" customHeight="1">
      <c r="A33" s="19">
        <v>1.0</v>
      </c>
      <c r="B33" s="20" t="s">
        <v>27</v>
      </c>
      <c r="C33" s="15"/>
      <c r="D33" s="16"/>
      <c r="E33" s="19">
        <v>288.0</v>
      </c>
      <c r="F33" s="19">
        <v>283.0</v>
      </c>
      <c r="G33" s="19">
        <v>282.0</v>
      </c>
      <c r="H33" s="19">
        <v>292.0</v>
      </c>
      <c r="I33" s="19">
        <v>288.0</v>
      </c>
      <c r="J33" s="19">
        <v>309.0</v>
      </c>
      <c r="K33" s="19">
        <v>279.0</v>
      </c>
      <c r="L33" s="19">
        <v>294.0</v>
      </c>
      <c r="M33" s="19">
        <v>284.0</v>
      </c>
      <c r="N33" s="19">
        <v>289.0</v>
      </c>
      <c r="O33" s="19">
        <v>284.0</v>
      </c>
      <c r="P33" s="19">
        <v>288.0</v>
      </c>
      <c r="Q33" s="19">
        <v>279.0</v>
      </c>
      <c r="R33" s="19">
        <v>275.0</v>
      </c>
      <c r="S33" s="19">
        <v>287.0</v>
      </c>
      <c r="T33" s="19">
        <v>288.0</v>
      </c>
      <c r="U33" s="19">
        <v>287.0</v>
      </c>
      <c r="V33" s="19">
        <v>284.0</v>
      </c>
      <c r="W33" s="13">
        <f t="shared" ref="W33:W36" si="10">SUM(E33:V33)</f>
        <v>5160</v>
      </c>
    </row>
    <row r="34" ht="12.75" customHeight="1">
      <c r="A34" s="19">
        <v>2.0</v>
      </c>
      <c r="B34" s="20" t="s">
        <v>28</v>
      </c>
      <c r="C34" s="15"/>
      <c r="D34" s="16"/>
      <c r="E34" s="13">
        <v>221.0</v>
      </c>
      <c r="F34" s="13">
        <v>211.0</v>
      </c>
      <c r="G34" s="13">
        <v>224.0</v>
      </c>
      <c r="H34" s="13">
        <v>230.0</v>
      </c>
      <c r="I34" s="13">
        <v>230.0</v>
      </c>
      <c r="J34" s="13">
        <v>233.0</v>
      </c>
      <c r="K34" s="13">
        <v>237.0</v>
      </c>
      <c r="L34" s="13">
        <v>231.0</v>
      </c>
      <c r="M34" s="13">
        <v>227.0</v>
      </c>
      <c r="N34" s="13">
        <v>218.0</v>
      </c>
      <c r="O34" s="13">
        <v>232.0</v>
      </c>
      <c r="P34" s="13">
        <v>226.0</v>
      </c>
      <c r="Q34" s="13">
        <v>212.0</v>
      </c>
      <c r="R34" s="13">
        <v>216.0</v>
      </c>
      <c r="S34" s="13">
        <v>217.0</v>
      </c>
      <c r="T34" s="13">
        <v>195.0</v>
      </c>
      <c r="U34" s="13">
        <v>204.0</v>
      </c>
      <c r="V34" s="13">
        <v>223.0</v>
      </c>
      <c r="W34" s="13">
        <f t="shared" si="10"/>
        <v>3987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66</v>
      </c>
      <c r="F36" s="13">
        <f t="shared" si="11"/>
        <v>72</v>
      </c>
      <c r="G36" s="13">
        <f t="shared" si="11"/>
        <v>58</v>
      </c>
      <c r="H36" s="13">
        <f t="shared" si="11"/>
        <v>62</v>
      </c>
      <c r="I36" s="13">
        <f t="shared" si="11"/>
        <v>58</v>
      </c>
      <c r="J36" s="13">
        <f t="shared" si="11"/>
        <v>75</v>
      </c>
      <c r="K36" s="13">
        <f t="shared" si="11"/>
        <v>42</v>
      </c>
      <c r="L36" s="13">
        <f t="shared" si="11"/>
        <v>63</v>
      </c>
      <c r="M36" s="13">
        <f t="shared" si="11"/>
        <v>57</v>
      </c>
      <c r="N36" s="13">
        <f t="shared" si="11"/>
        <v>70</v>
      </c>
      <c r="O36" s="13">
        <f t="shared" si="11"/>
        <v>52</v>
      </c>
      <c r="P36" s="13">
        <f t="shared" si="11"/>
        <v>62</v>
      </c>
      <c r="Q36" s="13">
        <f t="shared" si="11"/>
        <v>67</v>
      </c>
      <c r="R36" s="13">
        <f t="shared" si="11"/>
        <v>59</v>
      </c>
      <c r="S36" s="13">
        <f t="shared" si="11"/>
        <v>70</v>
      </c>
      <c r="T36" s="13">
        <f t="shared" si="11"/>
        <v>93</v>
      </c>
      <c r="U36" s="13">
        <f t="shared" si="11"/>
        <v>83</v>
      </c>
      <c r="V36" s="13">
        <f t="shared" si="11"/>
        <v>61</v>
      </c>
      <c r="W36" s="13">
        <f t="shared" si="10"/>
        <v>1170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3">
        <f t="shared" ref="W39:W41" si="12">SUM(E39:V39)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3"/>
    </row>
    <row r="45" ht="12.75" customHeight="1">
      <c r="A45" s="30"/>
      <c r="B45" s="47" t="s">
        <v>17</v>
      </c>
      <c r="C45" s="48" t="s">
        <v>37</v>
      </c>
      <c r="D45" s="16"/>
      <c r="E45" s="19">
        <v>13.0</v>
      </c>
      <c r="F45" s="19">
        <v>8.0</v>
      </c>
      <c r="G45" s="19">
        <v>6.0</v>
      </c>
      <c r="H45" s="19">
        <v>13.0</v>
      </c>
      <c r="I45" s="19">
        <v>9.0</v>
      </c>
      <c r="J45" s="19">
        <v>10.0</v>
      </c>
      <c r="K45" s="19">
        <v>13.0</v>
      </c>
      <c r="L45" s="19">
        <v>20.0</v>
      </c>
      <c r="M45" s="19">
        <v>9.0</v>
      </c>
      <c r="N45" s="19">
        <v>7.0</v>
      </c>
      <c r="O45" s="19">
        <v>10.0</v>
      </c>
      <c r="P45" s="19">
        <v>5.0</v>
      </c>
      <c r="Q45" s="19">
        <v>8.0</v>
      </c>
      <c r="R45" s="19">
        <v>13.0</v>
      </c>
      <c r="S45" s="19">
        <v>21.0</v>
      </c>
      <c r="T45" s="19">
        <v>15.0</v>
      </c>
      <c r="U45" s="19">
        <v>11.0</v>
      </c>
      <c r="V45" s="19">
        <v>19.0</v>
      </c>
      <c r="W45" s="13">
        <f t="shared" ref="W45:W57" si="14">SUM(E45:V45)</f>
        <v>210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39.0</v>
      </c>
      <c r="F46" s="19">
        <v>16.0</v>
      </c>
      <c r="G46" s="19">
        <v>39.0</v>
      </c>
      <c r="H46" s="19">
        <v>24.0</v>
      </c>
      <c r="I46" s="19">
        <v>45.0</v>
      </c>
      <c r="J46" s="19">
        <v>46.0</v>
      </c>
      <c r="K46" s="19">
        <v>47.0</v>
      </c>
      <c r="L46" s="19">
        <v>25.0</v>
      </c>
      <c r="M46" s="19">
        <v>36.0</v>
      </c>
      <c r="N46" s="19">
        <v>43.0</v>
      </c>
      <c r="O46" s="19">
        <v>29.0</v>
      </c>
      <c r="P46" s="19">
        <v>14.0</v>
      </c>
      <c r="Q46" s="19">
        <v>26.0</v>
      </c>
      <c r="R46" s="19">
        <v>29.0</v>
      </c>
      <c r="S46" s="19">
        <v>26.0</v>
      </c>
      <c r="T46" s="19">
        <v>29.0</v>
      </c>
      <c r="U46" s="19">
        <v>25.0</v>
      </c>
      <c r="V46" s="19">
        <v>24.0</v>
      </c>
      <c r="W46" s="13">
        <f t="shared" si="14"/>
        <v>562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13.0</v>
      </c>
      <c r="F47" s="19">
        <v>20.0</v>
      </c>
      <c r="G47" s="19">
        <v>9.0</v>
      </c>
      <c r="H47" s="19">
        <v>20.0</v>
      </c>
      <c r="I47" s="19">
        <v>18.0</v>
      </c>
      <c r="J47" s="19">
        <v>14.0</v>
      </c>
      <c r="K47" s="19">
        <v>10.0</v>
      </c>
      <c r="L47" s="19">
        <v>12.0</v>
      </c>
      <c r="M47" s="19">
        <v>11.0</v>
      </c>
      <c r="N47" s="19">
        <v>12.0</v>
      </c>
      <c r="O47" s="19">
        <v>16.0</v>
      </c>
      <c r="P47" s="19">
        <v>14.0</v>
      </c>
      <c r="Q47" s="19">
        <v>7.0</v>
      </c>
      <c r="R47" s="19">
        <v>4.0</v>
      </c>
      <c r="S47" s="19">
        <v>7.0</v>
      </c>
      <c r="T47" s="19">
        <v>10.0</v>
      </c>
      <c r="U47" s="19">
        <v>11.0</v>
      </c>
      <c r="V47" s="19">
        <v>12.0</v>
      </c>
      <c r="W47" s="13">
        <f t="shared" si="14"/>
        <v>220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22.0</v>
      </c>
      <c r="F48" s="19">
        <v>25.0</v>
      </c>
      <c r="G48" s="19">
        <v>34.0</v>
      </c>
      <c r="H48" s="19">
        <v>30.0</v>
      </c>
      <c r="I48" s="19">
        <v>23.0</v>
      </c>
      <c r="J48" s="19">
        <v>32.0</v>
      </c>
      <c r="K48" s="19">
        <v>21.0</v>
      </c>
      <c r="L48" s="19">
        <v>29.0</v>
      </c>
      <c r="M48" s="19">
        <v>19.0</v>
      </c>
      <c r="N48" s="19">
        <v>13.0</v>
      </c>
      <c r="O48" s="19">
        <v>26.0</v>
      </c>
      <c r="P48" s="19">
        <v>24.0</v>
      </c>
      <c r="Q48" s="19">
        <v>21.0</v>
      </c>
      <c r="R48" s="19">
        <v>23.0</v>
      </c>
      <c r="S48" s="19">
        <v>22.0</v>
      </c>
      <c r="T48" s="19">
        <v>17.0</v>
      </c>
      <c r="U48" s="19">
        <v>25.0</v>
      </c>
      <c r="V48" s="19">
        <v>35.0</v>
      </c>
      <c r="W48" s="13">
        <f t="shared" si="14"/>
        <v>441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9.0</v>
      </c>
      <c r="F49" s="19">
        <v>22.0</v>
      </c>
      <c r="G49" s="19">
        <v>16.0</v>
      </c>
      <c r="H49" s="19">
        <v>21.0</v>
      </c>
      <c r="I49" s="19">
        <v>16.0</v>
      </c>
      <c r="J49" s="19">
        <v>14.0</v>
      </c>
      <c r="K49" s="19">
        <v>22.0</v>
      </c>
      <c r="L49" s="19">
        <v>21.0</v>
      </c>
      <c r="M49" s="19">
        <v>15.0</v>
      </c>
      <c r="N49" s="19">
        <v>16.0</v>
      </c>
      <c r="O49" s="19">
        <v>25.0</v>
      </c>
      <c r="P49" s="19">
        <v>19.0</v>
      </c>
      <c r="Q49" s="19">
        <v>21.0</v>
      </c>
      <c r="R49" s="19">
        <v>18.0</v>
      </c>
      <c r="S49" s="19">
        <v>20.0</v>
      </c>
      <c r="T49" s="19">
        <v>14.0</v>
      </c>
      <c r="U49" s="19">
        <v>11.0</v>
      </c>
      <c r="V49" s="19">
        <v>18.0</v>
      </c>
      <c r="W49" s="13">
        <f t="shared" si="14"/>
        <v>318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10.0</v>
      </c>
      <c r="F50" s="19">
        <v>5.0</v>
      </c>
      <c r="G50" s="19">
        <v>8.0</v>
      </c>
      <c r="H50" s="19">
        <v>8.0</v>
      </c>
      <c r="I50" s="19">
        <v>12.0</v>
      </c>
      <c r="J50" s="19">
        <v>11.0</v>
      </c>
      <c r="K50" s="19">
        <v>7.0</v>
      </c>
      <c r="L50" s="19">
        <v>14.0</v>
      </c>
      <c r="M50" s="19">
        <v>11.0</v>
      </c>
      <c r="N50" s="19">
        <v>11.0</v>
      </c>
      <c r="O50" s="19">
        <v>7.0</v>
      </c>
      <c r="P50" s="19">
        <v>11.0</v>
      </c>
      <c r="Q50" s="19">
        <v>10.0</v>
      </c>
      <c r="R50" s="19">
        <v>12.0</v>
      </c>
      <c r="S50" s="19">
        <v>7.0</v>
      </c>
      <c r="T50" s="19">
        <v>17.0</v>
      </c>
      <c r="U50" s="19">
        <v>10.0</v>
      </c>
      <c r="V50" s="19">
        <v>7.0</v>
      </c>
      <c r="W50" s="13">
        <f t="shared" si="14"/>
        <v>178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11.0</v>
      </c>
      <c r="F51" s="19">
        <v>7.0</v>
      </c>
      <c r="G51" s="19">
        <v>3.0</v>
      </c>
      <c r="H51" s="19">
        <v>2.0</v>
      </c>
      <c r="I51" s="19">
        <v>0.0</v>
      </c>
      <c r="J51" s="19">
        <v>1.0</v>
      </c>
      <c r="K51" s="19">
        <v>8.0</v>
      </c>
      <c r="L51" s="19">
        <v>1.0</v>
      </c>
      <c r="M51" s="19">
        <v>3.0</v>
      </c>
      <c r="N51" s="19">
        <v>6.0</v>
      </c>
      <c r="O51" s="19">
        <v>3.0</v>
      </c>
      <c r="P51" s="19">
        <v>0.0</v>
      </c>
      <c r="Q51" s="19">
        <v>1.0</v>
      </c>
      <c r="R51" s="19">
        <v>3.0</v>
      </c>
      <c r="S51" s="19">
        <v>3.0</v>
      </c>
      <c r="T51" s="19">
        <v>2.0</v>
      </c>
      <c r="U51" s="19">
        <v>1.0</v>
      </c>
      <c r="V51" s="19">
        <v>5.0</v>
      </c>
      <c r="W51" s="13">
        <f t="shared" si="14"/>
        <v>60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9.0</v>
      </c>
      <c r="F52" s="19">
        <v>5.0</v>
      </c>
      <c r="G52" s="19">
        <v>9.0</v>
      </c>
      <c r="H52" s="19">
        <v>8.0</v>
      </c>
      <c r="I52" s="19">
        <v>4.0</v>
      </c>
      <c r="J52" s="19">
        <v>2.0</v>
      </c>
      <c r="K52" s="19">
        <v>2.0</v>
      </c>
      <c r="L52" s="19">
        <v>7.0</v>
      </c>
      <c r="M52" s="19">
        <v>6.0</v>
      </c>
      <c r="N52" s="19">
        <v>5.0</v>
      </c>
      <c r="O52" s="19">
        <v>10.0</v>
      </c>
      <c r="P52" s="19">
        <v>3.0</v>
      </c>
      <c r="Q52" s="19">
        <v>5.0</v>
      </c>
      <c r="R52" s="19">
        <v>2.0</v>
      </c>
      <c r="S52" s="19">
        <v>6.0</v>
      </c>
      <c r="T52" s="19">
        <v>5.0</v>
      </c>
      <c r="U52" s="19">
        <v>4.0</v>
      </c>
      <c r="V52" s="19">
        <v>4.0</v>
      </c>
      <c r="W52" s="13">
        <f t="shared" si="14"/>
        <v>96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0.0</v>
      </c>
      <c r="H53" s="19">
        <v>1.0</v>
      </c>
      <c r="I53" s="19">
        <v>0.0</v>
      </c>
      <c r="J53" s="19">
        <v>2.0</v>
      </c>
      <c r="K53" s="19">
        <v>0.0</v>
      </c>
      <c r="L53" s="19">
        <v>1.0</v>
      </c>
      <c r="M53" s="19">
        <v>1.0</v>
      </c>
      <c r="N53" s="19">
        <v>0.0</v>
      </c>
      <c r="O53" s="19">
        <v>0.0</v>
      </c>
      <c r="P53" s="19">
        <v>0.0</v>
      </c>
      <c r="Q53" s="19">
        <v>1.0</v>
      </c>
      <c r="R53" s="19">
        <v>0.0</v>
      </c>
      <c r="S53" s="19">
        <v>0.0</v>
      </c>
      <c r="T53" s="19">
        <v>1.0</v>
      </c>
      <c r="U53" s="19">
        <v>0.0</v>
      </c>
      <c r="V53" s="19">
        <v>1.0</v>
      </c>
      <c r="W53" s="13">
        <f t="shared" si="14"/>
        <v>8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29.0</v>
      </c>
      <c r="F54" s="19">
        <v>36.0</v>
      </c>
      <c r="G54" s="19">
        <v>23.0</v>
      </c>
      <c r="H54" s="19">
        <v>29.0</v>
      </c>
      <c r="I54" s="19">
        <v>40.0</v>
      </c>
      <c r="J54" s="19">
        <v>34.0</v>
      </c>
      <c r="K54" s="19">
        <v>41.0</v>
      </c>
      <c r="L54" s="19">
        <v>33.0</v>
      </c>
      <c r="M54" s="19">
        <v>22.0</v>
      </c>
      <c r="N54" s="19">
        <v>32.0</v>
      </c>
      <c r="O54" s="19">
        <v>22.0</v>
      </c>
      <c r="P54" s="19">
        <v>25.0</v>
      </c>
      <c r="Q54" s="19">
        <v>29.0</v>
      </c>
      <c r="R54" s="19">
        <v>16.0</v>
      </c>
      <c r="S54" s="19">
        <v>12.0</v>
      </c>
      <c r="T54" s="19">
        <v>23.0</v>
      </c>
      <c r="U54" s="19">
        <v>23.0</v>
      </c>
      <c r="V54" s="19">
        <v>19.0</v>
      </c>
      <c r="W54" s="13">
        <f t="shared" si="14"/>
        <v>488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3.0</v>
      </c>
      <c r="G55" s="19">
        <v>2.0</v>
      </c>
      <c r="H55" s="19">
        <v>2.0</v>
      </c>
      <c r="I55" s="19">
        <v>0.0</v>
      </c>
      <c r="J55" s="19">
        <v>1.0</v>
      </c>
      <c r="K55" s="19">
        <v>2.0</v>
      </c>
      <c r="L55" s="19">
        <v>2.0</v>
      </c>
      <c r="M55" s="19">
        <v>0.0</v>
      </c>
      <c r="N55" s="19">
        <v>0.0</v>
      </c>
      <c r="O55" s="19">
        <v>2.0</v>
      </c>
      <c r="P55" s="19">
        <v>2.0</v>
      </c>
      <c r="Q55" s="19">
        <v>2.0</v>
      </c>
      <c r="R55" s="19">
        <v>3.0</v>
      </c>
      <c r="S55" s="19">
        <v>3.0</v>
      </c>
      <c r="T55" s="19">
        <v>1.0</v>
      </c>
      <c r="U55" s="19">
        <v>1.0</v>
      </c>
      <c r="V55" s="19">
        <v>0.0</v>
      </c>
      <c r="W55" s="13">
        <f t="shared" si="14"/>
        <v>26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27.0</v>
      </c>
      <c r="F56" s="19">
        <v>32.0</v>
      </c>
      <c r="G56" s="19">
        <v>32.0</v>
      </c>
      <c r="H56" s="19">
        <v>30.0</v>
      </c>
      <c r="I56" s="19">
        <v>30.0</v>
      </c>
      <c r="J56" s="19">
        <v>30.0</v>
      </c>
      <c r="K56" s="19">
        <v>35.0</v>
      </c>
      <c r="L56" s="19">
        <v>20.0</v>
      </c>
      <c r="M56" s="19">
        <v>31.0</v>
      </c>
      <c r="N56" s="19">
        <v>19.0</v>
      </c>
      <c r="O56" s="19">
        <v>15.0</v>
      </c>
      <c r="P56" s="19">
        <v>23.0</v>
      </c>
      <c r="Q56" s="19">
        <v>22.0</v>
      </c>
      <c r="R56" s="19">
        <v>18.0</v>
      </c>
      <c r="S56" s="19">
        <v>20.0</v>
      </c>
      <c r="T56" s="19">
        <v>16.0</v>
      </c>
      <c r="U56" s="19">
        <v>20.0</v>
      </c>
      <c r="V56" s="19">
        <v>24.0</v>
      </c>
      <c r="W56" s="13">
        <f t="shared" si="14"/>
        <v>444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4.0</v>
      </c>
      <c r="G57" s="19">
        <v>1.0</v>
      </c>
      <c r="H57" s="19">
        <v>3.0</v>
      </c>
      <c r="I57" s="19">
        <v>4.0</v>
      </c>
      <c r="J57" s="19">
        <v>5.0</v>
      </c>
      <c r="K57" s="19">
        <v>2.0</v>
      </c>
      <c r="L57" s="19">
        <v>3.0</v>
      </c>
      <c r="M57" s="19">
        <v>5.0</v>
      </c>
      <c r="N57" s="19">
        <v>0.0</v>
      </c>
      <c r="O57" s="19">
        <v>2.0</v>
      </c>
      <c r="P57" s="19">
        <v>1.0</v>
      </c>
      <c r="Q57" s="19">
        <v>0.0</v>
      </c>
      <c r="R57" s="19">
        <v>3.0</v>
      </c>
      <c r="S57" s="19">
        <v>1.0</v>
      </c>
      <c r="T57" s="19">
        <v>0.0</v>
      </c>
      <c r="U57" s="19">
        <v>3.0</v>
      </c>
      <c r="V57" s="19">
        <v>4.0</v>
      </c>
      <c r="W57" s="13">
        <f t="shared" si="14"/>
        <v>43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V60" si="15">SUM(E45:E57)</f>
        <v>184</v>
      </c>
      <c r="F60" s="19">
        <f t="shared" si="15"/>
        <v>183</v>
      </c>
      <c r="G60" s="19">
        <f t="shared" si="15"/>
        <v>182</v>
      </c>
      <c r="H60" s="19">
        <f t="shared" si="15"/>
        <v>191</v>
      </c>
      <c r="I60" s="19">
        <f t="shared" si="15"/>
        <v>201</v>
      </c>
      <c r="J60" s="19">
        <f t="shared" si="15"/>
        <v>202</v>
      </c>
      <c r="K60" s="19">
        <f t="shared" si="15"/>
        <v>210</v>
      </c>
      <c r="L60" s="19">
        <f t="shared" si="15"/>
        <v>188</v>
      </c>
      <c r="M60" s="19">
        <f t="shared" si="15"/>
        <v>169</v>
      </c>
      <c r="N60" s="19">
        <f t="shared" si="15"/>
        <v>164</v>
      </c>
      <c r="O60" s="19">
        <f t="shared" si="15"/>
        <v>167</v>
      </c>
      <c r="P60" s="19">
        <f t="shared" si="15"/>
        <v>141</v>
      </c>
      <c r="Q60" s="19">
        <f t="shared" si="15"/>
        <v>153</v>
      </c>
      <c r="R60" s="19">
        <f t="shared" si="15"/>
        <v>144</v>
      </c>
      <c r="S60" s="19">
        <f t="shared" si="15"/>
        <v>148</v>
      </c>
      <c r="T60" s="19">
        <f t="shared" si="15"/>
        <v>150</v>
      </c>
      <c r="U60" s="19">
        <f t="shared" si="15"/>
        <v>145</v>
      </c>
      <c r="V60" s="19">
        <f t="shared" si="15"/>
        <v>172</v>
      </c>
      <c r="W60" s="13">
        <f t="shared" ref="W60:W62" si="16">SUM(E60:V60)</f>
        <v>3094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37.0</v>
      </c>
      <c r="F61" s="19">
        <v>28.0</v>
      </c>
      <c r="G61" s="19">
        <v>42.0</v>
      </c>
      <c r="H61" s="19">
        <v>39.0</v>
      </c>
      <c r="I61" s="19">
        <v>26.0</v>
      </c>
      <c r="J61" s="19">
        <v>29.0</v>
      </c>
      <c r="K61" s="19">
        <v>29.0</v>
      </c>
      <c r="L61" s="19">
        <v>44.0</v>
      </c>
      <c r="M61" s="19">
        <v>58.0</v>
      </c>
      <c r="N61" s="19">
        <v>54.0</v>
      </c>
      <c r="O61" s="19">
        <v>67.0</v>
      </c>
      <c r="P61" s="19">
        <v>85.0</v>
      </c>
      <c r="Q61" s="19">
        <v>59.0</v>
      </c>
      <c r="R61" s="19">
        <v>72.0</v>
      </c>
      <c r="S61" s="19">
        <v>69.0</v>
      </c>
      <c r="T61" s="19">
        <v>45.0</v>
      </c>
      <c r="U61" s="19">
        <v>59.0</v>
      </c>
      <c r="V61" s="19">
        <v>51.0</v>
      </c>
      <c r="W61" s="13">
        <f t="shared" si="16"/>
        <v>893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V62" si="17">SUM(E60:E61)</f>
        <v>221</v>
      </c>
      <c r="F62" s="13">
        <f t="shared" si="17"/>
        <v>211</v>
      </c>
      <c r="G62" s="13">
        <f t="shared" si="17"/>
        <v>224</v>
      </c>
      <c r="H62" s="13">
        <f t="shared" si="17"/>
        <v>230</v>
      </c>
      <c r="I62" s="13">
        <f t="shared" si="17"/>
        <v>227</v>
      </c>
      <c r="J62" s="13">
        <f t="shared" si="17"/>
        <v>231</v>
      </c>
      <c r="K62" s="13">
        <f t="shared" si="17"/>
        <v>239</v>
      </c>
      <c r="L62" s="13">
        <f t="shared" si="17"/>
        <v>232</v>
      </c>
      <c r="M62" s="13">
        <f t="shared" si="17"/>
        <v>227</v>
      </c>
      <c r="N62" s="13">
        <f t="shared" si="17"/>
        <v>218</v>
      </c>
      <c r="O62" s="13">
        <f t="shared" si="17"/>
        <v>234</v>
      </c>
      <c r="P62" s="13">
        <f t="shared" si="17"/>
        <v>226</v>
      </c>
      <c r="Q62" s="13">
        <f t="shared" si="17"/>
        <v>212</v>
      </c>
      <c r="R62" s="13">
        <f t="shared" si="17"/>
        <v>216</v>
      </c>
      <c r="S62" s="13">
        <f t="shared" si="17"/>
        <v>217</v>
      </c>
      <c r="T62" s="13">
        <f t="shared" si="17"/>
        <v>195</v>
      </c>
      <c r="U62" s="13">
        <f t="shared" si="17"/>
        <v>204</v>
      </c>
      <c r="V62" s="13">
        <f t="shared" si="17"/>
        <v>223</v>
      </c>
      <c r="W62" s="13">
        <f t="shared" si="16"/>
        <v>3987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V15 E45:V57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">
    <cfRule type="containsBlanks" dxfId="1" priority="4">
      <formula>LEN(TRIM(E22))=0</formula>
    </cfRule>
  </conditionalFormatting>
  <conditionalFormatting sqref="E30:V30">
    <cfRule type="expression" dxfId="0" priority="5">
      <formula>E30&lt;&gt;E46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60:V61">
    <cfRule type="containsBlanks" dxfId="1" priority="10">
      <formula>LEN(TRIM(E60))=0</formula>
    </cfRule>
  </conditionalFormatting>
  <conditionalFormatting sqref="U34:V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121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136.0</v>
      </c>
      <c r="G14" s="19">
        <v>136.0</v>
      </c>
      <c r="H14" s="19">
        <v>135.0</v>
      </c>
      <c r="I14" s="19">
        <v>138.0</v>
      </c>
      <c r="J14" s="19">
        <v>134.0</v>
      </c>
      <c r="K14" s="19">
        <v>124.0</v>
      </c>
      <c r="L14" s="19">
        <v>141.0</v>
      </c>
      <c r="M14" s="19">
        <v>137.0</v>
      </c>
      <c r="N14" s="19">
        <v>149.0</v>
      </c>
      <c r="O14" s="19">
        <v>125.0</v>
      </c>
      <c r="P14" s="19">
        <v>137.0</v>
      </c>
      <c r="Q14" s="19">
        <v>134.0</v>
      </c>
      <c r="R14" s="19">
        <v>129.0</v>
      </c>
      <c r="S14" s="19">
        <v>134.0</v>
      </c>
      <c r="T14" s="19">
        <v>147.0</v>
      </c>
      <c r="U14" s="19">
        <v>119.0</v>
      </c>
      <c r="V14" s="19">
        <v>144.0</v>
      </c>
      <c r="W14" s="19">
        <v>123.0</v>
      </c>
      <c r="X14" s="19">
        <v>142.0</v>
      </c>
      <c r="Y14" s="19">
        <v>136.0</v>
      </c>
      <c r="Z14" s="19">
        <v>132.0</v>
      </c>
      <c r="AA14" s="19">
        <v>129.0</v>
      </c>
      <c r="AB14" s="19">
        <v>143.0</v>
      </c>
      <c r="AC14" s="13">
        <f t="shared" ref="AC14:AC16" si="1">SUM(E14:AB14)</f>
        <v>3244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141.0</v>
      </c>
      <c r="G15" s="19">
        <v>137.0</v>
      </c>
      <c r="H15" s="19">
        <v>141.0</v>
      </c>
      <c r="I15" s="19">
        <v>140.0</v>
      </c>
      <c r="J15" s="19">
        <v>138.0</v>
      </c>
      <c r="K15" s="19">
        <v>147.0</v>
      </c>
      <c r="L15" s="19">
        <v>137.0</v>
      </c>
      <c r="M15" s="19">
        <v>127.0</v>
      </c>
      <c r="N15" s="19">
        <v>136.0</v>
      </c>
      <c r="O15" s="19">
        <v>141.0</v>
      </c>
      <c r="P15" s="19">
        <v>140.0</v>
      </c>
      <c r="Q15" s="19">
        <v>130.0</v>
      </c>
      <c r="R15" s="19">
        <v>129.0</v>
      </c>
      <c r="S15" s="19">
        <v>149.0</v>
      </c>
      <c r="T15" s="19">
        <v>148.0</v>
      </c>
      <c r="U15" s="19">
        <v>121.0</v>
      </c>
      <c r="V15" s="19">
        <v>137.0</v>
      </c>
      <c r="W15" s="19">
        <v>141.0</v>
      </c>
      <c r="X15" s="19">
        <v>127.0</v>
      </c>
      <c r="Y15" s="19">
        <v>139.0</v>
      </c>
      <c r="Z15" s="19">
        <v>139.0</v>
      </c>
      <c r="AA15" s="19">
        <v>138.0</v>
      </c>
      <c r="AB15" s="19">
        <v>131.0</v>
      </c>
      <c r="AC15" s="13">
        <f t="shared" si="1"/>
        <v>3292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278</v>
      </c>
      <c r="F16" s="13">
        <f t="shared" si="2"/>
        <v>277</v>
      </c>
      <c r="G16" s="13">
        <f t="shared" si="2"/>
        <v>273</v>
      </c>
      <c r="H16" s="13">
        <f t="shared" si="2"/>
        <v>276</v>
      </c>
      <c r="I16" s="13">
        <f t="shared" si="2"/>
        <v>278</v>
      </c>
      <c r="J16" s="13">
        <f t="shared" si="2"/>
        <v>272</v>
      </c>
      <c r="K16" s="13">
        <f t="shared" si="2"/>
        <v>271</v>
      </c>
      <c r="L16" s="13">
        <f t="shared" si="2"/>
        <v>278</v>
      </c>
      <c r="M16" s="13">
        <f t="shared" si="2"/>
        <v>264</v>
      </c>
      <c r="N16" s="13">
        <f t="shared" si="2"/>
        <v>285</v>
      </c>
      <c r="O16" s="13">
        <f t="shared" si="2"/>
        <v>266</v>
      </c>
      <c r="P16" s="13">
        <f t="shared" si="2"/>
        <v>277</v>
      </c>
      <c r="Q16" s="13">
        <f t="shared" si="2"/>
        <v>264</v>
      </c>
      <c r="R16" s="13">
        <f t="shared" si="2"/>
        <v>258</v>
      </c>
      <c r="S16" s="13">
        <f t="shared" si="2"/>
        <v>283</v>
      </c>
      <c r="T16" s="13">
        <f t="shared" si="2"/>
        <v>295</v>
      </c>
      <c r="U16" s="13">
        <f t="shared" si="2"/>
        <v>240</v>
      </c>
      <c r="V16" s="13">
        <f t="shared" si="2"/>
        <v>281</v>
      </c>
      <c r="W16" s="13">
        <f t="shared" si="2"/>
        <v>264</v>
      </c>
      <c r="X16" s="13">
        <f t="shared" si="2"/>
        <v>269</v>
      </c>
      <c r="Y16" s="13">
        <f t="shared" si="2"/>
        <v>275</v>
      </c>
      <c r="Z16" s="13">
        <f t="shared" si="2"/>
        <v>271</v>
      </c>
      <c r="AA16" s="13">
        <f t="shared" si="2"/>
        <v>267</v>
      </c>
      <c r="AB16" s="13">
        <f t="shared" si="2"/>
        <v>274</v>
      </c>
      <c r="AC16" s="13">
        <f t="shared" si="1"/>
        <v>6536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19"/>
      <c r="U17" s="19"/>
      <c r="V17" s="58"/>
      <c r="W17" s="58"/>
      <c r="X17" s="58"/>
      <c r="Y17" s="58"/>
      <c r="Z17" s="58"/>
      <c r="AA17" s="58"/>
      <c r="AB17" s="58"/>
      <c r="AC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19"/>
      <c r="U18" s="19"/>
      <c r="V18" s="58"/>
      <c r="W18" s="58"/>
      <c r="X18" s="58"/>
      <c r="Y18" s="58"/>
      <c r="Z18" s="58"/>
      <c r="AA18" s="58"/>
      <c r="AB18" s="58"/>
      <c r="AC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93.0</v>
      </c>
      <c r="F19" s="19">
        <v>111.0</v>
      </c>
      <c r="G19" s="19">
        <v>103.0</v>
      </c>
      <c r="H19" s="19">
        <v>99.0</v>
      </c>
      <c r="I19" s="19">
        <v>98.0</v>
      </c>
      <c r="J19" s="19">
        <v>99.0</v>
      </c>
      <c r="K19" s="19">
        <v>78.0</v>
      </c>
      <c r="L19" s="19">
        <v>95.0</v>
      </c>
      <c r="M19" s="19">
        <v>106.0</v>
      </c>
      <c r="N19" s="19">
        <v>114.0</v>
      </c>
      <c r="O19" s="19">
        <v>100.0</v>
      </c>
      <c r="P19" s="19">
        <v>115.0</v>
      </c>
      <c r="Q19" s="19">
        <v>106.0</v>
      </c>
      <c r="R19" s="19">
        <v>107.0</v>
      </c>
      <c r="S19" s="19">
        <v>106.0</v>
      </c>
      <c r="T19" s="19">
        <v>106.0</v>
      </c>
      <c r="U19" s="19">
        <v>90.0</v>
      </c>
      <c r="V19" s="19">
        <v>99.0</v>
      </c>
      <c r="W19" s="19">
        <v>88.0</v>
      </c>
      <c r="X19" s="19">
        <v>103.0</v>
      </c>
      <c r="Y19" s="19">
        <v>97.0</v>
      </c>
      <c r="Z19" s="19">
        <v>94.0</v>
      </c>
      <c r="AA19" s="19">
        <v>92.0</v>
      </c>
      <c r="AB19" s="19">
        <v>114.0</v>
      </c>
      <c r="AC19" s="13">
        <f t="shared" ref="AC19:AC30" si="3">SUM(E19:AB19)</f>
        <v>2413</v>
      </c>
    </row>
    <row r="20" ht="12.75" customHeight="1">
      <c r="A20" s="33"/>
      <c r="B20" s="27"/>
      <c r="C20" s="34"/>
      <c r="D20" s="19" t="s">
        <v>13</v>
      </c>
      <c r="E20" s="19">
        <v>104.0</v>
      </c>
      <c r="F20" s="19">
        <v>120.0</v>
      </c>
      <c r="G20" s="19">
        <v>98.0</v>
      </c>
      <c r="H20" s="19">
        <v>119.0</v>
      </c>
      <c r="I20" s="19">
        <v>108.0</v>
      </c>
      <c r="J20" s="19">
        <v>106.0</v>
      </c>
      <c r="K20" s="19">
        <v>109.0</v>
      </c>
      <c r="L20" s="19">
        <v>105.0</v>
      </c>
      <c r="M20" s="19">
        <v>100.0</v>
      </c>
      <c r="N20" s="19">
        <v>108.0</v>
      </c>
      <c r="O20" s="19">
        <v>119.0</v>
      </c>
      <c r="P20" s="19">
        <v>121.0</v>
      </c>
      <c r="Q20" s="19">
        <v>106.0</v>
      </c>
      <c r="R20" s="19">
        <v>112.0</v>
      </c>
      <c r="S20" s="19">
        <v>124.0</v>
      </c>
      <c r="T20" s="19">
        <v>132.0</v>
      </c>
      <c r="U20" s="19">
        <v>93.0</v>
      </c>
      <c r="V20" s="19">
        <v>109.0</v>
      </c>
      <c r="W20" s="19">
        <v>108.0</v>
      </c>
      <c r="X20" s="19">
        <v>105.0</v>
      </c>
      <c r="Y20" s="19">
        <v>116.0</v>
      </c>
      <c r="Z20" s="19">
        <v>109.0</v>
      </c>
      <c r="AA20" s="19">
        <v>101.0</v>
      </c>
      <c r="AB20" s="19">
        <v>113.0</v>
      </c>
      <c r="AC20" s="13">
        <f t="shared" si="3"/>
        <v>2645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197</v>
      </c>
      <c r="F21" s="13">
        <f t="shared" si="4"/>
        <v>231</v>
      </c>
      <c r="G21" s="13">
        <f t="shared" si="4"/>
        <v>201</v>
      </c>
      <c r="H21" s="13">
        <f t="shared" si="4"/>
        <v>218</v>
      </c>
      <c r="I21" s="13">
        <f t="shared" si="4"/>
        <v>206</v>
      </c>
      <c r="J21" s="13">
        <f t="shared" si="4"/>
        <v>205</v>
      </c>
      <c r="K21" s="13">
        <f t="shared" si="4"/>
        <v>187</v>
      </c>
      <c r="L21" s="13">
        <f t="shared" si="4"/>
        <v>200</v>
      </c>
      <c r="M21" s="13">
        <f t="shared" si="4"/>
        <v>206</v>
      </c>
      <c r="N21" s="13">
        <f t="shared" si="4"/>
        <v>222</v>
      </c>
      <c r="O21" s="13">
        <f t="shared" si="4"/>
        <v>219</v>
      </c>
      <c r="P21" s="13">
        <f t="shared" si="4"/>
        <v>236</v>
      </c>
      <c r="Q21" s="13">
        <f t="shared" si="4"/>
        <v>212</v>
      </c>
      <c r="R21" s="13">
        <f t="shared" si="4"/>
        <v>219</v>
      </c>
      <c r="S21" s="13">
        <f t="shared" si="4"/>
        <v>230</v>
      </c>
      <c r="T21" s="13">
        <f t="shared" si="4"/>
        <v>238</v>
      </c>
      <c r="U21" s="13">
        <f t="shared" si="4"/>
        <v>183</v>
      </c>
      <c r="V21" s="13">
        <f t="shared" si="4"/>
        <v>208</v>
      </c>
      <c r="W21" s="13">
        <f t="shared" si="4"/>
        <v>196</v>
      </c>
      <c r="X21" s="13">
        <f t="shared" si="4"/>
        <v>208</v>
      </c>
      <c r="Y21" s="13">
        <f t="shared" si="4"/>
        <v>213</v>
      </c>
      <c r="Z21" s="13">
        <f t="shared" si="4"/>
        <v>203</v>
      </c>
      <c r="AA21" s="13">
        <f t="shared" si="4"/>
        <v>193</v>
      </c>
      <c r="AB21" s="13">
        <f t="shared" si="4"/>
        <v>227</v>
      </c>
      <c r="AC21" s="13">
        <f t="shared" si="3"/>
        <v>5058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2.0</v>
      </c>
      <c r="U22" s="19">
        <v>1.0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2.0</v>
      </c>
      <c r="AC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1.0</v>
      </c>
      <c r="Y23" s="19">
        <v>0.0</v>
      </c>
      <c r="Z23" s="19">
        <v>0.0</v>
      </c>
      <c r="AA23" s="19">
        <v>0.0</v>
      </c>
      <c r="AB23" s="19">
        <v>1.0</v>
      </c>
      <c r="AC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1</v>
      </c>
      <c r="S24" s="13">
        <f t="shared" si="5"/>
        <v>0</v>
      </c>
      <c r="T24" s="13">
        <f t="shared" si="5"/>
        <v>3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3</v>
      </c>
      <c r="AC24" s="13">
        <f t="shared" si="3"/>
        <v>13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0.0</v>
      </c>
      <c r="J25" s="19">
        <v>2.0</v>
      </c>
      <c r="K25" s="19">
        <v>2.0</v>
      </c>
      <c r="L25" s="19">
        <v>0.0</v>
      </c>
      <c r="M25" s="19">
        <v>1.0</v>
      </c>
      <c r="N25" s="19">
        <v>0.0</v>
      </c>
      <c r="O25" s="19">
        <v>0.0</v>
      </c>
      <c r="P25" s="19">
        <v>1.0</v>
      </c>
      <c r="Q25" s="19">
        <v>1.0</v>
      </c>
      <c r="R25" s="19">
        <v>1.0</v>
      </c>
      <c r="S25" s="19">
        <v>0.0</v>
      </c>
      <c r="T25" s="19">
        <v>2.0</v>
      </c>
      <c r="U25" s="19">
        <v>1.0</v>
      </c>
      <c r="V25" s="19">
        <v>0.0</v>
      </c>
      <c r="W25" s="19">
        <v>4.0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2.0</v>
      </c>
      <c r="G26" s="19">
        <v>0.0</v>
      </c>
      <c r="H26" s="19">
        <v>0.0</v>
      </c>
      <c r="I26" s="19">
        <v>0.0</v>
      </c>
      <c r="J26" s="19">
        <v>2.0</v>
      </c>
      <c r="K26" s="19">
        <v>1.0</v>
      </c>
      <c r="L26" s="19">
        <v>4.0</v>
      </c>
      <c r="M26" s="19">
        <v>0.0</v>
      </c>
      <c r="N26" s="19">
        <v>0.0</v>
      </c>
      <c r="O26" s="19">
        <v>2.0</v>
      </c>
      <c r="P26" s="19">
        <v>1.0</v>
      </c>
      <c r="Q26" s="19">
        <v>1.0</v>
      </c>
      <c r="R26" s="19">
        <v>0.0</v>
      </c>
      <c r="S26" s="19">
        <v>3.0</v>
      </c>
      <c r="T26" s="19">
        <v>2.0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3">
        <f t="shared" si="3"/>
        <v>19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2</v>
      </c>
      <c r="F27" s="13">
        <f t="shared" si="6"/>
        <v>2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4</v>
      </c>
      <c r="K27" s="13">
        <f t="shared" si="6"/>
        <v>3</v>
      </c>
      <c r="L27" s="13">
        <f t="shared" si="6"/>
        <v>4</v>
      </c>
      <c r="M27" s="13">
        <f t="shared" si="6"/>
        <v>1</v>
      </c>
      <c r="N27" s="13">
        <f t="shared" si="6"/>
        <v>0</v>
      </c>
      <c r="O27" s="13">
        <f t="shared" si="6"/>
        <v>2</v>
      </c>
      <c r="P27" s="13">
        <f t="shared" si="6"/>
        <v>2</v>
      </c>
      <c r="Q27" s="13">
        <f t="shared" si="6"/>
        <v>2</v>
      </c>
      <c r="R27" s="13">
        <f t="shared" si="6"/>
        <v>1</v>
      </c>
      <c r="S27" s="13">
        <f t="shared" si="6"/>
        <v>3</v>
      </c>
      <c r="T27" s="13">
        <f t="shared" si="6"/>
        <v>4</v>
      </c>
      <c r="U27" s="13">
        <f t="shared" si="6"/>
        <v>1</v>
      </c>
      <c r="V27" s="13">
        <f t="shared" si="6"/>
        <v>0</v>
      </c>
      <c r="W27" s="13">
        <f t="shared" si="6"/>
        <v>4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3"/>
        <v>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7">SUM(E19,E22,E25)</f>
        <v>95</v>
      </c>
      <c r="F28" s="13">
        <f t="shared" si="7"/>
        <v>111</v>
      </c>
      <c r="G28" s="13">
        <f t="shared" si="7"/>
        <v>103</v>
      </c>
      <c r="H28" s="13">
        <f t="shared" si="7"/>
        <v>99</v>
      </c>
      <c r="I28" s="13">
        <f t="shared" si="7"/>
        <v>98</v>
      </c>
      <c r="J28" s="13">
        <f t="shared" si="7"/>
        <v>102</v>
      </c>
      <c r="K28" s="13">
        <f t="shared" si="7"/>
        <v>80</v>
      </c>
      <c r="L28" s="13">
        <f t="shared" si="7"/>
        <v>95</v>
      </c>
      <c r="M28" s="13">
        <f t="shared" si="7"/>
        <v>107</v>
      </c>
      <c r="N28" s="13">
        <f t="shared" si="7"/>
        <v>114</v>
      </c>
      <c r="O28" s="13">
        <f t="shared" si="7"/>
        <v>100</v>
      </c>
      <c r="P28" s="13">
        <f t="shared" si="7"/>
        <v>116</v>
      </c>
      <c r="Q28" s="13">
        <f t="shared" si="7"/>
        <v>108</v>
      </c>
      <c r="R28" s="13">
        <f t="shared" si="7"/>
        <v>108</v>
      </c>
      <c r="S28" s="13">
        <f t="shared" si="7"/>
        <v>106</v>
      </c>
      <c r="T28" s="13">
        <f t="shared" si="7"/>
        <v>110</v>
      </c>
      <c r="U28" s="13">
        <f t="shared" si="7"/>
        <v>92</v>
      </c>
      <c r="V28" s="13">
        <f t="shared" si="7"/>
        <v>99</v>
      </c>
      <c r="W28" s="13">
        <f t="shared" si="7"/>
        <v>92</v>
      </c>
      <c r="X28" s="13">
        <f t="shared" si="7"/>
        <v>103</v>
      </c>
      <c r="Y28" s="13">
        <f t="shared" si="7"/>
        <v>97</v>
      </c>
      <c r="Z28" s="13">
        <f t="shared" si="7"/>
        <v>94</v>
      </c>
      <c r="AA28" s="13">
        <f t="shared" si="7"/>
        <v>92</v>
      </c>
      <c r="AB28" s="13">
        <f t="shared" si="7"/>
        <v>116</v>
      </c>
      <c r="AC28" s="13">
        <f t="shared" si="3"/>
        <v>2437</v>
      </c>
    </row>
    <row r="29" ht="12.75" customHeight="1">
      <c r="A29" s="35"/>
      <c r="B29" s="27"/>
      <c r="C29" s="34"/>
      <c r="D29" s="13" t="s">
        <v>13</v>
      </c>
      <c r="E29" s="13">
        <f t="shared" ref="E29:AB29" si="8">SUM(E20,E23,E26)</f>
        <v>105</v>
      </c>
      <c r="F29" s="13">
        <f t="shared" si="8"/>
        <v>122</v>
      </c>
      <c r="G29" s="13">
        <f t="shared" si="8"/>
        <v>98</v>
      </c>
      <c r="H29" s="13">
        <f t="shared" si="8"/>
        <v>119</v>
      </c>
      <c r="I29" s="13">
        <f t="shared" si="8"/>
        <v>108</v>
      </c>
      <c r="J29" s="13">
        <f t="shared" si="8"/>
        <v>108</v>
      </c>
      <c r="K29" s="13">
        <f t="shared" si="8"/>
        <v>111</v>
      </c>
      <c r="L29" s="13">
        <f t="shared" si="8"/>
        <v>109</v>
      </c>
      <c r="M29" s="13">
        <f t="shared" si="8"/>
        <v>100</v>
      </c>
      <c r="N29" s="13">
        <f t="shared" si="8"/>
        <v>108</v>
      </c>
      <c r="O29" s="13">
        <f t="shared" si="8"/>
        <v>121</v>
      </c>
      <c r="P29" s="13">
        <f t="shared" si="8"/>
        <v>122</v>
      </c>
      <c r="Q29" s="13">
        <f t="shared" si="8"/>
        <v>107</v>
      </c>
      <c r="R29" s="13">
        <f t="shared" si="8"/>
        <v>113</v>
      </c>
      <c r="S29" s="13">
        <f t="shared" si="8"/>
        <v>127</v>
      </c>
      <c r="T29" s="13">
        <f t="shared" si="8"/>
        <v>135</v>
      </c>
      <c r="U29" s="13">
        <f t="shared" si="8"/>
        <v>93</v>
      </c>
      <c r="V29" s="13">
        <f t="shared" si="8"/>
        <v>109</v>
      </c>
      <c r="W29" s="13">
        <f t="shared" si="8"/>
        <v>108</v>
      </c>
      <c r="X29" s="13">
        <f t="shared" si="8"/>
        <v>106</v>
      </c>
      <c r="Y29" s="13">
        <f t="shared" si="8"/>
        <v>116</v>
      </c>
      <c r="Z29" s="13">
        <f t="shared" si="8"/>
        <v>109</v>
      </c>
      <c r="AA29" s="13">
        <f t="shared" si="8"/>
        <v>101</v>
      </c>
      <c r="AB29" s="13">
        <f t="shared" si="8"/>
        <v>114</v>
      </c>
      <c r="AC29" s="13">
        <f t="shared" si="3"/>
        <v>2669</v>
      </c>
    </row>
    <row r="30" ht="12.75" customHeight="1">
      <c r="A30" s="35"/>
      <c r="B30" s="28"/>
      <c r="C30" s="36"/>
      <c r="D30" s="13" t="s">
        <v>14</v>
      </c>
      <c r="E30" s="13">
        <f t="shared" ref="E30:AB30" si="9">SUM(E28:E29)</f>
        <v>200</v>
      </c>
      <c r="F30" s="13">
        <f t="shared" si="9"/>
        <v>233</v>
      </c>
      <c r="G30" s="13">
        <f t="shared" si="9"/>
        <v>201</v>
      </c>
      <c r="H30" s="13">
        <f t="shared" si="9"/>
        <v>218</v>
      </c>
      <c r="I30" s="13">
        <f t="shared" si="9"/>
        <v>206</v>
      </c>
      <c r="J30" s="13">
        <f t="shared" si="9"/>
        <v>210</v>
      </c>
      <c r="K30" s="13">
        <f t="shared" si="9"/>
        <v>191</v>
      </c>
      <c r="L30" s="13">
        <f t="shared" si="9"/>
        <v>204</v>
      </c>
      <c r="M30" s="13">
        <f t="shared" si="9"/>
        <v>207</v>
      </c>
      <c r="N30" s="13">
        <f t="shared" si="9"/>
        <v>222</v>
      </c>
      <c r="O30" s="13">
        <f t="shared" si="9"/>
        <v>221</v>
      </c>
      <c r="P30" s="13">
        <f t="shared" si="9"/>
        <v>238</v>
      </c>
      <c r="Q30" s="13">
        <f t="shared" si="9"/>
        <v>215</v>
      </c>
      <c r="R30" s="13">
        <f t="shared" si="9"/>
        <v>221</v>
      </c>
      <c r="S30" s="13">
        <f t="shared" si="9"/>
        <v>233</v>
      </c>
      <c r="T30" s="13">
        <f t="shared" si="9"/>
        <v>245</v>
      </c>
      <c r="U30" s="13">
        <f t="shared" si="9"/>
        <v>185</v>
      </c>
      <c r="V30" s="13">
        <f t="shared" si="9"/>
        <v>208</v>
      </c>
      <c r="W30" s="13">
        <f t="shared" si="9"/>
        <v>200</v>
      </c>
      <c r="X30" s="13">
        <f t="shared" si="9"/>
        <v>209</v>
      </c>
      <c r="Y30" s="13">
        <f t="shared" si="9"/>
        <v>213</v>
      </c>
      <c r="Z30" s="13">
        <f t="shared" si="9"/>
        <v>203</v>
      </c>
      <c r="AA30" s="13">
        <f t="shared" si="9"/>
        <v>193</v>
      </c>
      <c r="AB30" s="13">
        <f t="shared" si="9"/>
        <v>230</v>
      </c>
      <c r="AC30" s="13">
        <f t="shared" si="3"/>
        <v>5106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19"/>
      <c r="U31" s="19"/>
      <c r="V31" s="58"/>
      <c r="W31" s="58"/>
      <c r="X31" s="58"/>
      <c r="Y31" s="58"/>
      <c r="Z31" s="58"/>
      <c r="AA31" s="58"/>
      <c r="AB31" s="58"/>
      <c r="AC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13"/>
      <c r="U32" s="13"/>
      <c r="V32" s="60"/>
      <c r="W32" s="60"/>
      <c r="X32" s="60"/>
      <c r="Y32" s="60"/>
      <c r="Z32" s="60"/>
      <c r="AA32" s="60"/>
      <c r="AB32" s="60"/>
      <c r="AC32" s="59"/>
    </row>
    <row r="33" ht="12.75" customHeight="1">
      <c r="A33" s="19">
        <v>1.0</v>
      </c>
      <c r="B33" s="20" t="s">
        <v>27</v>
      </c>
      <c r="C33" s="15"/>
      <c r="D33" s="16"/>
      <c r="E33" s="19">
        <v>284.0</v>
      </c>
      <c r="F33" s="19">
        <v>283.0</v>
      </c>
      <c r="G33" s="19">
        <v>279.0</v>
      </c>
      <c r="H33" s="19">
        <v>282.0</v>
      </c>
      <c r="I33" s="19">
        <v>284.0</v>
      </c>
      <c r="J33" s="19">
        <v>278.0</v>
      </c>
      <c r="K33" s="19">
        <v>277.0</v>
      </c>
      <c r="L33" s="19">
        <v>284.0</v>
      </c>
      <c r="M33" s="19">
        <v>270.0</v>
      </c>
      <c r="N33" s="19">
        <v>281.0</v>
      </c>
      <c r="O33" s="19">
        <v>272.0</v>
      </c>
      <c r="P33" s="19">
        <v>282.0</v>
      </c>
      <c r="Q33" s="19">
        <v>271.0</v>
      </c>
      <c r="R33" s="19">
        <v>264.0</v>
      </c>
      <c r="S33" s="19">
        <v>289.0</v>
      </c>
      <c r="T33" s="19">
        <v>302.0</v>
      </c>
      <c r="U33" s="19">
        <v>245.0</v>
      </c>
      <c r="V33" s="19">
        <v>287.0</v>
      </c>
      <c r="W33" s="19">
        <v>270.0</v>
      </c>
      <c r="X33" s="19">
        <v>275.0</v>
      </c>
      <c r="Y33" s="19">
        <v>281.0</v>
      </c>
      <c r="Z33" s="19">
        <v>278.0</v>
      </c>
      <c r="AA33" s="19">
        <v>273.0</v>
      </c>
      <c r="AB33" s="19">
        <v>280.0</v>
      </c>
      <c r="AC33" s="13">
        <f t="shared" ref="AC33:AC36" si="10">SUM(E33:AB33)</f>
        <v>6671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233.0</v>
      </c>
      <c r="G34" s="13">
        <v>201.0</v>
      </c>
      <c r="H34" s="13">
        <v>218.0</v>
      </c>
      <c r="I34" s="13">
        <v>206.0</v>
      </c>
      <c r="J34" s="13">
        <v>210.0</v>
      </c>
      <c r="K34" s="13">
        <v>191.0</v>
      </c>
      <c r="L34" s="13">
        <v>204.0</v>
      </c>
      <c r="M34" s="13">
        <v>207.0</v>
      </c>
      <c r="N34" s="13">
        <v>214.0</v>
      </c>
      <c r="O34" s="13">
        <v>235.0</v>
      </c>
      <c r="P34" s="13">
        <v>223.0</v>
      </c>
      <c r="Q34" s="13">
        <v>224.0</v>
      </c>
      <c r="R34" s="13">
        <v>220.0</v>
      </c>
      <c r="S34" s="13">
        <v>234.0</v>
      </c>
      <c r="T34" s="13">
        <v>245.0</v>
      </c>
      <c r="U34" s="13">
        <v>185.0</v>
      </c>
      <c r="V34" s="13">
        <v>208.0</v>
      </c>
      <c r="W34" s="13">
        <v>200.0</v>
      </c>
      <c r="X34" s="13">
        <v>209.0</v>
      </c>
      <c r="Y34" s="13">
        <v>213.0</v>
      </c>
      <c r="Z34" s="13">
        <v>203.0</v>
      </c>
      <c r="AA34" s="13">
        <v>193.0</v>
      </c>
      <c r="AB34" s="13">
        <v>230.0</v>
      </c>
      <c r="AC34" s="13">
        <f t="shared" si="10"/>
        <v>5106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84</v>
      </c>
      <c r="F36" s="13">
        <f t="shared" si="11"/>
        <v>50</v>
      </c>
      <c r="G36" s="13">
        <f t="shared" si="11"/>
        <v>78</v>
      </c>
      <c r="H36" s="13">
        <f t="shared" si="11"/>
        <v>64</v>
      </c>
      <c r="I36" s="13">
        <f t="shared" si="11"/>
        <v>78</v>
      </c>
      <c r="J36" s="13">
        <f t="shared" si="11"/>
        <v>67</v>
      </c>
      <c r="K36" s="13">
        <f t="shared" si="11"/>
        <v>86</v>
      </c>
      <c r="L36" s="13">
        <f t="shared" si="11"/>
        <v>80</v>
      </c>
      <c r="M36" s="13">
        <f t="shared" si="11"/>
        <v>63</v>
      </c>
      <c r="N36" s="13">
        <f t="shared" si="11"/>
        <v>66</v>
      </c>
      <c r="O36" s="13">
        <f t="shared" si="11"/>
        <v>37</v>
      </c>
      <c r="P36" s="13">
        <f t="shared" si="11"/>
        <v>59</v>
      </c>
      <c r="Q36" s="13">
        <f t="shared" si="11"/>
        <v>47</v>
      </c>
      <c r="R36" s="13">
        <f t="shared" si="11"/>
        <v>44</v>
      </c>
      <c r="S36" s="13">
        <f t="shared" si="11"/>
        <v>55</v>
      </c>
      <c r="T36" s="13">
        <f t="shared" si="11"/>
        <v>57</v>
      </c>
      <c r="U36" s="13">
        <f t="shared" si="11"/>
        <v>60</v>
      </c>
      <c r="V36" s="13">
        <f t="shared" si="11"/>
        <v>79</v>
      </c>
      <c r="W36" s="13">
        <f t="shared" si="11"/>
        <v>70</v>
      </c>
      <c r="X36" s="13">
        <f t="shared" si="11"/>
        <v>66</v>
      </c>
      <c r="Y36" s="13">
        <f t="shared" si="11"/>
        <v>68</v>
      </c>
      <c r="Z36" s="13">
        <f t="shared" si="11"/>
        <v>75</v>
      </c>
      <c r="AA36" s="13">
        <f t="shared" si="11"/>
        <v>80</v>
      </c>
      <c r="AB36" s="13">
        <f t="shared" si="11"/>
        <v>50</v>
      </c>
      <c r="AC36" s="13">
        <f t="shared" si="10"/>
        <v>1563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19"/>
      <c r="U37" s="19"/>
      <c r="V37" s="58"/>
      <c r="W37" s="61"/>
      <c r="X37" s="61"/>
      <c r="Y37" s="61"/>
      <c r="Z37" s="61"/>
      <c r="AA37" s="61"/>
      <c r="AB37" s="61"/>
      <c r="AC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13"/>
      <c r="U38" s="13"/>
      <c r="V38" s="60"/>
      <c r="W38" s="60"/>
      <c r="X38" s="60"/>
      <c r="Y38" s="60"/>
      <c r="Z38" s="60"/>
      <c r="AA38" s="60"/>
      <c r="AB38" s="60"/>
      <c r="AC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2.0</v>
      </c>
      <c r="Y39" s="19">
        <v>0.0</v>
      </c>
      <c r="Z39" s="19">
        <v>0.0</v>
      </c>
      <c r="AA39" s="19">
        <v>0.0</v>
      </c>
      <c r="AB39" s="19">
        <v>0.0</v>
      </c>
      <c r="AC39" s="13">
        <f t="shared" ref="AC39:AC41" si="12">SUM(E39:AB39)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1.0</v>
      </c>
      <c r="Y40" s="19">
        <v>0.0</v>
      </c>
      <c r="Z40" s="19">
        <v>0.0</v>
      </c>
      <c r="AA40" s="19">
        <v>0.0</v>
      </c>
      <c r="AB40" s="19">
        <v>1.0</v>
      </c>
      <c r="AC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1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3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1</v>
      </c>
      <c r="AC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19"/>
      <c r="U42" s="19"/>
      <c r="V42" s="58"/>
      <c r="W42" s="19"/>
      <c r="X42" s="58"/>
      <c r="Y42" s="19"/>
      <c r="Z42" s="58"/>
      <c r="AA42" s="19"/>
      <c r="AB42" s="58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  <c r="U43" s="13"/>
      <c r="V43" s="60"/>
      <c r="W43" s="13"/>
      <c r="X43" s="60"/>
      <c r="Y43" s="13"/>
      <c r="Z43" s="60"/>
      <c r="AA43" s="13"/>
      <c r="AB43" s="60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9"/>
      <c r="U44" s="19"/>
      <c r="V44" s="58"/>
      <c r="W44" s="19"/>
      <c r="X44" s="58"/>
      <c r="Y44" s="19"/>
      <c r="Z44" s="58"/>
      <c r="AA44" s="19"/>
      <c r="AB44" s="58"/>
      <c r="AC44" s="13"/>
    </row>
    <row r="45" ht="12.75" customHeight="1">
      <c r="A45" s="30"/>
      <c r="B45" s="47" t="s">
        <v>17</v>
      </c>
      <c r="C45" s="48" t="s">
        <v>37</v>
      </c>
      <c r="D45" s="16"/>
      <c r="E45" s="19">
        <v>4.0</v>
      </c>
      <c r="F45" s="19">
        <v>8.0</v>
      </c>
      <c r="G45" s="19">
        <v>8.0</v>
      </c>
      <c r="H45" s="19">
        <v>7.0</v>
      </c>
      <c r="I45" s="19">
        <v>15.0</v>
      </c>
      <c r="J45" s="19">
        <v>13.0</v>
      </c>
      <c r="K45" s="19">
        <v>6.0</v>
      </c>
      <c r="L45" s="19">
        <v>6.0</v>
      </c>
      <c r="M45" s="19">
        <v>20.0</v>
      </c>
      <c r="N45" s="19">
        <v>12.0</v>
      </c>
      <c r="O45" s="19">
        <v>9.0</v>
      </c>
      <c r="P45" s="19">
        <v>15.0</v>
      </c>
      <c r="Q45" s="19">
        <v>24.0</v>
      </c>
      <c r="R45" s="19">
        <v>18.0</v>
      </c>
      <c r="S45" s="19">
        <v>49.0</v>
      </c>
      <c r="T45" s="19">
        <v>41.0</v>
      </c>
      <c r="U45" s="19">
        <v>8.0</v>
      </c>
      <c r="V45" s="19">
        <v>5.0</v>
      </c>
      <c r="W45" s="19">
        <v>12.0</v>
      </c>
      <c r="X45" s="19">
        <v>17.0</v>
      </c>
      <c r="Y45" s="19">
        <v>16.0</v>
      </c>
      <c r="Z45" s="19">
        <v>14.0</v>
      </c>
      <c r="AA45" s="19">
        <v>11.0</v>
      </c>
      <c r="AB45" s="19">
        <v>13.0</v>
      </c>
      <c r="AC45" s="13">
        <f t="shared" ref="AC45:AC57" si="14">SUM(E45:AB45)</f>
        <v>351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28.0</v>
      </c>
      <c r="F46" s="19">
        <v>32.0</v>
      </c>
      <c r="G46" s="19">
        <v>24.0</v>
      </c>
      <c r="H46" s="19">
        <v>41.0</v>
      </c>
      <c r="I46" s="19">
        <v>32.0</v>
      </c>
      <c r="J46" s="19">
        <v>43.0</v>
      </c>
      <c r="K46" s="19">
        <v>27.0</v>
      </c>
      <c r="L46" s="19">
        <v>24.0</v>
      </c>
      <c r="M46" s="19">
        <v>29.0</v>
      </c>
      <c r="N46" s="19">
        <v>20.0</v>
      </c>
      <c r="O46" s="19">
        <v>22.0</v>
      </c>
      <c r="P46" s="19">
        <v>36.0</v>
      </c>
      <c r="Q46" s="19">
        <v>25.0</v>
      </c>
      <c r="R46" s="19">
        <v>44.0</v>
      </c>
      <c r="S46" s="19">
        <v>22.0</v>
      </c>
      <c r="T46" s="19">
        <v>29.0</v>
      </c>
      <c r="U46" s="19">
        <v>24.0</v>
      </c>
      <c r="V46" s="19">
        <v>40.0</v>
      </c>
      <c r="W46" s="19">
        <v>28.0</v>
      </c>
      <c r="X46" s="19">
        <v>23.0</v>
      </c>
      <c r="Y46" s="19">
        <v>30.0</v>
      </c>
      <c r="Z46" s="19">
        <v>33.0</v>
      </c>
      <c r="AA46" s="19">
        <v>42.0</v>
      </c>
      <c r="AB46" s="19">
        <v>32.0</v>
      </c>
      <c r="AC46" s="13">
        <f t="shared" si="14"/>
        <v>730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27.0</v>
      </c>
      <c r="F47" s="19">
        <v>15.0</v>
      </c>
      <c r="G47" s="19">
        <v>19.0</v>
      </c>
      <c r="H47" s="19">
        <v>11.0</v>
      </c>
      <c r="I47" s="19">
        <v>12.0</v>
      </c>
      <c r="J47" s="19">
        <v>20.0</v>
      </c>
      <c r="K47" s="19">
        <v>12.0</v>
      </c>
      <c r="L47" s="19">
        <v>17.0</v>
      </c>
      <c r="M47" s="19">
        <v>16.0</v>
      </c>
      <c r="N47" s="19">
        <v>28.0</v>
      </c>
      <c r="O47" s="19">
        <v>23.0</v>
      </c>
      <c r="P47" s="19">
        <v>8.0</v>
      </c>
      <c r="Q47" s="19">
        <v>14.0</v>
      </c>
      <c r="R47" s="19">
        <v>11.0</v>
      </c>
      <c r="S47" s="19">
        <v>16.0</v>
      </c>
      <c r="T47" s="19">
        <v>16.0</v>
      </c>
      <c r="U47" s="19">
        <v>7.0</v>
      </c>
      <c r="V47" s="19">
        <v>11.0</v>
      </c>
      <c r="W47" s="19">
        <v>10.0</v>
      </c>
      <c r="X47" s="19">
        <v>14.0</v>
      </c>
      <c r="Y47" s="19">
        <v>20.0</v>
      </c>
      <c r="Z47" s="19">
        <v>5.0</v>
      </c>
      <c r="AA47" s="19">
        <v>13.0</v>
      </c>
      <c r="AB47" s="19">
        <v>14.0</v>
      </c>
      <c r="AC47" s="13">
        <f t="shared" si="14"/>
        <v>359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19.0</v>
      </c>
      <c r="F48" s="19">
        <v>24.0</v>
      </c>
      <c r="G48" s="19">
        <v>25.0</v>
      </c>
      <c r="H48" s="19">
        <v>20.0</v>
      </c>
      <c r="I48" s="19">
        <v>31.0</v>
      </c>
      <c r="J48" s="19">
        <v>24.0</v>
      </c>
      <c r="K48" s="19">
        <v>29.0</v>
      </c>
      <c r="L48" s="19">
        <v>25.0</v>
      </c>
      <c r="M48" s="19">
        <v>17.0</v>
      </c>
      <c r="N48" s="19">
        <v>26.0</v>
      </c>
      <c r="O48" s="19">
        <v>33.0</v>
      </c>
      <c r="P48" s="19">
        <v>44.0</v>
      </c>
      <c r="Q48" s="19">
        <v>22.0</v>
      </c>
      <c r="R48" s="19">
        <v>18.0</v>
      </c>
      <c r="S48" s="19">
        <v>27.0</v>
      </c>
      <c r="T48" s="19">
        <v>24.0</v>
      </c>
      <c r="U48" s="19">
        <v>16.0</v>
      </c>
      <c r="V48" s="19">
        <v>15.0</v>
      </c>
      <c r="W48" s="19">
        <v>23.0</v>
      </c>
      <c r="X48" s="19">
        <v>28.0</v>
      </c>
      <c r="Y48" s="19">
        <v>22.0</v>
      </c>
      <c r="Z48" s="19">
        <v>19.0</v>
      </c>
      <c r="AA48" s="19">
        <v>10.0</v>
      </c>
      <c r="AB48" s="19">
        <v>20.0</v>
      </c>
      <c r="AC48" s="13">
        <f t="shared" si="14"/>
        <v>561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17.0</v>
      </c>
      <c r="F49" s="19">
        <v>13.0</v>
      </c>
      <c r="G49" s="19">
        <v>12.0</v>
      </c>
      <c r="H49" s="19">
        <v>21.0</v>
      </c>
      <c r="I49" s="19">
        <v>18.0</v>
      </c>
      <c r="J49" s="19">
        <v>17.0</v>
      </c>
      <c r="K49" s="19">
        <v>16.0</v>
      </c>
      <c r="L49" s="19">
        <v>29.0</v>
      </c>
      <c r="M49" s="19">
        <v>25.0</v>
      </c>
      <c r="N49" s="19">
        <v>16.0</v>
      </c>
      <c r="O49" s="19">
        <v>24.0</v>
      </c>
      <c r="P49" s="19">
        <v>17.0</v>
      </c>
      <c r="Q49" s="19">
        <v>13.0</v>
      </c>
      <c r="R49" s="19">
        <v>14.0</v>
      </c>
      <c r="S49" s="19">
        <v>16.0</v>
      </c>
      <c r="T49" s="19">
        <v>22.0</v>
      </c>
      <c r="U49" s="19">
        <v>11.0</v>
      </c>
      <c r="V49" s="19">
        <v>14.0</v>
      </c>
      <c r="W49" s="19">
        <v>14.0</v>
      </c>
      <c r="X49" s="19">
        <v>13.0</v>
      </c>
      <c r="Y49" s="19">
        <v>25.0</v>
      </c>
      <c r="Z49" s="19">
        <v>21.0</v>
      </c>
      <c r="AA49" s="19">
        <v>11.0</v>
      </c>
      <c r="AB49" s="19">
        <v>19.0</v>
      </c>
      <c r="AC49" s="13">
        <f t="shared" si="14"/>
        <v>418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9.0</v>
      </c>
      <c r="F50" s="19">
        <v>10.0</v>
      </c>
      <c r="G50" s="19">
        <v>15.0</v>
      </c>
      <c r="H50" s="19">
        <v>17.0</v>
      </c>
      <c r="I50" s="19">
        <v>6.0</v>
      </c>
      <c r="J50" s="19">
        <v>4.0</v>
      </c>
      <c r="K50" s="19">
        <v>11.0</v>
      </c>
      <c r="L50" s="19">
        <v>14.0</v>
      </c>
      <c r="M50" s="19">
        <v>13.0</v>
      </c>
      <c r="N50" s="19">
        <v>9.0</v>
      </c>
      <c r="O50" s="19">
        <v>16.0</v>
      </c>
      <c r="P50" s="19">
        <v>7.0</v>
      </c>
      <c r="Q50" s="19">
        <v>7.0</v>
      </c>
      <c r="R50" s="19">
        <v>14.0</v>
      </c>
      <c r="S50" s="19">
        <v>11.0</v>
      </c>
      <c r="T50" s="19">
        <v>17.0</v>
      </c>
      <c r="U50" s="19">
        <v>18.0</v>
      </c>
      <c r="V50" s="19">
        <v>8.0</v>
      </c>
      <c r="W50" s="19">
        <v>10.0</v>
      </c>
      <c r="X50" s="19">
        <v>9.0</v>
      </c>
      <c r="Y50" s="19">
        <v>10.0</v>
      </c>
      <c r="Z50" s="19">
        <v>9.0</v>
      </c>
      <c r="AA50" s="19">
        <v>7.0</v>
      </c>
      <c r="AB50" s="19">
        <v>18.0</v>
      </c>
      <c r="AC50" s="13">
        <f t="shared" si="14"/>
        <v>269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2.0</v>
      </c>
      <c r="G51" s="19">
        <v>4.0</v>
      </c>
      <c r="H51" s="19">
        <v>2.0</v>
      </c>
      <c r="I51" s="19">
        <v>1.0</v>
      </c>
      <c r="J51" s="19">
        <v>0.0</v>
      </c>
      <c r="K51" s="19">
        <v>1.0</v>
      </c>
      <c r="L51" s="19">
        <v>3.0</v>
      </c>
      <c r="M51" s="19">
        <v>6.0</v>
      </c>
      <c r="N51" s="19">
        <v>2.0</v>
      </c>
      <c r="O51" s="19">
        <v>1.0</v>
      </c>
      <c r="P51" s="19">
        <v>2.0</v>
      </c>
      <c r="Q51" s="19">
        <v>0.0</v>
      </c>
      <c r="R51" s="19">
        <v>2.0</v>
      </c>
      <c r="S51" s="19">
        <v>1.0</v>
      </c>
      <c r="T51" s="19">
        <v>0.0</v>
      </c>
      <c r="U51" s="19">
        <v>1.0</v>
      </c>
      <c r="V51" s="19">
        <v>3.0</v>
      </c>
      <c r="W51" s="19">
        <v>4.0</v>
      </c>
      <c r="X51" s="19">
        <v>2.0</v>
      </c>
      <c r="Y51" s="19">
        <v>4.0</v>
      </c>
      <c r="Z51" s="19">
        <v>6.0</v>
      </c>
      <c r="AA51" s="19">
        <v>0.0</v>
      </c>
      <c r="AB51" s="19">
        <v>5.0</v>
      </c>
      <c r="AC51" s="13">
        <f t="shared" si="14"/>
        <v>53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8.0</v>
      </c>
      <c r="F52" s="19">
        <v>4.0</v>
      </c>
      <c r="G52" s="19">
        <v>3.0</v>
      </c>
      <c r="H52" s="19">
        <v>6.0</v>
      </c>
      <c r="I52" s="19">
        <v>5.0</v>
      </c>
      <c r="J52" s="19">
        <v>3.0</v>
      </c>
      <c r="K52" s="19">
        <v>3.0</v>
      </c>
      <c r="L52" s="19">
        <v>5.0</v>
      </c>
      <c r="M52" s="19">
        <v>1.0</v>
      </c>
      <c r="N52" s="19">
        <v>5.0</v>
      </c>
      <c r="O52" s="19">
        <v>0.0</v>
      </c>
      <c r="P52" s="19">
        <v>4.0</v>
      </c>
      <c r="Q52" s="19">
        <v>4.0</v>
      </c>
      <c r="R52" s="19">
        <v>3.0</v>
      </c>
      <c r="S52" s="19">
        <v>3.0</v>
      </c>
      <c r="T52" s="19">
        <v>1.0</v>
      </c>
      <c r="U52" s="19">
        <v>0.0</v>
      </c>
      <c r="V52" s="19">
        <v>5.0</v>
      </c>
      <c r="W52" s="19">
        <v>3.0</v>
      </c>
      <c r="X52" s="19">
        <v>5.0</v>
      </c>
      <c r="Y52" s="19">
        <v>3.0</v>
      </c>
      <c r="Z52" s="19">
        <v>3.0</v>
      </c>
      <c r="AA52" s="19">
        <v>2.0</v>
      </c>
      <c r="AB52" s="19">
        <v>2.0</v>
      </c>
      <c r="AC52" s="13">
        <f t="shared" si="14"/>
        <v>81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2.0</v>
      </c>
      <c r="G53" s="19">
        <v>0.0</v>
      </c>
      <c r="H53" s="19">
        <v>3.0</v>
      </c>
      <c r="I53" s="19">
        <v>1.0</v>
      </c>
      <c r="J53" s="19">
        <v>1.0</v>
      </c>
      <c r="K53" s="19">
        <v>0.0</v>
      </c>
      <c r="L53" s="19">
        <v>0.0</v>
      </c>
      <c r="M53" s="19">
        <v>1.0</v>
      </c>
      <c r="N53" s="19">
        <v>2.0</v>
      </c>
      <c r="O53" s="19">
        <v>1.0</v>
      </c>
      <c r="P53" s="19">
        <v>1.0</v>
      </c>
      <c r="Q53" s="19">
        <v>0.0</v>
      </c>
      <c r="R53" s="19">
        <v>1.0</v>
      </c>
      <c r="S53" s="19">
        <v>0.0</v>
      </c>
      <c r="T53" s="19">
        <v>0.0</v>
      </c>
      <c r="U53" s="19">
        <v>0.0</v>
      </c>
      <c r="V53" s="19">
        <v>1.0</v>
      </c>
      <c r="W53" s="19">
        <v>2.0</v>
      </c>
      <c r="X53" s="19">
        <v>2.0</v>
      </c>
      <c r="Y53" s="19">
        <v>1.0</v>
      </c>
      <c r="Z53" s="19">
        <v>1.0</v>
      </c>
      <c r="AA53" s="19">
        <v>0.0</v>
      </c>
      <c r="AB53" s="19">
        <v>0.0</v>
      </c>
      <c r="AC53" s="13">
        <f t="shared" si="14"/>
        <v>21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15.0</v>
      </c>
      <c r="F54" s="19">
        <v>21.0</v>
      </c>
      <c r="G54" s="19">
        <v>14.0</v>
      </c>
      <c r="H54" s="19">
        <v>24.0</v>
      </c>
      <c r="I54" s="19">
        <v>18.0</v>
      </c>
      <c r="J54" s="19">
        <v>23.0</v>
      </c>
      <c r="K54" s="19">
        <v>28.0</v>
      </c>
      <c r="L54" s="19">
        <v>11.0</v>
      </c>
      <c r="M54" s="19">
        <v>21.0</v>
      </c>
      <c r="N54" s="19">
        <v>25.0</v>
      </c>
      <c r="O54" s="19">
        <v>20.0</v>
      </c>
      <c r="P54" s="19">
        <v>19.0</v>
      </c>
      <c r="Q54" s="19">
        <v>23.0</v>
      </c>
      <c r="R54" s="19">
        <v>30.0</v>
      </c>
      <c r="S54" s="19">
        <v>33.0</v>
      </c>
      <c r="T54" s="19">
        <v>36.0</v>
      </c>
      <c r="U54" s="19">
        <v>32.0</v>
      </c>
      <c r="V54" s="19">
        <v>30.0</v>
      </c>
      <c r="W54" s="19">
        <v>35.0</v>
      </c>
      <c r="X54" s="19">
        <v>38.0</v>
      </c>
      <c r="Y54" s="19">
        <v>17.0</v>
      </c>
      <c r="Z54" s="19">
        <v>31.0</v>
      </c>
      <c r="AA54" s="19">
        <v>28.0</v>
      </c>
      <c r="AB54" s="19">
        <v>39.0</v>
      </c>
      <c r="AC54" s="13">
        <f t="shared" si="14"/>
        <v>611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0.0</v>
      </c>
      <c r="G55" s="19">
        <v>0.0</v>
      </c>
      <c r="H55" s="19">
        <v>2.0</v>
      </c>
      <c r="I55" s="19">
        <v>1.0</v>
      </c>
      <c r="J55" s="19">
        <v>0.0</v>
      </c>
      <c r="K55" s="19">
        <v>1.0</v>
      </c>
      <c r="L55" s="19">
        <v>0.0</v>
      </c>
      <c r="M55" s="19">
        <v>0.0</v>
      </c>
      <c r="N55" s="19">
        <v>0.0</v>
      </c>
      <c r="O55" s="19">
        <v>1.0</v>
      </c>
      <c r="P55" s="19">
        <v>1.0</v>
      </c>
      <c r="Q55" s="19">
        <v>0.0</v>
      </c>
      <c r="R55" s="19">
        <v>0.0</v>
      </c>
      <c r="S55" s="19">
        <v>1.0</v>
      </c>
      <c r="T55" s="19">
        <v>0.0</v>
      </c>
      <c r="U55" s="19">
        <v>0.0</v>
      </c>
      <c r="V55" s="19">
        <v>1.0</v>
      </c>
      <c r="W55" s="19">
        <v>1.0</v>
      </c>
      <c r="X55" s="19">
        <v>0.0</v>
      </c>
      <c r="Y55" s="19">
        <v>2.0</v>
      </c>
      <c r="Z55" s="19">
        <v>0.0</v>
      </c>
      <c r="AA55" s="19">
        <v>0.0</v>
      </c>
      <c r="AB55" s="19">
        <v>0.0</v>
      </c>
      <c r="AC55" s="13">
        <f t="shared" si="14"/>
        <v>12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21.0</v>
      </c>
      <c r="F56" s="19">
        <v>11.0</v>
      </c>
      <c r="G56" s="19">
        <v>28.0</v>
      </c>
      <c r="H56" s="19">
        <v>26.0</v>
      </c>
      <c r="I56" s="19">
        <v>15.0</v>
      </c>
      <c r="J56" s="19">
        <v>14.0</v>
      </c>
      <c r="K56" s="19">
        <v>17.0</v>
      </c>
      <c r="L56" s="19">
        <v>24.0</v>
      </c>
      <c r="M56" s="19">
        <v>21.0</v>
      </c>
      <c r="N56" s="19">
        <v>22.0</v>
      </c>
      <c r="O56" s="19">
        <v>25.0</v>
      </c>
      <c r="P56" s="19">
        <v>30.0</v>
      </c>
      <c r="Q56" s="19">
        <v>31.0</v>
      </c>
      <c r="R56" s="19">
        <v>30.0</v>
      </c>
      <c r="S56" s="30">
        <v>26.0</v>
      </c>
      <c r="T56" s="19">
        <v>29.0</v>
      </c>
      <c r="U56" s="19">
        <v>23.0</v>
      </c>
      <c r="V56" s="19">
        <v>31.0</v>
      </c>
      <c r="W56" s="19">
        <v>35.0</v>
      </c>
      <c r="X56" s="19">
        <v>24.0</v>
      </c>
      <c r="Y56" s="19">
        <v>23.0</v>
      </c>
      <c r="Z56" s="19">
        <v>18.0</v>
      </c>
      <c r="AA56" s="19">
        <v>16.0</v>
      </c>
      <c r="AB56" s="19">
        <v>26.0</v>
      </c>
      <c r="AC56" s="13">
        <f t="shared" si="14"/>
        <v>566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1.0</v>
      </c>
      <c r="G57" s="19">
        <v>1.0</v>
      </c>
      <c r="H57" s="19">
        <v>3.0</v>
      </c>
      <c r="I57" s="19">
        <v>6.0</v>
      </c>
      <c r="J57" s="19">
        <v>1.0</v>
      </c>
      <c r="K57" s="19">
        <v>3.0</v>
      </c>
      <c r="L57" s="19">
        <v>2.0</v>
      </c>
      <c r="M57" s="19">
        <v>6.0</v>
      </c>
      <c r="N57" s="19">
        <v>4.0</v>
      </c>
      <c r="O57" s="19">
        <v>4.0</v>
      </c>
      <c r="P57" s="19">
        <v>4.0</v>
      </c>
      <c r="Q57" s="19">
        <v>3.0</v>
      </c>
      <c r="R57" s="24">
        <v>0.0</v>
      </c>
      <c r="S57" s="59">
        <v>1.0</v>
      </c>
      <c r="T57" s="62">
        <v>2.0</v>
      </c>
      <c r="U57" s="19">
        <v>1.0</v>
      </c>
      <c r="V57" s="19">
        <v>1.0</v>
      </c>
      <c r="W57" s="19">
        <v>1.0</v>
      </c>
      <c r="X57" s="19">
        <v>1.0</v>
      </c>
      <c r="Y57" s="19">
        <v>4.0</v>
      </c>
      <c r="Z57" s="19">
        <v>5.0</v>
      </c>
      <c r="AA57" s="19">
        <v>4.0</v>
      </c>
      <c r="AB57" s="19">
        <v>5.0</v>
      </c>
      <c r="AC57" s="13">
        <f t="shared" si="14"/>
        <v>65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13"/>
      <c r="U59" s="13"/>
      <c r="V59" s="60"/>
      <c r="W59" s="60"/>
      <c r="X59" s="60"/>
      <c r="Y59" s="60"/>
      <c r="Z59" s="60"/>
      <c r="AA59" s="60"/>
      <c r="AB59" s="60"/>
      <c r="AC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B60" si="15">SUM(E45:E57)</f>
        <v>153</v>
      </c>
      <c r="F60" s="19">
        <f t="shared" si="15"/>
        <v>143</v>
      </c>
      <c r="G60" s="19">
        <f t="shared" si="15"/>
        <v>153</v>
      </c>
      <c r="H60" s="19">
        <f t="shared" si="15"/>
        <v>183</v>
      </c>
      <c r="I60" s="19">
        <f t="shared" si="15"/>
        <v>161</v>
      </c>
      <c r="J60" s="19">
        <f t="shared" si="15"/>
        <v>163</v>
      </c>
      <c r="K60" s="19">
        <f t="shared" si="15"/>
        <v>154</v>
      </c>
      <c r="L60" s="19">
        <f t="shared" si="15"/>
        <v>160</v>
      </c>
      <c r="M60" s="19">
        <f t="shared" si="15"/>
        <v>176</v>
      </c>
      <c r="N60" s="19">
        <f t="shared" si="15"/>
        <v>171</v>
      </c>
      <c r="O60" s="19">
        <f t="shared" si="15"/>
        <v>179</v>
      </c>
      <c r="P60" s="19">
        <f t="shared" si="15"/>
        <v>188</v>
      </c>
      <c r="Q60" s="19">
        <f t="shared" si="15"/>
        <v>166</v>
      </c>
      <c r="R60" s="19">
        <f t="shared" si="15"/>
        <v>185</v>
      </c>
      <c r="S60" s="19">
        <f t="shared" si="15"/>
        <v>206</v>
      </c>
      <c r="T60" s="19">
        <f t="shared" si="15"/>
        <v>217</v>
      </c>
      <c r="U60" s="19">
        <f t="shared" si="15"/>
        <v>141</v>
      </c>
      <c r="V60" s="19">
        <f t="shared" si="15"/>
        <v>165</v>
      </c>
      <c r="W60" s="19">
        <f t="shared" si="15"/>
        <v>178</v>
      </c>
      <c r="X60" s="19">
        <f t="shared" si="15"/>
        <v>176</v>
      </c>
      <c r="Y60" s="19">
        <f t="shared" si="15"/>
        <v>177</v>
      </c>
      <c r="Z60" s="19">
        <f t="shared" si="15"/>
        <v>165</v>
      </c>
      <c r="AA60" s="19">
        <f t="shared" si="15"/>
        <v>144</v>
      </c>
      <c r="AB60" s="19">
        <f t="shared" si="15"/>
        <v>193</v>
      </c>
      <c r="AC60" s="13">
        <f t="shared" ref="AC60:AC62" si="16">SUM(E60:AB60)</f>
        <v>4097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47.0</v>
      </c>
      <c r="F61" s="19">
        <v>90.0</v>
      </c>
      <c r="G61" s="19">
        <v>48.0</v>
      </c>
      <c r="H61" s="19">
        <v>35.0</v>
      </c>
      <c r="I61" s="19">
        <v>48.0</v>
      </c>
      <c r="J61" s="19">
        <v>45.0</v>
      </c>
      <c r="K61" s="19">
        <v>41.0</v>
      </c>
      <c r="L61" s="19">
        <v>40.0</v>
      </c>
      <c r="M61" s="19">
        <v>31.0</v>
      </c>
      <c r="N61" s="19">
        <v>51.0</v>
      </c>
      <c r="O61" s="19">
        <v>43.0</v>
      </c>
      <c r="P61" s="19">
        <v>48.0</v>
      </c>
      <c r="Q61" s="19">
        <v>48.0</v>
      </c>
      <c r="R61" s="19">
        <v>36.0</v>
      </c>
      <c r="S61" s="19">
        <v>28.0</v>
      </c>
      <c r="T61" s="19">
        <v>27.0</v>
      </c>
      <c r="U61" s="19">
        <v>44.0</v>
      </c>
      <c r="V61" s="19">
        <v>44.0</v>
      </c>
      <c r="W61" s="19">
        <v>24.0</v>
      </c>
      <c r="X61" s="19">
        <v>33.0</v>
      </c>
      <c r="Y61" s="19">
        <v>35.0</v>
      </c>
      <c r="Z61" s="19">
        <v>38.0</v>
      </c>
      <c r="AA61" s="19">
        <v>40.0</v>
      </c>
      <c r="AB61" s="19">
        <v>45.0</v>
      </c>
      <c r="AC61" s="13">
        <f t="shared" si="16"/>
        <v>1009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B62" si="17">SUM(E60:E61)</f>
        <v>200</v>
      </c>
      <c r="F62" s="13">
        <f t="shared" si="17"/>
        <v>233</v>
      </c>
      <c r="G62" s="13">
        <f t="shared" si="17"/>
        <v>201</v>
      </c>
      <c r="H62" s="13">
        <f t="shared" si="17"/>
        <v>218</v>
      </c>
      <c r="I62" s="13">
        <f t="shared" si="17"/>
        <v>209</v>
      </c>
      <c r="J62" s="13">
        <f t="shared" si="17"/>
        <v>208</v>
      </c>
      <c r="K62" s="13">
        <f t="shared" si="17"/>
        <v>195</v>
      </c>
      <c r="L62" s="13">
        <f t="shared" si="17"/>
        <v>200</v>
      </c>
      <c r="M62" s="13">
        <f t="shared" si="17"/>
        <v>207</v>
      </c>
      <c r="N62" s="13">
        <f t="shared" si="17"/>
        <v>222</v>
      </c>
      <c r="O62" s="13">
        <f t="shared" si="17"/>
        <v>222</v>
      </c>
      <c r="P62" s="13">
        <f t="shared" si="17"/>
        <v>236</v>
      </c>
      <c r="Q62" s="13">
        <f t="shared" si="17"/>
        <v>214</v>
      </c>
      <c r="R62" s="13">
        <f t="shared" si="17"/>
        <v>221</v>
      </c>
      <c r="S62" s="13">
        <f t="shared" si="17"/>
        <v>234</v>
      </c>
      <c r="T62" s="13">
        <f t="shared" si="17"/>
        <v>244</v>
      </c>
      <c r="U62" s="13">
        <f t="shared" si="17"/>
        <v>185</v>
      </c>
      <c r="V62" s="13">
        <f t="shared" si="17"/>
        <v>209</v>
      </c>
      <c r="W62" s="13">
        <f t="shared" si="17"/>
        <v>202</v>
      </c>
      <c r="X62" s="13">
        <f t="shared" si="17"/>
        <v>209</v>
      </c>
      <c r="Y62" s="13">
        <f t="shared" si="17"/>
        <v>212</v>
      </c>
      <c r="Z62" s="13">
        <f t="shared" si="17"/>
        <v>203</v>
      </c>
      <c r="AA62" s="13">
        <f t="shared" si="17"/>
        <v>184</v>
      </c>
      <c r="AB62" s="13">
        <f t="shared" si="17"/>
        <v>238</v>
      </c>
      <c r="AC62" s="13">
        <f t="shared" si="16"/>
        <v>5106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B15 E45:AB56 E57:R57 T57:AB57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 E33:AB33 E35:AB35 E39:AB40">
    <cfRule type="containsBlanks" dxfId="1" priority="3">
      <formula>LEN(TRIM(E22))=0</formula>
    </cfRule>
  </conditionalFormatting>
  <conditionalFormatting sqref="E30:AB30">
    <cfRule type="expression" dxfId="0" priority="4">
      <formula>E30&lt;&gt;E46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2" priority="6">
      <formula>E30&lt;&gt;E34</formula>
    </cfRule>
  </conditionalFormatting>
  <conditionalFormatting sqref="E34:AB34">
    <cfRule type="expression" dxfId="3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34:AB34">
    <cfRule type="expression" dxfId="0" priority="9">
      <formula>E34&lt;&gt;#REF!</formula>
    </cfRule>
  </conditionalFormatting>
  <conditionalFormatting sqref="E60:AB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2026-01-25T22:54:02Z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d18b1b96-d49b-4a22-9852-e04dc9909c7d</vt:lpwstr>
  </property>
  <property fmtid="{D5CDD505-2E9C-101B-9397-08002B2CF9AE}" pid="7" name="MSIP_Label_defa4170-0d19-0005-0004-bc88714345d2_ActionId">
    <vt:lpwstr>7bebbd52-0841-42e8-8316-4ecc8e1dfbde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