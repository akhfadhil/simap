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BAKUNGAN" sheetId="2" r:id="rId5"/>
    <sheet state="visible" name="BANJARSARI" sheetId="3" r:id="rId6"/>
    <sheet state="visible" name="REJOSARI" sheetId="4" r:id="rId7"/>
    <sheet state="visible" name="KEMIREN" sheetId="5" r:id="rId8"/>
    <sheet state="visible" name="OLEHSARI" sheetId="6" r:id="rId9"/>
    <sheet state="visible" name="GLAGAH" sheetId="7" r:id="rId10"/>
    <sheet state="visible" name="PASPAN" sheetId="8" r:id="rId11"/>
    <sheet state="visible" name="TAMANSURUH" sheetId="9" r:id="rId12"/>
    <sheet state="visible" name="KENJO" sheetId="10" r:id="rId13"/>
    <sheet state="visible" name="KAMPUNGANYAR" sheetId="11" r:id="rId14"/>
  </sheets>
  <definedNames/>
  <calcPr/>
  <extLst>
    <ext uri="GoogleSheetsCustomDataVersion2">
      <go:sheetsCustomData xmlns:go="http://customooxmlschemas.google.com/" r:id="rId15" roundtripDataChecksum="mEiV/VjcaHF5kq/a4ipQX6vVd1MzOUANQh4whnAwCTM="/>
    </ext>
  </extLst>
</workbook>
</file>

<file path=xl/sharedStrings.xml><?xml version="1.0" encoding="utf-8"?>
<sst xmlns="http://schemas.openxmlformats.org/spreadsheetml/2006/main" count="1082" uniqueCount="97">
  <si>
    <t>Kecamatan</t>
  </si>
  <si>
    <t>GLAGAH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</si>
  <si>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</si>
  <si>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</si>
  <si>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</si>
  <si>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</si>
  <si>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</si>
  <si>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</si>
  <si>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</si>
  <si>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</si>
  <si>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</si>
  <si>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</si>
  <si>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</si>
  <si>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</si>
  <si>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</si>
  <si>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</si>
  <si>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</si>
  <si>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</si>
  <si>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</si>
  <si>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</si>
  <si>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</si>
  <si>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</si>
  <si>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</si>
  <si>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</si>
  <si>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</si>
  <si>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</si>
  <si>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</si>
  <si>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</si>
  <si>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</si>
  <si>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</si>
  <si>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</si>
  <si>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</si>
  <si>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</si>
  <si>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</si>
  <si>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</si>
  <si>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</si>
  <si>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</si>
  <si>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</si>
  <si>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</si>
  <si>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</si>
  <si>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</si>
  <si>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</si>
  <si>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</si>
  <si>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</si>
  <si>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</si>
  <si>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</si>
  <si>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</si>
  <si>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</si>
  <si>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</si>
  <si>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</si>
  <si>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</si>
  <si>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</si>
  <si>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</si>
  <si>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</si>
  <si>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</si>
  <si>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</si>
  <si>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</si>
  <si>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</si>
  <si>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</si>
  <si>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</si>
  <si>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</si>
  <si>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</si>
  <si>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</si>
  <si>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</si>
  <si>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</si>
  <si>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</si>
  <si>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</si>
  <si>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</si>
  <si>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</si>
  <si>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BAKUNGAN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</si>
  <si>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</si>
  <si>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</si>
  <si>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</si>
  <si>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</si>
  <si>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</si>
  <si>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</si>
  <si>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</si>
  <si>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</si>
  <si>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</si>
  <si>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</si>
  <si>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</si>
  <si>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</si>
  <si>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</si>
  <si>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</si>
  <si>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</si>
  <si>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</si>
  <si>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BANJARSARI</t>
  </si>
  <si>
    <t>TPS 017</t>
  </si>
  <si>
    <t>TPS 018</t>
  </si>
  <si>
    <t>TPS 019</t>
  </si>
  <si>
    <t>REJOSARI</t>
  </si>
  <si>
    <t>KEMIREN</t>
  </si>
  <si>
    <t>OLEHSARI</t>
  </si>
  <si>
    <t>PASPAN</t>
  </si>
  <si>
    <t>TAMANSURUH</t>
  </si>
  <si>
    <t>KENJO</t>
  </si>
  <si>
    <t>KAMPUNGANYAR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</si>
</sst>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BAKUNGAN!U14+BANJARSARI!X14+REJOSARI!N14+KEMIREN!M14+OLEHSARI!N14+GLAGAH!M14+PASPAN!P14+TAMANSURUH!S14+KENJO!K14+KAMPUNGANYAR!T14</f>
        <v>13866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BAKUNGAN!U15+BANJARSARI!X15+REJOSARI!N15+KEMIREN!M15+OLEHSARI!N15+GLAGAH!M15+PASPAN!P15+TAMANSURUH!S15+KENJO!K15+KAMPUNGANYAR!T15</f>
        <v>14693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28559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BAKUNGAN!U19+BANJARSARI!X19+REJOSARI!N19+KEMIREN!M19+OLEHSARI!N19+GLAGAH!M19+PASPAN!P19+TAMANSURUH!S19+KENJO!K19+KAMPUNGANYAR!T19</f>
        <v>11310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BAKUNGAN!U20+BANJARSARI!X20+REJOSARI!N20+KEMIREN!M20+OLEHSARI!N20+GLAGAH!M20+PASPAN!P20+TAMANSURUH!S20+KENJO!K20+KAMPUNGANYAR!T20</f>
        <v>12650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23960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BAKUNGAN!U22+BANJARSARI!X22+REJOSARI!N22+KEMIREN!M22+OLEHSARI!N22+GLAGAH!M22+PASPAN!P22+TAMANSURUH!S22+KENJO!K22+KAMPUNGANYAR!T22</f>
        <v>38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BAKUNGAN!U23+BANJARSARI!X23+REJOSARI!N23+KEMIREN!M23+OLEHSARI!N23+GLAGAH!M23+PASPAN!P23+TAMANSURUH!S23+KENJO!K23+KAMPUNGANYAR!T23</f>
        <v>65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103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BAKUNGAN!U25+BANJARSARI!X25+REJOSARI!N25+KEMIREN!M25+OLEHSARI!N25+GLAGAH!M25+PASPAN!P25+TAMANSURUH!S25+KENJO!K25+KAMPUNGANYAR!T25</f>
        <v>129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BAKUNGAN!U26+BANJARSARI!X26+REJOSARI!N26+KEMIREN!M26+OLEHSARI!N26+GLAGAH!M26+PASPAN!P26+TAMANSURUH!S26+KENJO!K26+KAMPUNGANYAR!T26</f>
        <v>169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298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11477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12884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24361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BAKUNGAN!U33+BANJARSARI!X33+REJOSARI!N33+KEMIREN!M33+OLEHSARI!N33+GLAGAH!M33+PASPAN!P33+TAMANSURUH!S33+KENJO!K33+KAMPUNGANYAR!T33</f>
        <v>29282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BAKUNGAN!U34+BANJARSARI!X34+REJOSARI!N34+KEMIREN!M34+OLEHSARI!N34+GLAGAH!M34+PASPAN!P34+TAMANSURUH!S34+KENJO!K34+KAMPUNGANYAR!T34</f>
        <v>24361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BAKUNGAN!U35+BANJARSARI!X35+REJOSARI!N35+KEMIREN!M35+OLEHSARI!N35+GLAGAH!M35+PASPAN!P35+TAMANSURUH!S35+KENJO!K35+KAMPUNGANYAR!T35</f>
        <v>19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4902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BAKUNGAN!U39+BANJARSARI!X39+REJOSARI!N39+KEMIREN!M39+OLEHSARI!N39+GLAGAH!M39+PASPAN!P39+TAMANSURUH!S39+KENJO!K39+KAMPUNGANYAR!T39</f>
        <v>29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BAKUNGAN!U40+BANJARSARI!X40+REJOSARI!N40+KEMIREN!M40+OLEHSARI!N40+GLAGAH!M40+PASPAN!P40+TAMANSURUH!S40+KENJO!K40+KAMPUNGANYAR!T40</f>
        <v>24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53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BAKUNGAN!U45+BANJARSARI!X45+REJOSARI!N45+KEMIREN!M45+OLEHSARI!N45+GLAGAH!M45+PASPAN!P45+TAMANSURUH!S45+KENJO!K45+KAMPUNGANYAR!T45</f>
        <v>1994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BAKUNGAN!U46+BANJARSARI!X46+REJOSARI!N46+KEMIREN!M46+OLEHSARI!N46+GLAGAH!M46+PASPAN!P46+TAMANSURUH!S46+KENJO!K46+KAMPUNGANYAR!T46</f>
        <v>3594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BAKUNGAN!U47+BANJARSARI!X47+REJOSARI!N47+KEMIREN!M47+OLEHSARI!N47+GLAGAH!M47+PASPAN!P47+TAMANSURUH!S47+KENJO!K47+KAMPUNGANYAR!T47</f>
        <v>1629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BAKUNGAN!U48+BANJARSARI!X48+REJOSARI!N48+KEMIREN!M48+OLEHSARI!N48+GLAGAH!M48+PASPAN!P48+TAMANSURUH!S48+KENJO!K48+KAMPUNGANYAR!T48</f>
        <v>2227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BAKUNGAN!U49+BANJARSARI!X49+REJOSARI!N49+KEMIREN!M49+OLEHSARI!N49+GLAGAH!M49+PASPAN!P49+TAMANSURUH!S49+KENJO!K49+KAMPUNGANYAR!T49</f>
        <v>2259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BAKUNGAN!U50+BANJARSARI!X50+REJOSARI!N50+KEMIREN!M50+OLEHSARI!N50+GLAGAH!M50+PASPAN!P50+TAMANSURUH!S50+KENJO!K50+KAMPUNGANYAR!T50</f>
        <v>1345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BAKUNGAN!U51+BANJARSARI!X51+REJOSARI!N51+KEMIREN!M51+OLEHSARI!N51+GLAGAH!M51+PASPAN!P51+TAMANSURUH!S51+KENJO!K51+KAMPUNGANYAR!T51</f>
        <v>290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BAKUNGAN!U52+BANJARSARI!X52+REJOSARI!N52+KEMIREN!M52+OLEHSARI!N52+GLAGAH!M52+PASPAN!P52+TAMANSURUH!S52+KENJO!K52+KAMPUNGANYAR!T52</f>
        <v>493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BAKUNGAN!U53+BANJARSARI!X53+REJOSARI!N53+KEMIREN!M53+OLEHSARI!N53+GLAGAH!M53+PASPAN!P53+TAMANSURUH!S53+KENJO!K53+KAMPUNGANYAR!T53</f>
        <v>101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BAKUNGAN!U54+BANJARSARI!X54+REJOSARI!N54+KEMIREN!M54+OLEHSARI!N54+GLAGAH!M54+PASPAN!P54+TAMANSURUH!S54+KENJO!K54+KAMPUNGANYAR!T54</f>
        <v>2773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BAKUNGAN!U55+BANJARSARI!X55+REJOSARI!N55+KEMIREN!M55+OLEHSARI!N55+GLAGAH!M55+PASPAN!P55+TAMANSURUH!S55+KENJO!K55+KAMPUNGANYAR!T55</f>
        <v>177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BAKUNGAN!U56+BANJARSARI!X56+REJOSARI!N56+KEMIREN!M56+OLEHSARI!N56+GLAGAH!M56+PASPAN!P56+TAMANSURUH!S56+KENJO!K56+KAMPUNGANYAR!T56</f>
        <v>2114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BAKUNGAN!U57+BANJARSARI!X57+REJOSARI!N57+KEMIREN!M57+OLEHSARI!N57+GLAGAH!M57+PASPAN!P57+TAMANSURUH!S57+KENJO!K57+KAMPUNGANYAR!T57</f>
        <v>287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BAKUNGAN!U60+BANJARSARI!X60+REJOSARI!N60+KEMIREN!M60+OLEHSARI!N60+GLAGAH!M60+PASPAN!P60+TAMANSURUH!S60+KENJO!K60+KAMPUNGANYAR!T60</f>
        <v>19283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BAKUNGAN!U61+BANJARSARI!X61+REJOSARI!N61+KEMIREN!M61+OLEHSARI!N61+GLAGAH!M61+PASPAN!P61+TAMANSURUH!S61+KENJO!K61+KAMPUNGANYAR!T61</f>
        <v>5078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24361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119.0</v>
      </c>
      <c r="F14" s="19">
        <v>137.0</v>
      </c>
      <c r="G14" s="19">
        <v>132.0</v>
      </c>
      <c r="H14" s="19">
        <v>130.0</v>
      </c>
      <c r="I14" s="19">
        <v>138.0</v>
      </c>
      <c r="J14" s="19">
        <v>132.0</v>
      </c>
      <c r="K14" s="19">
        <v>139.0</v>
      </c>
      <c r="L14" s="19">
        <v>131.0</v>
      </c>
      <c r="M14" s="19">
        <v>97.0</v>
      </c>
      <c r="N14" s="19">
        <v>134.0</v>
      </c>
      <c r="O14" s="19">
        <v>112.0</v>
      </c>
      <c r="P14" s="19">
        <v>111.0</v>
      </c>
      <c r="Q14" s="19">
        <v>136.0</v>
      </c>
      <c r="R14" s="19">
        <v>120.0</v>
      </c>
      <c r="S14" s="19">
        <v>140.0</v>
      </c>
      <c r="T14" s="19">
        <v>106.0</v>
      </c>
      <c r="U14" s="13">
        <f t="shared" ref="U14:U16" si="1">SUM(E14:T14)</f>
        <v>2014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142.0</v>
      </c>
      <c r="G15" s="19">
        <v>128.0</v>
      </c>
      <c r="H15" s="19">
        <v>137.0</v>
      </c>
      <c r="I15" s="19">
        <v>156.0</v>
      </c>
      <c r="J15" s="19">
        <v>166.0</v>
      </c>
      <c r="K15" s="19">
        <v>142.0</v>
      </c>
      <c r="L15" s="19">
        <v>128.0</v>
      </c>
      <c r="M15" s="19">
        <v>93.0</v>
      </c>
      <c r="N15" s="19">
        <v>145.0</v>
      </c>
      <c r="O15" s="19">
        <v>123.0</v>
      </c>
      <c r="P15" s="19">
        <v>119.0</v>
      </c>
      <c r="Q15" s="19">
        <v>137.0</v>
      </c>
      <c r="R15" s="19">
        <v>111.0</v>
      </c>
      <c r="S15" s="19">
        <v>159.0</v>
      </c>
      <c r="T15" s="19">
        <v>104.0</v>
      </c>
      <c r="U15" s="13">
        <f t="shared" si="1"/>
        <v>2137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266</v>
      </c>
      <c r="F16" s="13">
        <f t="shared" si="2"/>
        <v>279</v>
      </c>
      <c r="G16" s="13">
        <f t="shared" si="2"/>
        <v>260</v>
      </c>
      <c r="H16" s="13">
        <f t="shared" si="2"/>
        <v>267</v>
      </c>
      <c r="I16" s="13">
        <f t="shared" si="2"/>
        <v>294</v>
      </c>
      <c r="J16" s="13">
        <f t="shared" si="2"/>
        <v>298</v>
      </c>
      <c r="K16" s="13">
        <f t="shared" si="2"/>
        <v>281</v>
      </c>
      <c r="L16" s="13">
        <f t="shared" si="2"/>
        <v>259</v>
      </c>
      <c r="M16" s="13">
        <f t="shared" si="2"/>
        <v>190</v>
      </c>
      <c r="N16" s="13">
        <f t="shared" si="2"/>
        <v>279</v>
      </c>
      <c r="O16" s="13">
        <f t="shared" si="2"/>
        <v>235</v>
      </c>
      <c r="P16" s="13">
        <f t="shared" si="2"/>
        <v>230</v>
      </c>
      <c r="Q16" s="13">
        <f t="shared" si="2"/>
        <v>273</v>
      </c>
      <c r="R16" s="13">
        <f t="shared" si="2"/>
        <v>231</v>
      </c>
      <c r="S16" s="13">
        <f t="shared" si="2"/>
        <v>299</v>
      </c>
      <c r="T16" s="13">
        <f t="shared" si="2"/>
        <v>210</v>
      </c>
      <c r="U16" s="13">
        <f t="shared" si="1"/>
        <v>4151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58"/>
      <c r="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58"/>
      <c r="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110.0</v>
      </c>
      <c r="G19" s="19">
        <v>101.0</v>
      </c>
      <c r="H19" s="19">
        <v>91.0</v>
      </c>
      <c r="I19" s="19">
        <v>95.0</v>
      </c>
      <c r="J19" s="19">
        <v>93.0</v>
      </c>
      <c r="K19" s="19">
        <v>111.0</v>
      </c>
      <c r="L19" s="19">
        <v>94.0</v>
      </c>
      <c r="M19" s="19">
        <v>75.0</v>
      </c>
      <c r="N19" s="19">
        <v>112.0</v>
      </c>
      <c r="O19" s="19">
        <v>83.0</v>
      </c>
      <c r="P19" s="19">
        <v>83.0</v>
      </c>
      <c r="Q19" s="19">
        <v>92.0</v>
      </c>
      <c r="R19" s="19">
        <v>92.0</v>
      </c>
      <c r="S19" s="19">
        <v>110.0</v>
      </c>
      <c r="T19" s="19">
        <v>90.0</v>
      </c>
      <c r="U19" s="13">
        <f t="shared" ref="U19:U30" si="3">SUM(E19:T19)</f>
        <v>1525</v>
      </c>
    </row>
    <row r="20" ht="12.75" customHeight="1">
      <c r="A20" s="33"/>
      <c r="B20" s="27"/>
      <c r="C20" s="34"/>
      <c r="D20" s="19" t="s">
        <v>13</v>
      </c>
      <c r="E20" s="19">
        <v>122.0</v>
      </c>
      <c r="F20" s="19">
        <v>117.0</v>
      </c>
      <c r="G20" s="19">
        <v>107.0</v>
      </c>
      <c r="H20" s="19">
        <v>129.0</v>
      </c>
      <c r="I20" s="19">
        <v>133.0</v>
      </c>
      <c r="J20" s="19">
        <v>131.0</v>
      </c>
      <c r="K20" s="19">
        <v>122.0</v>
      </c>
      <c r="L20" s="19">
        <v>113.0</v>
      </c>
      <c r="M20" s="19">
        <v>77.0</v>
      </c>
      <c r="N20" s="19">
        <v>127.0</v>
      </c>
      <c r="O20" s="19">
        <v>95.0</v>
      </c>
      <c r="P20" s="19">
        <v>99.0</v>
      </c>
      <c r="Q20" s="19">
        <v>105.0</v>
      </c>
      <c r="R20" s="19">
        <v>85.0</v>
      </c>
      <c r="S20" s="19">
        <v>119.0</v>
      </c>
      <c r="T20" s="19">
        <v>88.0</v>
      </c>
      <c r="U20" s="13">
        <f t="shared" si="3"/>
        <v>1769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215</v>
      </c>
      <c r="F21" s="13">
        <f t="shared" si="4"/>
        <v>227</v>
      </c>
      <c r="G21" s="13">
        <f t="shared" si="4"/>
        <v>208</v>
      </c>
      <c r="H21" s="13">
        <f t="shared" si="4"/>
        <v>220</v>
      </c>
      <c r="I21" s="13">
        <f t="shared" si="4"/>
        <v>228</v>
      </c>
      <c r="J21" s="13">
        <f t="shared" si="4"/>
        <v>224</v>
      </c>
      <c r="K21" s="13">
        <f t="shared" si="4"/>
        <v>233</v>
      </c>
      <c r="L21" s="13">
        <f t="shared" si="4"/>
        <v>207</v>
      </c>
      <c r="M21" s="13">
        <f t="shared" si="4"/>
        <v>152</v>
      </c>
      <c r="N21" s="13">
        <f t="shared" si="4"/>
        <v>239</v>
      </c>
      <c r="O21" s="13">
        <f t="shared" si="4"/>
        <v>178</v>
      </c>
      <c r="P21" s="13">
        <f t="shared" si="4"/>
        <v>182</v>
      </c>
      <c r="Q21" s="13">
        <f t="shared" si="4"/>
        <v>197</v>
      </c>
      <c r="R21" s="13">
        <f t="shared" si="4"/>
        <v>177</v>
      </c>
      <c r="S21" s="13">
        <f t="shared" si="4"/>
        <v>229</v>
      </c>
      <c r="T21" s="13">
        <f t="shared" si="4"/>
        <v>178</v>
      </c>
      <c r="U21" s="13">
        <f t="shared" si="3"/>
        <v>3294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2.0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2.0</v>
      </c>
      <c r="O23" s="19">
        <v>0.0</v>
      </c>
      <c r="P23" s="19">
        <v>2.0</v>
      </c>
      <c r="Q23" s="19">
        <v>3.0</v>
      </c>
      <c r="R23" s="19">
        <v>0.0</v>
      </c>
      <c r="S23" s="19">
        <v>0.0</v>
      </c>
      <c r="T23" s="19">
        <v>0.0</v>
      </c>
      <c r="U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4</v>
      </c>
      <c r="Q24" s="13">
        <f t="shared" si="5"/>
        <v>3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2.0</v>
      </c>
      <c r="H25" s="19">
        <v>1.0</v>
      </c>
      <c r="I25" s="19">
        <v>5.0</v>
      </c>
      <c r="J25" s="19">
        <v>10.0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3.0</v>
      </c>
      <c r="Q25" s="19">
        <v>5.0</v>
      </c>
      <c r="R25" s="19">
        <v>1.0</v>
      </c>
      <c r="S25" s="19">
        <v>2.0</v>
      </c>
      <c r="T25" s="19">
        <v>1.0</v>
      </c>
      <c r="U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1.0</v>
      </c>
      <c r="J26" s="19">
        <v>8.0</v>
      </c>
      <c r="K26" s="19">
        <v>2.0</v>
      </c>
      <c r="L26" s="19">
        <v>0.0</v>
      </c>
      <c r="M26" s="19">
        <v>1.0</v>
      </c>
      <c r="N26" s="19">
        <v>0.0</v>
      </c>
      <c r="O26" s="19">
        <v>2.0</v>
      </c>
      <c r="P26" s="19">
        <v>1.0</v>
      </c>
      <c r="Q26" s="19">
        <v>8.0</v>
      </c>
      <c r="R26" s="19">
        <v>2.0</v>
      </c>
      <c r="S26" s="19">
        <v>4.0</v>
      </c>
      <c r="T26" s="19">
        <v>0.0</v>
      </c>
      <c r="U26" s="13">
        <f t="shared" si="3"/>
        <v>32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1</v>
      </c>
      <c r="F27" s="13">
        <f t="shared" si="6"/>
        <v>1</v>
      </c>
      <c r="G27" s="13">
        <f t="shared" si="6"/>
        <v>3</v>
      </c>
      <c r="H27" s="13">
        <f t="shared" si="6"/>
        <v>3</v>
      </c>
      <c r="I27" s="13">
        <f t="shared" si="6"/>
        <v>6</v>
      </c>
      <c r="J27" s="13">
        <f t="shared" si="6"/>
        <v>18</v>
      </c>
      <c r="K27" s="13">
        <f t="shared" si="6"/>
        <v>3</v>
      </c>
      <c r="L27" s="13">
        <f t="shared" si="6"/>
        <v>0</v>
      </c>
      <c r="M27" s="13">
        <f t="shared" si="6"/>
        <v>1</v>
      </c>
      <c r="N27" s="13">
        <f t="shared" si="6"/>
        <v>1</v>
      </c>
      <c r="O27" s="13">
        <f t="shared" si="6"/>
        <v>3</v>
      </c>
      <c r="P27" s="13">
        <f t="shared" si="6"/>
        <v>4</v>
      </c>
      <c r="Q27" s="13">
        <f t="shared" si="6"/>
        <v>13</v>
      </c>
      <c r="R27" s="13">
        <f t="shared" si="6"/>
        <v>3</v>
      </c>
      <c r="S27" s="13">
        <f t="shared" si="6"/>
        <v>6</v>
      </c>
      <c r="T27" s="13">
        <f t="shared" si="6"/>
        <v>1</v>
      </c>
      <c r="U27" s="13">
        <f t="shared" si="3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94</v>
      </c>
      <c r="F28" s="13">
        <f t="shared" si="7"/>
        <v>111</v>
      </c>
      <c r="G28" s="13">
        <f t="shared" si="7"/>
        <v>104</v>
      </c>
      <c r="H28" s="13">
        <f t="shared" si="7"/>
        <v>92</v>
      </c>
      <c r="I28" s="13">
        <f t="shared" si="7"/>
        <v>101</v>
      </c>
      <c r="J28" s="13">
        <f t="shared" si="7"/>
        <v>103</v>
      </c>
      <c r="K28" s="13">
        <f t="shared" si="7"/>
        <v>112</v>
      </c>
      <c r="L28" s="13">
        <f t="shared" si="7"/>
        <v>94</v>
      </c>
      <c r="M28" s="13">
        <f t="shared" si="7"/>
        <v>75</v>
      </c>
      <c r="N28" s="13">
        <f t="shared" si="7"/>
        <v>114</v>
      </c>
      <c r="O28" s="13">
        <f t="shared" si="7"/>
        <v>84</v>
      </c>
      <c r="P28" s="13">
        <f t="shared" si="7"/>
        <v>88</v>
      </c>
      <c r="Q28" s="13">
        <f t="shared" si="7"/>
        <v>97</v>
      </c>
      <c r="R28" s="13">
        <f t="shared" si="7"/>
        <v>93</v>
      </c>
      <c r="S28" s="13">
        <f t="shared" si="7"/>
        <v>112</v>
      </c>
      <c r="T28" s="13">
        <f t="shared" si="7"/>
        <v>91</v>
      </c>
      <c r="U28" s="13">
        <f t="shared" si="3"/>
        <v>1565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122</v>
      </c>
      <c r="F29" s="13">
        <f t="shared" si="8"/>
        <v>117</v>
      </c>
      <c r="G29" s="13">
        <f t="shared" si="8"/>
        <v>109</v>
      </c>
      <c r="H29" s="13">
        <f t="shared" si="8"/>
        <v>131</v>
      </c>
      <c r="I29" s="13">
        <f t="shared" si="8"/>
        <v>135</v>
      </c>
      <c r="J29" s="13">
        <f t="shared" si="8"/>
        <v>140</v>
      </c>
      <c r="K29" s="13">
        <f t="shared" si="8"/>
        <v>124</v>
      </c>
      <c r="L29" s="13">
        <f t="shared" si="8"/>
        <v>113</v>
      </c>
      <c r="M29" s="13">
        <f t="shared" si="8"/>
        <v>78</v>
      </c>
      <c r="N29" s="13">
        <f t="shared" si="8"/>
        <v>129</v>
      </c>
      <c r="O29" s="13">
        <f t="shared" si="8"/>
        <v>97</v>
      </c>
      <c r="P29" s="13">
        <f t="shared" si="8"/>
        <v>102</v>
      </c>
      <c r="Q29" s="13">
        <f t="shared" si="8"/>
        <v>116</v>
      </c>
      <c r="R29" s="13">
        <f t="shared" si="8"/>
        <v>87</v>
      </c>
      <c r="S29" s="13">
        <f t="shared" si="8"/>
        <v>123</v>
      </c>
      <c r="T29" s="13">
        <f t="shared" si="8"/>
        <v>88</v>
      </c>
      <c r="U29" s="13">
        <f t="shared" si="3"/>
        <v>1811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216</v>
      </c>
      <c r="F30" s="13">
        <f t="shared" si="9"/>
        <v>228</v>
      </c>
      <c r="G30" s="13">
        <f t="shared" si="9"/>
        <v>213</v>
      </c>
      <c r="H30" s="13">
        <f t="shared" si="9"/>
        <v>223</v>
      </c>
      <c r="I30" s="13">
        <f t="shared" si="9"/>
        <v>236</v>
      </c>
      <c r="J30" s="13">
        <f t="shared" si="9"/>
        <v>243</v>
      </c>
      <c r="K30" s="13">
        <f t="shared" si="9"/>
        <v>236</v>
      </c>
      <c r="L30" s="13">
        <f t="shared" si="9"/>
        <v>207</v>
      </c>
      <c r="M30" s="13">
        <f t="shared" si="9"/>
        <v>153</v>
      </c>
      <c r="N30" s="13">
        <f t="shared" si="9"/>
        <v>243</v>
      </c>
      <c r="O30" s="13">
        <f t="shared" si="9"/>
        <v>181</v>
      </c>
      <c r="P30" s="13">
        <f t="shared" si="9"/>
        <v>190</v>
      </c>
      <c r="Q30" s="13">
        <f t="shared" si="9"/>
        <v>213</v>
      </c>
      <c r="R30" s="13">
        <f t="shared" si="9"/>
        <v>180</v>
      </c>
      <c r="S30" s="13">
        <f t="shared" si="9"/>
        <v>235</v>
      </c>
      <c r="T30" s="13">
        <f t="shared" si="9"/>
        <v>179</v>
      </c>
      <c r="U30" s="13">
        <f t="shared" si="3"/>
        <v>3376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58"/>
      <c r="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60"/>
      <c r="U32" s="59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285.0</v>
      </c>
      <c r="G33" s="19">
        <v>266.0</v>
      </c>
      <c r="H33" s="19">
        <v>273.0</v>
      </c>
      <c r="I33" s="19">
        <v>300.0</v>
      </c>
      <c r="J33" s="19">
        <v>304.0</v>
      </c>
      <c r="K33" s="19">
        <v>290.0</v>
      </c>
      <c r="L33" s="19">
        <v>265.0</v>
      </c>
      <c r="M33" s="19">
        <v>194.0</v>
      </c>
      <c r="N33" s="19">
        <v>285.0</v>
      </c>
      <c r="O33" s="19">
        <v>240.0</v>
      </c>
      <c r="P33" s="19">
        <v>236.0</v>
      </c>
      <c r="Q33" s="19">
        <v>279.0</v>
      </c>
      <c r="R33" s="19">
        <v>236.0</v>
      </c>
      <c r="S33" s="19">
        <v>305.0</v>
      </c>
      <c r="T33" s="19">
        <v>215.0</v>
      </c>
      <c r="U33" s="13">
        <f t="shared" ref="U33:U36" si="10">SUM(E33:T33)</f>
        <v>4245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228.0</v>
      </c>
      <c r="G34" s="13">
        <v>213.0</v>
      </c>
      <c r="H34" s="13">
        <v>223.0</v>
      </c>
      <c r="I34" s="13">
        <v>236.0</v>
      </c>
      <c r="J34" s="13">
        <v>243.0</v>
      </c>
      <c r="K34" s="13">
        <v>236.0</v>
      </c>
      <c r="L34" s="13">
        <v>207.0</v>
      </c>
      <c r="M34" s="13">
        <v>153.0</v>
      </c>
      <c r="N34" s="13">
        <v>243.0</v>
      </c>
      <c r="O34" s="13">
        <v>181.0</v>
      </c>
      <c r="P34" s="13">
        <v>190.0</v>
      </c>
      <c r="Q34" s="13">
        <v>213.0</v>
      </c>
      <c r="R34" s="13">
        <v>180.0</v>
      </c>
      <c r="S34" s="13">
        <v>235.0</v>
      </c>
      <c r="T34" s="13">
        <v>179.0</v>
      </c>
      <c r="U34" s="13">
        <f t="shared" si="10"/>
        <v>3376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3.0</v>
      </c>
      <c r="G35" s="19">
        <v>3.0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1.0</v>
      </c>
      <c r="U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56</v>
      </c>
      <c r="F36" s="13">
        <f t="shared" si="11"/>
        <v>54</v>
      </c>
      <c r="G36" s="13">
        <f t="shared" si="11"/>
        <v>50</v>
      </c>
      <c r="H36" s="13">
        <f t="shared" si="11"/>
        <v>50</v>
      </c>
      <c r="I36" s="13">
        <f t="shared" si="11"/>
        <v>64</v>
      </c>
      <c r="J36" s="13">
        <f t="shared" si="11"/>
        <v>60</v>
      </c>
      <c r="K36" s="13">
        <f t="shared" si="11"/>
        <v>54</v>
      </c>
      <c r="L36" s="13">
        <f t="shared" si="11"/>
        <v>58</v>
      </c>
      <c r="M36" s="13">
        <f t="shared" si="11"/>
        <v>41</v>
      </c>
      <c r="N36" s="13">
        <f t="shared" si="11"/>
        <v>42</v>
      </c>
      <c r="O36" s="13">
        <f t="shared" si="11"/>
        <v>59</v>
      </c>
      <c r="P36" s="13">
        <f t="shared" si="11"/>
        <v>46</v>
      </c>
      <c r="Q36" s="13">
        <f t="shared" si="11"/>
        <v>65</v>
      </c>
      <c r="R36" s="13">
        <f t="shared" si="11"/>
        <v>56</v>
      </c>
      <c r="S36" s="13">
        <f t="shared" si="11"/>
        <v>70</v>
      </c>
      <c r="T36" s="13">
        <f t="shared" si="11"/>
        <v>35</v>
      </c>
      <c r="U36" s="13">
        <f t="shared" si="10"/>
        <v>860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58"/>
      <c r="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60"/>
      <c r="U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3">
        <f t="shared" ref="U39:U41" si="12">SUM(E39:T39)</f>
        <v>3</v>
      </c>
    </row>
    <row r="40" ht="12.75" customHeight="1">
      <c r="A40" s="33"/>
      <c r="C40" s="27"/>
      <c r="D40" s="19" t="s">
        <v>13</v>
      </c>
      <c r="E40" s="19"/>
      <c r="F40" s="19">
        <v>1.0</v>
      </c>
      <c r="G40" s="19"/>
      <c r="H40" s="19"/>
      <c r="I40" s="19"/>
      <c r="J40" s="19">
        <v>1.0</v>
      </c>
      <c r="K40" s="19"/>
      <c r="L40" s="19"/>
      <c r="M40" s="19"/>
      <c r="N40" s="19"/>
      <c r="O40" s="19"/>
      <c r="P40" s="19"/>
      <c r="Q40" s="19"/>
      <c r="R40" s="19"/>
      <c r="S40" s="19">
        <v>1.0</v>
      </c>
      <c r="T40" s="19"/>
      <c r="U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58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60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58"/>
      <c r="U44" s="13"/>
    </row>
    <row r="45" ht="12.75" customHeight="1">
      <c r="A45" s="30"/>
      <c r="B45" s="47" t="s">
        <v>17</v>
      </c>
      <c r="C45" s="61" t="s">
        <v>38</v>
      </c>
      <c r="D45" s="16"/>
      <c r="E45" s="19">
        <v>10.0</v>
      </c>
      <c r="F45" s="19">
        <v>13.0</v>
      </c>
      <c r="G45" s="19">
        <v>9.0</v>
      </c>
      <c r="H45" s="19">
        <v>11.0</v>
      </c>
      <c r="I45" s="19">
        <v>20.0</v>
      </c>
      <c r="J45" s="19">
        <v>12.0</v>
      </c>
      <c r="K45" s="19">
        <v>16.0</v>
      </c>
      <c r="L45" s="19">
        <v>21.0</v>
      </c>
      <c r="M45" s="19">
        <v>3.0</v>
      </c>
      <c r="N45" s="19">
        <v>29.0</v>
      </c>
      <c r="O45" s="19">
        <v>13.0</v>
      </c>
      <c r="P45" s="19">
        <v>10.0</v>
      </c>
      <c r="Q45" s="19">
        <v>7.0</v>
      </c>
      <c r="R45" s="19">
        <v>6.0</v>
      </c>
      <c r="S45" s="19">
        <v>9.0</v>
      </c>
      <c r="T45" s="19">
        <v>14.0</v>
      </c>
      <c r="U45" s="13">
        <f t="shared" ref="U45:U57" si="14">SUM(E45:T45)</f>
        <v>203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34.0</v>
      </c>
      <c r="F46" s="19">
        <v>16.0</v>
      </c>
      <c r="G46" s="19">
        <v>15.0</v>
      </c>
      <c r="H46" s="19">
        <v>33.0</v>
      </c>
      <c r="I46" s="19">
        <v>34.0</v>
      </c>
      <c r="J46" s="19">
        <v>35.0</v>
      </c>
      <c r="K46" s="19">
        <v>33.0</v>
      </c>
      <c r="L46" s="19">
        <v>21.0</v>
      </c>
      <c r="M46" s="19">
        <v>16.0</v>
      </c>
      <c r="N46" s="19">
        <v>35.0</v>
      </c>
      <c r="O46" s="19">
        <v>14.0</v>
      </c>
      <c r="P46" s="19">
        <v>21.0</v>
      </c>
      <c r="Q46" s="19">
        <v>26.0</v>
      </c>
      <c r="R46" s="19">
        <v>18.0</v>
      </c>
      <c r="S46" s="19">
        <v>26.0</v>
      </c>
      <c r="T46" s="19">
        <v>29.0</v>
      </c>
      <c r="U46" s="13">
        <f t="shared" si="14"/>
        <v>406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4.0</v>
      </c>
      <c r="F47" s="19">
        <v>13.0</v>
      </c>
      <c r="G47" s="19">
        <v>16.0</v>
      </c>
      <c r="H47" s="19">
        <v>7.0</v>
      </c>
      <c r="I47" s="19">
        <v>11.0</v>
      </c>
      <c r="J47" s="19">
        <v>13.0</v>
      </c>
      <c r="K47" s="19">
        <v>11.0</v>
      </c>
      <c r="L47" s="19">
        <v>10.0</v>
      </c>
      <c r="M47" s="19">
        <v>5.0</v>
      </c>
      <c r="N47" s="19">
        <v>14.0</v>
      </c>
      <c r="O47" s="19">
        <v>8.0</v>
      </c>
      <c r="P47" s="19">
        <v>15.0</v>
      </c>
      <c r="Q47" s="19">
        <v>18.0</v>
      </c>
      <c r="R47" s="19">
        <v>8.0</v>
      </c>
      <c r="S47" s="19">
        <v>13.0</v>
      </c>
      <c r="T47" s="19">
        <v>11.0</v>
      </c>
      <c r="U47" s="13">
        <f t="shared" si="14"/>
        <v>177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21.0</v>
      </c>
      <c r="F48" s="19">
        <v>24.0</v>
      </c>
      <c r="G48" s="19">
        <v>15.0</v>
      </c>
      <c r="H48" s="19">
        <v>23.0</v>
      </c>
      <c r="I48" s="19">
        <v>18.0</v>
      </c>
      <c r="J48" s="19">
        <v>28.0</v>
      </c>
      <c r="K48" s="19">
        <v>26.0</v>
      </c>
      <c r="L48" s="19">
        <v>19.0</v>
      </c>
      <c r="M48" s="19">
        <v>25.0</v>
      </c>
      <c r="N48" s="19">
        <v>31.0</v>
      </c>
      <c r="O48" s="19">
        <v>20.0</v>
      </c>
      <c r="P48" s="19">
        <v>17.0</v>
      </c>
      <c r="Q48" s="19">
        <v>27.0</v>
      </c>
      <c r="R48" s="19">
        <v>9.0</v>
      </c>
      <c r="S48" s="19">
        <v>24.0</v>
      </c>
      <c r="T48" s="19">
        <v>14.0</v>
      </c>
      <c r="U48" s="13">
        <f t="shared" si="14"/>
        <v>341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32.0</v>
      </c>
      <c r="F49" s="19">
        <v>19.0</v>
      </c>
      <c r="G49" s="19">
        <v>11.0</v>
      </c>
      <c r="H49" s="19">
        <v>25.0</v>
      </c>
      <c r="I49" s="19">
        <v>31.0</v>
      </c>
      <c r="J49" s="19">
        <v>15.0</v>
      </c>
      <c r="K49" s="19">
        <v>45.0</v>
      </c>
      <c r="L49" s="19">
        <v>22.0</v>
      </c>
      <c r="M49" s="19">
        <v>13.0</v>
      </c>
      <c r="N49" s="19">
        <v>23.0</v>
      </c>
      <c r="O49" s="19">
        <v>33.0</v>
      </c>
      <c r="P49" s="19">
        <v>22.0</v>
      </c>
      <c r="Q49" s="19">
        <v>29.0</v>
      </c>
      <c r="R49" s="19">
        <v>16.0</v>
      </c>
      <c r="S49" s="19">
        <v>28.0</v>
      </c>
      <c r="T49" s="19">
        <v>21.0</v>
      </c>
      <c r="U49" s="13">
        <f t="shared" si="14"/>
        <v>385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23.0</v>
      </c>
      <c r="F50" s="19">
        <v>13.0</v>
      </c>
      <c r="G50" s="19">
        <v>16.0</v>
      </c>
      <c r="H50" s="19">
        <v>7.0</v>
      </c>
      <c r="I50" s="19">
        <v>18.0</v>
      </c>
      <c r="J50" s="19">
        <v>14.0</v>
      </c>
      <c r="K50" s="19">
        <v>7.0</v>
      </c>
      <c r="L50" s="19">
        <v>8.0</v>
      </c>
      <c r="M50" s="19">
        <v>13.0</v>
      </c>
      <c r="N50" s="19">
        <v>7.0</v>
      </c>
      <c r="O50" s="19">
        <v>14.0</v>
      </c>
      <c r="P50" s="19">
        <v>11.0</v>
      </c>
      <c r="Q50" s="19">
        <v>21.0</v>
      </c>
      <c r="R50" s="19">
        <v>14.0</v>
      </c>
      <c r="S50" s="19">
        <v>13.0</v>
      </c>
      <c r="T50" s="19">
        <v>6.0</v>
      </c>
      <c r="U50" s="13">
        <f t="shared" si="14"/>
        <v>205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0.0</v>
      </c>
      <c r="F51" s="19">
        <v>4.0</v>
      </c>
      <c r="G51" s="19">
        <v>5.0</v>
      </c>
      <c r="H51" s="19">
        <v>0.0</v>
      </c>
      <c r="I51" s="19">
        <v>4.0</v>
      </c>
      <c r="J51" s="19">
        <v>2.0</v>
      </c>
      <c r="K51" s="19">
        <v>1.0</v>
      </c>
      <c r="L51" s="19">
        <v>0.0</v>
      </c>
      <c r="M51" s="19">
        <v>2.0</v>
      </c>
      <c r="N51" s="19">
        <v>7.0</v>
      </c>
      <c r="O51" s="19">
        <v>3.0</v>
      </c>
      <c r="P51" s="19">
        <v>1.0</v>
      </c>
      <c r="Q51" s="19">
        <v>4.0</v>
      </c>
      <c r="R51" s="19">
        <v>1.0</v>
      </c>
      <c r="S51" s="19">
        <v>1.0</v>
      </c>
      <c r="T51" s="19">
        <v>5.0</v>
      </c>
      <c r="U51" s="13">
        <f t="shared" si="14"/>
        <v>40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8.0</v>
      </c>
      <c r="F52" s="19">
        <v>3.0</v>
      </c>
      <c r="G52" s="19">
        <v>8.0</v>
      </c>
      <c r="H52" s="19">
        <v>4.0</v>
      </c>
      <c r="I52" s="19">
        <v>6.0</v>
      </c>
      <c r="J52" s="19">
        <v>9.0</v>
      </c>
      <c r="K52" s="19">
        <v>1.0</v>
      </c>
      <c r="L52" s="19">
        <v>3.0</v>
      </c>
      <c r="M52" s="19">
        <v>6.0</v>
      </c>
      <c r="N52" s="19">
        <v>8.0</v>
      </c>
      <c r="O52" s="19">
        <v>5.0</v>
      </c>
      <c r="P52" s="19">
        <v>4.0</v>
      </c>
      <c r="Q52" s="19">
        <v>4.0</v>
      </c>
      <c r="R52" s="19">
        <v>1.0</v>
      </c>
      <c r="S52" s="19">
        <v>5.0</v>
      </c>
      <c r="T52" s="19">
        <v>3.0</v>
      </c>
      <c r="U52" s="13">
        <f t="shared" si="14"/>
        <v>78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2.0</v>
      </c>
      <c r="F53" s="19">
        <v>2.0</v>
      </c>
      <c r="G53" s="19">
        <v>0.0</v>
      </c>
      <c r="H53" s="19">
        <v>0.0</v>
      </c>
      <c r="I53" s="19">
        <v>4.0</v>
      </c>
      <c r="J53" s="19">
        <v>1.0</v>
      </c>
      <c r="K53" s="19">
        <v>1.0</v>
      </c>
      <c r="L53" s="19">
        <v>0.0</v>
      </c>
      <c r="M53" s="19">
        <v>0.0</v>
      </c>
      <c r="N53" s="19">
        <v>3.0</v>
      </c>
      <c r="O53" s="19">
        <v>0.0</v>
      </c>
      <c r="P53" s="19">
        <v>0.0</v>
      </c>
      <c r="Q53" s="19">
        <v>2.0</v>
      </c>
      <c r="R53" s="19">
        <v>1.0</v>
      </c>
      <c r="S53" s="19">
        <v>4.0</v>
      </c>
      <c r="T53" s="19">
        <v>1.0</v>
      </c>
      <c r="U53" s="13">
        <f t="shared" si="14"/>
        <v>21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21.0</v>
      </c>
      <c r="F54" s="19">
        <v>32.0</v>
      </c>
      <c r="G54" s="19">
        <v>31.0</v>
      </c>
      <c r="H54" s="19">
        <v>30.0</v>
      </c>
      <c r="I54" s="19">
        <v>24.0</v>
      </c>
      <c r="J54" s="19">
        <v>28.0</v>
      </c>
      <c r="K54" s="19">
        <v>17.0</v>
      </c>
      <c r="L54" s="19">
        <v>25.0</v>
      </c>
      <c r="M54" s="19">
        <v>26.0</v>
      </c>
      <c r="N54" s="19">
        <v>25.0</v>
      </c>
      <c r="O54" s="19">
        <v>22.0</v>
      </c>
      <c r="P54" s="19">
        <v>24.0</v>
      </c>
      <c r="Q54" s="19">
        <v>12.0</v>
      </c>
      <c r="R54" s="19">
        <v>10.0</v>
      </c>
      <c r="S54" s="19">
        <v>28.0</v>
      </c>
      <c r="T54" s="19">
        <v>21.0</v>
      </c>
      <c r="U54" s="13">
        <f t="shared" si="14"/>
        <v>376</v>
      </c>
    </row>
    <row r="55" ht="12.75" customHeight="1">
      <c r="A55" s="18"/>
      <c r="B55" s="47" t="s">
        <v>54</v>
      </c>
      <c r="C55" s="61" t="s">
        <v>55</v>
      </c>
      <c r="D55" s="16"/>
      <c r="E55" s="19">
        <v>3.0</v>
      </c>
      <c r="F55" s="19">
        <v>3.0</v>
      </c>
      <c r="G55" s="19">
        <v>1.0</v>
      </c>
      <c r="H55" s="19">
        <v>1.0</v>
      </c>
      <c r="I55" s="19">
        <v>4.0</v>
      </c>
      <c r="J55" s="19">
        <v>5.0</v>
      </c>
      <c r="K55" s="19">
        <v>3.0</v>
      </c>
      <c r="L55" s="19">
        <v>1.0</v>
      </c>
      <c r="M55" s="19">
        <v>0.0</v>
      </c>
      <c r="N55" s="19">
        <v>3.0</v>
      </c>
      <c r="O55" s="19">
        <v>0.0</v>
      </c>
      <c r="P55" s="19">
        <v>3.0</v>
      </c>
      <c r="Q55" s="19">
        <v>1.0</v>
      </c>
      <c r="R55" s="19">
        <v>5.0</v>
      </c>
      <c r="S55" s="19">
        <v>2.0</v>
      </c>
      <c r="T55" s="19">
        <v>3.0</v>
      </c>
      <c r="U55" s="13">
        <f t="shared" si="14"/>
        <v>38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13.0</v>
      </c>
      <c r="F56" s="19">
        <v>20.0</v>
      </c>
      <c r="G56" s="19">
        <v>22.0</v>
      </c>
      <c r="H56" s="19">
        <v>24.0</v>
      </c>
      <c r="I56" s="19">
        <v>20.0</v>
      </c>
      <c r="J56" s="19">
        <v>18.0</v>
      </c>
      <c r="K56" s="19">
        <v>22.0</v>
      </c>
      <c r="L56" s="19">
        <v>18.0</v>
      </c>
      <c r="M56" s="19">
        <v>14.0</v>
      </c>
      <c r="N56" s="19">
        <v>17.0</v>
      </c>
      <c r="O56" s="19">
        <v>8.0</v>
      </c>
      <c r="P56" s="19">
        <v>9.0</v>
      </c>
      <c r="Q56" s="19">
        <v>14.0</v>
      </c>
      <c r="R56" s="19">
        <v>6.0</v>
      </c>
      <c r="S56" s="19">
        <v>24.0</v>
      </c>
      <c r="T56" s="19">
        <v>11.0</v>
      </c>
      <c r="U56" s="13">
        <f t="shared" si="14"/>
        <v>260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4.0</v>
      </c>
      <c r="F57" s="19">
        <v>2.0</v>
      </c>
      <c r="G57" s="19">
        <v>1.0</v>
      </c>
      <c r="H57" s="19">
        <v>3.0</v>
      </c>
      <c r="I57" s="19">
        <v>5.0</v>
      </c>
      <c r="J57" s="19">
        <v>4.0</v>
      </c>
      <c r="K57" s="19">
        <v>3.0</v>
      </c>
      <c r="L57" s="19">
        <v>0.0</v>
      </c>
      <c r="M57" s="19">
        <v>3.0</v>
      </c>
      <c r="N57" s="19">
        <v>4.0</v>
      </c>
      <c r="O57" s="19">
        <v>2.0</v>
      </c>
      <c r="P57" s="19">
        <v>5.0</v>
      </c>
      <c r="Q57" s="19">
        <v>3.0</v>
      </c>
      <c r="R57" s="19">
        <v>1.0</v>
      </c>
      <c r="S57" s="19">
        <v>6.0</v>
      </c>
      <c r="T57" s="19">
        <v>3.0</v>
      </c>
      <c r="U57" s="13">
        <f t="shared" si="14"/>
        <v>49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60"/>
      <c r="U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T60" si="15">SUM(E45:E57)</f>
        <v>175</v>
      </c>
      <c r="F60" s="19">
        <f t="shared" si="15"/>
        <v>164</v>
      </c>
      <c r="G60" s="19">
        <f t="shared" si="15"/>
        <v>150</v>
      </c>
      <c r="H60" s="19">
        <f t="shared" si="15"/>
        <v>168</v>
      </c>
      <c r="I60" s="19">
        <f t="shared" si="15"/>
        <v>199</v>
      </c>
      <c r="J60" s="19">
        <f t="shared" si="15"/>
        <v>184</v>
      </c>
      <c r="K60" s="19">
        <f t="shared" si="15"/>
        <v>186</v>
      </c>
      <c r="L60" s="19">
        <f t="shared" si="15"/>
        <v>148</v>
      </c>
      <c r="M60" s="19">
        <f t="shared" si="15"/>
        <v>126</v>
      </c>
      <c r="N60" s="19">
        <f t="shared" si="15"/>
        <v>206</v>
      </c>
      <c r="O60" s="19">
        <f t="shared" si="15"/>
        <v>142</v>
      </c>
      <c r="P60" s="19">
        <f t="shared" si="15"/>
        <v>142</v>
      </c>
      <c r="Q60" s="19">
        <f t="shared" si="15"/>
        <v>168</v>
      </c>
      <c r="R60" s="19">
        <f t="shared" si="15"/>
        <v>96</v>
      </c>
      <c r="S60" s="19">
        <f t="shared" si="15"/>
        <v>183</v>
      </c>
      <c r="T60" s="19">
        <f t="shared" si="15"/>
        <v>142</v>
      </c>
      <c r="U60" s="13">
        <f t="shared" ref="U60:U62" si="16">SUM(E60:T60)</f>
        <v>2579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41.0</v>
      </c>
      <c r="F61" s="19">
        <v>64.0</v>
      </c>
      <c r="G61" s="19">
        <v>63.0</v>
      </c>
      <c r="H61" s="19">
        <v>55.0</v>
      </c>
      <c r="I61" s="19">
        <v>37.0</v>
      </c>
      <c r="J61" s="19">
        <v>59.0</v>
      </c>
      <c r="K61" s="19">
        <v>50.0</v>
      </c>
      <c r="L61" s="19">
        <v>59.0</v>
      </c>
      <c r="M61" s="19">
        <v>27.0</v>
      </c>
      <c r="N61" s="19">
        <v>37.0</v>
      </c>
      <c r="O61" s="19">
        <v>39.0</v>
      </c>
      <c r="P61" s="19">
        <v>48.0</v>
      </c>
      <c r="Q61" s="19">
        <v>45.0</v>
      </c>
      <c r="R61" s="19">
        <v>84.0</v>
      </c>
      <c r="S61" s="19">
        <v>52.0</v>
      </c>
      <c r="T61" s="19">
        <v>37.0</v>
      </c>
      <c r="U61" s="13">
        <f t="shared" si="16"/>
        <v>797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T62" si="17">SUM(E60:E61)</f>
        <v>216</v>
      </c>
      <c r="F62" s="13">
        <f t="shared" si="17"/>
        <v>228</v>
      </c>
      <c r="G62" s="13">
        <f t="shared" si="17"/>
        <v>213</v>
      </c>
      <c r="H62" s="13">
        <f t="shared" si="17"/>
        <v>223</v>
      </c>
      <c r="I62" s="13">
        <f t="shared" si="17"/>
        <v>236</v>
      </c>
      <c r="J62" s="13">
        <f t="shared" si="17"/>
        <v>243</v>
      </c>
      <c r="K62" s="13">
        <f t="shared" si="17"/>
        <v>236</v>
      </c>
      <c r="L62" s="13">
        <f t="shared" si="17"/>
        <v>207</v>
      </c>
      <c r="M62" s="13">
        <f t="shared" si="17"/>
        <v>153</v>
      </c>
      <c r="N62" s="13">
        <f t="shared" si="17"/>
        <v>243</v>
      </c>
      <c r="O62" s="13">
        <f t="shared" si="17"/>
        <v>181</v>
      </c>
      <c r="P62" s="13">
        <f t="shared" si="17"/>
        <v>190</v>
      </c>
      <c r="Q62" s="13">
        <f t="shared" si="17"/>
        <v>213</v>
      </c>
      <c r="R62" s="13">
        <f t="shared" si="17"/>
        <v>180</v>
      </c>
      <c r="S62" s="13">
        <f t="shared" si="17"/>
        <v>235</v>
      </c>
      <c r="T62" s="13">
        <f t="shared" si="17"/>
        <v>179</v>
      </c>
      <c r="U62" s="13">
        <f t="shared" si="16"/>
        <v>3376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T15 E45:T57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E30&lt;&gt;E46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E34&lt;&gt;#REF!</formula>
    </cfRule>
  </conditionalFormatting>
  <conditionalFormatting sqref="E60:T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86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87</v>
      </c>
      <c r="V13" s="13" t="s">
        <v>88</v>
      </c>
      <c r="W13" s="13" t="s">
        <v>89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149.0</v>
      </c>
      <c r="G14" s="19">
        <v>130.0</v>
      </c>
      <c r="H14" s="19">
        <v>134.0</v>
      </c>
      <c r="I14" s="19">
        <v>135.0</v>
      </c>
      <c r="J14" s="19">
        <v>130.0</v>
      </c>
      <c r="K14" s="19">
        <v>140.0</v>
      </c>
      <c r="L14" s="19">
        <v>132.0</v>
      </c>
      <c r="M14" s="19">
        <v>136.0</v>
      </c>
      <c r="N14" s="19">
        <v>154.0</v>
      </c>
      <c r="O14" s="19">
        <v>124.0</v>
      </c>
      <c r="P14" s="19">
        <v>111.0</v>
      </c>
      <c r="Q14" s="19">
        <v>113.0</v>
      </c>
      <c r="R14" s="19">
        <v>137.0</v>
      </c>
      <c r="S14" s="19">
        <v>97.0</v>
      </c>
      <c r="T14" s="19">
        <v>116.0</v>
      </c>
      <c r="U14" s="19">
        <v>119.0</v>
      </c>
      <c r="V14" s="19">
        <v>119.0</v>
      </c>
      <c r="W14" s="19">
        <v>135.0</v>
      </c>
      <c r="X14" s="13">
        <f t="shared" ref="X14:X16" si="1">SUM(E14:W14)</f>
        <v>2451</v>
      </c>
    </row>
    <row r="15" ht="12.75" customHeight="1">
      <c r="A15" s="18"/>
      <c r="B15" s="26"/>
      <c r="C15" s="27"/>
      <c r="D15" s="19" t="s">
        <v>13</v>
      </c>
      <c r="E15" s="19">
        <v>154.0</v>
      </c>
      <c r="F15" s="19">
        <v>139.0</v>
      </c>
      <c r="G15" s="19">
        <v>149.0</v>
      </c>
      <c r="H15" s="19">
        <v>149.0</v>
      </c>
      <c r="I15" s="19">
        <v>147.0</v>
      </c>
      <c r="J15" s="19">
        <v>152.0</v>
      </c>
      <c r="K15" s="19">
        <v>146.0</v>
      </c>
      <c r="L15" s="19">
        <v>155.0</v>
      </c>
      <c r="M15" s="19">
        <v>152.0</v>
      </c>
      <c r="N15" s="19">
        <v>144.0</v>
      </c>
      <c r="O15" s="19">
        <v>140.0</v>
      </c>
      <c r="P15" s="19">
        <v>118.0</v>
      </c>
      <c r="Q15" s="19">
        <v>120.0</v>
      </c>
      <c r="R15" s="19">
        <v>136.0</v>
      </c>
      <c r="S15" s="19">
        <v>114.0</v>
      </c>
      <c r="T15" s="19">
        <v>117.0</v>
      </c>
      <c r="U15" s="19">
        <v>113.0</v>
      </c>
      <c r="V15" s="19">
        <v>124.0</v>
      </c>
      <c r="W15" s="19">
        <v>153.0</v>
      </c>
      <c r="X15" s="13">
        <f t="shared" si="1"/>
        <v>2622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294</v>
      </c>
      <c r="F16" s="13">
        <f t="shared" si="2"/>
        <v>288</v>
      </c>
      <c r="G16" s="13">
        <f t="shared" si="2"/>
        <v>279</v>
      </c>
      <c r="H16" s="13">
        <f t="shared" si="2"/>
        <v>283</v>
      </c>
      <c r="I16" s="13">
        <f t="shared" si="2"/>
        <v>282</v>
      </c>
      <c r="J16" s="13">
        <f t="shared" si="2"/>
        <v>282</v>
      </c>
      <c r="K16" s="13">
        <f t="shared" si="2"/>
        <v>286</v>
      </c>
      <c r="L16" s="13">
        <f t="shared" si="2"/>
        <v>287</v>
      </c>
      <c r="M16" s="13">
        <f t="shared" si="2"/>
        <v>288</v>
      </c>
      <c r="N16" s="13">
        <f t="shared" si="2"/>
        <v>298</v>
      </c>
      <c r="O16" s="13">
        <f t="shared" si="2"/>
        <v>264</v>
      </c>
      <c r="P16" s="13">
        <f t="shared" si="2"/>
        <v>229</v>
      </c>
      <c r="Q16" s="13">
        <f t="shared" si="2"/>
        <v>233</v>
      </c>
      <c r="R16" s="13">
        <f t="shared" si="2"/>
        <v>273</v>
      </c>
      <c r="S16" s="13">
        <f t="shared" si="2"/>
        <v>211</v>
      </c>
      <c r="T16" s="13">
        <f t="shared" si="2"/>
        <v>233</v>
      </c>
      <c r="U16" s="13">
        <f t="shared" si="2"/>
        <v>232</v>
      </c>
      <c r="V16" s="13">
        <f t="shared" si="2"/>
        <v>243</v>
      </c>
      <c r="W16" s="13">
        <f t="shared" si="2"/>
        <v>288</v>
      </c>
      <c r="X16" s="13">
        <f t="shared" si="1"/>
        <v>5073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110.0</v>
      </c>
      <c r="F19" s="19">
        <v>108.0</v>
      </c>
      <c r="G19" s="19">
        <v>103.0</v>
      </c>
      <c r="H19" s="19">
        <v>106.0</v>
      </c>
      <c r="I19" s="19">
        <v>108.0</v>
      </c>
      <c r="J19" s="19">
        <v>96.0</v>
      </c>
      <c r="K19" s="19">
        <v>108.0</v>
      </c>
      <c r="L19" s="19">
        <v>83.0</v>
      </c>
      <c r="M19" s="19">
        <v>115.0</v>
      </c>
      <c r="N19" s="19">
        <v>120.0</v>
      </c>
      <c r="O19" s="19">
        <v>101.0</v>
      </c>
      <c r="P19" s="19">
        <v>91.0</v>
      </c>
      <c r="Q19" s="19">
        <v>92.0</v>
      </c>
      <c r="R19" s="19">
        <v>99.0</v>
      </c>
      <c r="S19" s="19">
        <v>80.0</v>
      </c>
      <c r="T19" s="19">
        <v>87.0</v>
      </c>
      <c r="U19" s="19">
        <v>106.0</v>
      </c>
      <c r="V19" s="19">
        <v>94.0</v>
      </c>
      <c r="W19" s="19">
        <v>100.0</v>
      </c>
      <c r="X19" s="13">
        <f t="shared" ref="X19:X30" si="3">SUM(E19:W19)</f>
        <v>1907</v>
      </c>
    </row>
    <row r="20" ht="12.75" customHeight="1">
      <c r="A20" s="33"/>
      <c r="B20" s="27"/>
      <c r="C20" s="34"/>
      <c r="D20" s="19" t="s">
        <v>13</v>
      </c>
      <c r="E20" s="19">
        <v>125.0</v>
      </c>
      <c r="F20" s="19">
        <v>115.0</v>
      </c>
      <c r="G20" s="19">
        <v>118.0</v>
      </c>
      <c r="H20" s="19">
        <v>107.0</v>
      </c>
      <c r="I20" s="19">
        <v>120.0</v>
      </c>
      <c r="J20" s="19">
        <v>122.0</v>
      </c>
      <c r="K20" s="19">
        <v>132.0</v>
      </c>
      <c r="L20" s="19">
        <v>119.0</v>
      </c>
      <c r="M20" s="19">
        <v>125.0</v>
      </c>
      <c r="N20" s="19">
        <v>117.0</v>
      </c>
      <c r="O20" s="19">
        <v>120.0</v>
      </c>
      <c r="P20" s="19">
        <v>104.0</v>
      </c>
      <c r="Q20" s="19">
        <v>99.0</v>
      </c>
      <c r="R20" s="19">
        <v>115.0</v>
      </c>
      <c r="S20" s="19">
        <v>95.0</v>
      </c>
      <c r="T20" s="19">
        <v>101.0</v>
      </c>
      <c r="U20" s="19">
        <v>104.0</v>
      </c>
      <c r="V20" s="19">
        <v>105.0</v>
      </c>
      <c r="W20" s="19">
        <v>129.0</v>
      </c>
      <c r="X20" s="13">
        <f t="shared" si="3"/>
        <v>2172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235</v>
      </c>
      <c r="F21" s="13">
        <f t="shared" si="4"/>
        <v>223</v>
      </c>
      <c r="G21" s="13">
        <f t="shared" si="4"/>
        <v>221</v>
      </c>
      <c r="H21" s="13">
        <f t="shared" si="4"/>
        <v>213</v>
      </c>
      <c r="I21" s="13">
        <f t="shared" si="4"/>
        <v>228</v>
      </c>
      <c r="J21" s="13">
        <f t="shared" si="4"/>
        <v>218</v>
      </c>
      <c r="K21" s="13">
        <f t="shared" si="4"/>
        <v>240</v>
      </c>
      <c r="L21" s="13">
        <f t="shared" si="4"/>
        <v>202</v>
      </c>
      <c r="M21" s="13">
        <f t="shared" si="4"/>
        <v>240</v>
      </c>
      <c r="N21" s="13">
        <f t="shared" si="4"/>
        <v>237</v>
      </c>
      <c r="O21" s="13">
        <f t="shared" si="4"/>
        <v>221</v>
      </c>
      <c r="P21" s="13">
        <f t="shared" si="4"/>
        <v>195</v>
      </c>
      <c r="Q21" s="13">
        <f t="shared" si="4"/>
        <v>191</v>
      </c>
      <c r="R21" s="13">
        <f t="shared" si="4"/>
        <v>214</v>
      </c>
      <c r="S21" s="13">
        <f t="shared" si="4"/>
        <v>175</v>
      </c>
      <c r="T21" s="13">
        <f t="shared" si="4"/>
        <v>188</v>
      </c>
      <c r="U21" s="13">
        <f t="shared" si="4"/>
        <v>210</v>
      </c>
      <c r="V21" s="13">
        <f t="shared" si="4"/>
        <v>199</v>
      </c>
      <c r="W21" s="13">
        <f t="shared" si="4"/>
        <v>229</v>
      </c>
      <c r="X21" s="13">
        <f t="shared" si="3"/>
        <v>4079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4.0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1.0</v>
      </c>
      <c r="X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3.0</v>
      </c>
      <c r="H23" s="19">
        <v>0.0</v>
      </c>
      <c r="I23" s="19">
        <v>0.0</v>
      </c>
      <c r="J23" s="19">
        <v>1.0</v>
      </c>
      <c r="K23" s="19">
        <v>0.0</v>
      </c>
      <c r="L23" s="19">
        <v>2.0</v>
      </c>
      <c r="M23" s="19">
        <v>0.0</v>
      </c>
      <c r="N23" s="19">
        <v>1.0</v>
      </c>
      <c r="O23" s="19">
        <v>1.0</v>
      </c>
      <c r="P23" s="19">
        <v>0.0</v>
      </c>
      <c r="Q23" s="19">
        <v>1.0</v>
      </c>
      <c r="R23" s="19">
        <v>2.0</v>
      </c>
      <c r="S23" s="19">
        <v>1.0</v>
      </c>
      <c r="T23" s="19">
        <v>0.0</v>
      </c>
      <c r="U23" s="19">
        <v>1.0</v>
      </c>
      <c r="V23" s="19">
        <v>0.0</v>
      </c>
      <c r="W23" s="19">
        <v>2.0</v>
      </c>
      <c r="X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7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3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2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3</v>
      </c>
      <c r="X24" s="13">
        <f t="shared" si="3"/>
        <v>22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/>
      <c r="G25" s="19"/>
      <c r="H25" s="19"/>
      <c r="I25" s="19">
        <v>2.0</v>
      </c>
      <c r="J25" s="19"/>
      <c r="K25" s="19">
        <v>3.0</v>
      </c>
      <c r="L25" s="19">
        <v>2.0</v>
      </c>
      <c r="M25" s="19">
        <v>1.0</v>
      </c>
      <c r="N25" s="19">
        <v>3.0</v>
      </c>
      <c r="O25" s="19"/>
      <c r="P25" s="19"/>
      <c r="Q25" s="19"/>
      <c r="R25" s="19">
        <v>1.0</v>
      </c>
      <c r="S25" s="19">
        <v>2.0</v>
      </c>
      <c r="T25" s="19"/>
      <c r="U25" s="19">
        <v>2.0</v>
      </c>
      <c r="V25" s="19"/>
      <c r="W25" s="19"/>
      <c r="X25" s="13">
        <f t="shared" si="3"/>
        <v>17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/>
      <c r="G26" s="19"/>
      <c r="H26" s="19">
        <v>1.0</v>
      </c>
      <c r="I26" s="19">
        <v>1.0</v>
      </c>
      <c r="J26" s="19">
        <v>3.0</v>
      </c>
      <c r="K26" s="19">
        <v>2.0</v>
      </c>
      <c r="L26" s="19">
        <v>6.0</v>
      </c>
      <c r="M26" s="19">
        <v>1.0</v>
      </c>
      <c r="N26" s="19">
        <v>2.0</v>
      </c>
      <c r="O26" s="19">
        <v>1.0</v>
      </c>
      <c r="P26" s="19"/>
      <c r="Q26" s="19">
        <v>2.0</v>
      </c>
      <c r="R26" s="19">
        <v>2.0</v>
      </c>
      <c r="S26" s="19">
        <v>3.0</v>
      </c>
      <c r="T26" s="19"/>
      <c r="U26" s="19">
        <v>5.0</v>
      </c>
      <c r="V26" s="19">
        <v>1.0</v>
      </c>
      <c r="W26" s="19">
        <v>1.0</v>
      </c>
      <c r="X26" s="13">
        <f t="shared" si="3"/>
        <v>32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3</v>
      </c>
      <c r="J27" s="13">
        <f t="shared" si="6"/>
        <v>3</v>
      </c>
      <c r="K27" s="13">
        <f t="shared" si="6"/>
        <v>5</v>
      </c>
      <c r="L27" s="13">
        <f t="shared" si="6"/>
        <v>8</v>
      </c>
      <c r="M27" s="13">
        <f t="shared" si="6"/>
        <v>2</v>
      </c>
      <c r="N27" s="13">
        <f t="shared" si="6"/>
        <v>5</v>
      </c>
      <c r="O27" s="13">
        <f t="shared" si="6"/>
        <v>1</v>
      </c>
      <c r="P27" s="13">
        <f t="shared" si="6"/>
        <v>0</v>
      </c>
      <c r="Q27" s="13">
        <f t="shared" si="6"/>
        <v>2</v>
      </c>
      <c r="R27" s="13">
        <f t="shared" si="6"/>
        <v>3</v>
      </c>
      <c r="S27" s="13">
        <f t="shared" si="6"/>
        <v>5</v>
      </c>
      <c r="T27" s="13">
        <f t="shared" si="6"/>
        <v>0</v>
      </c>
      <c r="U27" s="13">
        <f t="shared" si="6"/>
        <v>7</v>
      </c>
      <c r="V27" s="13">
        <f t="shared" si="6"/>
        <v>1</v>
      </c>
      <c r="W27" s="13">
        <f t="shared" si="6"/>
        <v>1</v>
      </c>
      <c r="X27" s="13">
        <f t="shared" si="3"/>
        <v>49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111</v>
      </c>
      <c r="F28" s="13">
        <f t="shared" si="7"/>
        <v>108</v>
      </c>
      <c r="G28" s="13">
        <f t="shared" si="7"/>
        <v>107</v>
      </c>
      <c r="H28" s="13">
        <f t="shared" si="7"/>
        <v>106</v>
      </c>
      <c r="I28" s="13">
        <f t="shared" si="7"/>
        <v>110</v>
      </c>
      <c r="J28" s="13">
        <f t="shared" si="7"/>
        <v>96</v>
      </c>
      <c r="K28" s="13">
        <f t="shared" si="7"/>
        <v>111</v>
      </c>
      <c r="L28" s="13">
        <f t="shared" si="7"/>
        <v>86</v>
      </c>
      <c r="M28" s="13">
        <f t="shared" si="7"/>
        <v>116</v>
      </c>
      <c r="N28" s="13">
        <f t="shared" si="7"/>
        <v>123</v>
      </c>
      <c r="O28" s="13">
        <f t="shared" si="7"/>
        <v>101</v>
      </c>
      <c r="P28" s="13">
        <f t="shared" si="7"/>
        <v>91</v>
      </c>
      <c r="Q28" s="13">
        <f t="shared" si="7"/>
        <v>92</v>
      </c>
      <c r="R28" s="13">
        <f t="shared" si="7"/>
        <v>100</v>
      </c>
      <c r="S28" s="13">
        <f t="shared" si="7"/>
        <v>82</v>
      </c>
      <c r="T28" s="13">
        <f t="shared" si="7"/>
        <v>87</v>
      </c>
      <c r="U28" s="13">
        <f t="shared" si="7"/>
        <v>109</v>
      </c>
      <c r="V28" s="13">
        <f t="shared" si="7"/>
        <v>94</v>
      </c>
      <c r="W28" s="13">
        <f t="shared" si="7"/>
        <v>101</v>
      </c>
      <c r="X28" s="13">
        <f t="shared" si="3"/>
        <v>1931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126</v>
      </c>
      <c r="F29" s="13">
        <f t="shared" si="8"/>
        <v>115</v>
      </c>
      <c r="G29" s="13">
        <f t="shared" si="8"/>
        <v>121</v>
      </c>
      <c r="H29" s="13">
        <f t="shared" si="8"/>
        <v>108</v>
      </c>
      <c r="I29" s="13">
        <f t="shared" si="8"/>
        <v>121</v>
      </c>
      <c r="J29" s="13">
        <f t="shared" si="8"/>
        <v>126</v>
      </c>
      <c r="K29" s="13">
        <f t="shared" si="8"/>
        <v>134</v>
      </c>
      <c r="L29" s="13">
        <f t="shared" si="8"/>
        <v>127</v>
      </c>
      <c r="M29" s="13">
        <f t="shared" si="8"/>
        <v>126</v>
      </c>
      <c r="N29" s="13">
        <f t="shared" si="8"/>
        <v>120</v>
      </c>
      <c r="O29" s="13">
        <f t="shared" si="8"/>
        <v>122</v>
      </c>
      <c r="P29" s="13">
        <f t="shared" si="8"/>
        <v>104</v>
      </c>
      <c r="Q29" s="13">
        <f t="shared" si="8"/>
        <v>102</v>
      </c>
      <c r="R29" s="13">
        <f t="shared" si="8"/>
        <v>119</v>
      </c>
      <c r="S29" s="13">
        <f t="shared" si="8"/>
        <v>99</v>
      </c>
      <c r="T29" s="13">
        <f t="shared" si="8"/>
        <v>101</v>
      </c>
      <c r="U29" s="13">
        <f t="shared" si="8"/>
        <v>110</v>
      </c>
      <c r="V29" s="13">
        <f t="shared" si="8"/>
        <v>106</v>
      </c>
      <c r="W29" s="13">
        <f t="shared" si="8"/>
        <v>132</v>
      </c>
      <c r="X29" s="13">
        <f t="shared" si="3"/>
        <v>2219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237</v>
      </c>
      <c r="F30" s="13">
        <f t="shared" si="9"/>
        <v>223</v>
      </c>
      <c r="G30" s="13">
        <f t="shared" si="9"/>
        <v>228</v>
      </c>
      <c r="H30" s="13">
        <f t="shared" si="9"/>
        <v>214</v>
      </c>
      <c r="I30" s="13">
        <f t="shared" si="9"/>
        <v>231</v>
      </c>
      <c r="J30" s="13">
        <f t="shared" si="9"/>
        <v>222</v>
      </c>
      <c r="K30" s="13">
        <f t="shared" si="9"/>
        <v>245</v>
      </c>
      <c r="L30" s="13">
        <f t="shared" si="9"/>
        <v>213</v>
      </c>
      <c r="M30" s="13">
        <f t="shared" si="9"/>
        <v>242</v>
      </c>
      <c r="N30" s="13">
        <f t="shared" si="9"/>
        <v>243</v>
      </c>
      <c r="O30" s="13">
        <f t="shared" si="9"/>
        <v>223</v>
      </c>
      <c r="P30" s="13">
        <f t="shared" si="9"/>
        <v>195</v>
      </c>
      <c r="Q30" s="13">
        <f t="shared" si="9"/>
        <v>194</v>
      </c>
      <c r="R30" s="13">
        <f t="shared" si="9"/>
        <v>219</v>
      </c>
      <c r="S30" s="13">
        <f t="shared" si="9"/>
        <v>181</v>
      </c>
      <c r="T30" s="13">
        <f t="shared" si="9"/>
        <v>188</v>
      </c>
      <c r="U30" s="13">
        <f t="shared" si="9"/>
        <v>219</v>
      </c>
      <c r="V30" s="13">
        <f t="shared" si="9"/>
        <v>200</v>
      </c>
      <c r="W30" s="13">
        <f t="shared" si="9"/>
        <v>233</v>
      </c>
      <c r="X30" s="13">
        <f t="shared" si="3"/>
        <v>4150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59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294.0</v>
      </c>
      <c r="G33" s="19">
        <v>285.0</v>
      </c>
      <c r="H33" s="19">
        <v>289.0</v>
      </c>
      <c r="I33" s="19">
        <v>288.0</v>
      </c>
      <c r="J33" s="19">
        <v>288.0</v>
      </c>
      <c r="K33" s="19">
        <v>292.0</v>
      </c>
      <c r="L33" s="19">
        <v>293.0</v>
      </c>
      <c r="M33" s="19">
        <v>294.0</v>
      </c>
      <c r="N33" s="19">
        <v>304.0</v>
      </c>
      <c r="O33" s="19">
        <v>270.0</v>
      </c>
      <c r="P33" s="19">
        <v>234.0</v>
      </c>
      <c r="Q33" s="19">
        <v>258.0</v>
      </c>
      <c r="R33" s="19">
        <v>279.0</v>
      </c>
      <c r="S33" s="19">
        <v>216.0</v>
      </c>
      <c r="T33" s="19">
        <v>238.0</v>
      </c>
      <c r="U33" s="19">
        <v>237.0</v>
      </c>
      <c r="V33" s="19">
        <v>239.0</v>
      </c>
      <c r="W33" s="19">
        <v>294.0</v>
      </c>
      <c r="X33" s="13">
        <f t="shared" ref="X33:X36" si="10">SUM(E33:W33)</f>
        <v>5192</v>
      </c>
    </row>
    <row r="34" ht="12.75" customHeight="1">
      <c r="A34" s="19">
        <v>2.0</v>
      </c>
      <c r="B34" s="20" t="s">
        <v>28</v>
      </c>
      <c r="C34" s="15"/>
      <c r="D34" s="16"/>
      <c r="E34" s="13">
        <v>237.0</v>
      </c>
      <c r="F34" s="13">
        <v>223.0</v>
      </c>
      <c r="G34" s="13">
        <v>228.0</v>
      </c>
      <c r="H34" s="13">
        <v>214.0</v>
      </c>
      <c r="I34" s="13">
        <v>231.0</v>
      </c>
      <c r="J34" s="13">
        <v>222.0</v>
      </c>
      <c r="K34" s="13">
        <v>245.0</v>
      </c>
      <c r="L34" s="13">
        <v>213.0</v>
      </c>
      <c r="M34" s="13">
        <v>242.0</v>
      </c>
      <c r="N34" s="13">
        <v>243.0</v>
      </c>
      <c r="O34" s="13">
        <v>223.0</v>
      </c>
      <c r="P34" s="13">
        <v>195.0</v>
      </c>
      <c r="Q34" s="13">
        <v>194.0</v>
      </c>
      <c r="R34" s="13">
        <v>219.0</v>
      </c>
      <c r="S34" s="13">
        <v>181.0</v>
      </c>
      <c r="T34" s="13">
        <v>188.0</v>
      </c>
      <c r="U34" s="13">
        <v>219.0</v>
      </c>
      <c r="V34" s="13">
        <v>200.0</v>
      </c>
      <c r="W34" s="13">
        <v>233.0</v>
      </c>
      <c r="X34" s="13">
        <f t="shared" si="10"/>
        <v>4150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63</v>
      </c>
      <c r="F36" s="13">
        <f t="shared" si="11"/>
        <v>70</v>
      </c>
      <c r="G36" s="13">
        <f t="shared" si="11"/>
        <v>57</v>
      </c>
      <c r="H36" s="13">
        <f t="shared" si="11"/>
        <v>75</v>
      </c>
      <c r="I36" s="13">
        <f t="shared" si="11"/>
        <v>57</v>
      </c>
      <c r="J36" s="13">
        <f t="shared" si="11"/>
        <v>66</v>
      </c>
      <c r="K36" s="13">
        <f t="shared" si="11"/>
        <v>47</v>
      </c>
      <c r="L36" s="13">
        <f t="shared" si="11"/>
        <v>80</v>
      </c>
      <c r="M36" s="13">
        <f t="shared" si="11"/>
        <v>52</v>
      </c>
      <c r="N36" s="13">
        <f t="shared" si="11"/>
        <v>61</v>
      </c>
      <c r="O36" s="13">
        <f t="shared" si="11"/>
        <v>47</v>
      </c>
      <c r="P36" s="13">
        <f t="shared" si="11"/>
        <v>39</v>
      </c>
      <c r="Q36" s="13">
        <f t="shared" si="11"/>
        <v>64</v>
      </c>
      <c r="R36" s="13">
        <f t="shared" si="11"/>
        <v>60</v>
      </c>
      <c r="S36" s="13">
        <f t="shared" si="11"/>
        <v>35</v>
      </c>
      <c r="T36" s="13">
        <f t="shared" si="11"/>
        <v>50</v>
      </c>
      <c r="U36" s="13">
        <f t="shared" si="11"/>
        <v>17</v>
      </c>
      <c r="V36" s="13">
        <f t="shared" si="11"/>
        <v>39</v>
      </c>
      <c r="W36" s="13">
        <f t="shared" si="11"/>
        <v>61</v>
      </c>
      <c r="X36" s="13">
        <f t="shared" si="10"/>
        <v>1040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4.0</v>
      </c>
      <c r="H39" s="19"/>
      <c r="I39" s="19"/>
      <c r="J39" s="19"/>
      <c r="K39" s="19">
        <v>2.0</v>
      </c>
      <c r="L39" s="19">
        <v>1.0</v>
      </c>
      <c r="M39" s="19">
        <v>1.0</v>
      </c>
      <c r="N39" s="19"/>
      <c r="O39" s="19"/>
      <c r="P39" s="19"/>
      <c r="Q39" s="19"/>
      <c r="R39" s="19"/>
      <c r="S39" s="19"/>
      <c r="T39" s="19"/>
      <c r="U39" s="19">
        <v>1.0</v>
      </c>
      <c r="V39" s="19"/>
      <c r="W39" s="19"/>
      <c r="X39" s="13">
        <f t="shared" ref="X39:X41" si="12">SUM(E39:W39)</f>
        <v>9</v>
      </c>
    </row>
    <row r="40" ht="12.75" customHeight="1">
      <c r="A40" s="33"/>
      <c r="C40" s="27"/>
      <c r="D40" s="19" t="s">
        <v>13</v>
      </c>
      <c r="E40" s="19"/>
      <c r="F40" s="19"/>
      <c r="G40" s="19">
        <v>3.0</v>
      </c>
      <c r="H40" s="19"/>
      <c r="I40" s="19"/>
      <c r="J40" s="19"/>
      <c r="K40" s="19"/>
      <c r="L40" s="19">
        <v>2.0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7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3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2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13"/>
    </row>
    <row r="45" ht="12.75" customHeight="1">
      <c r="A45" s="30"/>
      <c r="B45" s="47" t="s">
        <v>17</v>
      </c>
      <c r="C45" s="61" t="s">
        <v>38</v>
      </c>
      <c r="D45" s="16"/>
      <c r="E45" s="19">
        <v>8.0</v>
      </c>
      <c r="F45" s="19">
        <v>7.0</v>
      </c>
      <c r="G45" s="19">
        <v>19.0</v>
      </c>
      <c r="H45" s="19">
        <v>10.0</v>
      </c>
      <c r="I45" s="19">
        <v>12.0</v>
      </c>
      <c r="J45" s="19">
        <v>7.0</v>
      </c>
      <c r="K45" s="19">
        <v>13.0</v>
      </c>
      <c r="L45" s="19">
        <v>8.0</v>
      </c>
      <c r="M45" s="19">
        <v>8.0</v>
      </c>
      <c r="N45" s="19">
        <v>12.0</v>
      </c>
      <c r="O45" s="19">
        <v>33.0</v>
      </c>
      <c r="P45" s="19">
        <v>18.0</v>
      </c>
      <c r="Q45" s="19">
        <v>13.0</v>
      </c>
      <c r="R45" s="19">
        <v>22.0</v>
      </c>
      <c r="S45" s="19">
        <v>7.0</v>
      </c>
      <c r="T45" s="19">
        <v>19.0</v>
      </c>
      <c r="U45" s="19">
        <v>9.0</v>
      </c>
      <c r="V45" s="19">
        <v>24.0</v>
      </c>
      <c r="W45" s="19">
        <v>15.0</v>
      </c>
      <c r="X45" s="13">
        <f t="shared" ref="X45:X57" si="14">SUM(E45:W45)</f>
        <v>264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25.0</v>
      </c>
      <c r="F46" s="19">
        <v>29.0</v>
      </c>
      <c r="G46" s="19">
        <v>25.0</v>
      </c>
      <c r="H46" s="19">
        <v>26.0</v>
      </c>
      <c r="I46" s="19">
        <v>27.0</v>
      </c>
      <c r="J46" s="19">
        <v>32.0</v>
      </c>
      <c r="K46" s="19">
        <v>38.0</v>
      </c>
      <c r="L46" s="19">
        <v>25.0</v>
      </c>
      <c r="M46" s="19">
        <v>37.0</v>
      </c>
      <c r="N46" s="19">
        <v>42.0</v>
      </c>
      <c r="O46" s="19">
        <v>17.0</v>
      </c>
      <c r="P46" s="19">
        <v>23.0</v>
      </c>
      <c r="Q46" s="19">
        <v>23.0</v>
      </c>
      <c r="R46" s="19">
        <v>29.0</v>
      </c>
      <c r="S46" s="19">
        <v>40.0</v>
      </c>
      <c r="T46" s="19">
        <v>36.0</v>
      </c>
      <c r="U46" s="19">
        <v>28.0</v>
      </c>
      <c r="V46" s="19">
        <v>29.0</v>
      </c>
      <c r="W46" s="19">
        <v>45.0</v>
      </c>
      <c r="X46" s="13">
        <f t="shared" si="14"/>
        <v>576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18.0</v>
      </c>
      <c r="F47" s="19">
        <v>14.0</v>
      </c>
      <c r="G47" s="19">
        <v>17.0</v>
      </c>
      <c r="H47" s="19">
        <v>14.0</v>
      </c>
      <c r="I47" s="19">
        <v>11.0</v>
      </c>
      <c r="J47" s="19">
        <v>12.0</v>
      </c>
      <c r="K47" s="19">
        <v>15.0</v>
      </c>
      <c r="L47" s="19">
        <v>13.0</v>
      </c>
      <c r="M47" s="19">
        <v>18.0</v>
      </c>
      <c r="N47" s="19">
        <v>19.0</v>
      </c>
      <c r="O47" s="19">
        <v>12.0</v>
      </c>
      <c r="P47" s="19">
        <v>11.0</v>
      </c>
      <c r="Q47" s="19">
        <v>7.0</v>
      </c>
      <c r="R47" s="19">
        <v>15.0</v>
      </c>
      <c r="S47" s="19">
        <v>19.0</v>
      </c>
      <c r="T47" s="19">
        <v>13.0</v>
      </c>
      <c r="U47" s="19">
        <v>23.0</v>
      </c>
      <c r="V47" s="19">
        <v>10.0</v>
      </c>
      <c r="W47" s="19">
        <v>24.0</v>
      </c>
      <c r="X47" s="13">
        <f t="shared" si="14"/>
        <v>285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15.0</v>
      </c>
      <c r="F48" s="19">
        <v>21.0</v>
      </c>
      <c r="G48" s="19">
        <v>11.0</v>
      </c>
      <c r="H48" s="19">
        <v>17.0</v>
      </c>
      <c r="I48" s="19">
        <v>19.0</v>
      </c>
      <c r="J48" s="19">
        <v>19.0</v>
      </c>
      <c r="K48" s="19">
        <v>14.0</v>
      </c>
      <c r="L48" s="19">
        <v>13.0</v>
      </c>
      <c r="M48" s="19">
        <v>12.0</v>
      </c>
      <c r="N48" s="19">
        <v>20.0</v>
      </c>
      <c r="O48" s="19">
        <v>15.0</v>
      </c>
      <c r="P48" s="19">
        <v>21.0</v>
      </c>
      <c r="Q48" s="19">
        <v>13.0</v>
      </c>
      <c r="R48" s="19">
        <v>15.0</v>
      </c>
      <c r="S48" s="19">
        <v>20.0</v>
      </c>
      <c r="T48" s="19">
        <v>16.0</v>
      </c>
      <c r="U48" s="19">
        <v>30.0</v>
      </c>
      <c r="V48" s="19">
        <v>14.0</v>
      </c>
      <c r="W48" s="19">
        <v>29.0</v>
      </c>
      <c r="X48" s="13">
        <f t="shared" si="14"/>
        <v>334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43.0</v>
      </c>
      <c r="F49" s="19">
        <v>68.0</v>
      </c>
      <c r="G49" s="19">
        <v>35.0</v>
      </c>
      <c r="H49" s="19">
        <v>21.0</v>
      </c>
      <c r="I49" s="19">
        <v>39.0</v>
      </c>
      <c r="J49" s="19">
        <v>20.0</v>
      </c>
      <c r="K49" s="19">
        <v>27.0</v>
      </c>
      <c r="L49" s="19">
        <v>26.0</v>
      </c>
      <c r="M49" s="19">
        <v>24.0</v>
      </c>
      <c r="N49" s="19">
        <v>26.0</v>
      </c>
      <c r="O49" s="19">
        <v>18.0</v>
      </c>
      <c r="P49" s="19">
        <v>20.0</v>
      </c>
      <c r="Q49" s="19">
        <v>14.0</v>
      </c>
      <c r="R49" s="19">
        <v>29.0</v>
      </c>
      <c r="S49" s="19">
        <v>12.0</v>
      </c>
      <c r="T49" s="19">
        <v>20.0</v>
      </c>
      <c r="U49" s="19">
        <v>20.0</v>
      </c>
      <c r="V49" s="19">
        <v>12.0</v>
      </c>
      <c r="W49" s="19">
        <v>18.0</v>
      </c>
      <c r="X49" s="13">
        <f t="shared" si="14"/>
        <v>492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12.0</v>
      </c>
      <c r="F50" s="19">
        <v>6.0</v>
      </c>
      <c r="G50" s="19">
        <v>8.0</v>
      </c>
      <c r="H50" s="19">
        <v>7.0</v>
      </c>
      <c r="I50" s="19">
        <v>12.0</v>
      </c>
      <c r="J50" s="19">
        <v>8.0</v>
      </c>
      <c r="K50" s="19">
        <v>16.0</v>
      </c>
      <c r="L50" s="19">
        <v>7.0</v>
      </c>
      <c r="M50" s="19">
        <v>14.0</v>
      </c>
      <c r="N50" s="19">
        <v>7.0</v>
      </c>
      <c r="O50" s="19">
        <v>15.0</v>
      </c>
      <c r="P50" s="19">
        <v>4.0</v>
      </c>
      <c r="Q50" s="19">
        <v>7.0</v>
      </c>
      <c r="R50" s="19">
        <v>8.0</v>
      </c>
      <c r="S50" s="19">
        <v>11.0</v>
      </c>
      <c r="T50" s="19">
        <v>8.0</v>
      </c>
      <c r="U50" s="19">
        <v>6.0</v>
      </c>
      <c r="V50" s="19">
        <v>6.0</v>
      </c>
      <c r="W50" s="19">
        <v>8.0</v>
      </c>
      <c r="X50" s="13">
        <f t="shared" si="14"/>
        <v>170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2.0</v>
      </c>
      <c r="F51" s="19">
        <v>7.0</v>
      </c>
      <c r="G51" s="19">
        <v>2.0</v>
      </c>
      <c r="H51" s="19">
        <v>2.0</v>
      </c>
      <c r="I51" s="19">
        <v>2.0</v>
      </c>
      <c r="J51" s="19">
        <v>4.0</v>
      </c>
      <c r="K51" s="19">
        <v>2.0</v>
      </c>
      <c r="L51" s="19">
        <v>2.0</v>
      </c>
      <c r="M51" s="19">
        <v>8.0</v>
      </c>
      <c r="N51" s="19">
        <v>3.0</v>
      </c>
      <c r="O51" s="19">
        <v>1.0</v>
      </c>
      <c r="P51" s="19">
        <v>4.0</v>
      </c>
      <c r="Q51" s="19">
        <v>0.0</v>
      </c>
      <c r="R51" s="19">
        <v>2.0</v>
      </c>
      <c r="S51" s="19">
        <v>2.0</v>
      </c>
      <c r="T51" s="19">
        <v>1.0</v>
      </c>
      <c r="U51" s="19">
        <v>0.0</v>
      </c>
      <c r="V51" s="19">
        <v>2.0</v>
      </c>
      <c r="W51" s="19">
        <v>2.0</v>
      </c>
      <c r="X51" s="13">
        <f t="shared" si="14"/>
        <v>48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3.0</v>
      </c>
      <c r="F52" s="19">
        <v>6.0</v>
      </c>
      <c r="G52" s="19">
        <v>4.0</v>
      </c>
      <c r="H52" s="19">
        <v>3.0</v>
      </c>
      <c r="I52" s="19">
        <v>7.0</v>
      </c>
      <c r="J52" s="19">
        <v>10.0</v>
      </c>
      <c r="K52" s="19">
        <v>8.0</v>
      </c>
      <c r="L52" s="19">
        <v>7.0</v>
      </c>
      <c r="M52" s="19">
        <v>7.0</v>
      </c>
      <c r="N52" s="19">
        <v>5.0</v>
      </c>
      <c r="O52" s="19">
        <v>15.0</v>
      </c>
      <c r="P52" s="19">
        <v>4.0</v>
      </c>
      <c r="Q52" s="19">
        <v>4.0</v>
      </c>
      <c r="R52" s="19">
        <v>3.0</v>
      </c>
      <c r="S52" s="19">
        <v>4.0</v>
      </c>
      <c r="T52" s="19">
        <v>2.0</v>
      </c>
      <c r="U52" s="19">
        <v>4.0</v>
      </c>
      <c r="V52" s="19">
        <v>3.0</v>
      </c>
      <c r="W52" s="19">
        <v>2.0</v>
      </c>
      <c r="X52" s="13">
        <f t="shared" si="14"/>
        <v>101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4.0</v>
      </c>
      <c r="F53" s="19">
        <v>0.0</v>
      </c>
      <c r="G53" s="19">
        <v>2.0</v>
      </c>
      <c r="H53" s="19">
        <v>2.0</v>
      </c>
      <c r="I53" s="19">
        <v>1.0</v>
      </c>
      <c r="J53" s="19">
        <v>3.0</v>
      </c>
      <c r="K53" s="19">
        <v>0.0</v>
      </c>
      <c r="L53" s="19">
        <v>1.0</v>
      </c>
      <c r="M53" s="19">
        <v>0.0</v>
      </c>
      <c r="N53" s="19">
        <v>2.0</v>
      </c>
      <c r="O53" s="19">
        <v>0.0</v>
      </c>
      <c r="P53" s="19">
        <v>0.0</v>
      </c>
      <c r="Q53" s="19">
        <v>0.0</v>
      </c>
      <c r="R53" s="19">
        <v>1.0</v>
      </c>
      <c r="S53" s="19">
        <v>0.0</v>
      </c>
      <c r="T53" s="19">
        <v>0.0</v>
      </c>
      <c r="U53" s="19">
        <v>1.0</v>
      </c>
      <c r="V53" s="19">
        <v>0.0</v>
      </c>
      <c r="W53" s="19">
        <v>1.0</v>
      </c>
      <c r="X53" s="13">
        <f t="shared" si="14"/>
        <v>18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30.0</v>
      </c>
      <c r="F54" s="19">
        <v>18.0</v>
      </c>
      <c r="G54" s="19">
        <v>37.0</v>
      </c>
      <c r="H54" s="19">
        <v>32.0</v>
      </c>
      <c r="I54" s="19">
        <v>31.0</v>
      </c>
      <c r="J54" s="19">
        <v>23.0</v>
      </c>
      <c r="K54" s="19">
        <v>40.0</v>
      </c>
      <c r="L54" s="19">
        <v>26.0</v>
      </c>
      <c r="M54" s="19">
        <v>32.0</v>
      </c>
      <c r="N54" s="19">
        <v>28.0</v>
      </c>
      <c r="O54" s="19">
        <v>31.0</v>
      </c>
      <c r="P54" s="19">
        <v>24.0</v>
      </c>
      <c r="Q54" s="19">
        <v>24.0</v>
      </c>
      <c r="R54" s="19">
        <v>29.0</v>
      </c>
      <c r="S54" s="19">
        <v>15.0</v>
      </c>
      <c r="T54" s="19">
        <v>25.0</v>
      </c>
      <c r="U54" s="19">
        <v>17.0</v>
      </c>
      <c r="V54" s="19">
        <v>25.0</v>
      </c>
      <c r="W54" s="19">
        <v>27.0</v>
      </c>
      <c r="X54" s="13">
        <f t="shared" si="14"/>
        <v>514</v>
      </c>
    </row>
    <row r="55" ht="12.75" customHeight="1">
      <c r="A55" s="18"/>
      <c r="B55" s="47" t="s">
        <v>54</v>
      </c>
      <c r="C55" s="61" t="s">
        <v>55</v>
      </c>
      <c r="D55" s="16"/>
      <c r="E55" s="19">
        <v>3.0</v>
      </c>
      <c r="F55" s="19">
        <v>1.0</v>
      </c>
      <c r="G55" s="19">
        <v>1.0</v>
      </c>
      <c r="H55" s="19">
        <v>3.0</v>
      </c>
      <c r="I55" s="19">
        <v>3.0</v>
      </c>
      <c r="J55" s="19">
        <v>3.0</v>
      </c>
      <c r="K55" s="19">
        <v>2.0</v>
      </c>
      <c r="L55" s="19">
        <v>4.0</v>
      </c>
      <c r="M55" s="19">
        <v>4.0</v>
      </c>
      <c r="N55" s="19">
        <v>1.0</v>
      </c>
      <c r="O55" s="19">
        <v>1.0</v>
      </c>
      <c r="P55" s="19">
        <v>2.0</v>
      </c>
      <c r="Q55" s="19">
        <v>2.0</v>
      </c>
      <c r="R55" s="19">
        <v>2.0</v>
      </c>
      <c r="S55" s="19">
        <v>0.0</v>
      </c>
      <c r="T55" s="19">
        <v>2.0</v>
      </c>
      <c r="U55" s="19">
        <v>3.0</v>
      </c>
      <c r="V55" s="19">
        <v>2.0</v>
      </c>
      <c r="W55" s="19">
        <v>0.0</v>
      </c>
      <c r="X55" s="13">
        <f t="shared" si="14"/>
        <v>39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18.0</v>
      </c>
      <c r="F56" s="19">
        <v>7.0</v>
      </c>
      <c r="G56" s="19">
        <v>19.0</v>
      </c>
      <c r="H56" s="19">
        <v>15.0</v>
      </c>
      <c r="I56" s="19">
        <v>23.0</v>
      </c>
      <c r="J56" s="19">
        <v>13.0</v>
      </c>
      <c r="K56" s="19">
        <v>13.0</v>
      </c>
      <c r="L56" s="19">
        <v>22.0</v>
      </c>
      <c r="M56" s="19">
        <v>25.0</v>
      </c>
      <c r="N56" s="19">
        <v>26.0</v>
      </c>
      <c r="O56" s="19">
        <v>12.0</v>
      </c>
      <c r="P56" s="19">
        <v>17.0</v>
      </c>
      <c r="Q56" s="19">
        <v>20.0</v>
      </c>
      <c r="R56" s="19">
        <v>25.0</v>
      </c>
      <c r="S56" s="19">
        <v>9.0</v>
      </c>
      <c r="T56" s="19">
        <v>8.0</v>
      </c>
      <c r="U56" s="19">
        <v>25.0</v>
      </c>
      <c r="V56" s="19">
        <v>13.0</v>
      </c>
      <c r="W56" s="19">
        <v>18.0</v>
      </c>
      <c r="X56" s="13">
        <f t="shared" si="14"/>
        <v>328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4.0</v>
      </c>
      <c r="F57" s="19">
        <v>4.0</v>
      </c>
      <c r="G57" s="19">
        <v>7.0</v>
      </c>
      <c r="H57" s="19">
        <v>5.0</v>
      </c>
      <c r="I57" s="19">
        <v>3.0</v>
      </c>
      <c r="J57" s="19">
        <v>2.0</v>
      </c>
      <c r="K57" s="19">
        <v>5.0</v>
      </c>
      <c r="L57" s="19">
        <v>3.0</v>
      </c>
      <c r="M57" s="19">
        <v>1.0</v>
      </c>
      <c r="N57" s="19">
        <v>2.0</v>
      </c>
      <c r="O57" s="19">
        <v>3.0</v>
      </c>
      <c r="P57" s="19">
        <v>1.0</v>
      </c>
      <c r="Q57" s="19">
        <v>3.0</v>
      </c>
      <c r="R57" s="19">
        <v>1.0</v>
      </c>
      <c r="S57" s="19">
        <v>2.0</v>
      </c>
      <c r="T57" s="19">
        <v>4.0</v>
      </c>
      <c r="U57" s="19">
        <v>2.0</v>
      </c>
      <c r="V57" s="19">
        <v>3.0</v>
      </c>
      <c r="W57" s="19">
        <v>2.0</v>
      </c>
      <c r="X57" s="13">
        <f t="shared" si="14"/>
        <v>57</v>
      </c>
    </row>
    <row r="58" ht="12.75" customHeight="1"/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60"/>
      <c r="T59" s="13"/>
      <c r="U59" s="13"/>
      <c r="V59" s="13"/>
      <c r="W59" s="13"/>
      <c r="X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W60" si="15">SUM(E45:E57)</f>
        <v>185</v>
      </c>
      <c r="F60" s="19">
        <f t="shared" si="15"/>
        <v>188</v>
      </c>
      <c r="G60" s="19">
        <f t="shared" si="15"/>
        <v>187</v>
      </c>
      <c r="H60" s="19">
        <f t="shared" si="15"/>
        <v>157</v>
      </c>
      <c r="I60" s="19">
        <f t="shared" si="15"/>
        <v>190</v>
      </c>
      <c r="J60" s="19">
        <f t="shared" si="15"/>
        <v>156</v>
      </c>
      <c r="K60" s="19">
        <f t="shared" si="15"/>
        <v>193</v>
      </c>
      <c r="L60" s="19">
        <f t="shared" si="15"/>
        <v>157</v>
      </c>
      <c r="M60" s="19">
        <f t="shared" si="15"/>
        <v>190</v>
      </c>
      <c r="N60" s="19">
        <f t="shared" si="15"/>
        <v>193</v>
      </c>
      <c r="O60" s="19">
        <f t="shared" si="15"/>
        <v>173</v>
      </c>
      <c r="P60" s="19">
        <f t="shared" si="15"/>
        <v>149</v>
      </c>
      <c r="Q60" s="19">
        <f t="shared" si="15"/>
        <v>130</v>
      </c>
      <c r="R60" s="19">
        <f t="shared" si="15"/>
        <v>181</v>
      </c>
      <c r="S60" s="19">
        <f t="shared" si="15"/>
        <v>141</v>
      </c>
      <c r="T60" s="19">
        <f t="shared" si="15"/>
        <v>154</v>
      </c>
      <c r="U60" s="19">
        <f t="shared" si="15"/>
        <v>168</v>
      </c>
      <c r="V60" s="19">
        <f t="shared" si="15"/>
        <v>143</v>
      </c>
      <c r="W60" s="19">
        <f t="shared" si="15"/>
        <v>191</v>
      </c>
      <c r="X60" s="13">
        <f t="shared" ref="X60:X62" si="16">SUM(E60:W60)</f>
        <v>3226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52.0</v>
      </c>
      <c r="F61" s="19">
        <v>35.0</v>
      </c>
      <c r="G61" s="19">
        <v>41.0</v>
      </c>
      <c r="H61" s="19">
        <v>57.0</v>
      </c>
      <c r="I61" s="19">
        <v>41.0</v>
      </c>
      <c r="J61" s="19">
        <v>66.0</v>
      </c>
      <c r="K61" s="19">
        <v>52.0</v>
      </c>
      <c r="L61" s="19">
        <v>56.0</v>
      </c>
      <c r="M61" s="19">
        <v>52.0</v>
      </c>
      <c r="N61" s="19">
        <v>50.0</v>
      </c>
      <c r="O61" s="19">
        <v>50.0</v>
      </c>
      <c r="P61" s="19">
        <v>46.0</v>
      </c>
      <c r="Q61" s="19">
        <v>64.0</v>
      </c>
      <c r="R61" s="19">
        <v>38.0</v>
      </c>
      <c r="S61" s="19">
        <v>40.0</v>
      </c>
      <c r="T61" s="19">
        <v>34.0</v>
      </c>
      <c r="U61" s="19">
        <v>51.0</v>
      </c>
      <c r="V61" s="19">
        <v>57.0</v>
      </c>
      <c r="W61" s="19">
        <v>42.0</v>
      </c>
      <c r="X61" s="13">
        <f t="shared" si="16"/>
        <v>924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W62" si="17">SUM(E60:E61)</f>
        <v>237</v>
      </c>
      <c r="F62" s="13">
        <f t="shared" si="17"/>
        <v>223</v>
      </c>
      <c r="G62" s="13">
        <f t="shared" si="17"/>
        <v>228</v>
      </c>
      <c r="H62" s="13">
        <f t="shared" si="17"/>
        <v>214</v>
      </c>
      <c r="I62" s="13">
        <f t="shared" si="17"/>
        <v>231</v>
      </c>
      <c r="J62" s="13">
        <f t="shared" si="17"/>
        <v>222</v>
      </c>
      <c r="K62" s="13">
        <f t="shared" si="17"/>
        <v>245</v>
      </c>
      <c r="L62" s="13">
        <f t="shared" si="17"/>
        <v>213</v>
      </c>
      <c r="M62" s="13">
        <f t="shared" si="17"/>
        <v>242</v>
      </c>
      <c r="N62" s="13">
        <f t="shared" si="17"/>
        <v>243</v>
      </c>
      <c r="O62" s="13">
        <f t="shared" si="17"/>
        <v>223</v>
      </c>
      <c r="P62" s="13">
        <f t="shared" si="17"/>
        <v>195</v>
      </c>
      <c r="Q62" s="13">
        <f t="shared" si="17"/>
        <v>194</v>
      </c>
      <c r="R62" s="13">
        <f t="shared" si="17"/>
        <v>219</v>
      </c>
      <c r="S62" s="13">
        <f t="shared" si="17"/>
        <v>181</v>
      </c>
      <c r="T62" s="13">
        <f t="shared" si="17"/>
        <v>188</v>
      </c>
      <c r="U62" s="13">
        <f t="shared" si="17"/>
        <v>219</v>
      </c>
      <c r="V62" s="13">
        <f t="shared" si="17"/>
        <v>200</v>
      </c>
      <c r="W62" s="13">
        <f t="shared" si="17"/>
        <v>233</v>
      </c>
      <c r="X62" s="13">
        <f t="shared" si="16"/>
        <v>4150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W15 E45:W57">
    <cfRule type="containsBlanks" dxfId="1" priority="1">
      <formula>LEN(TRIM(E14))=0</formula>
    </cfRule>
  </conditionalFormatting>
  <conditionalFormatting sqref="E19:W20">
    <cfRule type="containsBlanks" dxfId="1" priority="2">
      <formula>LEN(TRIM(E19))=0</formula>
    </cfRule>
  </conditionalFormatting>
  <conditionalFormatting sqref="E22:W23 E25:W26 E33:W33 E35:W35 E39:W40">
    <cfRule type="containsBlanks" dxfId="1" priority="3">
      <formula>LEN(TRIM(E22))=0</formula>
    </cfRule>
  </conditionalFormatting>
  <conditionalFormatting sqref="E30:W30">
    <cfRule type="expression" dxfId="0" priority="4">
      <formula>E30&lt;&gt;E46</formula>
    </cfRule>
  </conditionalFormatting>
  <conditionalFormatting sqref="E30:W30">
    <cfRule type="expression" dxfId="0" priority="5">
      <formula>E30&lt;&gt;E34</formula>
    </cfRule>
  </conditionalFormatting>
  <conditionalFormatting sqref="E34:W34">
    <cfRule type="expression" dxfId="2" priority="6">
      <formula>E30&lt;&gt;E34</formula>
    </cfRule>
  </conditionalFormatting>
  <conditionalFormatting sqref="E34:W34">
    <cfRule type="expression" dxfId="3" priority="7">
      <formula>E30=E34</formula>
    </cfRule>
  </conditionalFormatting>
  <conditionalFormatting sqref="E34:W34">
    <cfRule type="expression" dxfId="0" priority="8">
      <formula>E34&lt;&gt;E30</formula>
    </cfRule>
  </conditionalFormatting>
  <conditionalFormatting sqref="E34:W34">
    <cfRule type="expression" dxfId="0" priority="9">
      <formula>E34&lt;&gt;#REF!</formula>
    </cfRule>
  </conditionalFormatting>
  <conditionalFormatting sqref="E60:W61">
    <cfRule type="containsBlanks" dxfId="1" priority="10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125.0</v>
      </c>
      <c r="G14" s="19">
        <v>137.0</v>
      </c>
      <c r="H14" s="19">
        <v>133.0</v>
      </c>
      <c r="I14" s="19">
        <v>133.0</v>
      </c>
      <c r="J14" s="19">
        <v>121.0</v>
      </c>
      <c r="K14" s="19">
        <v>124.0</v>
      </c>
      <c r="L14" s="19">
        <v>126.0</v>
      </c>
      <c r="M14" s="19">
        <v>131.0</v>
      </c>
      <c r="N14" s="13">
        <f t="shared" ref="N14:N16" si="1">SUM(E14:M14)</f>
        <v>1179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135.0</v>
      </c>
      <c r="G15" s="19">
        <v>127.0</v>
      </c>
      <c r="H15" s="19">
        <v>129.0</v>
      </c>
      <c r="I15" s="19">
        <v>130.0</v>
      </c>
      <c r="J15" s="19">
        <v>145.0</v>
      </c>
      <c r="K15" s="19">
        <v>135.0</v>
      </c>
      <c r="L15" s="19">
        <v>138.0</v>
      </c>
      <c r="M15" s="19">
        <v>127.0</v>
      </c>
      <c r="N15" s="13">
        <f t="shared" si="1"/>
        <v>1192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275</v>
      </c>
      <c r="F16" s="13">
        <f t="shared" si="2"/>
        <v>260</v>
      </c>
      <c r="G16" s="13">
        <f t="shared" si="2"/>
        <v>264</v>
      </c>
      <c r="H16" s="13">
        <f t="shared" si="2"/>
        <v>262</v>
      </c>
      <c r="I16" s="13">
        <f t="shared" si="2"/>
        <v>263</v>
      </c>
      <c r="J16" s="13">
        <f t="shared" si="2"/>
        <v>266</v>
      </c>
      <c r="K16" s="13">
        <f t="shared" si="2"/>
        <v>259</v>
      </c>
      <c r="L16" s="13">
        <f t="shared" si="2"/>
        <v>264</v>
      </c>
      <c r="M16" s="13">
        <f t="shared" si="2"/>
        <v>258</v>
      </c>
      <c r="N16" s="13">
        <f t="shared" si="1"/>
        <v>2371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127.0</v>
      </c>
      <c r="F19" s="19">
        <v>108.0</v>
      </c>
      <c r="G19" s="19">
        <v>110.0</v>
      </c>
      <c r="H19" s="19">
        <v>108.0</v>
      </c>
      <c r="I19" s="19">
        <v>106.0</v>
      </c>
      <c r="J19" s="19">
        <v>95.0</v>
      </c>
      <c r="K19" s="19">
        <v>88.0</v>
      </c>
      <c r="L19" s="19">
        <v>105.0</v>
      </c>
      <c r="M19" s="19">
        <v>105.0</v>
      </c>
      <c r="N19" s="13">
        <f t="shared" ref="N19:N30" si="3">SUM(E19:M19)</f>
        <v>952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116.0</v>
      </c>
      <c r="G20" s="19">
        <v>115.0</v>
      </c>
      <c r="H20" s="19">
        <v>108.0</v>
      </c>
      <c r="I20" s="19">
        <v>104.0</v>
      </c>
      <c r="J20" s="19">
        <v>122.0</v>
      </c>
      <c r="K20" s="19">
        <v>111.0</v>
      </c>
      <c r="L20" s="19">
        <v>120.0</v>
      </c>
      <c r="M20" s="19">
        <v>104.0</v>
      </c>
      <c r="N20" s="13">
        <f t="shared" si="3"/>
        <v>1013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240</v>
      </c>
      <c r="F21" s="13">
        <f t="shared" si="4"/>
        <v>224</v>
      </c>
      <c r="G21" s="13">
        <f t="shared" si="4"/>
        <v>225</v>
      </c>
      <c r="H21" s="13">
        <f t="shared" si="4"/>
        <v>216</v>
      </c>
      <c r="I21" s="13">
        <f t="shared" si="4"/>
        <v>210</v>
      </c>
      <c r="J21" s="13">
        <f t="shared" si="4"/>
        <v>217</v>
      </c>
      <c r="K21" s="13">
        <f t="shared" si="4"/>
        <v>199</v>
      </c>
      <c r="L21" s="13">
        <f t="shared" si="4"/>
        <v>225</v>
      </c>
      <c r="M21" s="13">
        <f t="shared" si="4"/>
        <v>209</v>
      </c>
      <c r="N21" s="13">
        <f t="shared" si="3"/>
        <v>1965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1.0</v>
      </c>
      <c r="G22" s="19">
        <v>2.0</v>
      </c>
      <c r="H22" s="19">
        <v>0.0</v>
      </c>
      <c r="I22" s="19">
        <v>1.0</v>
      </c>
      <c r="J22" s="19">
        <v>1.0</v>
      </c>
      <c r="K22" s="19">
        <v>2.0</v>
      </c>
      <c r="L22" s="19">
        <v>0.0</v>
      </c>
      <c r="M22" s="19">
        <v>1.0</v>
      </c>
      <c r="N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4.0</v>
      </c>
      <c r="F23" s="19">
        <v>2.0</v>
      </c>
      <c r="G23" s="19">
        <v>2.0</v>
      </c>
      <c r="H23" s="19">
        <v>0.0</v>
      </c>
      <c r="I23" s="19">
        <v>2.0</v>
      </c>
      <c r="J23" s="19">
        <v>2.0</v>
      </c>
      <c r="K23" s="19">
        <v>2.0</v>
      </c>
      <c r="L23" s="19">
        <v>0.0</v>
      </c>
      <c r="M23" s="19">
        <v>1.0</v>
      </c>
      <c r="N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5</v>
      </c>
      <c r="F24" s="13">
        <f t="shared" si="5"/>
        <v>3</v>
      </c>
      <c r="G24" s="13">
        <f t="shared" si="5"/>
        <v>4</v>
      </c>
      <c r="H24" s="13">
        <f t="shared" si="5"/>
        <v>0</v>
      </c>
      <c r="I24" s="13">
        <f t="shared" si="5"/>
        <v>3</v>
      </c>
      <c r="J24" s="13">
        <f t="shared" si="5"/>
        <v>3</v>
      </c>
      <c r="K24" s="13">
        <f t="shared" si="5"/>
        <v>4</v>
      </c>
      <c r="L24" s="13">
        <f t="shared" si="5"/>
        <v>0</v>
      </c>
      <c r="M24" s="13">
        <f t="shared" si="5"/>
        <v>2</v>
      </c>
      <c r="N24" s="13">
        <f t="shared" si="3"/>
        <v>24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2.0</v>
      </c>
      <c r="H26" s="19">
        <v>0.0</v>
      </c>
      <c r="I26" s="19">
        <v>0.0</v>
      </c>
      <c r="J26" s="19">
        <v>1.0</v>
      </c>
      <c r="K26" s="19">
        <v>1.0</v>
      </c>
      <c r="L26" s="19">
        <v>1.0</v>
      </c>
      <c r="M26" s="19">
        <v>0.0</v>
      </c>
      <c r="N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1</v>
      </c>
      <c r="F27" s="13">
        <f t="shared" si="6"/>
        <v>1</v>
      </c>
      <c r="G27" s="13">
        <f t="shared" si="6"/>
        <v>4</v>
      </c>
      <c r="H27" s="13">
        <f t="shared" si="6"/>
        <v>0</v>
      </c>
      <c r="I27" s="13">
        <f t="shared" si="6"/>
        <v>1</v>
      </c>
      <c r="J27" s="13">
        <f t="shared" si="6"/>
        <v>1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128</v>
      </c>
      <c r="F28" s="13">
        <f t="shared" si="7"/>
        <v>109</v>
      </c>
      <c r="G28" s="13">
        <f t="shared" si="7"/>
        <v>114</v>
      </c>
      <c r="H28" s="13">
        <f t="shared" si="7"/>
        <v>108</v>
      </c>
      <c r="I28" s="13">
        <f t="shared" si="7"/>
        <v>108</v>
      </c>
      <c r="J28" s="13">
        <f t="shared" si="7"/>
        <v>96</v>
      </c>
      <c r="K28" s="13">
        <f t="shared" si="7"/>
        <v>90</v>
      </c>
      <c r="L28" s="13">
        <f t="shared" si="7"/>
        <v>105</v>
      </c>
      <c r="M28" s="13">
        <f t="shared" si="7"/>
        <v>106</v>
      </c>
      <c r="N28" s="13">
        <f t="shared" si="3"/>
        <v>964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118</v>
      </c>
      <c r="F29" s="13">
        <f t="shared" si="8"/>
        <v>119</v>
      </c>
      <c r="G29" s="13">
        <f t="shared" si="8"/>
        <v>119</v>
      </c>
      <c r="H29" s="13">
        <f t="shared" si="8"/>
        <v>108</v>
      </c>
      <c r="I29" s="13">
        <f t="shared" si="8"/>
        <v>106</v>
      </c>
      <c r="J29" s="13">
        <f t="shared" si="8"/>
        <v>125</v>
      </c>
      <c r="K29" s="13">
        <f t="shared" si="8"/>
        <v>114</v>
      </c>
      <c r="L29" s="13">
        <f t="shared" si="8"/>
        <v>121</v>
      </c>
      <c r="M29" s="13">
        <f t="shared" si="8"/>
        <v>105</v>
      </c>
      <c r="N29" s="13">
        <f t="shared" si="3"/>
        <v>1035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246</v>
      </c>
      <c r="F30" s="13">
        <f t="shared" si="9"/>
        <v>228</v>
      </c>
      <c r="G30" s="13">
        <f t="shared" si="9"/>
        <v>233</v>
      </c>
      <c r="H30" s="13">
        <f t="shared" si="9"/>
        <v>216</v>
      </c>
      <c r="I30" s="13">
        <f t="shared" si="9"/>
        <v>214</v>
      </c>
      <c r="J30" s="13">
        <f t="shared" si="9"/>
        <v>221</v>
      </c>
      <c r="K30" s="13">
        <f t="shared" si="9"/>
        <v>204</v>
      </c>
      <c r="L30" s="13">
        <f t="shared" si="9"/>
        <v>226</v>
      </c>
      <c r="M30" s="13">
        <f t="shared" si="9"/>
        <v>211</v>
      </c>
      <c r="N30" s="13">
        <f t="shared" si="3"/>
        <v>1999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281.0</v>
      </c>
      <c r="F33" s="19">
        <v>286.0</v>
      </c>
      <c r="G33" s="19">
        <v>270.0</v>
      </c>
      <c r="H33" s="19">
        <v>268.0</v>
      </c>
      <c r="I33" s="19">
        <v>269.0</v>
      </c>
      <c r="J33" s="19">
        <v>272.0</v>
      </c>
      <c r="K33" s="19">
        <v>267.0</v>
      </c>
      <c r="L33" s="19">
        <v>270.0</v>
      </c>
      <c r="M33" s="19">
        <v>264.0</v>
      </c>
      <c r="N33" s="13">
        <f t="shared" ref="N33:N36" si="10">SUM(E33:M33)</f>
        <v>2447</v>
      </c>
    </row>
    <row r="34" ht="12.75" customHeight="1">
      <c r="A34" s="19">
        <v>2.0</v>
      </c>
      <c r="B34" s="20" t="s">
        <v>28</v>
      </c>
      <c r="C34" s="15"/>
      <c r="D34" s="16"/>
      <c r="E34" s="13">
        <v>246.0</v>
      </c>
      <c r="F34" s="13">
        <v>228.0</v>
      </c>
      <c r="G34" s="13">
        <v>233.0</v>
      </c>
      <c r="H34" s="13">
        <v>216.0</v>
      </c>
      <c r="I34" s="13">
        <v>214.0</v>
      </c>
      <c r="J34" s="13">
        <v>221.0</v>
      </c>
      <c r="K34" s="13">
        <v>204.0</v>
      </c>
      <c r="L34" s="13">
        <v>226.0</v>
      </c>
      <c r="M34" s="13">
        <v>211.0</v>
      </c>
      <c r="N34" s="13">
        <f t="shared" si="10"/>
        <v>1999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33</v>
      </c>
      <c r="F36" s="13">
        <f t="shared" si="11"/>
        <v>58</v>
      </c>
      <c r="G36" s="13">
        <f t="shared" si="11"/>
        <v>37</v>
      </c>
      <c r="H36" s="13">
        <f t="shared" si="11"/>
        <v>52</v>
      </c>
      <c r="I36" s="13">
        <f t="shared" si="11"/>
        <v>55</v>
      </c>
      <c r="J36" s="13">
        <f t="shared" si="11"/>
        <v>51</v>
      </c>
      <c r="K36" s="13">
        <f t="shared" si="11"/>
        <v>63</v>
      </c>
      <c r="L36" s="13">
        <f t="shared" si="11"/>
        <v>44</v>
      </c>
      <c r="M36" s="13">
        <f t="shared" si="11"/>
        <v>53</v>
      </c>
      <c r="N36" s="13">
        <f t="shared" si="10"/>
        <v>446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>
        <v>4.0</v>
      </c>
      <c r="F39" s="19">
        <v>1.0</v>
      </c>
      <c r="G39" s="19">
        <v>1.0</v>
      </c>
      <c r="H39" s="19"/>
      <c r="I39" s="19"/>
      <c r="J39" s="19"/>
      <c r="K39" s="19">
        <v>1.0</v>
      </c>
      <c r="L39" s="19"/>
      <c r="M39" s="19">
        <v>1.0</v>
      </c>
      <c r="N39" s="13">
        <f t="shared" ref="N39:N41" si="12">SUM(E39:M39)</f>
        <v>8</v>
      </c>
    </row>
    <row r="40" ht="12.75" customHeight="1">
      <c r="A40" s="33"/>
      <c r="C40" s="27"/>
      <c r="D40" s="19" t="s">
        <v>13</v>
      </c>
      <c r="E40" s="19">
        <v>2.0</v>
      </c>
      <c r="F40" s="19"/>
      <c r="G40" s="19"/>
      <c r="H40" s="19"/>
      <c r="I40" s="19"/>
      <c r="J40" s="19"/>
      <c r="K40" s="19"/>
      <c r="L40" s="19"/>
      <c r="M40" s="19"/>
      <c r="N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6</v>
      </c>
      <c r="F41" s="13">
        <f t="shared" si="13"/>
        <v>1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13"/>
    </row>
    <row r="45" ht="12.75" customHeight="1">
      <c r="A45" s="30"/>
      <c r="B45" s="47" t="s">
        <v>17</v>
      </c>
      <c r="C45" s="61" t="s">
        <v>38</v>
      </c>
      <c r="D45" s="16"/>
      <c r="E45" s="19">
        <v>17.0</v>
      </c>
      <c r="F45" s="19">
        <v>21.0</v>
      </c>
      <c r="G45" s="19">
        <v>19.0</v>
      </c>
      <c r="H45" s="19">
        <v>13.0</v>
      </c>
      <c r="I45" s="19">
        <v>15.0</v>
      </c>
      <c r="J45" s="19">
        <v>15.0</v>
      </c>
      <c r="K45" s="19">
        <v>14.0</v>
      </c>
      <c r="L45" s="19">
        <v>19.0</v>
      </c>
      <c r="M45" s="19">
        <v>31.0</v>
      </c>
      <c r="N45" s="13">
        <f t="shared" ref="N45:N57" si="14">SUM(E45:M45)</f>
        <v>164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40.0</v>
      </c>
      <c r="F46" s="19">
        <v>36.0</v>
      </c>
      <c r="G46" s="19">
        <v>50.0</v>
      </c>
      <c r="H46" s="19">
        <v>29.0</v>
      </c>
      <c r="I46" s="19">
        <v>45.0</v>
      </c>
      <c r="J46" s="19">
        <v>43.0</v>
      </c>
      <c r="K46" s="19">
        <v>21.0</v>
      </c>
      <c r="L46" s="19">
        <v>23.0</v>
      </c>
      <c r="M46" s="19">
        <v>29.0</v>
      </c>
      <c r="N46" s="13">
        <f t="shared" si="14"/>
        <v>316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11.0</v>
      </c>
      <c r="F47" s="19">
        <v>8.0</v>
      </c>
      <c r="G47" s="19">
        <v>14.0</v>
      </c>
      <c r="H47" s="19">
        <v>17.0</v>
      </c>
      <c r="I47" s="19">
        <v>8.0</v>
      </c>
      <c r="J47" s="19">
        <v>10.0</v>
      </c>
      <c r="K47" s="19">
        <v>13.0</v>
      </c>
      <c r="L47" s="19">
        <v>11.0</v>
      </c>
      <c r="M47" s="19">
        <v>12.0</v>
      </c>
      <c r="N47" s="13">
        <f t="shared" si="14"/>
        <v>104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26.0</v>
      </c>
      <c r="F48" s="19">
        <v>13.0</v>
      </c>
      <c r="G48" s="19">
        <v>14.0</v>
      </c>
      <c r="H48" s="19">
        <v>24.0</v>
      </c>
      <c r="I48" s="19">
        <v>30.0</v>
      </c>
      <c r="J48" s="19">
        <v>20.0</v>
      </c>
      <c r="K48" s="19">
        <v>25.0</v>
      </c>
      <c r="L48" s="19">
        <v>26.0</v>
      </c>
      <c r="M48" s="19">
        <v>25.0</v>
      </c>
      <c r="N48" s="13">
        <f t="shared" si="14"/>
        <v>203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35.0</v>
      </c>
      <c r="F49" s="19">
        <v>14.0</v>
      </c>
      <c r="G49" s="19">
        <v>18.0</v>
      </c>
      <c r="H49" s="19">
        <v>14.0</v>
      </c>
      <c r="I49" s="19">
        <v>17.0</v>
      </c>
      <c r="J49" s="19">
        <v>23.0</v>
      </c>
      <c r="K49" s="19">
        <v>13.0</v>
      </c>
      <c r="L49" s="19">
        <v>28.0</v>
      </c>
      <c r="M49" s="19">
        <v>23.0</v>
      </c>
      <c r="N49" s="13">
        <f t="shared" si="14"/>
        <v>185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12.0</v>
      </c>
      <c r="F50" s="19">
        <v>12.0</v>
      </c>
      <c r="G50" s="19">
        <v>11.0</v>
      </c>
      <c r="H50" s="19">
        <v>9.0</v>
      </c>
      <c r="I50" s="19">
        <v>15.0</v>
      </c>
      <c r="J50" s="19">
        <v>17.0</v>
      </c>
      <c r="K50" s="19">
        <v>16.0</v>
      </c>
      <c r="L50" s="19">
        <v>11.0</v>
      </c>
      <c r="M50" s="19">
        <v>6.0</v>
      </c>
      <c r="N50" s="13">
        <f t="shared" si="14"/>
        <v>109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1.0</v>
      </c>
      <c r="F51" s="19">
        <v>2.0</v>
      </c>
      <c r="G51" s="19">
        <v>0.0</v>
      </c>
      <c r="H51" s="19">
        <v>4.0</v>
      </c>
      <c r="I51" s="19">
        <v>2.0</v>
      </c>
      <c r="J51" s="19">
        <v>1.0</v>
      </c>
      <c r="K51" s="19">
        <v>2.0</v>
      </c>
      <c r="L51" s="19">
        <v>4.0</v>
      </c>
      <c r="M51" s="19">
        <v>0.0</v>
      </c>
      <c r="N51" s="13">
        <f t="shared" si="14"/>
        <v>16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5.0</v>
      </c>
      <c r="F52" s="19">
        <v>5.0</v>
      </c>
      <c r="G52" s="19">
        <v>4.0</v>
      </c>
      <c r="H52" s="19">
        <v>3.0</v>
      </c>
      <c r="I52" s="19">
        <v>2.0</v>
      </c>
      <c r="J52" s="19">
        <v>5.0</v>
      </c>
      <c r="K52" s="19">
        <v>1.0</v>
      </c>
      <c r="L52" s="19">
        <v>11.0</v>
      </c>
      <c r="M52" s="19">
        <v>10.0</v>
      </c>
      <c r="N52" s="13">
        <f t="shared" si="14"/>
        <v>46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2.0</v>
      </c>
      <c r="J53" s="19">
        <v>0.0</v>
      </c>
      <c r="K53" s="19">
        <v>1.0</v>
      </c>
      <c r="L53" s="19">
        <v>1.0</v>
      </c>
      <c r="M53" s="19">
        <v>1.0</v>
      </c>
      <c r="N53" s="13">
        <f t="shared" si="14"/>
        <v>6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41.0</v>
      </c>
      <c r="F54" s="19">
        <v>27.0</v>
      </c>
      <c r="G54" s="19">
        <v>30.0</v>
      </c>
      <c r="H54" s="19">
        <v>29.0</v>
      </c>
      <c r="I54" s="19">
        <v>26.0</v>
      </c>
      <c r="J54" s="19">
        <v>28.0</v>
      </c>
      <c r="K54" s="19">
        <v>40.0</v>
      </c>
      <c r="L54" s="19">
        <v>22.0</v>
      </c>
      <c r="M54" s="19">
        <v>21.0</v>
      </c>
      <c r="N54" s="13">
        <f t="shared" si="14"/>
        <v>264</v>
      </c>
    </row>
    <row r="55" ht="15.0" customHeight="1">
      <c r="A55" s="18"/>
      <c r="B55" s="47" t="s">
        <v>54</v>
      </c>
      <c r="C55" s="61" t="s">
        <v>55</v>
      </c>
      <c r="D55" s="16"/>
      <c r="E55" s="19">
        <v>5.0</v>
      </c>
      <c r="F55" s="19">
        <v>0.0</v>
      </c>
      <c r="G55" s="19">
        <v>0.0</v>
      </c>
      <c r="H55" s="19">
        <v>1.0</v>
      </c>
      <c r="I55" s="19">
        <v>1.0</v>
      </c>
      <c r="J55" s="19">
        <v>1.0</v>
      </c>
      <c r="K55" s="19">
        <v>2.0</v>
      </c>
      <c r="L55" s="19">
        <v>1.0</v>
      </c>
      <c r="M55" s="19">
        <v>0.0</v>
      </c>
      <c r="N55" s="13">
        <f t="shared" si="14"/>
        <v>11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12.0</v>
      </c>
      <c r="F56" s="19">
        <v>17.0</v>
      </c>
      <c r="G56" s="19">
        <v>25.0</v>
      </c>
      <c r="H56" s="19">
        <v>34.0</v>
      </c>
      <c r="I56" s="19">
        <v>18.0</v>
      </c>
      <c r="J56" s="19">
        <v>14.0</v>
      </c>
      <c r="K56" s="19">
        <v>18.0</v>
      </c>
      <c r="L56" s="19">
        <v>26.0</v>
      </c>
      <c r="M56" s="19">
        <v>26.0</v>
      </c>
      <c r="N56" s="13">
        <f t="shared" si="14"/>
        <v>190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3.0</v>
      </c>
      <c r="F57" s="19">
        <v>2.0</v>
      </c>
      <c r="G57" s="19">
        <v>3.0</v>
      </c>
      <c r="H57" s="19">
        <v>2.0</v>
      </c>
      <c r="I57" s="19">
        <v>10.0</v>
      </c>
      <c r="J57" s="19">
        <v>3.0</v>
      </c>
      <c r="K57" s="19">
        <v>5.0</v>
      </c>
      <c r="L57" s="19">
        <v>2.0</v>
      </c>
      <c r="M57" s="19">
        <v>4.0</v>
      </c>
      <c r="N57" s="13">
        <f t="shared" si="14"/>
        <v>34</v>
      </c>
    </row>
    <row r="58" ht="12.75" customHeight="1">
      <c r="N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M60" si="15">SUM(E45:E57)</f>
        <v>208</v>
      </c>
      <c r="F60" s="19">
        <f t="shared" si="15"/>
        <v>157</v>
      </c>
      <c r="G60" s="19">
        <f t="shared" si="15"/>
        <v>188</v>
      </c>
      <c r="H60" s="19">
        <f t="shared" si="15"/>
        <v>180</v>
      </c>
      <c r="I60" s="19">
        <f t="shared" si="15"/>
        <v>191</v>
      </c>
      <c r="J60" s="19">
        <f t="shared" si="15"/>
        <v>180</v>
      </c>
      <c r="K60" s="19">
        <f t="shared" si="15"/>
        <v>171</v>
      </c>
      <c r="L60" s="19">
        <f t="shared" si="15"/>
        <v>185</v>
      </c>
      <c r="M60" s="19">
        <f t="shared" si="15"/>
        <v>188</v>
      </c>
      <c r="N60" s="13">
        <f t="shared" ref="N60:N62" si="16">SUM(E60:M60)</f>
        <v>1648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38.0</v>
      </c>
      <c r="F61" s="19">
        <v>71.0</v>
      </c>
      <c r="G61" s="19">
        <v>45.0</v>
      </c>
      <c r="H61" s="19">
        <v>36.0</v>
      </c>
      <c r="I61" s="19">
        <v>23.0</v>
      </c>
      <c r="J61" s="19">
        <v>41.0</v>
      </c>
      <c r="K61" s="19">
        <v>33.0</v>
      </c>
      <c r="L61" s="19">
        <v>41.0</v>
      </c>
      <c r="M61" s="19">
        <v>23.0</v>
      </c>
      <c r="N61" s="13">
        <f t="shared" si="16"/>
        <v>351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M62" si="17">SUM(E60:E61)</f>
        <v>246</v>
      </c>
      <c r="F62" s="13">
        <f t="shared" si="17"/>
        <v>228</v>
      </c>
      <c r="G62" s="13">
        <f t="shared" si="17"/>
        <v>233</v>
      </c>
      <c r="H62" s="13">
        <f t="shared" si="17"/>
        <v>216</v>
      </c>
      <c r="I62" s="13">
        <f t="shared" si="17"/>
        <v>214</v>
      </c>
      <c r="J62" s="13">
        <f t="shared" si="17"/>
        <v>221</v>
      </c>
      <c r="K62" s="13">
        <f t="shared" si="17"/>
        <v>204</v>
      </c>
      <c r="L62" s="13">
        <f t="shared" si="17"/>
        <v>226</v>
      </c>
      <c r="M62" s="13">
        <f t="shared" si="17"/>
        <v>211</v>
      </c>
      <c r="N62" s="13">
        <f t="shared" si="16"/>
        <v>1999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O117" s="5"/>
      <c r="P117" s="5"/>
    </row>
    <row r="118" ht="12.75" customHeight="1">
      <c r="O118" s="5"/>
      <c r="P118" s="5"/>
    </row>
    <row r="119" ht="12.75" customHeight="1">
      <c r="O119" s="5"/>
      <c r="P119" s="5"/>
    </row>
    <row r="120" ht="12.75" customHeight="1">
      <c r="O120" s="5"/>
      <c r="P120" s="5"/>
    </row>
    <row r="121" ht="12.75" customHeight="1">
      <c r="O121" s="5"/>
      <c r="P121" s="5"/>
    </row>
    <row r="122" ht="12.75" customHeight="1">
      <c r="O122" s="5"/>
      <c r="P122" s="5"/>
    </row>
    <row r="123" ht="12.75" customHeight="1">
      <c r="O123" s="5"/>
      <c r="P123" s="5"/>
    </row>
    <row r="124" ht="12.75" customHeight="1">
      <c r="O124" s="5"/>
      <c r="P124" s="5"/>
    </row>
    <row r="125" ht="12.75" customHeight="1">
      <c r="O125" s="5"/>
      <c r="P125" s="5"/>
    </row>
    <row r="126" ht="12.75" customHeight="1">
      <c r="O126" s="5"/>
      <c r="P126" s="5"/>
    </row>
    <row r="127" ht="12.75" customHeight="1">
      <c r="O127" s="5"/>
      <c r="P127" s="5"/>
    </row>
    <row r="128" ht="12.75" customHeight="1">
      <c r="O128" s="5"/>
      <c r="P128" s="5"/>
    </row>
    <row r="129" ht="12.75" customHeight="1">
      <c r="O129" s="5"/>
      <c r="P129" s="5"/>
    </row>
    <row r="130" ht="12.75" customHeight="1">
      <c r="O130" s="1"/>
      <c r="P130" s="1"/>
    </row>
    <row r="131" ht="12.75" customHeight="1">
      <c r="O131" s="50"/>
      <c r="P131" s="50"/>
    </row>
    <row r="132" ht="12.75" customHeight="1">
      <c r="O132" s="5"/>
      <c r="P132" s="5"/>
    </row>
    <row r="133" ht="12.75" customHeight="1">
      <c r="O133" s="5"/>
      <c r="P133" s="5"/>
    </row>
    <row r="134" ht="12.75" customHeight="1">
      <c r="O134" s="5"/>
      <c r="P134" s="5"/>
    </row>
    <row r="135" ht="12.75" customHeight="1">
      <c r="O135" s="5"/>
      <c r="P135" s="5"/>
    </row>
    <row r="136" ht="12.75" customHeight="1">
      <c r="O136" s="5"/>
      <c r="P136" s="5"/>
    </row>
    <row r="137" ht="12.75" customHeight="1">
      <c r="O137" s="5"/>
      <c r="P137" s="5"/>
    </row>
    <row r="138" ht="12.75" customHeight="1">
      <c r="O138" s="5"/>
      <c r="P138" s="5"/>
    </row>
    <row r="139" ht="12.75" customHeight="1">
      <c r="O139" s="5"/>
      <c r="P139" s="5"/>
    </row>
    <row r="140" ht="12.75" customHeight="1">
      <c r="O140" s="5"/>
      <c r="P140" s="5"/>
    </row>
    <row r="141" ht="12.75" customHeight="1">
      <c r="O141" s="1"/>
      <c r="P141" s="1"/>
    </row>
    <row r="142" ht="12.75" customHeight="1">
      <c r="O142" s="50"/>
      <c r="P142" s="50"/>
    </row>
    <row r="143" ht="12.75" customHeight="1">
      <c r="O143" s="5"/>
      <c r="P143" s="5"/>
    </row>
    <row r="144" ht="12.75" customHeight="1">
      <c r="O144" s="5"/>
      <c r="P144" s="5"/>
    </row>
    <row r="145" ht="12.75" customHeight="1">
      <c r="O145" s="5"/>
      <c r="P145" s="5"/>
    </row>
    <row r="146" ht="12.75" customHeight="1">
      <c r="O146" s="5"/>
      <c r="P146" s="5"/>
    </row>
    <row r="147" ht="12.75" customHeight="1">
      <c r="O147" s="5"/>
      <c r="P147" s="5"/>
    </row>
    <row r="148" ht="12.75" customHeight="1">
      <c r="O148" s="5"/>
      <c r="P148" s="5"/>
    </row>
    <row r="149" ht="12.75" customHeight="1">
      <c r="O149" s="5"/>
      <c r="P149" s="5"/>
    </row>
    <row r="150" ht="12.75" customHeight="1">
      <c r="O150" s="5"/>
      <c r="P150" s="5"/>
    </row>
    <row r="151" ht="12.75" customHeight="1">
      <c r="O151" s="1"/>
      <c r="P151" s="1"/>
    </row>
    <row r="152" ht="12.75" customHeight="1">
      <c r="O152" s="50"/>
      <c r="P152" s="50"/>
    </row>
    <row r="153" ht="12.75" customHeight="1">
      <c r="O153" s="5"/>
      <c r="P153" s="5"/>
    </row>
    <row r="154" ht="12.75" customHeight="1">
      <c r="O154" s="5"/>
      <c r="P154" s="5"/>
    </row>
    <row r="155" ht="12.75" customHeight="1">
      <c r="O155" s="5"/>
      <c r="P155" s="5"/>
    </row>
    <row r="156" ht="12.75" customHeight="1">
      <c r="O156" s="5"/>
      <c r="P156" s="5"/>
    </row>
    <row r="157" ht="12.75" customHeight="1">
      <c r="O157" s="5"/>
      <c r="P157" s="5"/>
    </row>
    <row r="158" ht="12.75" customHeight="1">
      <c r="O158" s="5"/>
      <c r="P158" s="5"/>
    </row>
    <row r="159" ht="12.75" customHeight="1">
      <c r="O159" s="5"/>
      <c r="P159" s="5"/>
    </row>
    <row r="160" ht="12.75" customHeight="1">
      <c r="O160" s="5"/>
      <c r="P160" s="5"/>
    </row>
    <row r="161" ht="12.75" customHeight="1">
      <c r="O161" s="5"/>
      <c r="P161" s="5"/>
    </row>
    <row r="162" ht="12.75" customHeight="1">
      <c r="O162" s="5"/>
      <c r="P162" s="5"/>
    </row>
    <row r="163" ht="12.75" customHeight="1">
      <c r="O163" s="5"/>
      <c r="P163" s="5"/>
    </row>
    <row r="164" ht="12.75" customHeight="1">
      <c r="O164" s="5"/>
      <c r="P164" s="5"/>
    </row>
    <row r="165" ht="12.75" customHeight="1">
      <c r="O165" s="1"/>
      <c r="P165" s="1"/>
    </row>
    <row r="166" ht="12.75" customHeight="1">
      <c r="O166" s="50"/>
      <c r="P166" s="50"/>
    </row>
    <row r="167" ht="12.75" customHeight="1">
      <c r="O167" s="5"/>
      <c r="P167" s="5"/>
    </row>
    <row r="168" ht="12.75" customHeight="1">
      <c r="O168" s="5"/>
      <c r="P168" s="5"/>
    </row>
    <row r="169" ht="12.75" customHeight="1">
      <c r="O169" s="5"/>
      <c r="P169" s="5"/>
    </row>
    <row r="170" ht="12.75" customHeight="1">
      <c r="O170" s="5"/>
      <c r="P170" s="5"/>
    </row>
    <row r="171" ht="12.75" customHeight="1">
      <c r="O171" s="5"/>
      <c r="P171" s="5"/>
    </row>
    <row r="172" ht="12.75" customHeight="1">
      <c r="O172" s="5"/>
      <c r="P172" s="5"/>
    </row>
    <row r="173" ht="12.75" customHeight="1">
      <c r="O173" s="5"/>
      <c r="P173" s="5"/>
    </row>
    <row r="174" ht="12.75" customHeight="1">
      <c r="O174" s="5"/>
      <c r="P174" s="5"/>
    </row>
    <row r="175" ht="12.75" customHeight="1">
      <c r="O175" s="5"/>
      <c r="P175" s="5"/>
    </row>
    <row r="176" ht="12.75" customHeight="1">
      <c r="O176" s="1"/>
      <c r="P176" s="1"/>
    </row>
    <row r="177" ht="12.75" customHeight="1"/>
    <row r="178" ht="12.75" customHeight="1">
      <c r="O178" s="5"/>
      <c r="P178" s="5"/>
    </row>
    <row r="179" ht="12.75" customHeight="1">
      <c r="O179" s="5"/>
      <c r="P179" s="5"/>
    </row>
    <row r="180" ht="12.75" customHeight="1">
      <c r="O180" s="5"/>
      <c r="P180" s="5"/>
    </row>
    <row r="181" ht="12.75" customHeight="1">
      <c r="O181" s="5"/>
      <c r="P181" s="5"/>
    </row>
    <row r="182" ht="12.75" customHeight="1">
      <c r="O182" s="5"/>
      <c r="P182" s="5"/>
    </row>
    <row r="183" ht="12.75" customHeight="1">
      <c r="O183" s="5"/>
      <c r="P183" s="5"/>
    </row>
    <row r="184" ht="12.75" customHeight="1">
      <c r="O184" s="5"/>
      <c r="P184" s="5"/>
    </row>
    <row r="185" ht="12.75" customHeight="1">
      <c r="O185" s="5"/>
      <c r="P185" s="5"/>
    </row>
    <row r="186" ht="12.75" customHeight="1">
      <c r="O186" s="5"/>
      <c r="P186" s="5"/>
    </row>
    <row r="187" ht="12.75" customHeight="1">
      <c r="O187" s="1"/>
      <c r="P187" s="1"/>
    </row>
    <row r="188" ht="12.75" customHeight="1"/>
    <row r="189" ht="12.75" customHeight="1">
      <c r="O189" s="5"/>
      <c r="P189" s="5"/>
    </row>
    <row r="190" ht="12.75" customHeight="1">
      <c r="O190" s="5"/>
      <c r="P190" s="5"/>
    </row>
    <row r="191" ht="12.75" customHeight="1">
      <c r="O191" s="5"/>
      <c r="P191" s="5"/>
    </row>
    <row r="192" ht="12.75" customHeight="1">
      <c r="O192" s="5"/>
      <c r="P192" s="5"/>
    </row>
    <row r="193" ht="12.75" customHeight="1">
      <c r="O193" s="5"/>
      <c r="P193" s="5"/>
    </row>
    <row r="194" ht="12.75" customHeight="1">
      <c r="O194" s="5"/>
      <c r="P194" s="5"/>
    </row>
    <row r="195" ht="12.75" customHeight="1">
      <c r="O195" s="5"/>
      <c r="P195" s="5"/>
    </row>
    <row r="196" ht="12.75" customHeight="1">
      <c r="O196" s="1"/>
      <c r="P196" s="1"/>
    </row>
    <row r="197" ht="12.75" customHeight="1">
      <c r="O197" s="1"/>
      <c r="P197" s="1"/>
    </row>
    <row r="198" ht="12.75" customHeight="1">
      <c r="O198" s="1"/>
      <c r="P198" s="1"/>
    </row>
    <row r="199" ht="12.75" customHeight="1">
      <c r="O199" s="50"/>
      <c r="P199" s="50"/>
    </row>
    <row r="200" ht="12.75" customHeight="1">
      <c r="O200" s="5"/>
      <c r="P200" s="5"/>
    </row>
    <row r="201" ht="12.75" customHeight="1">
      <c r="O201" s="5"/>
      <c r="P201" s="5"/>
    </row>
    <row r="202" ht="12.75" customHeight="1">
      <c r="O202" s="5"/>
      <c r="P202" s="5"/>
    </row>
    <row r="203" ht="12.75" customHeight="1">
      <c r="O203" s="5"/>
      <c r="P203" s="5"/>
    </row>
    <row r="204" ht="12.75" customHeight="1">
      <c r="O204" s="5"/>
      <c r="P204" s="5"/>
    </row>
    <row r="205" ht="12.75" customHeight="1">
      <c r="O205" s="5"/>
      <c r="P205" s="5"/>
    </row>
    <row r="206" ht="12.75" customHeight="1">
      <c r="O206" s="5"/>
      <c r="P206" s="5"/>
    </row>
    <row r="207" ht="12.75" customHeight="1">
      <c r="O207" s="1"/>
      <c r="P207" s="1"/>
    </row>
    <row r="208" ht="12.75" customHeight="1">
      <c r="O208" s="50"/>
      <c r="P208" s="50"/>
    </row>
    <row r="209" ht="12.75" customHeight="1">
      <c r="O209" s="50"/>
      <c r="P209" s="50"/>
    </row>
    <row r="210" ht="12.75" customHeight="1">
      <c r="O210" s="50"/>
      <c r="P210" s="50"/>
    </row>
    <row r="211" ht="12.75" customHeight="1">
      <c r="O211" s="5"/>
      <c r="P211" s="5"/>
    </row>
    <row r="212" ht="12.75" customHeight="1">
      <c r="O212" s="5"/>
      <c r="P212" s="5"/>
    </row>
    <row r="213" ht="12.75" customHeight="1">
      <c r="O213" s="5"/>
      <c r="P213" s="5"/>
    </row>
    <row r="214" ht="12.75" customHeight="1">
      <c r="O214" s="5"/>
      <c r="P214" s="5"/>
    </row>
    <row r="215" ht="12.75" customHeight="1">
      <c r="O215" s="5"/>
      <c r="P215" s="5"/>
    </row>
    <row r="216" ht="12.75" customHeight="1">
      <c r="O216" s="5"/>
      <c r="P216" s="5"/>
    </row>
    <row r="217" ht="12.75" customHeight="1">
      <c r="O217" s="5"/>
      <c r="P217" s="5"/>
    </row>
    <row r="218" ht="12.75" customHeight="1">
      <c r="O218" s="1"/>
      <c r="P218" s="1"/>
    </row>
    <row r="219" ht="12.75" customHeight="1">
      <c r="O219" s="50"/>
      <c r="P219" s="50"/>
    </row>
    <row r="220" ht="12.75" customHeight="1">
      <c r="O220" s="5"/>
      <c r="P220" s="5"/>
    </row>
    <row r="221" ht="12.75" customHeight="1">
      <c r="O221" s="5"/>
      <c r="P221" s="5"/>
    </row>
    <row r="222" ht="12.75" customHeight="1">
      <c r="O222" s="5"/>
      <c r="P222" s="5"/>
    </row>
    <row r="223" ht="12.75" customHeight="1">
      <c r="O223" s="5"/>
      <c r="P223" s="5"/>
    </row>
    <row r="224" ht="12.75" customHeight="1">
      <c r="O224" s="5"/>
      <c r="P224" s="5"/>
    </row>
    <row r="225" ht="12.75" customHeight="1">
      <c r="O225" s="5"/>
      <c r="P225" s="5"/>
    </row>
    <row r="226" ht="12.75" customHeight="1">
      <c r="O226" s="5"/>
      <c r="P226" s="5"/>
    </row>
    <row r="227" ht="12.75" customHeight="1">
      <c r="O227" s="5"/>
      <c r="P227" s="5"/>
    </row>
    <row r="228" ht="12.75" customHeight="1">
      <c r="O228" s="5"/>
      <c r="P228" s="5"/>
    </row>
    <row r="229" ht="12.75" customHeight="1">
      <c r="O229" s="1"/>
      <c r="P229" s="1"/>
    </row>
    <row r="230" ht="12.75" customHeight="1">
      <c r="O230" s="50"/>
      <c r="P230" s="50"/>
    </row>
    <row r="231" ht="12.75" customHeight="1">
      <c r="O231" s="5"/>
      <c r="P231" s="5"/>
    </row>
    <row r="232" ht="12.75" customHeight="1">
      <c r="O232" s="5"/>
      <c r="P232" s="5"/>
    </row>
    <row r="233" ht="12.75" customHeight="1">
      <c r="O233" s="5"/>
      <c r="P233" s="5"/>
    </row>
    <row r="234" ht="12.75" customHeight="1">
      <c r="O234" s="5"/>
      <c r="P234" s="5"/>
    </row>
    <row r="235" ht="12.75" customHeight="1">
      <c r="O235" s="5"/>
      <c r="P235" s="5"/>
    </row>
    <row r="236" ht="12.75" customHeight="1">
      <c r="O236" s="5"/>
      <c r="P236" s="5"/>
    </row>
    <row r="237" ht="12.75" customHeight="1">
      <c r="O237" s="5"/>
      <c r="P237" s="5"/>
    </row>
    <row r="238" ht="12.75" customHeight="1">
      <c r="O238" s="5"/>
      <c r="P238" s="5"/>
    </row>
    <row r="239" ht="12.75" customHeight="1">
      <c r="O239" s="5"/>
      <c r="P239" s="5"/>
    </row>
    <row r="240" ht="12.75" customHeight="1">
      <c r="O240" s="1"/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45:M57">
    <cfRule type="containsBlanks" dxfId="1" priority="10">
      <formula>LEN(TRIM(E45))=0</formula>
    </cfRule>
  </conditionalFormatting>
  <conditionalFormatting sqref="E60:M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118.0</v>
      </c>
      <c r="G14" s="19">
        <v>115.0</v>
      </c>
      <c r="H14" s="19">
        <v>119.0</v>
      </c>
      <c r="I14" s="19">
        <v>121.0</v>
      </c>
      <c r="J14" s="19">
        <v>126.0</v>
      </c>
      <c r="K14" s="19">
        <v>121.0</v>
      </c>
      <c r="L14" s="19">
        <v>133.0</v>
      </c>
      <c r="M14" s="13">
        <f t="shared" ref="M14:M16" si="1">SUM(E14:L14)</f>
        <v>981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135.0</v>
      </c>
      <c r="G15" s="19">
        <v>137.0</v>
      </c>
      <c r="H15" s="19">
        <v>143.0</v>
      </c>
      <c r="I15" s="19">
        <v>133.0</v>
      </c>
      <c r="J15" s="19">
        <v>135.0</v>
      </c>
      <c r="K15" s="19">
        <v>137.0</v>
      </c>
      <c r="L15" s="19">
        <v>126.0</v>
      </c>
      <c r="M15" s="13">
        <f t="shared" si="1"/>
        <v>1087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269</v>
      </c>
      <c r="F16" s="13">
        <f t="shared" si="2"/>
        <v>253</v>
      </c>
      <c r="G16" s="13">
        <f t="shared" si="2"/>
        <v>252</v>
      </c>
      <c r="H16" s="13">
        <f t="shared" si="2"/>
        <v>262</v>
      </c>
      <c r="I16" s="13">
        <f t="shared" si="2"/>
        <v>254</v>
      </c>
      <c r="J16" s="13">
        <f t="shared" si="2"/>
        <v>261</v>
      </c>
      <c r="K16" s="13">
        <f t="shared" si="2"/>
        <v>258</v>
      </c>
      <c r="L16" s="13">
        <f t="shared" si="2"/>
        <v>259</v>
      </c>
      <c r="M16" s="13">
        <f t="shared" si="1"/>
        <v>2068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106.0</v>
      </c>
      <c r="G19" s="19">
        <v>99.0</v>
      </c>
      <c r="H19" s="19">
        <v>111.0</v>
      </c>
      <c r="I19" s="19">
        <v>111.0</v>
      </c>
      <c r="J19" s="19">
        <v>116.0</v>
      </c>
      <c r="K19" s="19">
        <v>108.0</v>
      </c>
      <c r="L19" s="19">
        <v>104.0</v>
      </c>
      <c r="M19" s="13">
        <f t="shared" ref="M19:M30" si="3">SUM(E19:L19)</f>
        <v>869</v>
      </c>
    </row>
    <row r="20" ht="12.75" customHeight="1">
      <c r="A20" s="33"/>
      <c r="B20" s="27"/>
      <c r="C20" s="34"/>
      <c r="D20" s="19" t="s">
        <v>13</v>
      </c>
      <c r="E20" s="19">
        <v>130.0</v>
      </c>
      <c r="F20" s="19">
        <v>128.0</v>
      </c>
      <c r="G20" s="19">
        <v>123.0</v>
      </c>
      <c r="H20" s="19">
        <v>131.0</v>
      </c>
      <c r="I20" s="19">
        <v>117.0</v>
      </c>
      <c r="J20" s="19">
        <v>128.0</v>
      </c>
      <c r="K20" s="19">
        <v>123.0</v>
      </c>
      <c r="L20" s="19">
        <v>118.0</v>
      </c>
      <c r="M20" s="13">
        <f t="shared" si="3"/>
        <v>998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244</v>
      </c>
      <c r="F21" s="13">
        <f t="shared" si="4"/>
        <v>234</v>
      </c>
      <c r="G21" s="13">
        <f t="shared" si="4"/>
        <v>222</v>
      </c>
      <c r="H21" s="13">
        <f t="shared" si="4"/>
        <v>242</v>
      </c>
      <c r="I21" s="13">
        <f t="shared" si="4"/>
        <v>228</v>
      </c>
      <c r="J21" s="13">
        <f t="shared" si="4"/>
        <v>244</v>
      </c>
      <c r="K21" s="13">
        <f t="shared" si="4"/>
        <v>231</v>
      </c>
      <c r="L21" s="13">
        <f t="shared" si="4"/>
        <v>222</v>
      </c>
      <c r="M21" s="13">
        <f t="shared" si="3"/>
        <v>1867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1.0</v>
      </c>
      <c r="G22" s="19">
        <v>0.0</v>
      </c>
      <c r="H22" s="19">
        <v>2.0</v>
      </c>
      <c r="I22" s="19">
        <v>0.0</v>
      </c>
      <c r="J22" s="19">
        <v>0.0</v>
      </c>
      <c r="K22" s="19">
        <v>1.0</v>
      </c>
      <c r="L22" s="19">
        <v>2.0</v>
      </c>
      <c r="M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2.0</v>
      </c>
      <c r="H23" s="19">
        <v>0.0</v>
      </c>
      <c r="I23" s="19">
        <v>0.0</v>
      </c>
      <c r="J23" s="19">
        <v>1.0</v>
      </c>
      <c r="K23" s="19">
        <v>1.0</v>
      </c>
      <c r="L23" s="19">
        <v>2.0</v>
      </c>
      <c r="M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3</v>
      </c>
      <c r="F24" s="13">
        <f t="shared" si="5"/>
        <v>1</v>
      </c>
      <c r="G24" s="13">
        <f t="shared" si="5"/>
        <v>2</v>
      </c>
      <c r="H24" s="13">
        <f t="shared" si="5"/>
        <v>2</v>
      </c>
      <c r="I24" s="13">
        <f t="shared" si="5"/>
        <v>0</v>
      </c>
      <c r="J24" s="13">
        <f t="shared" si="5"/>
        <v>1</v>
      </c>
      <c r="K24" s="13">
        <f t="shared" si="5"/>
        <v>2</v>
      </c>
      <c r="L24" s="13">
        <f t="shared" si="5"/>
        <v>4</v>
      </c>
      <c r="M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1.0</v>
      </c>
      <c r="L26" s="19">
        <v>0.0</v>
      </c>
      <c r="M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116</v>
      </c>
      <c r="F28" s="13">
        <f t="shared" si="7"/>
        <v>107</v>
      </c>
      <c r="G28" s="13">
        <f t="shared" si="7"/>
        <v>99</v>
      </c>
      <c r="H28" s="13">
        <f t="shared" si="7"/>
        <v>113</v>
      </c>
      <c r="I28" s="13">
        <f t="shared" si="7"/>
        <v>111</v>
      </c>
      <c r="J28" s="13">
        <f t="shared" si="7"/>
        <v>116</v>
      </c>
      <c r="K28" s="13">
        <f t="shared" si="7"/>
        <v>109</v>
      </c>
      <c r="L28" s="13">
        <f t="shared" si="7"/>
        <v>106</v>
      </c>
      <c r="M28" s="13">
        <f t="shared" si="3"/>
        <v>877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131</v>
      </c>
      <c r="F29" s="13">
        <f t="shared" si="8"/>
        <v>128</v>
      </c>
      <c r="G29" s="13">
        <f t="shared" si="8"/>
        <v>125</v>
      </c>
      <c r="H29" s="13">
        <f t="shared" si="8"/>
        <v>131</v>
      </c>
      <c r="I29" s="13">
        <f t="shared" si="8"/>
        <v>117</v>
      </c>
      <c r="J29" s="13">
        <f t="shared" si="8"/>
        <v>129</v>
      </c>
      <c r="K29" s="13">
        <f t="shared" si="8"/>
        <v>125</v>
      </c>
      <c r="L29" s="13">
        <f t="shared" si="8"/>
        <v>120</v>
      </c>
      <c r="M29" s="13">
        <f t="shared" si="3"/>
        <v>1006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247</v>
      </c>
      <c r="F30" s="13">
        <f t="shared" si="9"/>
        <v>235</v>
      </c>
      <c r="G30" s="13">
        <f t="shared" si="9"/>
        <v>224</v>
      </c>
      <c r="H30" s="13">
        <f t="shared" si="9"/>
        <v>244</v>
      </c>
      <c r="I30" s="13">
        <f t="shared" si="9"/>
        <v>228</v>
      </c>
      <c r="J30" s="13">
        <f t="shared" si="9"/>
        <v>245</v>
      </c>
      <c r="K30" s="13">
        <f t="shared" si="9"/>
        <v>234</v>
      </c>
      <c r="L30" s="13">
        <f t="shared" si="9"/>
        <v>226</v>
      </c>
      <c r="M30" s="13">
        <f t="shared" si="3"/>
        <v>1883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59"/>
    </row>
    <row r="33" ht="12.75" customHeight="1">
      <c r="A33" s="19">
        <v>1.0</v>
      </c>
      <c r="B33" s="20" t="s">
        <v>27</v>
      </c>
      <c r="C33" s="15"/>
      <c r="D33" s="16"/>
      <c r="E33" s="19">
        <v>275.0</v>
      </c>
      <c r="F33" s="19">
        <v>259.0</v>
      </c>
      <c r="G33" s="19">
        <v>258.0</v>
      </c>
      <c r="H33" s="19">
        <v>268.0</v>
      </c>
      <c r="I33" s="19">
        <v>260.0</v>
      </c>
      <c r="J33" s="19">
        <v>267.0</v>
      </c>
      <c r="K33" s="19">
        <v>264.0</v>
      </c>
      <c r="L33" s="19">
        <v>265.0</v>
      </c>
      <c r="M33" s="13">
        <f t="shared" ref="M33:M36" si="10">SUM(E33:L33)</f>
        <v>2116</v>
      </c>
    </row>
    <row r="34" ht="12.75" customHeight="1">
      <c r="A34" s="19">
        <v>2.0</v>
      </c>
      <c r="B34" s="20" t="s">
        <v>28</v>
      </c>
      <c r="C34" s="15"/>
      <c r="D34" s="16"/>
      <c r="E34" s="13">
        <v>247.0</v>
      </c>
      <c r="F34" s="13">
        <v>235.0</v>
      </c>
      <c r="G34" s="13">
        <v>224.0</v>
      </c>
      <c r="H34" s="13">
        <v>244.0</v>
      </c>
      <c r="I34" s="13">
        <v>228.0</v>
      </c>
      <c r="J34" s="13">
        <v>245.0</v>
      </c>
      <c r="K34" s="13">
        <v>234.0</v>
      </c>
      <c r="L34" s="13">
        <v>226.0</v>
      </c>
      <c r="M34" s="13">
        <f t="shared" si="10"/>
        <v>1883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28</v>
      </c>
      <c r="F36" s="13">
        <f t="shared" si="11"/>
        <v>24</v>
      </c>
      <c r="G36" s="13">
        <f t="shared" si="11"/>
        <v>34</v>
      </c>
      <c r="H36" s="13">
        <f t="shared" si="11"/>
        <v>24</v>
      </c>
      <c r="I36" s="13">
        <f t="shared" si="11"/>
        <v>32</v>
      </c>
      <c r="J36" s="13">
        <f t="shared" si="11"/>
        <v>22</v>
      </c>
      <c r="K36" s="13">
        <f t="shared" si="11"/>
        <v>30</v>
      </c>
      <c r="L36" s="13">
        <f t="shared" si="11"/>
        <v>39</v>
      </c>
      <c r="M36" s="13">
        <f t="shared" si="10"/>
        <v>233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3">
        <f t="shared" ref="M39:M41" si="12">SUM(E39:L39)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/>
      <c r="B45" s="47" t="s">
        <v>17</v>
      </c>
      <c r="C45" s="61" t="s">
        <v>38</v>
      </c>
      <c r="D45" s="16"/>
      <c r="E45" s="19">
        <v>14.0</v>
      </c>
      <c r="F45" s="19">
        <v>14.0</v>
      </c>
      <c r="G45" s="19">
        <v>10.0</v>
      </c>
      <c r="H45" s="19">
        <v>14.0</v>
      </c>
      <c r="I45" s="19">
        <v>27.0</v>
      </c>
      <c r="J45" s="19">
        <v>21.0</v>
      </c>
      <c r="K45" s="19">
        <v>32.0</v>
      </c>
      <c r="L45" s="19">
        <v>12.0</v>
      </c>
      <c r="M45" s="13">
        <f t="shared" ref="M45:M57" si="14">SUM(E45:L45)</f>
        <v>144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40.0</v>
      </c>
      <c r="F46" s="19">
        <v>43.0</v>
      </c>
      <c r="G46" s="19">
        <v>31.0</v>
      </c>
      <c r="H46" s="19">
        <v>33.0</v>
      </c>
      <c r="I46" s="19">
        <v>35.0</v>
      </c>
      <c r="J46" s="19">
        <v>53.0</v>
      </c>
      <c r="K46" s="19">
        <v>40.0</v>
      </c>
      <c r="L46" s="19">
        <v>36.0</v>
      </c>
      <c r="M46" s="13">
        <f t="shared" si="14"/>
        <v>311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30.0</v>
      </c>
      <c r="F47" s="19">
        <v>15.0</v>
      </c>
      <c r="G47" s="19">
        <v>14.0</v>
      </c>
      <c r="H47" s="19">
        <v>12.0</v>
      </c>
      <c r="I47" s="19">
        <v>21.0</v>
      </c>
      <c r="J47" s="19">
        <v>22.0</v>
      </c>
      <c r="K47" s="19">
        <v>25.0</v>
      </c>
      <c r="L47" s="19">
        <v>20.0</v>
      </c>
      <c r="M47" s="13">
        <f t="shared" si="14"/>
        <v>159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24.0</v>
      </c>
      <c r="F48" s="19">
        <v>19.0</v>
      </c>
      <c r="G48" s="19">
        <v>19.0</v>
      </c>
      <c r="H48" s="19">
        <v>36.0</v>
      </c>
      <c r="I48" s="19">
        <v>33.0</v>
      </c>
      <c r="J48" s="19">
        <v>24.0</v>
      </c>
      <c r="K48" s="19">
        <v>19.0</v>
      </c>
      <c r="L48" s="19">
        <v>22.0</v>
      </c>
      <c r="M48" s="13">
        <f t="shared" si="14"/>
        <v>196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20.0</v>
      </c>
      <c r="F49" s="19">
        <v>20.0</v>
      </c>
      <c r="G49" s="19">
        <v>16.0</v>
      </c>
      <c r="H49" s="19">
        <v>24.0</v>
      </c>
      <c r="I49" s="19">
        <v>17.0</v>
      </c>
      <c r="J49" s="19">
        <v>27.0</v>
      </c>
      <c r="K49" s="19">
        <v>22.0</v>
      </c>
      <c r="L49" s="19">
        <v>15.0</v>
      </c>
      <c r="M49" s="13">
        <f t="shared" si="14"/>
        <v>161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6.0</v>
      </c>
      <c r="F50" s="19">
        <v>5.0</v>
      </c>
      <c r="G50" s="19">
        <v>12.0</v>
      </c>
      <c r="H50" s="19">
        <v>8.0</v>
      </c>
      <c r="I50" s="19">
        <v>13.0</v>
      </c>
      <c r="J50" s="19">
        <v>13.0</v>
      </c>
      <c r="K50" s="19">
        <v>10.0</v>
      </c>
      <c r="L50" s="19">
        <v>9.0</v>
      </c>
      <c r="M50" s="13">
        <f t="shared" si="14"/>
        <v>76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0.0</v>
      </c>
      <c r="F51" s="19">
        <v>1.0</v>
      </c>
      <c r="G51" s="19">
        <v>2.0</v>
      </c>
      <c r="H51" s="19">
        <v>1.0</v>
      </c>
      <c r="I51" s="19">
        <v>2.0</v>
      </c>
      <c r="J51" s="19">
        <v>0.0</v>
      </c>
      <c r="K51" s="19">
        <v>3.0</v>
      </c>
      <c r="L51" s="19">
        <v>1.0</v>
      </c>
      <c r="M51" s="13">
        <f t="shared" si="14"/>
        <v>10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4.0</v>
      </c>
      <c r="F52" s="19">
        <v>10.0</v>
      </c>
      <c r="G52" s="19">
        <v>2.0</v>
      </c>
      <c r="H52" s="19">
        <v>4.0</v>
      </c>
      <c r="I52" s="19">
        <v>8.0</v>
      </c>
      <c r="J52" s="19">
        <v>2.0</v>
      </c>
      <c r="K52" s="19">
        <v>8.0</v>
      </c>
      <c r="L52" s="19">
        <v>2.0</v>
      </c>
      <c r="M52" s="13">
        <f t="shared" si="14"/>
        <v>40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3.0</v>
      </c>
      <c r="F53" s="19">
        <v>1.0</v>
      </c>
      <c r="G53" s="19">
        <v>1.0</v>
      </c>
      <c r="H53" s="19">
        <v>1.0</v>
      </c>
      <c r="I53" s="19">
        <v>0.0</v>
      </c>
      <c r="J53" s="19">
        <v>3.0</v>
      </c>
      <c r="K53" s="19">
        <v>1.0</v>
      </c>
      <c r="L53" s="19">
        <v>1.0</v>
      </c>
      <c r="M53" s="13">
        <f t="shared" si="14"/>
        <v>11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40.0</v>
      </c>
      <c r="F54" s="19">
        <v>37.0</v>
      </c>
      <c r="G54" s="19">
        <v>34.0</v>
      </c>
      <c r="H54" s="19">
        <v>40.0</v>
      </c>
      <c r="I54" s="19">
        <v>20.0</v>
      </c>
      <c r="J54" s="19">
        <v>30.0</v>
      </c>
      <c r="K54" s="19">
        <v>25.0</v>
      </c>
      <c r="L54" s="19">
        <v>45.0</v>
      </c>
      <c r="M54" s="13">
        <f t="shared" si="14"/>
        <v>271</v>
      </c>
    </row>
    <row r="55" ht="15.0" customHeight="1">
      <c r="A55" s="18"/>
      <c r="B55" s="47" t="s">
        <v>54</v>
      </c>
      <c r="C55" s="61" t="s">
        <v>55</v>
      </c>
      <c r="D55" s="16"/>
      <c r="E55" s="19">
        <v>0.0</v>
      </c>
      <c r="F55" s="19">
        <v>1.0</v>
      </c>
      <c r="G55" s="19">
        <v>1.0</v>
      </c>
      <c r="H55" s="19">
        <v>5.0</v>
      </c>
      <c r="I55" s="19">
        <v>0.0</v>
      </c>
      <c r="J55" s="19">
        <v>0.0</v>
      </c>
      <c r="K55" s="19">
        <v>1.0</v>
      </c>
      <c r="L55" s="19">
        <v>3.0</v>
      </c>
      <c r="M55" s="13">
        <f t="shared" si="14"/>
        <v>11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17.0</v>
      </c>
      <c r="F56" s="19">
        <v>27.0</v>
      </c>
      <c r="G56" s="19">
        <v>28.0</v>
      </c>
      <c r="H56" s="19">
        <v>24.0</v>
      </c>
      <c r="I56" s="19">
        <v>13.0</v>
      </c>
      <c r="J56" s="19">
        <v>21.0</v>
      </c>
      <c r="K56" s="19">
        <v>26.0</v>
      </c>
      <c r="L56" s="19">
        <v>21.0</v>
      </c>
      <c r="M56" s="13">
        <f t="shared" si="14"/>
        <v>177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2.0</v>
      </c>
      <c r="F57" s="19">
        <v>3.0</v>
      </c>
      <c r="G57" s="19">
        <v>5.0</v>
      </c>
      <c r="H57" s="19">
        <v>3.0</v>
      </c>
      <c r="I57" s="19">
        <v>5.0</v>
      </c>
      <c r="J57" s="19">
        <v>1.0</v>
      </c>
      <c r="K57" s="19">
        <v>1.0</v>
      </c>
      <c r="L57" s="19">
        <v>2.0</v>
      </c>
      <c r="M57" s="13">
        <f t="shared" si="14"/>
        <v>22</v>
      </c>
    </row>
    <row r="58" ht="12.75" customHeight="1">
      <c r="M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L60" si="15">SUM(E45:E57)</f>
        <v>200</v>
      </c>
      <c r="F60" s="19">
        <f t="shared" si="15"/>
        <v>196</v>
      </c>
      <c r="G60" s="19">
        <f t="shared" si="15"/>
        <v>175</v>
      </c>
      <c r="H60" s="19">
        <f t="shared" si="15"/>
        <v>205</v>
      </c>
      <c r="I60" s="19">
        <f t="shared" si="15"/>
        <v>194</v>
      </c>
      <c r="J60" s="19">
        <f t="shared" si="15"/>
        <v>217</v>
      </c>
      <c r="K60" s="19">
        <f t="shared" si="15"/>
        <v>213</v>
      </c>
      <c r="L60" s="19">
        <f t="shared" si="15"/>
        <v>189</v>
      </c>
      <c r="M60" s="13">
        <f t="shared" ref="M60:M62" si="16">SUM(E60:L60)</f>
        <v>1589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47.0</v>
      </c>
      <c r="F61" s="19">
        <v>39.0</v>
      </c>
      <c r="G61" s="19">
        <v>49.0</v>
      </c>
      <c r="H61" s="19">
        <v>39.0</v>
      </c>
      <c r="I61" s="19">
        <v>34.0</v>
      </c>
      <c r="J61" s="19">
        <v>28.0</v>
      </c>
      <c r="K61" s="19">
        <v>21.0</v>
      </c>
      <c r="L61" s="19">
        <v>37.0</v>
      </c>
      <c r="M61" s="13">
        <f t="shared" si="16"/>
        <v>294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L62" si="17">SUM(E60:E61)</f>
        <v>247</v>
      </c>
      <c r="F62" s="13">
        <f t="shared" si="17"/>
        <v>235</v>
      </c>
      <c r="G62" s="13">
        <f t="shared" si="17"/>
        <v>224</v>
      </c>
      <c r="H62" s="13">
        <f t="shared" si="17"/>
        <v>244</v>
      </c>
      <c r="I62" s="13">
        <f t="shared" si="17"/>
        <v>228</v>
      </c>
      <c r="J62" s="13">
        <f t="shared" si="17"/>
        <v>245</v>
      </c>
      <c r="K62" s="13">
        <f t="shared" si="17"/>
        <v>234</v>
      </c>
      <c r="L62" s="13">
        <f t="shared" si="17"/>
        <v>226</v>
      </c>
      <c r="M62" s="13">
        <f t="shared" si="16"/>
        <v>1883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N117" s="5"/>
      <c r="O117" s="5"/>
    </row>
    <row r="118" ht="12.75" customHeight="1">
      <c r="N118" s="5"/>
      <c r="O118" s="5"/>
    </row>
    <row r="119" ht="12.75" customHeight="1">
      <c r="N119" s="5"/>
      <c r="O119" s="5"/>
    </row>
    <row r="120" ht="12.75" customHeight="1">
      <c r="N120" s="5"/>
      <c r="O120" s="5"/>
    </row>
    <row r="121" ht="12.75" customHeight="1">
      <c r="N121" s="5"/>
      <c r="O121" s="5"/>
    </row>
    <row r="122" ht="12.75" customHeight="1">
      <c r="N122" s="5"/>
      <c r="O122" s="5"/>
    </row>
    <row r="123" ht="12.75" customHeight="1">
      <c r="N123" s="5"/>
      <c r="O123" s="5"/>
    </row>
    <row r="124" ht="12.75" customHeight="1">
      <c r="N124" s="5"/>
      <c r="O124" s="5"/>
    </row>
    <row r="125" ht="12.75" customHeight="1">
      <c r="N125" s="5"/>
      <c r="O125" s="5"/>
    </row>
    <row r="126" ht="12.75" customHeight="1">
      <c r="N126" s="5"/>
      <c r="O126" s="5"/>
    </row>
    <row r="127" ht="12.75" customHeight="1">
      <c r="N127" s="5"/>
      <c r="O127" s="5"/>
    </row>
    <row r="128" ht="12.75" customHeight="1">
      <c r="N128" s="5"/>
      <c r="O128" s="5"/>
    </row>
    <row r="129" ht="12.75" customHeight="1">
      <c r="N129" s="5"/>
      <c r="O129" s="5"/>
    </row>
    <row r="130" ht="12.75" customHeight="1">
      <c r="N130" s="1"/>
      <c r="O130" s="1"/>
    </row>
    <row r="131" ht="12.75" customHeight="1">
      <c r="N131" s="50"/>
      <c r="O131" s="50"/>
    </row>
    <row r="132" ht="12.75" customHeight="1">
      <c r="N132" s="5"/>
      <c r="O132" s="5"/>
    </row>
    <row r="133" ht="12.75" customHeight="1">
      <c r="N133" s="5"/>
      <c r="O133" s="5"/>
    </row>
    <row r="134" ht="12.75" customHeight="1">
      <c r="N134" s="5"/>
      <c r="O134" s="5"/>
    </row>
    <row r="135" ht="12.75" customHeight="1">
      <c r="N135" s="5"/>
      <c r="O135" s="5"/>
    </row>
    <row r="136" ht="12.75" customHeight="1">
      <c r="N136" s="5"/>
      <c r="O136" s="5"/>
    </row>
    <row r="137" ht="12.75" customHeight="1">
      <c r="N137" s="5"/>
      <c r="O137" s="5"/>
    </row>
    <row r="138" ht="12.75" customHeight="1">
      <c r="N138" s="5"/>
      <c r="O138" s="5"/>
    </row>
    <row r="139" ht="12.75" customHeight="1">
      <c r="N139" s="5"/>
      <c r="O139" s="5"/>
    </row>
    <row r="140" ht="12.75" customHeight="1">
      <c r="N140" s="5"/>
      <c r="O140" s="5"/>
    </row>
    <row r="141" ht="12.75" customHeight="1">
      <c r="N141" s="1"/>
      <c r="O141" s="1"/>
    </row>
    <row r="142" ht="12.75" customHeight="1">
      <c r="N142" s="50"/>
      <c r="O142" s="50"/>
    </row>
    <row r="143" ht="12.75" customHeight="1">
      <c r="N143" s="5"/>
      <c r="O143" s="5"/>
    </row>
    <row r="144" ht="12.75" customHeight="1">
      <c r="N144" s="5"/>
      <c r="O144" s="5"/>
    </row>
    <row r="145" ht="12.75" customHeight="1">
      <c r="N145" s="5"/>
      <c r="O145" s="5"/>
    </row>
    <row r="146" ht="12.75" customHeight="1">
      <c r="N146" s="5"/>
      <c r="O146" s="5"/>
    </row>
    <row r="147" ht="12.75" customHeight="1">
      <c r="N147" s="5"/>
      <c r="O147" s="5"/>
    </row>
    <row r="148" ht="12.75" customHeight="1">
      <c r="N148" s="5"/>
      <c r="O148" s="5"/>
    </row>
    <row r="149" ht="12.75" customHeight="1">
      <c r="N149" s="5"/>
      <c r="O149" s="5"/>
    </row>
    <row r="150" ht="12.75" customHeight="1">
      <c r="N150" s="5"/>
      <c r="O150" s="5"/>
    </row>
    <row r="151" ht="12.75" customHeight="1">
      <c r="N151" s="1"/>
      <c r="O151" s="1"/>
    </row>
    <row r="152" ht="12.75" customHeight="1">
      <c r="N152" s="50"/>
      <c r="O152" s="50"/>
    </row>
    <row r="153" ht="12.75" customHeight="1">
      <c r="N153" s="5"/>
      <c r="O153" s="5"/>
    </row>
    <row r="154" ht="12.75" customHeight="1">
      <c r="N154" s="5"/>
      <c r="O154" s="5"/>
    </row>
    <row r="155" ht="12.75" customHeight="1">
      <c r="N155" s="5"/>
      <c r="O155" s="5"/>
    </row>
    <row r="156" ht="12.75" customHeight="1">
      <c r="N156" s="5"/>
      <c r="O156" s="5"/>
    </row>
    <row r="157" ht="12.75" customHeight="1">
      <c r="N157" s="5"/>
      <c r="O157" s="5"/>
    </row>
    <row r="158" ht="12.75" customHeight="1">
      <c r="N158" s="5"/>
      <c r="O158" s="5"/>
    </row>
    <row r="159" ht="12.75" customHeight="1">
      <c r="N159" s="5"/>
      <c r="O159" s="5"/>
    </row>
    <row r="160" ht="12.75" customHeight="1">
      <c r="N160" s="5"/>
      <c r="O160" s="5"/>
    </row>
    <row r="161" ht="12.75" customHeight="1">
      <c r="N161" s="5"/>
      <c r="O161" s="5"/>
    </row>
    <row r="162" ht="12.75" customHeight="1">
      <c r="N162" s="5"/>
      <c r="O162" s="5"/>
    </row>
    <row r="163" ht="12.75" customHeight="1">
      <c r="N163" s="5"/>
      <c r="O163" s="5"/>
    </row>
    <row r="164" ht="12.75" customHeight="1">
      <c r="N164" s="5"/>
      <c r="O164" s="5"/>
    </row>
    <row r="165" ht="12.75" customHeight="1">
      <c r="N165" s="1"/>
      <c r="O165" s="1"/>
    </row>
    <row r="166" ht="12.75" customHeight="1">
      <c r="N166" s="50"/>
      <c r="O166" s="50"/>
    </row>
    <row r="167" ht="12.75" customHeight="1">
      <c r="N167" s="5"/>
      <c r="O167" s="5"/>
    </row>
    <row r="168" ht="12.75" customHeight="1">
      <c r="N168" s="5"/>
      <c r="O168" s="5"/>
    </row>
    <row r="169" ht="12.75" customHeight="1">
      <c r="N169" s="5"/>
      <c r="O169" s="5"/>
    </row>
    <row r="170" ht="12.75" customHeight="1">
      <c r="N170" s="5"/>
      <c r="O170" s="5"/>
    </row>
    <row r="171" ht="12.75" customHeight="1">
      <c r="N171" s="5"/>
      <c r="O171" s="5"/>
    </row>
    <row r="172" ht="12.75" customHeight="1">
      <c r="N172" s="5"/>
      <c r="O172" s="5"/>
    </row>
    <row r="173" ht="12.75" customHeight="1">
      <c r="N173" s="5"/>
      <c r="O173" s="5"/>
    </row>
    <row r="174" ht="12.75" customHeight="1">
      <c r="N174" s="5"/>
      <c r="O174" s="5"/>
    </row>
    <row r="175" ht="12.75" customHeight="1">
      <c r="N175" s="5"/>
      <c r="O175" s="5"/>
    </row>
    <row r="176" ht="12.75" customHeight="1">
      <c r="N176" s="1"/>
      <c r="O176" s="1"/>
    </row>
    <row r="177" ht="12.75" customHeight="1"/>
    <row r="178" ht="12.75" customHeight="1">
      <c r="N178" s="5"/>
      <c r="O178" s="5"/>
    </row>
    <row r="179" ht="12.75" customHeight="1">
      <c r="N179" s="5"/>
      <c r="O179" s="5"/>
    </row>
    <row r="180" ht="12.75" customHeight="1">
      <c r="N180" s="5"/>
      <c r="O180" s="5"/>
    </row>
    <row r="181" ht="12.75" customHeight="1">
      <c r="N181" s="5"/>
      <c r="O181" s="5"/>
    </row>
    <row r="182" ht="12.75" customHeight="1">
      <c r="N182" s="5"/>
      <c r="O182" s="5"/>
    </row>
    <row r="183" ht="12.75" customHeight="1">
      <c r="N183" s="5"/>
      <c r="O183" s="5"/>
    </row>
    <row r="184" ht="12.75" customHeight="1">
      <c r="N184" s="5"/>
      <c r="O184" s="5"/>
    </row>
    <row r="185" ht="12.75" customHeight="1">
      <c r="N185" s="5"/>
      <c r="O185" s="5"/>
    </row>
    <row r="186" ht="12.75" customHeight="1">
      <c r="N186" s="5"/>
      <c r="O186" s="5"/>
    </row>
    <row r="187" ht="12.75" customHeight="1">
      <c r="N187" s="1"/>
      <c r="O187" s="1"/>
    </row>
    <row r="188" ht="12.75" customHeight="1"/>
    <row r="189" ht="12.75" customHeight="1">
      <c r="N189" s="5"/>
      <c r="O189" s="5"/>
    </row>
    <row r="190" ht="12.75" customHeight="1">
      <c r="N190" s="5"/>
      <c r="O190" s="5"/>
    </row>
    <row r="191" ht="12.75" customHeight="1">
      <c r="N191" s="5"/>
      <c r="O191" s="5"/>
    </row>
    <row r="192" ht="12.75" customHeight="1">
      <c r="N192" s="5"/>
      <c r="O192" s="5"/>
    </row>
    <row r="193" ht="12.75" customHeight="1">
      <c r="N193" s="5"/>
      <c r="O193" s="5"/>
    </row>
    <row r="194" ht="12.75" customHeight="1">
      <c r="N194" s="5"/>
      <c r="O194" s="5"/>
    </row>
    <row r="195" ht="12.75" customHeight="1">
      <c r="N195" s="5"/>
      <c r="O195" s="5"/>
    </row>
    <row r="196" ht="12.75" customHeight="1">
      <c r="N196" s="1"/>
      <c r="O196" s="1"/>
    </row>
    <row r="197" ht="12.75" customHeight="1">
      <c r="N197" s="1"/>
      <c r="O197" s="1"/>
    </row>
    <row r="198" ht="12.75" customHeight="1">
      <c r="N198" s="1"/>
      <c r="O198" s="1"/>
    </row>
    <row r="199" ht="12.75" customHeight="1">
      <c r="N199" s="50"/>
      <c r="O199" s="50"/>
    </row>
    <row r="200" ht="12.75" customHeight="1">
      <c r="N200" s="5"/>
      <c r="O200" s="5"/>
    </row>
    <row r="201" ht="12.75" customHeight="1">
      <c r="N201" s="5"/>
      <c r="O201" s="5"/>
    </row>
    <row r="202" ht="12.75" customHeight="1">
      <c r="N202" s="5"/>
      <c r="O202" s="5"/>
    </row>
    <row r="203" ht="12.75" customHeight="1">
      <c r="N203" s="5"/>
      <c r="O203" s="5"/>
    </row>
    <row r="204" ht="12.75" customHeight="1">
      <c r="N204" s="5"/>
      <c r="O204" s="5"/>
    </row>
    <row r="205" ht="12.75" customHeight="1">
      <c r="N205" s="5"/>
      <c r="O205" s="5"/>
    </row>
    <row r="206" ht="12.75" customHeight="1">
      <c r="N206" s="5"/>
      <c r="O206" s="5"/>
    </row>
    <row r="207" ht="12.75" customHeight="1">
      <c r="N207" s="1"/>
      <c r="O207" s="1"/>
    </row>
    <row r="208" ht="12.75" customHeight="1">
      <c r="N208" s="50"/>
      <c r="O208" s="50"/>
    </row>
    <row r="209" ht="12.75" customHeight="1">
      <c r="N209" s="50"/>
      <c r="O209" s="50"/>
    </row>
    <row r="210" ht="12.75" customHeight="1">
      <c r="N210" s="50"/>
      <c r="O210" s="50"/>
    </row>
    <row r="211" ht="12.75" customHeight="1">
      <c r="N211" s="5"/>
      <c r="O211" s="5"/>
    </row>
    <row r="212" ht="12.75" customHeight="1">
      <c r="N212" s="5"/>
      <c r="O212" s="5"/>
    </row>
    <row r="213" ht="12.75" customHeight="1">
      <c r="N213" s="5"/>
      <c r="O213" s="5"/>
    </row>
    <row r="214" ht="12.75" customHeight="1">
      <c r="N214" s="5"/>
      <c r="O214" s="5"/>
    </row>
    <row r="215" ht="12.75" customHeight="1">
      <c r="N215" s="5"/>
      <c r="O215" s="5"/>
    </row>
    <row r="216" ht="12.75" customHeight="1">
      <c r="N216" s="5"/>
      <c r="O216" s="5"/>
    </row>
    <row r="217" ht="12.75" customHeight="1">
      <c r="N217" s="5"/>
      <c r="O217" s="5"/>
    </row>
    <row r="218" ht="12.75" customHeight="1">
      <c r="N218" s="1"/>
      <c r="O218" s="1"/>
    </row>
    <row r="219" ht="12.75" customHeight="1">
      <c r="N219" s="50"/>
      <c r="O219" s="50"/>
    </row>
    <row r="220" ht="12.75" customHeight="1">
      <c r="N220" s="5"/>
      <c r="O220" s="5"/>
    </row>
    <row r="221" ht="12.75" customHeight="1">
      <c r="N221" s="5"/>
      <c r="O221" s="5"/>
    </row>
    <row r="222" ht="12.75" customHeight="1">
      <c r="N222" s="5"/>
      <c r="O222" s="5"/>
    </row>
    <row r="223" ht="12.75" customHeight="1">
      <c r="N223" s="5"/>
      <c r="O223" s="5"/>
    </row>
    <row r="224" ht="12.75" customHeight="1">
      <c r="N224" s="5"/>
      <c r="O224" s="5"/>
    </row>
    <row r="225" ht="12.75" customHeight="1">
      <c r="N225" s="5"/>
      <c r="O225" s="5"/>
    </row>
    <row r="226" ht="12.75" customHeight="1">
      <c r="N226" s="5"/>
      <c r="O226" s="5"/>
    </row>
    <row r="227" ht="12.75" customHeight="1">
      <c r="N227" s="5"/>
      <c r="O227" s="5"/>
    </row>
    <row r="228" ht="12.75" customHeight="1">
      <c r="N228" s="5"/>
      <c r="O228" s="5"/>
    </row>
    <row r="229" ht="12.75" customHeight="1">
      <c r="N229" s="1"/>
      <c r="O229" s="1"/>
    </row>
    <row r="230" ht="12.75" customHeight="1">
      <c r="N230" s="50"/>
      <c r="O230" s="50"/>
    </row>
    <row r="231" ht="12.75" customHeight="1">
      <c r="N231" s="5"/>
      <c r="O231" s="5"/>
    </row>
    <row r="232" ht="12.75" customHeight="1">
      <c r="N232" s="5"/>
      <c r="O232" s="5"/>
    </row>
    <row r="233" ht="12.75" customHeight="1">
      <c r="N233" s="5"/>
      <c r="O233" s="5"/>
    </row>
    <row r="234" ht="12.75" customHeight="1">
      <c r="N234" s="5"/>
      <c r="O234" s="5"/>
    </row>
    <row r="235" ht="12.75" customHeight="1">
      <c r="N235" s="5"/>
      <c r="O235" s="5"/>
    </row>
    <row r="236" ht="12.75" customHeight="1">
      <c r="N236" s="5"/>
      <c r="O236" s="5"/>
    </row>
    <row r="237" ht="12.75" customHeight="1">
      <c r="N237" s="5"/>
      <c r="O237" s="5"/>
    </row>
    <row r="238" ht="12.75" customHeight="1">
      <c r="N238" s="5"/>
      <c r="O238" s="5"/>
    </row>
    <row r="239" ht="12.75" customHeight="1">
      <c r="N239" s="5"/>
      <c r="O239" s="5"/>
    </row>
    <row r="240" ht="12.75" customHeight="1">
      <c r="N240" s="1"/>
      <c r="O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E34&lt;&gt;#REF!</formula>
    </cfRule>
  </conditionalFormatting>
  <conditionalFormatting sqref="E45:L57">
    <cfRule type="containsBlanks" dxfId="1" priority="10">
      <formula>LEN(TRIM(E45))=0</formula>
    </cfRule>
  </conditionalFormatting>
  <conditionalFormatting sqref="E60:L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102.0</v>
      </c>
      <c r="G14" s="19">
        <v>108.0</v>
      </c>
      <c r="H14" s="19">
        <v>107.0</v>
      </c>
      <c r="I14" s="19">
        <v>107.0</v>
      </c>
      <c r="J14" s="19">
        <v>101.0</v>
      </c>
      <c r="K14" s="19">
        <v>116.0</v>
      </c>
      <c r="L14" s="19">
        <v>108.0</v>
      </c>
      <c r="M14" s="19">
        <v>104.0</v>
      </c>
      <c r="N14" s="13">
        <f t="shared" ref="N14:N16" si="1">SUM(E14:M14)</f>
        <v>978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112.0</v>
      </c>
      <c r="G15" s="19">
        <v>133.0</v>
      </c>
      <c r="H15" s="19">
        <v>114.0</v>
      </c>
      <c r="I15" s="19">
        <v>125.0</v>
      </c>
      <c r="J15" s="19">
        <v>119.0</v>
      </c>
      <c r="K15" s="19">
        <v>107.0</v>
      </c>
      <c r="L15" s="19">
        <v>115.0</v>
      </c>
      <c r="M15" s="19">
        <v>114.0</v>
      </c>
      <c r="N15" s="13">
        <f t="shared" si="1"/>
        <v>1076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262</v>
      </c>
      <c r="F16" s="13">
        <f t="shared" si="2"/>
        <v>214</v>
      </c>
      <c r="G16" s="13">
        <f t="shared" si="2"/>
        <v>241</v>
      </c>
      <c r="H16" s="13">
        <f t="shared" si="2"/>
        <v>221</v>
      </c>
      <c r="I16" s="13">
        <f t="shared" si="2"/>
        <v>232</v>
      </c>
      <c r="J16" s="13">
        <f t="shared" si="2"/>
        <v>220</v>
      </c>
      <c r="K16" s="13">
        <f t="shared" si="2"/>
        <v>223</v>
      </c>
      <c r="L16" s="13">
        <f t="shared" si="2"/>
        <v>223</v>
      </c>
      <c r="M16" s="13">
        <f t="shared" si="2"/>
        <v>218</v>
      </c>
      <c r="N16" s="13">
        <f t="shared" si="1"/>
        <v>2054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78.0</v>
      </c>
      <c r="G19" s="19">
        <v>96.0</v>
      </c>
      <c r="H19" s="19">
        <v>100.0</v>
      </c>
      <c r="I19" s="19">
        <v>89.0</v>
      </c>
      <c r="J19" s="19">
        <v>90.0</v>
      </c>
      <c r="K19" s="19">
        <v>101.0</v>
      </c>
      <c r="L19" s="19">
        <v>93.0</v>
      </c>
      <c r="M19" s="19">
        <v>84.0</v>
      </c>
      <c r="N19" s="13">
        <f t="shared" ref="N19:N30" si="3">SUM(E19:M19)</f>
        <v>839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92.0</v>
      </c>
      <c r="G20" s="19">
        <v>117.0</v>
      </c>
      <c r="H20" s="19">
        <v>106.0</v>
      </c>
      <c r="I20" s="19">
        <v>115.0</v>
      </c>
      <c r="J20" s="19">
        <v>110.0</v>
      </c>
      <c r="K20" s="19">
        <v>102.0</v>
      </c>
      <c r="L20" s="19">
        <v>105.0</v>
      </c>
      <c r="M20" s="19">
        <v>104.0</v>
      </c>
      <c r="N20" s="13">
        <f t="shared" si="3"/>
        <v>968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225</v>
      </c>
      <c r="F21" s="13">
        <f t="shared" si="4"/>
        <v>170</v>
      </c>
      <c r="G21" s="13">
        <f t="shared" si="4"/>
        <v>213</v>
      </c>
      <c r="H21" s="13">
        <f t="shared" si="4"/>
        <v>206</v>
      </c>
      <c r="I21" s="13">
        <f t="shared" si="4"/>
        <v>204</v>
      </c>
      <c r="J21" s="13">
        <f t="shared" si="4"/>
        <v>200</v>
      </c>
      <c r="K21" s="13">
        <f t="shared" si="4"/>
        <v>203</v>
      </c>
      <c r="L21" s="13">
        <f t="shared" si="4"/>
        <v>198</v>
      </c>
      <c r="M21" s="13">
        <f t="shared" si="4"/>
        <v>188</v>
      </c>
      <c r="N21" s="13">
        <f t="shared" si="3"/>
        <v>1807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2.0</v>
      </c>
      <c r="L22" s="19">
        <v>1.0</v>
      </c>
      <c r="M22" s="19">
        <v>0.0</v>
      </c>
      <c r="N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1.0</v>
      </c>
      <c r="M23" s="19">
        <v>0.0</v>
      </c>
      <c r="N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3</v>
      </c>
      <c r="L24" s="13">
        <f t="shared" si="5"/>
        <v>2</v>
      </c>
      <c r="M24" s="13">
        <f t="shared" si="5"/>
        <v>0</v>
      </c>
      <c r="N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2.0</v>
      </c>
      <c r="J26" s="19">
        <v>0.0</v>
      </c>
      <c r="K26" s="19">
        <v>0.0</v>
      </c>
      <c r="L26" s="19">
        <v>0.0</v>
      </c>
      <c r="M26" s="19">
        <v>0.0</v>
      </c>
      <c r="N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3"/>
        <v>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108</v>
      </c>
      <c r="F28" s="13">
        <f t="shared" si="7"/>
        <v>81</v>
      </c>
      <c r="G28" s="13">
        <f t="shared" si="7"/>
        <v>96</v>
      </c>
      <c r="H28" s="13">
        <f t="shared" si="7"/>
        <v>100</v>
      </c>
      <c r="I28" s="13">
        <f t="shared" si="7"/>
        <v>89</v>
      </c>
      <c r="J28" s="13">
        <f t="shared" si="7"/>
        <v>90</v>
      </c>
      <c r="K28" s="13">
        <f t="shared" si="7"/>
        <v>103</v>
      </c>
      <c r="L28" s="13">
        <f t="shared" si="7"/>
        <v>94</v>
      </c>
      <c r="M28" s="13">
        <f t="shared" si="7"/>
        <v>84</v>
      </c>
      <c r="N28" s="13">
        <f t="shared" si="3"/>
        <v>845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118</v>
      </c>
      <c r="F29" s="13">
        <f t="shared" si="8"/>
        <v>96</v>
      </c>
      <c r="G29" s="13">
        <f t="shared" si="8"/>
        <v>117</v>
      </c>
      <c r="H29" s="13">
        <f t="shared" si="8"/>
        <v>106</v>
      </c>
      <c r="I29" s="13">
        <f t="shared" si="8"/>
        <v>117</v>
      </c>
      <c r="J29" s="13">
        <f t="shared" si="8"/>
        <v>110</v>
      </c>
      <c r="K29" s="13">
        <f t="shared" si="8"/>
        <v>103</v>
      </c>
      <c r="L29" s="13">
        <f t="shared" si="8"/>
        <v>106</v>
      </c>
      <c r="M29" s="13">
        <f t="shared" si="8"/>
        <v>104</v>
      </c>
      <c r="N29" s="13">
        <f t="shared" si="3"/>
        <v>977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226</v>
      </c>
      <c r="F30" s="13">
        <f t="shared" si="9"/>
        <v>177</v>
      </c>
      <c r="G30" s="13">
        <f t="shared" si="9"/>
        <v>213</v>
      </c>
      <c r="H30" s="13">
        <f t="shared" si="9"/>
        <v>206</v>
      </c>
      <c r="I30" s="13">
        <f t="shared" si="9"/>
        <v>206</v>
      </c>
      <c r="J30" s="13">
        <f t="shared" si="9"/>
        <v>200</v>
      </c>
      <c r="K30" s="13">
        <f t="shared" si="9"/>
        <v>206</v>
      </c>
      <c r="L30" s="13">
        <f t="shared" si="9"/>
        <v>200</v>
      </c>
      <c r="M30" s="13">
        <f t="shared" si="9"/>
        <v>188</v>
      </c>
      <c r="N30" s="13">
        <f t="shared" si="3"/>
        <v>1822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219.0</v>
      </c>
      <c r="G33" s="19">
        <v>246.0</v>
      </c>
      <c r="H33" s="19">
        <v>226.0</v>
      </c>
      <c r="I33" s="19">
        <v>237.0</v>
      </c>
      <c r="J33" s="19">
        <v>225.0</v>
      </c>
      <c r="K33" s="19">
        <v>228.0</v>
      </c>
      <c r="L33" s="19">
        <v>228.0</v>
      </c>
      <c r="M33" s="19">
        <v>228.0</v>
      </c>
      <c r="N33" s="13">
        <f t="shared" ref="N33:N36" si="10">SUM(E33:M33)</f>
        <v>2105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177.0</v>
      </c>
      <c r="G34" s="13">
        <v>213.0</v>
      </c>
      <c r="H34" s="13">
        <v>206.0</v>
      </c>
      <c r="I34" s="13">
        <v>206.0</v>
      </c>
      <c r="J34" s="13">
        <v>200.0</v>
      </c>
      <c r="K34" s="13">
        <v>206.0</v>
      </c>
      <c r="L34" s="13">
        <v>200.0</v>
      </c>
      <c r="M34" s="13">
        <v>188.0</v>
      </c>
      <c r="N34" s="13">
        <f t="shared" si="10"/>
        <v>1822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42</v>
      </c>
      <c r="F36" s="13">
        <f t="shared" si="11"/>
        <v>42</v>
      </c>
      <c r="G36" s="13">
        <f t="shared" si="11"/>
        <v>33</v>
      </c>
      <c r="H36" s="13">
        <f t="shared" si="11"/>
        <v>20</v>
      </c>
      <c r="I36" s="13">
        <f t="shared" si="11"/>
        <v>31</v>
      </c>
      <c r="J36" s="13">
        <f t="shared" si="11"/>
        <v>25</v>
      </c>
      <c r="K36" s="13">
        <f t="shared" si="11"/>
        <v>22</v>
      </c>
      <c r="L36" s="13">
        <f t="shared" si="11"/>
        <v>28</v>
      </c>
      <c r="M36" s="13">
        <f t="shared" si="11"/>
        <v>40</v>
      </c>
      <c r="N36" s="13">
        <f t="shared" si="10"/>
        <v>283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/>
      <c r="G39" s="19"/>
      <c r="H39" s="19"/>
      <c r="I39" s="19">
        <v>1.0</v>
      </c>
      <c r="J39" s="19"/>
      <c r="K39" s="19"/>
      <c r="L39" s="19"/>
      <c r="M39" s="19"/>
      <c r="N39" s="13">
        <f t="shared" ref="N39:N41" si="12">SUM(E39:M39)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2.0</v>
      </c>
      <c r="L40" s="19"/>
      <c r="M40" s="19">
        <v>2.0</v>
      </c>
      <c r="N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2</v>
      </c>
      <c r="N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/>
      <c r="B45" s="47" t="s">
        <v>17</v>
      </c>
      <c r="C45" s="61" t="s">
        <v>38</v>
      </c>
      <c r="D45" s="16"/>
      <c r="E45" s="19">
        <v>20.0</v>
      </c>
      <c r="F45" s="19">
        <v>9.0</v>
      </c>
      <c r="G45" s="19">
        <v>12.0</v>
      </c>
      <c r="H45" s="19">
        <v>10.0</v>
      </c>
      <c r="I45" s="19">
        <v>12.0</v>
      </c>
      <c r="J45" s="19">
        <v>8.0</v>
      </c>
      <c r="K45" s="19">
        <v>20.0</v>
      </c>
      <c r="L45" s="19">
        <v>12.0</v>
      </c>
      <c r="M45" s="19">
        <v>16.0</v>
      </c>
      <c r="N45" s="13">
        <f t="shared" ref="N45:N62" si="14">SUM(E45:M45)</f>
        <v>119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33.0</v>
      </c>
      <c r="F46" s="19">
        <v>25.0</v>
      </c>
      <c r="G46" s="19">
        <v>36.0</v>
      </c>
      <c r="H46" s="19">
        <v>26.0</v>
      </c>
      <c r="I46" s="19">
        <v>38.0</v>
      </c>
      <c r="J46" s="19">
        <v>42.0</v>
      </c>
      <c r="K46" s="19">
        <v>31.0</v>
      </c>
      <c r="L46" s="19">
        <v>26.0</v>
      </c>
      <c r="M46" s="19">
        <v>22.0</v>
      </c>
      <c r="N46" s="13">
        <f t="shared" si="14"/>
        <v>279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24.0</v>
      </c>
      <c r="F47" s="19">
        <v>17.0</v>
      </c>
      <c r="G47" s="19">
        <v>9.0</v>
      </c>
      <c r="H47" s="19">
        <v>24.0</v>
      </c>
      <c r="I47" s="19">
        <v>17.0</v>
      </c>
      <c r="J47" s="19">
        <v>14.0</v>
      </c>
      <c r="K47" s="19">
        <v>22.0</v>
      </c>
      <c r="L47" s="19">
        <v>10.0</v>
      </c>
      <c r="M47" s="19">
        <v>12.0</v>
      </c>
      <c r="N47" s="13">
        <f t="shared" si="14"/>
        <v>149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19.0</v>
      </c>
      <c r="F48" s="19">
        <v>16.0</v>
      </c>
      <c r="G48" s="19">
        <v>16.0</v>
      </c>
      <c r="H48" s="19">
        <v>17.0</v>
      </c>
      <c r="I48" s="19">
        <v>27.0</v>
      </c>
      <c r="J48" s="19">
        <v>14.0</v>
      </c>
      <c r="K48" s="19">
        <v>22.0</v>
      </c>
      <c r="L48" s="19">
        <v>17.0</v>
      </c>
      <c r="M48" s="19">
        <v>21.0</v>
      </c>
      <c r="N48" s="13">
        <f t="shared" si="14"/>
        <v>169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17.0</v>
      </c>
      <c r="F49" s="19">
        <v>16.0</v>
      </c>
      <c r="G49" s="19">
        <v>24.0</v>
      </c>
      <c r="H49" s="19">
        <v>9.0</v>
      </c>
      <c r="I49" s="19">
        <v>18.0</v>
      </c>
      <c r="J49" s="19">
        <v>19.0</v>
      </c>
      <c r="K49" s="19">
        <v>18.0</v>
      </c>
      <c r="L49" s="19">
        <v>18.0</v>
      </c>
      <c r="M49" s="19">
        <v>18.0</v>
      </c>
      <c r="N49" s="13">
        <f t="shared" si="14"/>
        <v>157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18.0</v>
      </c>
      <c r="F50" s="19">
        <v>3.0</v>
      </c>
      <c r="G50" s="19">
        <v>12.0</v>
      </c>
      <c r="H50" s="19">
        <v>8.0</v>
      </c>
      <c r="I50" s="19">
        <v>4.0</v>
      </c>
      <c r="J50" s="19">
        <v>5.0</v>
      </c>
      <c r="K50" s="19">
        <v>10.0</v>
      </c>
      <c r="L50" s="19">
        <v>15.0</v>
      </c>
      <c r="M50" s="19">
        <v>5.0</v>
      </c>
      <c r="N50" s="13">
        <f t="shared" si="14"/>
        <v>80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0.0</v>
      </c>
      <c r="F51" s="19">
        <v>3.0</v>
      </c>
      <c r="G51" s="19">
        <v>2.0</v>
      </c>
      <c r="H51" s="19">
        <v>1.0</v>
      </c>
      <c r="I51" s="19">
        <v>2.0</v>
      </c>
      <c r="J51" s="19">
        <v>2.0</v>
      </c>
      <c r="K51" s="19">
        <v>3.0</v>
      </c>
      <c r="L51" s="19">
        <v>1.0</v>
      </c>
      <c r="M51" s="19">
        <v>1.0</v>
      </c>
      <c r="N51" s="13">
        <f t="shared" si="14"/>
        <v>15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5.0</v>
      </c>
      <c r="F52" s="19">
        <v>0.0</v>
      </c>
      <c r="G52" s="19">
        <v>4.0</v>
      </c>
      <c r="H52" s="19">
        <v>2.0</v>
      </c>
      <c r="I52" s="19">
        <v>2.0</v>
      </c>
      <c r="J52" s="19">
        <v>2.0</v>
      </c>
      <c r="K52" s="19">
        <v>3.0</v>
      </c>
      <c r="L52" s="19">
        <v>4.0</v>
      </c>
      <c r="M52" s="19">
        <v>2.0</v>
      </c>
      <c r="N52" s="13">
        <f t="shared" si="14"/>
        <v>24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1.0</v>
      </c>
      <c r="F53" s="19">
        <v>1.0</v>
      </c>
      <c r="G53" s="19">
        <v>2.0</v>
      </c>
      <c r="H53" s="19">
        <v>1.0</v>
      </c>
      <c r="I53" s="19">
        <v>0.0</v>
      </c>
      <c r="J53" s="19">
        <v>0.0</v>
      </c>
      <c r="K53" s="19">
        <v>1.0</v>
      </c>
      <c r="L53" s="19">
        <v>0.0</v>
      </c>
      <c r="M53" s="19">
        <v>0.0</v>
      </c>
      <c r="N53" s="13">
        <f t="shared" si="14"/>
        <v>6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21.0</v>
      </c>
      <c r="F54" s="19">
        <v>22.0</v>
      </c>
      <c r="G54" s="19">
        <v>34.0</v>
      </c>
      <c r="H54" s="19">
        <v>24.0</v>
      </c>
      <c r="I54" s="19">
        <v>30.0</v>
      </c>
      <c r="J54" s="19">
        <v>19.0</v>
      </c>
      <c r="K54" s="19">
        <v>14.0</v>
      </c>
      <c r="L54" s="19">
        <v>19.0</v>
      </c>
      <c r="M54" s="19">
        <v>16.0</v>
      </c>
      <c r="N54" s="13">
        <f t="shared" si="14"/>
        <v>199</v>
      </c>
    </row>
    <row r="55" ht="15.0" customHeight="1">
      <c r="A55" s="18"/>
      <c r="B55" s="47" t="s">
        <v>54</v>
      </c>
      <c r="C55" s="61" t="s">
        <v>55</v>
      </c>
      <c r="D55" s="16"/>
      <c r="E55" s="19">
        <v>5.0</v>
      </c>
      <c r="F55" s="19">
        <v>1.0</v>
      </c>
      <c r="G55" s="19">
        <v>1.0</v>
      </c>
      <c r="H55" s="19">
        <v>4.0</v>
      </c>
      <c r="I55" s="19">
        <v>0.0</v>
      </c>
      <c r="J55" s="19">
        <v>0.0</v>
      </c>
      <c r="K55" s="19">
        <v>5.0</v>
      </c>
      <c r="L55" s="19">
        <v>2.0</v>
      </c>
      <c r="M55" s="19">
        <v>0.0</v>
      </c>
      <c r="N55" s="13">
        <f t="shared" si="14"/>
        <v>18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22.0</v>
      </c>
      <c r="F56" s="19">
        <v>19.0</v>
      </c>
      <c r="G56" s="19">
        <v>18.0</v>
      </c>
      <c r="H56" s="19">
        <v>20.0</v>
      </c>
      <c r="I56" s="19">
        <v>20.0</v>
      </c>
      <c r="J56" s="19">
        <v>26.0</v>
      </c>
      <c r="K56" s="19">
        <v>16.0</v>
      </c>
      <c r="L56" s="19">
        <v>21.0</v>
      </c>
      <c r="M56" s="19">
        <v>23.0</v>
      </c>
      <c r="N56" s="13">
        <f t="shared" si="14"/>
        <v>185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7.0</v>
      </c>
      <c r="F57" s="19">
        <v>0.0</v>
      </c>
      <c r="G57" s="19">
        <v>5.0</v>
      </c>
      <c r="H57" s="19">
        <v>3.0</v>
      </c>
      <c r="I57" s="19">
        <v>4.0</v>
      </c>
      <c r="J57" s="19">
        <v>1.0</v>
      </c>
      <c r="K57" s="19">
        <v>2.0</v>
      </c>
      <c r="L57" s="19">
        <v>0.0</v>
      </c>
      <c r="M57" s="19">
        <v>0.0</v>
      </c>
      <c r="N57" s="13">
        <f t="shared" si="14"/>
        <v>22</v>
      </c>
    </row>
    <row r="58" ht="12.75" customHeight="1">
      <c r="N58" s="13">
        <f t="shared" si="14"/>
        <v>0</v>
      </c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>
        <f t="shared" si="14"/>
        <v>0</v>
      </c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M60" si="15">SUM(E45:E57)</f>
        <v>192</v>
      </c>
      <c r="F60" s="19">
        <f t="shared" si="15"/>
        <v>132</v>
      </c>
      <c r="G60" s="19">
        <f t="shared" si="15"/>
        <v>175</v>
      </c>
      <c r="H60" s="19">
        <f t="shared" si="15"/>
        <v>149</v>
      </c>
      <c r="I60" s="19">
        <f t="shared" si="15"/>
        <v>174</v>
      </c>
      <c r="J60" s="19">
        <f t="shared" si="15"/>
        <v>152</v>
      </c>
      <c r="K60" s="19">
        <f t="shared" si="15"/>
        <v>167</v>
      </c>
      <c r="L60" s="19">
        <f t="shared" si="15"/>
        <v>145</v>
      </c>
      <c r="M60" s="19">
        <f t="shared" si="15"/>
        <v>136</v>
      </c>
      <c r="N60" s="13">
        <f t="shared" si="14"/>
        <v>1422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34.0</v>
      </c>
      <c r="F61" s="19">
        <v>45.0</v>
      </c>
      <c r="G61" s="19">
        <v>38.0</v>
      </c>
      <c r="H61" s="19">
        <v>57.0</v>
      </c>
      <c r="I61" s="19">
        <v>32.0</v>
      </c>
      <c r="J61" s="19">
        <v>48.0</v>
      </c>
      <c r="K61" s="19">
        <v>39.0</v>
      </c>
      <c r="L61" s="19">
        <v>55.0</v>
      </c>
      <c r="M61" s="19">
        <v>52.0</v>
      </c>
      <c r="N61" s="13">
        <f t="shared" si="14"/>
        <v>400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M62" si="16">SUM(E60:E61)</f>
        <v>226</v>
      </c>
      <c r="F62" s="13">
        <f t="shared" si="16"/>
        <v>177</v>
      </c>
      <c r="G62" s="13">
        <f t="shared" si="16"/>
        <v>213</v>
      </c>
      <c r="H62" s="13">
        <f t="shared" si="16"/>
        <v>206</v>
      </c>
      <c r="I62" s="13">
        <f t="shared" si="16"/>
        <v>206</v>
      </c>
      <c r="J62" s="13">
        <f t="shared" si="16"/>
        <v>200</v>
      </c>
      <c r="K62" s="13">
        <f t="shared" si="16"/>
        <v>206</v>
      </c>
      <c r="L62" s="13">
        <f t="shared" si="16"/>
        <v>200</v>
      </c>
      <c r="M62" s="13">
        <f t="shared" si="16"/>
        <v>188</v>
      </c>
      <c r="N62" s="13">
        <f t="shared" si="14"/>
        <v>1822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O117" s="5"/>
      <c r="P117" s="5"/>
    </row>
    <row r="118" ht="12.75" customHeight="1">
      <c r="O118" s="5"/>
      <c r="P118" s="5"/>
    </row>
    <row r="119" ht="12.75" customHeight="1">
      <c r="O119" s="5"/>
      <c r="P119" s="5"/>
    </row>
    <row r="120" ht="12.75" customHeight="1">
      <c r="O120" s="5"/>
      <c r="P120" s="5"/>
    </row>
    <row r="121" ht="12.75" customHeight="1">
      <c r="O121" s="5"/>
      <c r="P121" s="5"/>
    </row>
    <row r="122" ht="12.75" customHeight="1">
      <c r="O122" s="5"/>
      <c r="P122" s="5"/>
    </row>
    <row r="123" ht="12.75" customHeight="1">
      <c r="O123" s="5"/>
      <c r="P123" s="5"/>
    </row>
    <row r="124" ht="12.75" customHeight="1">
      <c r="O124" s="5"/>
      <c r="P124" s="5"/>
    </row>
    <row r="125" ht="12.75" customHeight="1">
      <c r="O125" s="5"/>
      <c r="P125" s="5"/>
    </row>
    <row r="126" ht="12.75" customHeight="1">
      <c r="O126" s="5"/>
      <c r="P126" s="5"/>
    </row>
    <row r="127" ht="12.75" customHeight="1">
      <c r="O127" s="5"/>
      <c r="P127" s="5"/>
    </row>
    <row r="128" ht="12.75" customHeight="1">
      <c r="O128" s="5"/>
      <c r="P128" s="5"/>
    </row>
    <row r="129" ht="12.75" customHeight="1">
      <c r="O129" s="5"/>
      <c r="P129" s="5"/>
    </row>
    <row r="130" ht="12.75" customHeight="1">
      <c r="O130" s="1"/>
      <c r="P130" s="1"/>
    </row>
    <row r="131" ht="12.75" customHeight="1">
      <c r="O131" s="50"/>
      <c r="P131" s="50"/>
    </row>
    <row r="132" ht="12.75" customHeight="1">
      <c r="O132" s="5"/>
      <c r="P132" s="5"/>
    </row>
    <row r="133" ht="12.75" customHeight="1">
      <c r="O133" s="5"/>
      <c r="P133" s="5"/>
    </row>
    <row r="134" ht="12.75" customHeight="1">
      <c r="O134" s="5"/>
      <c r="P134" s="5"/>
    </row>
    <row r="135" ht="12.75" customHeight="1">
      <c r="O135" s="5"/>
      <c r="P135" s="5"/>
    </row>
    <row r="136" ht="12.75" customHeight="1">
      <c r="O136" s="5"/>
      <c r="P136" s="5"/>
    </row>
    <row r="137" ht="12.75" customHeight="1">
      <c r="O137" s="5"/>
      <c r="P137" s="5"/>
    </row>
    <row r="138" ht="12.75" customHeight="1">
      <c r="O138" s="5"/>
      <c r="P138" s="5"/>
    </row>
    <row r="139" ht="12.75" customHeight="1">
      <c r="O139" s="5"/>
      <c r="P139" s="5"/>
    </row>
    <row r="140" ht="12.75" customHeight="1">
      <c r="O140" s="5"/>
      <c r="P140" s="5"/>
    </row>
    <row r="141" ht="12.75" customHeight="1">
      <c r="O141" s="1"/>
      <c r="P141" s="1"/>
    </row>
    <row r="142" ht="12.75" customHeight="1">
      <c r="O142" s="50"/>
      <c r="P142" s="50"/>
    </row>
    <row r="143" ht="12.75" customHeight="1">
      <c r="O143" s="5"/>
      <c r="P143" s="5"/>
    </row>
    <row r="144" ht="12.75" customHeight="1">
      <c r="O144" s="5"/>
      <c r="P144" s="5"/>
    </row>
    <row r="145" ht="12.75" customHeight="1">
      <c r="O145" s="5"/>
      <c r="P145" s="5"/>
    </row>
    <row r="146" ht="12.75" customHeight="1">
      <c r="O146" s="5"/>
      <c r="P146" s="5"/>
    </row>
    <row r="147" ht="12.75" customHeight="1">
      <c r="O147" s="5"/>
      <c r="P147" s="5"/>
    </row>
    <row r="148" ht="12.75" customHeight="1">
      <c r="O148" s="5"/>
      <c r="P148" s="5"/>
    </row>
    <row r="149" ht="12.75" customHeight="1">
      <c r="O149" s="5"/>
      <c r="P149" s="5"/>
    </row>
    <row r="150" ht="12.75" customHeight="1">
      <c r="O150" s="5"/>
      <c r="P150" s="5"/>
    </row>
    <row r="151" ht="12.75" customHeight="1">
      <c r="O151" s="1"/>
      <c r="P151" s="1"/>
    </row>
    <row r="152" ht="12.75" customHeight="1">
      <c r="O152" s="50"/>
      <c r="P152" s="50"/>
    </row>
    <row r="153" ht="12.75" customHeight="1">
      <c r="O153" s="5"/>
      <c r="P153" s="5"/>
    </row>
    <row r="154" ht="12.75" customHeight="1">
      <c r="O154" s="5"/>
      <c r="P154" s="5"/>
    </row>
    <row r="155" ht="12.75" customHeight="1">
      <c r="O155" s="5"/>
      <c r="P155" s="5"/>
    </row>
    <row r="156" ht="12.75" customHeight="1">
      <c r="O156" s="5"/>
      <c r="P156" s="5"/>
    </row>
    <row r="157" ht="12.75" customHeight="1">
      <c r="O157" s="5"/>
      <c r="P157" s="5"/>
    </row>
    <row r="158" ht="12.75" customHeight="1">
      <c r="O158" s="5"/>
      <c r="P158" s="5"/>
    </row>
    <row r="159" ht="12.75" customHeight="1">
      <c r="O159" s="5"/>
      <c r="P159" s="5"/>
    </row>
    <row r="160" ht="12.75" customHeight="1">
      <c r="O160" s="5"/>
      <c r="P160" s="5"/>
    </row>
    <row r="161" ht="12.75" customHeight="1">
      <c r="O161" s="5"/>
      <c r="P161" s="5"/>
    </row>
    <row r="162" ht="12.75" customHeight="1">
      <c r="O162" s="5"/>
      <c r="P162" s="5"/>
    </row>
    <row r="163" ht="12.75" customHeight="1">
      <c r="O163" s="5"/>
      <c r="P163" s="5"/>
    </row>
    <row r="164" ht="12.75" customHeight="1">
      <c r="O164" s="5"/>
      <c r="P164" s="5"/>
    </row>
    <row r="165" ht="12.75" customHeight="1">
      <c r="O165" s="1"/>
      <c r="P165" s="1"/>
    </row>
    <row r="166" ht="12.75" customHeight="1">
      <c r="O166" s="50"/>
      <c r="P166" s="50"/>
    </row>
    <row r="167" ht="12.75" customHeight="1">
      <c r="O167" s="5"/>
      <c r="P167" s="5"/>
    </row>
    <row r="168" ht="12.75" customHeight="1">
      <c r="O168" s="5"/>
      <c r="P168" s="5"/>
    </row>
    <row r="169" ht="12.75" customHeight="1">
      <c r="O169" s="5"/>
      <c r="P169" s="5"/>
    </row>
    <row r="170" ht="12.75" customHeight="1">
      <c r="O170" s="5"/>
      <c r="P170" s="5"/>
    </row>
    <row r="171" ht="12.75" customHeight="1">
      <c r="O171" s="5"/>
      <c r="P171" s="5"/>
    </row>
    <row r="172" ht="12.75" customHeight="1">
      <c r="O172" s="5"/>
      <c r="P172" s="5"/>
    </row>
    <row r="173" ht="12.75" customHeight="1">
      <c r="O173" s="5"/>
      <c r="P173" s="5"/>
    </row>
    <row r="174" ht="12.75" customHeight="1">
      <c r="O174" s="5"/>
      <c r="P174" s="5"/>
    </row>
    <row r="175" ht="12.75" customHeight="1">
      <c r="O175" s="5"/>
      <c r="P175" s="5"/>
    </row>
    <row r="176" ht="12.75" customHeight="1">
      <c r="O176" s="1"/>
      <c r="P176" s="1"/>
    </row>
    <row r="177" ht="12.75" customHeight="1"/>
    <row r="178" ht="12.75" customHeight="1">
      <c r="O178" s="5"/>
      <c r="P178" s="5"/>
    </row>
    <row r="179" ht="12.75" customHeight="1">
      <c r="O179" s="5"/>
      <c r="P179" s="5"/>
    </row>
    <row r="180" ht="12.75" customHeight="1">
      <c r="O180" s="5"/>
      <c r="P180" s="5"/>
    </row>
    <row r="181" ht="12.75" customHeight="1">
      <c r="O181" s="5"/>
      <c r="P181" s="5"/>
    </row>
    <row r="182" ht="12.75" customHeight="1">
      <c r="O182" s="5"/>
      <c r="P182" s="5"/>
    </row>
    <row r="183" ht="12.75" customHeight="1">
      <c r="O183" s="5"/>
      <c r="P183" s="5"/>
    </row>
    <row r="184" ht="12.75" customHeight="1">
      <c r="O184" s="5"/>
      <c r="P184" s="5"/>
    </row>
    <row r="185" ht="12.75" customHeight="1">
      <c r="O185" s="5"/>
      <c r="P185" s="5"/>
    </row>
    <row r="186" ht="12.75" customHeight="1">
      <c r="O186" s="5"/>
      <c r="P186" s="5"/>
    </row>
    <row r="187" ht="12.75" customHeight="1">
      <c r="O187" s="1"/>
      <c r="P187" s="1"/>
    </row>
    <row r="188" ht="12.75" customHeight="1"/>
    <row r="189" ht="12.75" customHeight="1">
      <c r="O189" s="5"/>
      <c r="P189" s="5"/>
    </row>
    <row r="190" ht="12.75" customHeight="1">
      <c r="O190" s="5"/>
      <c r="P190" s="5"/>
    </row>
    <row r="191" ht="12.75" customHeight="1">
      <c r="O191" s="5"/>
      <c r="P191" s="5"/>
    </row>
    <row r="192" ht="12.75" customHeight="1">
      <c r="O192" s="5"/>
      <c r="P192" s="5"/>
    </row>
    <row r="193" ht="12.75" customHeight="1">
      <c r="O193" s="5"/>
      <c r="P193" s="5"/>
    </row>
    <row r="194" ht="12.75" customHeight="1">
      <c r="O194" s="5"/>
      <c r="P194" s="5"/>
    </row>
    <row r="195" ht="12.75" customHeight="1">
      <c r="O195" s="5"/>
      <c r="P195" s="5"/>
    </row>
    <row r="196" ht="12.75" customHeight="1">
      <c r="O196" s="1"/>
      <c r="P196" s="1"/>
    </row>
    <row r="197" ht="12.75" customHeight="1">
      <c r="O197" s="1"/>
      <c r="P197" s="1"/>
    </row>
    <row r="198" ht="12.75" customHeight="1">
      <c r="O198" s="1"/>
      <c r="P198" s="1"/>
    </row>
    <row r="199" ht="12.75" customHeight="1">
      <c r="O199" s="50"/>
      <c r="P199" s="50"/>
    </row>
    <row r="200" ht="12.75" customHeight="1">
      <c r="O200" s="5"/>
      <c r="P200" s="5"/>
    </row>
    <row r="201" ht="12.75" customHeight="1">
      <c r="O201" s="5"/>
      <c r="P201" s="5"/>
    </row>
    <row r="202" ht="12.75" customHeight="1">
      <c r="O202" s="5"/>
      <c r="P202" s="5"/>
    </row>
    <row r="203" ht="12.75" customHeight="1">
      <c r="O203" s="5"/>
      <c r="P203" s="5"/>
    </row>
    <row r="204" ht="12.75" customHeight="1">
      <c r="O204" s="5"/>
      <c r="P204" s="5"/>
    </row>
    <row r="205" ht="12.75" customHeight="1">
      <c r="O205" s="5"/>
      <c r="P205" s="5"/>
    </row>
    <row r="206" ht="12.75" customHeight="1">
      <c r="O206" s="5"/>
      <c r="P206" s="5"/>
    </row>
    <row r="207" ht="12.75" customHeight="1">
      <c r="O207" s="1"/>
      <c r="P207" s="1"/>
    </row>
    <row r="208" ht="12.75" customHeight="1">
      <c r="O208" s="50"/>
      <c r="P208" s="50"/>
    </row>
    <row r="209" ht="12.75" customHeight="1">
      <c r="O209" s="50"/>
      <c r="P209" s="50"/>
    </row>
    <row r="210" ht="12.75" customHeight="1">
      <c r="O210" s="50"/>
      <c r="P210" s="50"/>
    </row>
    <row r="211" ht="12.75" customHeight="1">
      <c r="O211" s="5"/>
      <c r="P211" s="5"/>
    </row>
    <row r="212" ht="12.75" customHeight="1">
      <c r="O212" s="5"/>
      <c r="P212" s="5"/>
    </row>
    <row r="213" ht="12.75" customHeight="1">
      <c r="O213" s="5"/>
      <c r="P213" s="5"/>
    </row>
    <row r="214" ht="12.75" customHeight="1">
      <c r="O214" s="5"/>
      <c r="P214" s="5"/>
    </row>
    <row r="215" ht="12.75" customHeight="1">
      <c r="O215" s="5"/>
      <c r="P215" s="5"/>
    </row>
    <row r="216" ht="12.75" customHeight="1">
      <c r="O216" s="5"/>
      <c r="P216" s="5"/>
    </row>
    <row r="217" ht="12.75" customHeight="1">
      <c r="O217" s="5"/>
      <c r="P217" s="5"/>
    </row>
    <row r="218" ht="12.75" customHeight="1">
      <c r="O218" s="1"/>
      <c r="P218" s="1"/>
    </row>
    <row r="219" ht="12.75" customHeight="1">
      <c r="O219" s="50"/>
      <c r="P219" s="50"/>
    </row>
    <row r="220" ht="12.75" customHeight="1">
      <c r="O220" s="5"/>
      <c r="P220" s="5"/>
    </row>
    <row r="221" ht="12.75" customHeight="1">
      <c r="O221" s="5"/>
      <c r="P221" s="5"/>
    </row>
    <row r="222" ht="12.75" customHeight="1">
      <c r="O222" s="5"/>
      <c r="P222" s="5"/>
    </row>
    <row r="223" ht="12.75" customHeight="1">
      <c r="O223" s="5"/>
      <c r="P223" s="5"/>
    </row>
    <row r="224" ht="12.75" customHeight="1">
      <c r="O224" s="5"/>
      <c r="P224" s="5"/>
    </row>
    <row r="225" ht="12.75" customHeight="1">
      <c r="O225" s="5"/>
      <c r="P225" s="5"/>
    </row>
    <row r="226" ht="12.75" customHeight="1">
      <c r="O226" s="5"/>
      <c r="P226" s="5"/>
    </row>
    <row r="227" ht="12.75" customHeight="1">
      <c r="O227" s="5"/>
      <c r="P227" s="5"/>
    </row>
    <row r="228" ht="12.75" customHeight="1">
      <c r="O228" s="5"/>
      <c r="P228" s="5"/>
    </row>
    <row r="229" ht="12.75" customHeight="1">
      <c r="O229" s="1"/>
      <c r="P229" s="1"/>
    </row>
    <row r="230" ht="12.75" customHeight="1">
      <c r="O230" s="50"/>
      <c r="P230" s="50"/>
    </row>
    <row r="231" ht="12.75" customHeight="1">
      <c r="O231" s="5"/>
      <c r="P231" s="5"/>
    </row>
    <row r="232" ht="12.75" customHeight="1">
      <c r="O232" s="5"/>
      <c r="P232" s="5"/>
    </row>
    <row r="233" ht="12.75" customHeight="1">
      <c r="O233" s="5"/>
      <c r="P233" s="5"/>
    </row>
    <row r="234" ht="12.75" customHeight="1">
      <c r="O234" s="5"/>
      <c r="P234" s="5"/>
    </row>
    <row r="235" ht="12.75" customHeight="1">
      <c r="O235" s="5"/>
      <c r="P235" s="5"/>
    </row>
    <row r="236" ht="12.75" customHeight="1">
      <c r="O236" s="5"/>
      <c r="P236" s="5"/>
    </row>
    <row r="237" ht="12.75" customHeight="1">
      <c r="O237" s="5"/>
      <c r="P237" s="5"/>
    </row>
    <row r="238" ht="12.75" customHeight="1">
      <c r="O238" s="5"/>
      <c r="P238" s="5"/>
    </row>
    <row r="239" ht="12.75" customHeight="1">
      <c r="O239" s="5"/>
      <c r="P239" s="5"/>
    </row>
    <row r="240" ht="12.75" customHeight="1">
      <c r="O240" s="1"/>
      <c r="P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45:M57">
    <cfRule type="containsBlanks" dxfId="1" priority="10">
      <formula>LEN(TRIM(E45))=0</formula>
    </cfRule>
  </conditionalFormatting>
  <conditionalFormatting sqref="E60:M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118.0</v>
      </c>
      <c r="G14" s="19">
        <v>128.0</v>
      </c>
      <c r="H14" s="19">
        <v>113.0</v>
      </c>
      <c r="I14" s="19">
        <v>131.0</v>
      </c>
      <c r="J14" s="19">
        <v>112.0</v>
      </c>
      <c r="K14" s="19">
        <v>123.0</v>
      </c>
      <c r="L14" s="19">
        <v>88.0</v>
      </c>
      <c r="M14" s="13">
        <f t="shared" ref="M14:M16" si="1">SUM(E14:L14)</f>
        <v>942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117.0</v>
      </c>
      <c r="G15" s="19">
        <v>116.0</v>
      </c>
      <c r="H15" s="19">
        <v>129.0</v>
      </c>
      <c r="I15" s="19">
        <v>138.0</v>
      </c>
      <c r="J15" s="19">
        <v>128.0</v>
      </c>
      <c r="K15" s="19">
        <v>163.0</v>
      </c>
      <c r="L15" s="19">
        <v>106.0</v>
      </c>
      <c r="M15" s="13">
        <f t="shared" si="1"/>
        <v>1023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255</v>
      </c>
      <c r="F16" s="13">
        <f t="shared" si="2"/>
        <v>235</v>
      </c>
      <c r="G16" s="13">
        <f t="shared" si="2"/>
        <v>244</v>
      </c>
      <c r="H16" s="13">
        <f t="shared" si="2"/>
        <v>242</v>
      </c>
      <c r="I16" s="13">
        <f t="shared" si="2"/>
        <v>269</v>
      </c>
      <c r="J16" s="13">
        <f t="shared" si="2"/>
        <v>240</v>
      </c>
      <c r="K16" s="13">
        <f t="shared" si="2"/>
        <v>286</v>
      </c>
      <c r="L16" s="13">
        <f t="shared" si="2"/>
        <v>194</v>
      </c>
      <c r="M16" s="13">
        <f t="shared" si="1"/>
        <v>1965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99.0</v>
      </c>
      <c r="G19" s="19">
        <v>105.0</v>
      </c>
      <c r="H19" s="19">
        <v>97.0</v>
      </c>
      <c r="I19" s="19">
        <v>112.0</v>
      </c>
      <c r="J19" s="19">
        <v>98.0</v>
      </c>
      <c r="K19" s="19">
        <v>99.0</v>
      </c>
      <c r="L19" s="19">
        <v>72.0</v>
      </c>
      <c r="M19" s="13">
        <f t="shared" ref="M19:M30" si="3">SUM(E19:L19)</f>
        <v>788</v>
      </c>
    </row>
    <row r="20" ht="12.75" customHeight="1">
      <c r="A20" s="33"/>
      <c r="B20" s="27"/>
      <c r="C20" s="34"/>
      <c r="D20" s="19" t="s">
        <v>13</v>
      </c>
      <c r="E20" s="19">
        <v>101.0</v>
      </c>
      <c r="F20" s="19">
        <v>105.0</v>
      </c>
      <c r="G20" s="19">
        <v>96.0</v>
      </c>
      <c r="H20" s="19">
        <v>120.0</v>
      </c>
      <c r="I20" s="19">
        <v>115.0</v>
      </c>
      <c r="J20" s="19">
        <v>116.0</v>
      </c>
      <c r="K20" s="19">
        <v>131.0</v>
      </c>
      <c r="L20" s="19">
        <v>90.0</v>
      </c>
      <c r="M20" s="13">
        <f t="shared" si="3"/>
        <v>874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207</v>
      </c>
      <c r="F21" s="13">
        <f t="shared" si="4"/>
        <v>204</v>
      </c>
      <c r="G21" s="13">
        <f t="shared" si="4"/>
        <v>201</v>
      </c>
      <c r="H21" s="13">
        <f t="shared" si="4"/>
        <v>217</v>
      </c>
      <c r="I21" s="13">
        <f t="shared" si="4"/>
        <v>227</v>
      </c>
      <c r="J21" s="13">
        <f t="shared" si="4"/>
        <v>214</v>
      </c>
      <c r="K21" s="13">
        <f t="shared" si="4"/>
        <v>230</v>
      </c>
      <c r="L21" s="13">
        <f t="shared" si="4"/>
        <v>162</v>
      </c>
      <c r="M21" s="13">
        <f t="shared" si="3"/>
        <v>1662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1.0</v>
      </c>
      <c r="H23" s="19">
        <v>1.0</v>
      </c>
      <c r="I23" s="19">
        <v>0.0</v>
      </c>
      <c r="J23" s="19">
        <v>1.0</v>
      </c>
      <c r="K23" s="19">
        <v>0.0</v>
      </c>
      <c r="L23" s="19">
        <v>0.0</v>
      </c>
      <c r="M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1</v>
      </c>
      <c r="F24" s="13">
        <f t="shared" si="5"/>
        <v>0</v>
      </c>
      <c r="G24" s="13">
        <f t="shared" si="5"/>
        <v>2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2.0</v>
      </c>
      <c r="I25" s="19">
        <v>2.0</v>
      </c>
      <c r="J25" s="19">
        <v>0.0</v>
      </c>
      <c r="K25" s="19">
        <v>2.0</v>
      </c>
      <c r="L25" s="19">
        <v>0.0</v>
      </c>
      <c r="M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6.0</v>
      </c>
      <c r="H26" s="19">
        <v>1.0</v>
      </c>
      <c r="I26" s="19">
        <v>1.0</v>
      </c>
      <c r="J26" s="19">
        <v>1.0</v>
      </c>
      <c r="K26" s="19">
        <v>7.0</v>
      </c>
      <c r="L26" s="19">
        <v>1.0</v>
      </c>
      <c r="M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3</v>
      </c>
      <c r="F27" s="13">
        <f t="shared" si="6"/>
        <v>1</v>
      </c>
      <c r="G27" s="13">
        <f t="shared" si="6"/>
        <v>7</v>
      </c>
      <c r="H27" s="13">
        <f t="shared" si="6"/>
        <v>3</v>
      </c>
      <c r="I27" s="13">
        <f t="shared" si="6"/>
        <v>3</v>
      </c>
      <c r="J27" s="13">
        <f t="shared" si="6"/>
        <v>1</v>
      </c>
      <c r="K27" s="13">
        <f t="shared" si="6"/>
        <v>9</v>
      </c>
      <c r="L27" s="13">
        <f t="shared" si="6"/>
        <v>1</v>
      </c>
      <c r="M27" s="13">
        <f t="shared" si="3"/>
        <v>28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107</v>
      </c>
      <c r="F28" s="13">
        <f t="shared" si="7"/>
        <v>100</v>
      </c>
      <c r="G28" s="13">
        <f t="shared" si="7"/>
        <v>107</v>
      </c>
      <c r="H28" s="13">
        <f t="shared" si="7"/>
        <v>99</v>
      </c>
      <c r="I28" s="13">
        <f t="shared" si="7"/>
        <v>114</v>
      </c>
      <c r="J28" s="13">
        <f t="shared" si="7"/>
        <v>99</v>
      </c>
      <c r="K28" s="13">
        <f t="shared" si="7"/>
        <v>101</v>
      </c>
      <c r="L28" s="13">
        <f t="shared" si="7"/>
        <v>72</v>
      </c>
      <c r="M28" s="13">
        <f t="shared" si="3"/>
        <v>799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104</v>
      </c>
      <c r="F29" s="13">
        <f t="shared" si="8"/>
        <v>105</v>
      </c>
      <c r="G29" s="13">
        <f t="shared" si="8"/>
        <v>103</v>
      </c>
      <c r="H29" s="13">
        <f t="shared" si="8"/>
        <v>122</v>
      </c>
      <c r="I29" s="13">
        <f t="shared" si="8"/>
        <v>116</v>
      </c>
      <c r="J29" s="13">
        <f t="shared" si="8"/>
        <v>118</v>
      </c>
      <c r="K29" s="13">
        <f t="shared" si="8"/>
        <v>138</v>
      </c>
      <c r="L29" s="13">
        <f t="shared" si="8"/>
        <v>91</v>
      </c>
      <c r="M29" s="13">
        <f t="shared" si="3"/>
        <v>897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211</v>
      </c>
      <c r="F30" s="13">
        <f t="shared" si="9"/>
        <v>205</v>
      </c>
      <c r="G30" s="13">
        <f t="shared" si="9"/>
        <v>210</v>
      </c>
      <c r="H30" s="13">
        <f t="shared" si="9"/>
        <v>221</v>
      </c>
      <c r="I30" s="13">
        <f t="shared" si="9"/>
        <v>230</v>
      </c>
      <c r="J30" s="13">
        <f t="shared" si="9"/>
        <v>217</v>
      </c>
      <c r="K30" s="13">
        <f t="shared" si="9"/>
        <v>239</v>
      </c>
      <c r="L30" s="13">
        <f t="shared" si="9"/>
        <v>163</v>
      </c>
      <c r="M30" s="13">
        <f t="shared" si="3"/>
        <v>1696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59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240.0</v>
      </c>
      <c r="G33" s="19">
        <v>250.0</v>
      </c>
      <c r="H33" s="19">
        <v>247.0</v>
      </c>
      <c r="I33" s="19">
        <v>275.0</v>
      </c>
      <c r="J33" s="19">
        <v>245.0</v>
      </c>
      <c r="K33" s="19">
        <v>294.0</v>
      </c>
      <c r="L33" s="19">
        <v>199.0</v>
      </c>
      <c r="M33" s="13">
        <f t="shared" ref="M33:M36" si="10">SUM(E33:L33)</f>
        <v>2011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205.0</v>
      </c>
      <c r="G34" s="13">
        <v>210.0</v>
      </c>
      <c r="H34" s="13">
        <v>221.0</v>
      </c>
      <c r="I34" s="13">
        <v>230.0</v>
      </c>
      <c r="J34" s="13">
        <v>217.0</v>
      </c>
      <c r="K34" s="13">
        <v>239.0</v>
      </c>
      <c r="L34" s="13">
        <v>163.0</v>
      </c>
      <c r="M34" s="13">
        <f t="shared" si="10"/>
        <v>1696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50</v>
      </c>
      <c r="F36" s="13">
        <f t="shared" si="11"/>
        <v>35</v>
      </c>
      <c r="G36" s="13">
        <f t="shared" si="11"/>
        <v>40</v>
      </c>
      <c r="H36" s="13">
        <f t="shared" si="11"/>
        <v>26</v>
      </c>
      <c r="I36" s="13">
        <f t="shared" si="11"/>
        <v>45</v>
      </c>
      <c r="J36" s="13">
        <f t="shared" si="11"/>
        <v>28</v>
      </c>
      <c r="K36" s="13">
        <f t="shared" si="11"/>
        <v>55</v>
      </c>
      <c r="L36" s="13">
        <f t="shared" si="11"/>
        <v>36</v>
      </c>
      <c r="M36" s="13">
        <f t="shared" si="10"/>
        <v>315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/>
      <c r="I39" s="19"/>
      <c r="J39" s="19"/>
      <c r="K39" s="19"/>
      <c r="L39" s="19"/>
      <c r="M39" s="13">
        <f t="shared" ref="M39:M41" si="12">SUM(E39:L39)</f>
        <v>1</v>
      </c>
    </row>
    <row r="40" ht="12.75" customHeight="1">
      <c r="A40" s="33"/>
      <c r="C40" s="27"/>
      <c r="D40" s="19" t="s">
        <v>13</v>
      </c>
      <c r="E40" s="19"/>
      <c r="F40" s="19"/>
      <c r="G40" s="19">
        <v>3.0</v>
      </c>
      <c r="H40" s="19"/>
      <c r="I40" s="19"/>
      <c r="J40" s="19"/>
      <c r="K40" s="19"/>
      <c r="L40" s="19">
        <v>1.0</v>
      </c>
      <c r="M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13"/>
    </row>
    <row r="45" ht="12.75" customHeight="1">
      <c r="A45" s="30"/>
      <c r="B45" s="47" t="s">
        <v>17</v>
      </c>
      <c r="C45" s="61" t="s">
        <v>38</v>
      </c>
      <c r="D45" s="16"/>
      <c r="E45" s="19">
        <v>12.0</v>
      </c>
      <c r="F45" s="19">
        <v>18.0</v>
      </c>
      <c r="G45" s="19">
        <v>10.0</v>
      </c>
      <c r="H45" s="19">
        <v>17.0</v>
      </c>
      <c r="I45" s="19">
        <v>15.0</v>
      </c>
      <c r="J45" s="19">
        <v>6.0</v>
      </c>
      <c r="K45" s="19">
        <v>16.0</v>
      </c>
      <c r="L45" s="19">
        <v>15.0</v>
      </c>
      <c r="M45" s="13">
        <f t="shared" ref="M45:M57" si="14">SUM(E45:L45)</f>
        <v>109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18.0</v>
      </c>
      <c r="F46" s="19">
        <v>37.0</v>
      </c>
      <c r="G46" s="19">
        <v>26.0</v>
      </c>
      <c r="H46" s="19">
        <v>18.0</v>
      </c>
      <c r="I46" s="19">
        <v>29.0</v>
      </c>
      <c r="J46" s="19">
        <v>30.0</v>
      </c>
      <c r="K46" s="19">
        <v>30.0</v>
      </c>
      <c r="L46" s="19">
        <v>36.0</v>
      </c>
      <c r="M46" s="13">
        <f t="shared" si="14"/>
        <v>224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16.0</v>
      </c>
      <c r="F47" s="19">
        <v>12.0</v>
      </c>
      <c r="G47" s="19">
        <v>16.0</v>
      </c>
      <c r="H47" s="19">
        <v>10.0</v>
      </c>
      <c r="I47" s="19">
        <v>18.0</v>
      </c>
      <c r="J47" s="19">
        <v>16.0</v>
      </c>
      <c r="K47" s="19">
        <v>15.0</v>
      </c>
      <c r="L47" s="19">
        <v>14.0</v>
      </c>
      <c r="M47" s="13">
        <f t="shared" si="14"/>
        <v>117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15.0</v>
      </c>
      <c r="F48" s="19">
        <v>14.0</v>
      </c>
      <c r="G48" s="19">
        <v>13.0</v>
      </c>
      <c r="H48" s="19">
        <v>13.0</v>
      </c>
      <c r="I48" s="19">
        <v>27.0</v>
      </c>
      <c r="J48" s="19">
        <v>15.0</v>
      </c>
      <c r="K48" s="19">
        <v>15.0</v>
      </c>
      <c r="L48" s="19">
        <v>16.0</v>
      </c>
      <c r="M48" s="13">
        <f t="shared" si="14"/>
        <v>128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8.0</v>
      </c>
      <c r="F49" s="19">
        <v>17.0</v>
      </c>
      <c r="G49" s="19">
        <v>17.0</v>
      </c>
      <c r="H49" s="19">
        <v>24.0</v>
      </c>
      <c r="I49" s="19">
        <v>28.0</v>
      </c>
      <c r="J49" s="19">
        <v>26.0</v>
      </c>
      <c r="K49" s="19">
        <v>25.0</v>
      </c>
      <c r="L49" s="19">
        <v>10.0</v>
      </c>
      <c r="M49" s="13">
        <f t="shared" si="14"/>
        <v>155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8.0</v>
      </c>
      <c r="F50" s="19">
        <v>10.0</v>
      </c>
      <c r="G50" s="19">
        <v>7.0</v>
      </c>
      <c r="H50" s="19">
        <v>14.0</v>
      </c>
      <c r="I50" s="19">
        <v>11.0</v>
      </c>
      <c r="J50" s="19">
        <v>11.0</v>
      </c>
      <c r="K50" s="19">
        <v>13.0</v>
      </c>
      <c r="L50" s="19">
        <v>4.0</v>
      </c>
      <c r="M50" s="13">
        <f t="shared" si="14"/>
        <v>78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5.0</v>
      </c>
      <c r="F51" s="19">
        <v>0.0</v>
      </c>
      <c r="G51" s="19">
        <v>2.0</v>
      </c>
      <c r="H51" s="19">
        <v>1.0</v>
      </c>
      <c r="I51" s="19">
        <v>1.0</v>
      </c>
      <c r="J51" s="19">
        <v>1.0</v>
      </c>
      <c r="K51" s="19">
        <v>1.0</v>
      </c>
      <c r="L51" s="19">
        <v>1.0</v>
      </c>
      <c r="M51" s="13">
        <f t="shared" si="14"/>
        <v>12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5.0</v>
      </c>
      <c r="F52" s="19">
        <v>2.0</v>
      </c>
      <c r="G52" s="19">
        <v>0.0</v>
      </c>
      <c r="H52" s="19">
        <v>7.0</v>
      </c>
      <c r="I52" s="19">
        <v>6.0</v>
      </c>
      <c r="J52" s="19">
        <v>1.0</v>
      </c>
      <c r="K52" s="19">
        <v>7.0</v>
      </c>
      <c r="L52" s="19">
        <v>3.0</v>
      </c>
      <c r="M52" s="13">
        <f t="shared" si="14"/>
        <v>31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0.0</v>
      </c>
      <c r="F53" s="19">
        <v>1.0</v>
      </c>
      <c r="G53" s="19">
        <v>1.0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3">
        <f t="shared" si="14"/>
        <v>2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20.0</v>
      </c>
      <c r="F54" s="19">
        <v>26.0</v>
      </c>
      <c r="G54" s="19">
        <v>24.0</v>
      </c>
      <c r="H54" s="19">
        <v>30.0</v>
      </c>
      <c r="I54" s="19">
        <v>24.0</v>
      </c>
      <c r="J54" s="19">
        <v>22.0</v>
      </c>
      <c r="K54" s="19">
        <v>33.0</v>
      </c>
      <c r="L54" s="19">
        <v>26.0</v>
      </c>
      <c r="M54" s="13">
        <f t="shared" si="14"/>
        <v>205</v>
      </c>
    </row>
    <row r="55" ht="15.0" customHeight="1">
      <c r="A55" s="18"/>
      <c r="B55" s="47" t="s">
        <v>54</v>
      </c>
      <c r="C55" s="61" t="s">
        <v>55</v>
      </c>
      <c r="D55" s="16"/>
      <c r="E55" s="19">
        <v>1.0</v>
      </c>
      <c r="F55" s="19">
        <v>1.0</v>
      </c>
      <c r="G55" s="19">
        <v>2.0</v>
      </c>
      <c r="H55" s="19">
        <v>0.0</v>
      </c>
      <c r="I55" s="19">
        <v>0.0</v>
      </c>
      <c r="J55" s="19">
        <v>4.0</v>
      </c>
      <c r="K55" s="19">
        <v>1.0</v>
      </c>
      <c r="L55" s="19">
        <v>1.0</v>
      </c>
      <c r="M55" s="13">
        <f t="shared" si="14"/>
        <v>10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8.0</v>
      </c>
      <c r="F56" s="19">
        <v>11.0</v>
      </c>
      <c r="G56" s="19">
        <v>16.0</v>
      </c>
      <c r="H56" s="19">
        <v>20.0</v>
      </c>
      <c r="I56" s="19">
        <v>25.0</v>
      </c>
      <c r="J56" s="19">
        <v>19.0</v>
      </c>
      <c r="K56" s="19">
        <v>22.0</v>
      </c>
      <c r="L56" s="19">
        <v>0.0</v>
      </c>
      <c r="M56" s="13">
        <f t="shared" si="14"/>
        <v>121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4.0</v>
      </c>
      <c r="F57" s="19">
        <v>1.0</v>
      </c>
      <c r="G57" s="19">
        <v>4.0</v>
      </c>
      <c r="H57" s="19">
        <v>3.0</v>
      </c>
      <c r="I57" s="19">
        <v>4.0</v>
      </c>
      <c r="J57" s="19">
        <v>2.0</v>
      </c>
      <c r="K57" s="19">
        <v>1.0</v>
      </c>
      <c r="L57" s="19">
        <v>2.0</v>
      </c>
      <c r="M57" s="13">
        <f t="shared" si="14"/>
        <v>21</v>
      </c>
    </row>
    <row r="58" ht="12.75" customHeight="1">
      <c r="M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L60" si="15">SUM(E45:E57)</f>
        <v>120</v>
      </c>
      <c r="F60" s="19">
        <f t="shared" si="15"/>
        <v>150</v>
      </c>
      <c r="G60" s="19">
        <f t="shared" si="15"/>
        <v>138</v>
      </c>
      <c r="H60" s="19">
        <f t="shared" si="15"/>
        <v>157</v>
      </c>
      <c r="I60" s="19">
        <f t="shared" si="15"/>
        <v>188</v>
      </c>
      <c r="J60" s="19">
        <f t="shared" si="15"/>
        <v>153</v>
      </c>
      <c r="K60" s="19">
        <f t="shared" si="15"/>
        <v>179</v>
      </c>
      <c r="L60" s="19">
        <f t="shared" si="15"/>
        <v>128</v>
      </c>
      <c r="M60" s="13">
        <f t="shared" ref="M60:M62" si="16">SUM(E60:L60)</f>
        <v>1213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91.0</v>
      </c>
      <c r="F61" s="19">
        <v>55.0</v>
      </c>
      <c r="G61" s="19">
        <v>72.0</v>
      </c>
      <c r="H61" s="19">
        <v>64.0</v>
      </c>
      <c r="I61" s="19">
        <v>42.0</v>
      </c>
      <c r="J61" s="19">
        <v>64.0</v>
      </c>
      <c r="K61" s="19">
        <v>60.0</v>
      </c>
      <c r="L61" s="19">
        <v>35.0</v>
      </c>
      <c r="M61" s="13">
        <f t="shared" si="16"/>
        <v>483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L62" si="17">SUM(E60:E61)</f>
        <v>211</v>
      </c>
      <c r="F62" s="13">
        <f t="shared" si="17"/>
        <v>205</v>
      </c>
      <c r="G62" s="13">
        <f t="shared" si="17"/>
        <v>210</v>
      </c>
      <c r="H62" s="13">
        <f t="shared" si="17"/>
        <v>221</v>
      </c>
      <c r="I62" s="13">
        <f t="shared" si="17"/>
        <v>230</v>
      </c>
      <c r="J62" s="13">
        <f t="shared" si="17"/>
        <v>217</v>
      </c>
      <c r="K62" s="13">
        <f t="shared" si="17"/>
        <v>239</v>
      </c>
      <c r="L62" s="13">
        <f t="shared" si="17"/>
        <v>163</v>
      </c>
      <c r="M62" s="13">
        <f t="shared" si="16"/>
        <v>1696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E34&lt;&gt;#REF!</formula>
    </cfRule>
  </conditionalFormatting>
  <conditionalFormatting sqref="E45:L57">
    <cfRule type="containsBlanks" dxfId="1" priority="10">
      <formula>LEN(TRIM(E45))=0</formula>
    </cfRule>
  </conditionalFormatting>
  <conditionalFormatting sqref="E60:L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114.0</v>
      </c>
      <c r="G14" s="19">
        <v>111.0</v>
      </c>
      <c r="H14" s="19">
        <v>115.0</v>
      </c>
      <c r="I14" s="19">
        <v>110.0</v>
      </c>
      <c r="J14" s="19">
        <v>116.0</v>
      </c>
      <c r="K14" s="19">
        <v>124.0</v>
      </c>
      <c r="L14" s="19">
        <v>125.0</v>
      </c>
      <c r="M14" s="19">
        <v>124.0</v>
      </c>
      <c r="N14" s="19">
        <v>122.0</v>
      </c>
      <c r="O14" s="19">
        <v>129.0</v>
      </c>
      <c r="P14" s="13">
        <f t="shared" ref="P14:P16" si="1">SUM(E14:O14)</f>
        <v>1303</v>
      </c>
    </row>
    <row r="15" ht="12.75" customHeight="1">
      <c r="A15" s="18"/>
      <c r="B15" s="26"/>
      <c r="C15" s="27"/>
      <c r="D15" s="19" t="s">
        <v>13</v>
      </c>
      <c r="E15" s="19">
        <v>109.0</v>
      </c>
      <c r="F15" s="19">
        <v>113.0</v>
      </c>
      <c r="G15" s="19">
        <v>111.0</v>
      </c>
      <c r="H15" s="19">
        <v>112.0</v>
      </c>
      <c r="I15" s="19">
        <v>112.0</v>
      </c>
      <c r="J15" s="19">
        <v>113.0</v>
      </c>
      <c r="K15" s="19">
        <v>112.0</v>
      </c>
      <c r="L15" s="19">
        <v>128.0</v>
      </c>
      <c r="M15" s="19">
        <v>102.0</v>
      </c>
      <c r="N15" s="19">
        <v>112.0</v>
      </c>
      <c r="O15" s="19">
        <v>129.0</v>
      </c>
      <c r="P15" s="13">
        <f t="shared" si="1"/>
        <v>1253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222</v>
      </c>
      <c r="F16" s="13">
        <f t="shared" si="2"/>
        <v>227</v>
      </c>
      <c r="G16" s="13">
        <f t="shared" si="2"/>
        <v>222</v>
      </c>
      <c r="H16" s="13">
        <f t="shared" si="2"/>
        <v>227</v>
      </c>
      <c r="I16" s="13">
        <f t="shared" si="2"/>
        <v>222</v>
      </c>
      <c r="J16" s="13">
        <f t="shared" si="2"/>
        <v>229</v>
      </c>
      <c r="K16" s="13">
        <f t="shared" si="2"/>
        <v>236</v>
      </c>
      <c r="L16" s="13">
        <f t="shared" si="2"/>
        <v>253</v>
      </c>
      <c r="M16" s="13">
        <f t="shared" si="2"/>
        <v>226</v>
      </c>
      <c r="N16" s="13">
        <f t="shared" si="2"/>
        <v>234</v>
      </c>
      <c r="O16" s="13">
        <f t="shared" si="2"/>
        <v>258</v>
      </c>
      <c r="P16" s="13">
        <f t="shared" si="1"/>
        <v>2556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100.0</v>
      </c>
      <c r="G19" s="19">
        <v>93.0</v>
      </c>
      <c r="H19" s="19">
        <v>97.0</v>
      </c>
      <c r="I19" s="19">
        <v>97.0</v>
      </c>
      <c r="J19" s="19">
        <v>97.0</v>
      </c>
      <c r="K19" s="19">
        <v>112.0</v>
      </c>
      <c r="L19" s="19">
        <v>105.0</v>
      </c>
      <c r="M19" s="19">
        <v>102.0</v>
      </c>
      <c r="N19" s="19">
        <v>97.0</v>
      </c>
      <c r="O19" s="19">
        <v>117.0</v>
      </c>
      <c r="P19" s="13">
        <f t="shared" ref="P19:P30" si="3">SUM(E19:O19)</f>
        <v>1107</v>
      </c>
    </row>
    <row r="20" ht="12.75" customHeight="1">
      <c r="A20" s="33"/>
      <c r="B20" s="27"/>
      <c r="C20" s="34"/>
      <c r="D20" s="19" t="s">
        <v>13</v>
      </c>
      <c r="E20" s="19">
        <v>99.0</v>
      </c>
      <c r="F20" s="19">
        <v>108.0</v>
      </c>
      <c r="G20" s="19">
        <v>99.0</v>
      </c>
      <c r="H20" s="19">
        <v>103.0</v>
      </c>
      <c r="I20" s="19">
        <v>110.0</v>
      </c>
      <c r="J20" s="19">
        <v>109.0</v>
      </c>
      <c r="K20" s="19">
        <v>103.0</v>
      </c>
      <c r="L20" s="19">
        <v>118.0</v>
      </c>
      <c r="M20" s="19">
        <v>88.0</v>
      </c>
      <c r="N20" s="19">
        <v>95.0</v>
      </c>
      <c r="O20" s="19">
        <v>117.0</v>
      </c>
      <c r="P20" s="13">
        <f t="shared" si="3"/>
        <v>1149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189</v>
      </c>
      <c r="F21" s="13">
        <f t="shared" si="4"/>
        <v>208</v>
      </c>
      <c r="G21" s="13">
        <f t="shared" si="4"/>
        <v>192</v>
      </c>
      <c r="H21" s="13">
        <f t="shared" si="4"/>
        <v>200</v>
      </c>
      <c r="I21" s="13">
        <f t="shared" si="4"/>
        <v>207</v>
      </c>
      <c r="J21" s="13">
        <f t="shared" si="4"/>
        <v>206</v>
      </c>
      <c r="K21" s="13">
        <f t="shared" si="4"/>
        <v>215</v>
      </c>
      <c r="L21" s="13">
        <f t="shared" si="4"/>
        <v>223</v>
      </c>
      <c r="M21" s="13">
        <f t="shared" si="4"/>
        <v>190</v>
      </c>
      <c r="N21" s="13">
        <f t="shared" si="4"/>
        <v>192</v>
      </c>
      <c r="O21" s="13">
        <f t="shared" si="4"/>
        <v>234</v>
      </c>
      <c r="P21" s="13">
        <f t="shared" si="3"/>
        <v>2256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1.0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2.0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3.0</v>
      </c>
      <c r="I26" s="19">
        <v>2.0</v>
      </c>
      <c r="J26" s="19">
        <v>0.0</v>
      </c>
      <c r="K26" s="19">
        <v>0.0</v>
      </c>
      <c r="L26" s="19">
        <v>2.0</v>
      </c>
      <c r="M26" s="19">
        <v>0.0</v>
      </c>
      <c r="N26" s="19">
        <v>0.0</v>
      </c>
      <c r="O26" s="19">
        <v>1.0</v>
      </c>
      <c r="P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3"/>
        <v>11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90</v>
      </c>
      <c r="F28" s="13">
        <f t="shared" si="7"/>
        <v>100</v>
      </c>
      <c r="G28" s="13">
        <f t="shared" si="7"/>
        <v>93</v>
      </c>
      <c r="H28" s="13">
        <f t="shared" si="7"/>
        <v>99</v>
      </c>
      <c r="I28" s="13">
        <f t="shared" si="7"/>
        <v>97</v>
      </c>
      <c r="J28" s="13">
        <f t="shared" si="7"/>
        <v>97</v>
      </c>
      <c r="K28" s="13">
        <f t="shared" si="7"/>
        <v>112</v>
      </c>
      <c r="L28" s="13">
        <f t="shared" si="7"/>
        <v>105</v>
      </c>
      <c r="M28" s="13">
        <f t="shared" si="7"/>
        <v>102</v>
      </c>
      <c r="N28" s="13">
        <f t="shared" si="7"/>
        <v>97</v>
      </c>
      <c r="O28" s="13">
        <f t="shared" si="7"/>
        <v>118</v>
      </c>
      <c r="P28" s="13">
        <f t="shared" si="3"/>
        <v>1110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100</v>
      </c>
      <c r="F29" s="13">
        <f t="shared" si="8"/>
        <v>108</v>
      </c>
      <c r="G29" s="13">
        <f t="shared" si="8"/>
        <v>99</v>
      </c>
      <c r="H29" s="13">
        <f t="shared" si="8"/>
        <v>106</v>
      </c>
      <c r="I29" s="13">
        <f t="shared" si="8"/>
        <v>112</v>
      </c>
      <c r="J29" s="13">
        <f t="shared" si="8"/>
        <v>109</v>
      </c>
      <c r="K29" s="13">
        <f t="shared" si="8"/>
        <v>103</v>
      </c>
      <c r="L29" s="13">
        <f t="shared" si="8"/>
        <v>120</v>
      </c>
      <c r="M29" s="13">
        <f t="shared" si="8"/>
        <v>88</v>
      </c>
      <c r="N29" s="13">
        <f t="shared" si="8"/>
        <v>96</v>
      </c>
      <c r="O29" s="13">
        <f t="shared" si="8"/>
        <v>119</v>
      </c>
      <c r="P29" s="13">
        <f t="shared" si="3"/>
        <v>1160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190</v>
      </c>
      <c r="F30" s="13">
        <f t="shared" si="9"/>
        <v>208</v>
      </c>
      <c r="G30" s="13">
        <f t="shared" si="9"/>
        <v>192</v>
      </c>
      <c r="H30" s="13">
        <f t="shared" si="9"/>
        <v>205</v>
      </c>
      <c r="I30" s="13">
        <f t="shared" si="9"/>
        <v>209</v>
      </c>
      <c r="J30" s="13">
        <f t="shared" si="9"/>
        <v>206</v>
      </c>
      <c r="K30" s="13">
        <f t="shared" si="9"/>
        <v>215</v>
      </c>
      <c r="L30" s="13">
        <f t="shared" si="9"/>
        <v>225</v>
      </c>
      <c r="M30" s="13">
        <f t="shared" si="9"/>
        <v>190</v>
      </c>
      <c r="N30" s="13">
        <f t="shared" si="9"/>
        <v>193</v>
      </c>
      <c r="O30" s="13">
        <f t="shared" si="9"/>
        <v>237</v>
      </c>
      <c r="P30" s="13">
        <f t="shared" si="3"/>
        <v>2270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59"/>
    </row>
    <row r="33" ht="12.75" customHeight="1">
      <c r="A33" s="19">
        <v>1.0</v>
      </c>
      <c r="B33" s="20" t="s">
        <v>27</v>
      </c>
      <c r="C33" s="15"/>
      <c r="D33" s="16"/>
      <c r="E33" s="19">
        <v>227.0</v>
      </c>
      <c r="F33" s="19">
        <v>232.0</v>
      </c>
      <c r="G33" s="19">
        <v>227.0</v>
      </c>
      <c r="H33" s="19">
        <v>232.0</v>
      </c>
      <c r="I33" s="19">
        <v>227.0</v>
      </c>
      <c r="J33" s="19">
        <v>234.0</v>
      </c>
      <c r="K33" s="19">
        <v>264.0</v>
      </c>
      <c r="L33" s="19">
        <v>259.0</v>
      </c>
      <c r="M33" s="19">
        <v>231.0</v>
      </c>
      <c r="N33" s="19">
        <v>239.0</v>
      </c>
      <c r="O33" s="19">
        <v>264.0</v>
      </c>
      <c r="P33" s="13">
        <f t="shared" ref="P33:P36" si="10">SUM(E33:O33)</f>
        <v>2636</v>
      </c>
    </row>
    <row r="34" ht="12.75" customHeight="1">
      <c r="A34" s="19">
        <v>2.0</v>
      </c>
      <c r="B34" s="20" t="s">
        <v>28</v>
      </c>
      <c r="C34" s="15"/>
      <c r="D34" s="16"/>
      <c r="E34" s="13">
        <v>190.0</v>
      </c>
      <c r="F34" s="13">
        <v>208.0</v>
      </c>
      <c r="G34" s="13">
        <v>192.0</v>
      </c>
      <c r="H34" s="13">
        <v>205.0</v>
      </c>
      <c r="I34" s="13">
        <v>209.0</v>
      </c>
      <c r="J34" s="13">
        <v>206.0</v>
      </c>
      <c r="K34" s="13">
        <v>215.0</v>
      </c>
      <c r="L34" s="13">
        <v>225.0</v>
      </c>
      <c r="M34" s="13">
        <v>190.0</v>
      </c>
      <c r="N34" s="13">
        <v>193.0</v>
      </c>
      <c r="O34" s="13">
        <v>237.0</v>
      </c>
      <c r="P34" s="13">
        <f t="shared" si="10"/>
        <v>2270</v>
      </c>
    </row>
    <row r="35" ht="12.75" customHeight="1">
      <c r="A35" s="19">
        <v>3.0</v>
      </c>
      <c r="B35" s="20" t="s">
        <v>29</v>
      </c>
      <c r="C35" s="15"/>
      <c r="D35" s="16"/>
      <c r="E35" s="19">
        <v>5.0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32</v>
      </c>
      <c r="F36" s="13">
        <f t="shared" si="11"/>
        <v>24</v>
      </c>
      <c r="G36" s="13">
        <f t="shared" si="11"/>
        <v>35</v>
      </c>
      <c r="H36" s="13">
        <f t="shared" si="11"/>
        <v>27</v>
      </c>
      <c r="I36" s="13">
        <f t="shared" si="11"/>
        <v>18</v>
      </c>
      <c r="J36" s="13">
        <f t="shared" si="11"/>
        <v>28</v>
      </c>
      <c r="K36" s="13">
        <f t="shared" si="11"/>
        <v>49</v>
      </c>
      <c r="L36" s="13">
        <f t="shared" si="11"/>
        <v>34</v>
      </c>
      <c r="M36" s="13">
        <f t="shared" si="11"/>
        <v>41</v>
      </c>
      <c r="N36" s="13">
        <f t="shared" si="11"/>
        <v>46</v>
      </c>
      <c r="O36" s="13">
        <f t="shared" si="11"/>
        <v>27</v>
      </c>
      <c r="P36" s="13">
        <f t="shared" si="10"/>
        <v>361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3">
        <f t="shared" ref="P39:P41" si="12">SUM(E39:O39)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13"/>
    </row>
    <row r="45" ht="12.75" customHeight="1">
      <c r="A45" s="30"/>
      <c r="B45" s="47" t="s">
        <v>17</v>
      </c>
      <c r="C45" s="61" t="s">
        <v>38</v>
      </c>
      <c r="D45" s="16"/>
      <c r="E45" s="19">
        <v>11.0</v>
      </c>
      <c r="F45" s="19">
        <v>18.0</v>
      </c>
      <c r="G45" s="19">
        <v>19.0</v>
      </c>
      <c r="H45" s="19">
        <v>19.0</v>
      </c>
      <c r="I45" s="19">
        <v>19.0</v>
      </c>
      <c r="J45" s="19">
        <v>23.0</v>
      </c>
      <c r="K45" s="19">
        <v>8.0</v>
      </c>
      <c r="L45" s="19">
        <v>20.0</v>
      </c>
      <c r="M45" s="19">
        <v>13.0</v>
      </c>
      <c r="N45" s="19">
        <v>17.0</v>
      </c>
      <c r="O45" s="19">
        <v>34.0</v>
      </c>
      <c r="P45" s="13">
        <f t="shared" ref="P45:P57" si="14">SUM(E45:O45)</f>
        <v>201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27.0</v>
      </c>
      <c r="F46" s="19">
        <v>38.0</v>
      </c>
      <c r="G46" s="19">
        <v>35.0</v>
      </c>
      <c r="H46" s="19">
        <v>43.0</v>
      </c>
      <c r="I46" s="19">
        <v>28.0</v>
      </c>
      <c r="J46" s="19">
        <v>38.0</v>
      </c>
      <c r="K46" s="19">
        <v>28.0</v>
      </c>
      <c r="L46" s="19">
        <v>29.0</v>
      </c>
      <c r="M46" s="19">
        <v>20.0</v>
      </c>
      <c r="N46" s="19">
        <v>20.0</v>
      </c>
      <c r="O46" s="19">
        <v>22.0</v>
      </c>
      <c r="P46" s="13">
        <f t="shared" si="14"/>
        <v>328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12.0</v>
      </c>
      <c r="F47" s="19">
        <v>16.0</v>
      </c>
      <c r="G47" s="19">
        <v>10.0</v>
      </c>
      <c r="H47" s="19">
        <v>14.0</v>
      </c>
      <c r="I47" s="19">
        <v>15.0</v>
      </c>
      <c r="J47" s="19">
        <v>13.0</v>
      </c>
      <c r="K47" s="19">
        <v>24.0</v>
      </c>
      <c r="L47" s="19">
        <v>20.0</v>
      </c>
      <c r="M47" s="19">
        <v>15.0</v>
      </c>
      <c r="N47" s="19">
        <v>18.0</v>
      </c>
      <c r="O47" s="19">
        <v>12.0</v>
      </c>
      <c r="P47" s="13">
        <f t="shared" si="14"/>
        <v>169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18.0</v>
      </c>
      <c r="F48" s="19">
        <v>16.0</v>
      </c>
      <c r="G48" s="19">
        <v>13.0</v>
      </c>
      <c r="H48" s="19">
        <v>16.0</v>
      </c>
      <c r="I48" s="19">
        <v>28.0</v>
      </c>
      <c r="J48" s="19">
        <v>19.0</v>
      </c>
      <c r="K48" s="19">
        <v>17.0</v>
      </c>
      <c r="L48" s="19">
        <v>27.0</v>
      </c>
      <c r="M48" s="19">
        <v>17.0</v>
      </c>
      <c r="N48" s="19">
        <v>17.0</v>
      </c>
      <c r="O48" s="19">
        <v>27.0</v>
      </c>
      <c r="P48" s="13">
        <f t="shared" si="14"/>
        <v>215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19.0</v>
      </c>
      <c r="F49" s="19">
        <v>12.0</v>
      </c>
      <c r="G49" s="19">
        <v>13.0</v>
      </c>
      <c r="H49" s="19">
        <v>25.0</v>
      </c>
      <c r="I49" s="19">
        <v>21.0</v>
      </c>
      <c r="J49" s="19">
        <v>18.0</v>
      </c>
      <c r="K49" s="19">
        <v>26.0</v>
      </c>
      <c r="L49" s="19">
        <v>23.0</v>
      </c>
      <c r="M49" s="19">
        <v>15.0</v>
      </c>
      <c r="N49" s="19">
        <v>19.0</v>
      </c>
      <c r="O49" s="19">
        <v>19.0</v>
      </c>
      <c r="P49" s="13">
        <f t="shared" si="14"/>
        <v>210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21.0</v>
      </c>
      <c r="F50" s="19">
        <v>16.0</v>
      </c>
      <c r="G50" s="19">
        <v>14.0</v>
      </c>
      <c r="H50" s="19">
        <v>16.0</v>
      </c>
      <c r="I50" s="19">
        <v>11.0</v>
      </c>
      <c r="J50" s="19">
        <v>8.0</v>
      </c>
      <c r="K50" s="19">
        <v>16.0</v>
      </c>
      <c r="L50" s="19">
        <v>13.0</v>
      </c>
      <c r="M50" s="19">
        <v>9.0</v>
      </c>
      <c r="N50" s="19">
        <v>11.0</v>
      </c>
      <c r="O50" s="19">
        <v>19.0</v>
      </c>
      <c r="P50" s="13">
        <f t="shared" si="14"/>
        <v>154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0.0</v>
      </c>
      <c r="F51" s="19">
        <v>0.0</v>
      </c>
      <c r="G51" s="19">
        <v>3.0</v>
      </c>
      <c r="H51" s="19">
        <v>6.0</v>
      </c>
      <c r="I51" s="19">
        <v>4.0</v>
      </c>
      <c r="J51" s="19">
        <v>1.0</v>
      </c>
      <c r="K51" s="19">
        <v>5.0</v>
      </c>
      <c r="L51" s="19">
        <v>4.0</v>
      </c>
      <c r="M51" s="19">
        <v>5.0</v>
      </c>
      <c r="N51" s="19">
        <v>2.0</v>
      </c>
      <c r="O51" s="19">
        <v>3.0</v>
      </c>
      <c r="P51" s="13">
        <f t="shared" si="14"/>
        <v>33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0.0</v>
      </c>
      <c r="F52" s="19">
        <v>1.0</v>
      </c>
      <c r="G52" s="19">
        <v>5.0</v>
      </c>
      <c r="H52" s="19">
        <v>3.0</v>
      </c>
      <c r="I52" s="19">
        <v>3.0</v>
      </c>
      <c r="J52" s="19">
        <v>2.0</v>
      </c>
      <c r="K52" s="19">
        <v>2.0</v>
      </c>
      <c r="L52" s="19">
        <v>1.0</v>
      </c>
      <c r="M52" s="19">
        <v>1.0</v>
      </c>
      <c r="N52" s="19">
        <v>8.0</v>
      </c>
      <c r="O52" s="19">
        <v>1.0</v>
      </c>
      <c r="P52" s="13">
        <f t="shared" si="14"/>
        <v>27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0.0</v>
      </c>
      <c r="F53" s="19">
        <v>0.0</v>
      </c>
      <c r="G53" s="19">
        <v>0.0</v>
      </c>
      <c r="H53" s="19">
        <v>2.0</v>
      </c>
      <c r="I53" s="19">
        <v>1.0</v>
      </c>
      <c r="J53" s="19">
        <v>0.0</v>
      </c>
      <c r="K53" s="19">
        <v>0.0</v>
      </c>
      <c r="L53" s="19">
        <v>1.0</v>
      </c>
      <c r="M53" s="19">
        <v>0.0</v>
      </c>
      <c r="N53" s="19">
        <v>1.0</v>
      </c>
      <c r="O53" s="19">
        <v>1.0</v>
      </c>
      <c r="P53" s="13">
        <f t="shared" si="14"/>
        <v>6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14.0</v>
      </c>
      <c r="F54" s="19">
        <v>18.0</v>
      </c>
      <c r="G54" s="19">
        <v>18.0</v>
      </c>
      <c r="H54" s="19">
        <v>14.0</v>
      </c>
      <c r="I54" s="19">
        <v>22.0</v>
      </c>
      <c r="J54" s="19">
        <v>24.0</v>
      </c>
      <c r="K54" s="19">
        <v>12.0</v>
      </c>
      <c r="L54" s="19">
        <v>10.0</v>
      </c>
      <c r="M54" s="19">
        <v>20.0</v>
      </c>
      <c r="N54" s="19">
        <v>8.0</v>
      </c>
      <c r="O54" s="19">
        <v>18.0</v>
      </c>
      <c r="P54" s="13">
        <f t="shared" si="14"/>
        <v>178</v>
      </c>
    </row>
    <row r="55" ht="15.0" customHeight="1">
      <c r="A55" s="18"/>
      <c r="B55" s="47" t="s">
        <v>54</v>
      </c>
      <c r="C55" s="61" t="s">
        <v>55</v>
      </c>
      <c r="D55" s="16"/>
      <c r="E55" s="19">
        <v>0.0</v>
      </c>
      <c r="F55" s="19">
        <v>2.0</v>
      </c>
      <c r="G55" s="19">
        <v>3.0</v>
      </c>
      <c r="H55" s="19">
        <v>1.0</v>
      </c>
      <c r="I55" s="19">
        <v>1.0</v>
      </c>
      <c r="J55" s="19">
        <v>2.0</v>
      </c>
      <c r="K55" s="19">
        <v>0.0</v>
      </c>
      <c r="L55" s="19">
        <v>2.0</v>
      </c>
      <c r="M55" s="19">
        <v>2.0</v>
      </c>
      <c r="N55" s="19">
        <v>0.0</v>
      </c>
      <c r="O55" s="19">
        <v>0.0</v>
      </c>
      <c r="P55" s="13">
        <f t="shared" si="14"/>
        <v>13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20.0</v>
      </c>
      <c r="F56" s="19">
        <v>13.0</v>
      </c>
      <c r="G56" s="19">
        <v>19.0</v>
      </c>
      <c r="H56" s="19">
        <v>13.0</v>
      </c>
      <c r="I56" s="19">
        <v>8.0</v>
      </c>
      <c r="J56" s="19">
        <v>16.0</v>
      </c>
      <c r="K56" s="19">
        <v>18.0</v>
      </c>
      <c r="L56" s="19">
        <v>18.0</v>
      </c>
      <c r="M56" s="19">
        <v>18.0</v>
      </c>
      <c r="N56" s="19">
        <v>16.0</v>
      </c>
      <c r="O56" s="19">
        <v>20.0</v>
      </c>
      <c r="P56" s="13">
        <f t="shared" si="14"/>
        <v>179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2.0</v>
      </c>
      <c r="F57" s="19">
        <v>2.0</v>
      </c>
      <c r="G57" s="19">
        <v>0.0</v>
      </c>
      <c r="H57" s="19">
        <v>1.0</v>
      </c>
      <c r="I57" s="19">
        <v>5.0</v>
      </c>
      <c r="J57" s="19">
        <v>2.0</v>
      </c>
      <c r="K57" s="19">
        <v>0.0</v>
      </c>
      <c r="L57" s="19">
        <v>0.0</v>
      </c>
      <c r="M57" s="19">
        <v>0.0</v>
      </c>
      <c r="N57" s="19">
        <v>2.0</v>
      </c>
      <c r="O57" s="19">
        <v>0.0</v>
      </c>
      <c r="P57" s="13">
        <f t="shared" si="14"/>
        <v>14</v>
      </c>
    </row>
    <row r="58" ht="12.75" customHeight="1">
      <c r="P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O60" si="15">SUM(E45:E57)</f>
        <v>144</v>
      </c>
      <c r="F60" s="19">
        <f t="shared" si="15"/>
        <v>152</v>
      </c>
      <c r="G60" s="19">
        <f t="shared" si="15"/>
        <v>152</v>
      </c>
      <c r="H60" s="19">
        <f t="shared" si="15"/>
        <v>173</v>
      </c>
      <c r="I60" s="19">
        <f t="shared" si="15"/>
        <v>166</v>
      </c>
      <c r="J60" s="19">
        <f t="shared" si="15"/>
        <v>166</v>
      </c>
      <c r="K60" s="19">
        <f t="shared" si="15"/>
        <v>156</v>
      </c>
      <c r="L60" s="19">
        <f t="shared" si="15"/>
        <v>168</v>
      </c>
      <c r="M60" s="19">
        <f t="shared" si="15"/>
        <v>135</v>
      </c>
      <c r="N60" s="19">
        <f t="shared" si="15"/>
        <v>139</v>
      </c>
      <c r="O60" s="19">
        <f t="shared" si="15"/>
        <v>176</v>
      </c>
      <c r="P60" s="13">
        <f t="shared" ref="P60:P62" si="16">SUM(E60:O60)</f>
        <v>1727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46.0</v>
      </c>
      <c r="F61" s="19">
        <v>56.0</v>
      </c>
      <c r="G61" s="19">
        <v>40.0</v>
      </c>
      <c r="H61" s="19">
        <v>32.0</v>
      </c>
      <c r="I61" s="19">
        <v>43.0</v>
      </c>
      <c r="J61" s="19">
        <v>40.0</v>
      </c>
      <c r="K61" s="19">
        <v>59.0</v>
      </c>
      <c r="L61" s="19">
        <v>57.0</v>
      </c>
      <c r="M61" s="19">
        <v>55.0</v>
      </c>
      <c r="N61" s="19">
        <v>54.0</v>
      </c>
      <c r="O61" s="19">
        <v>61.0</v>
      </c>
      <c r="P61" s="13">
        <f t="shared" si="16"/>
        <v>543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O62" si="17">SUM(E60:E61)</f>
        <v>190</v>
      </c>
      <c r="F62" s="13">
        <f t="shared" si="17"/>
        <v>208</v>
      </c>
      <c r="G62" s="13">
        <f t="shared" si="17"/>
        <v>192</v>
      </c>
      <c r="H62" s="13">
        <f t="shared" si="17"/>
        <v>205</v>
      </c>
      <c r="I62" s="13">
        <f t="shared" si="17"/>
        <v>209</v>
      </c>
      <c r="J62" s="13">
        <f t="shared" si="17"/>
        <v>206</v>
      </c>
      <c r="K62" s="13">
        <f t="shared" si="17"/>
        <v>215</v>
      </c>
      <c r="L62" s="13">
        <f t="shared" si="17"/>
        <v>225</v>
      </c>
      <c r="M62" s="13">
        <f t="shared" si="17"/>
        <v>190</v>
      </c>
      <c r="N62" s="13">
        <f t="shared" si="17"/>
        <v>193</v>
      </c>
      <c r="O62" s="13">
        <f t="shared" si="17"/>
        <v>237</v>
      </c>
      <c r="P62" s="13">
        <f t="shared" si="16"/>
        <v>2270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O15">
    <cfRule type="containsBlanks" dxfId="1" priority="1">
      <formula>LEN(TRIM(E14))=0</formula>
    </cfRule>
  </conditionalFormatting>
  <conditionalFormatting sqref="E19:O20">
    <cfRule type="containsBlanks" dxfId="1" priority="2">
      <formula>LEN(TRIM(E19))=0</formula>
    </cfRule>
  </conditionalFormatting>
  <conditionalFormatting sqref="E22:O23 E25:O26 E33:O33 E35:O35 E39:O40">
    <cfRule type="containsBlanks" dxfId="1" priority="3">
      <formula>LEN(TRIM(E22))=0</formula>
    </cfRule>
  </conditionalFormatting>
  <conditionalFormatting sqref="E30:O30">
    <cfRule type="expression" dxfId="0" priority="4">
      <formula>E30&lt;&gt;E47</formula>
    </cfRule>
  </conditionalFormatting>
  <conditionalFormatting sqref="E30:O30">
    <cfRule type="expression" dxfId="0" priority="5">
      <formula>E30&lt;&gt;E34</formula>
    </cfRule>
  </conditionalFormatting>
  <conditionalFormatting sqref="E34:O34">
    <cfRule type="expression" dxfId="2" priority="6">
      <formula>E30&lt;&gt;E34</formula>
    </cfRule>
  </conditionalFormatting>
  <conditionalFormatting sqref="E34:O34">
    <cfRule type="expression" dxfId="3" priority="7">
      <formula>E30=E34</formula>
    </cfRule>
  </conditionalFormatting>
  <conditionalFormatting sqref="E34:O34">
    <cfRule type="expression" dxfId="0" priority="8">
      <formula>E34&lt;&gt;E30</formula>
    </cfRule>
  </conditionalFormatting>
  <conditionalFormatting sqref="E34:O34">
    <cfRule type="expression" dxfId="0" priority="9">
      <formula>E34&lt;&gt;#REF!</formula>
    </cfRule>
  </conditionalFormatting>
  <conditionalFormatting sqref="E45:O57">
    <cfRule type="containsBlanks" dxfId="1" priority="10">
      <formula>LEN(TRIM(E45))=0</formula>
    </cfRule>
  </conditionalFormatting>
  <conditionalFormatting sqref="E60:O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101.0</v>
      </c>
      <c r="F14" s="19">
        <v>113.0</v>
      </c>
      <c r="G14" s="19">
        <v>135.0</v>
      </c>
      <c r="H14" s="19">
        <v>101.0</v>
      </c>
      <c r="I14" s="19">
        <v>113.0</v>
      </c>
      <c r="J14" s="19">
        <v>120.0</v>
      </c>
      <c r="K14" s="19">
        <v>126.0</v>
      </c>
      <c r="L14" s="19">
        <v>142.0</v>
      </c>
      <c r="M14" s="19">
        <v>130.0</v>
      </c>
      <c r="N14" s="19">
        <v>136.0</v>
      </c>
      <c r="O14" s="19">
        <v>120.0</v>
      </c>
      <c r="P14" s="19">
        <v>135.0</v>
      </c>
      <c r="Q14" s="19">
        <v>102.0</v>
      </c>
      <c r="R14" s="19">
        <v>105.0</v>
      </c>
      <c r="S14" s="13">
        <f t="shared" ref="S14:S16" si="1">SUM(E14:R14)</f>
        <v>1679</v>
      </c>
    </row>
    <row r="15" ht="12.75" customHeight="1">
      <c r="A15" s="18"/>
      <c r="B15" s="26"/>
      <c r="C15" s="27"/>
      <c r="D15" s="19" t="s">
        <v>13</v>
      </c>
      <c r="E15" s="19">
        <v>113.0</v>
      </c>
      <c r="F15" s="19">
        <v>124.0</v>
      </c>
      <c r="G15" s="19">
        <v>140.0</v>
      </c>
      <c r="H15" s="19">
        <v>124.0</v>
      </c>
      <c r="I15" s="19">
        <v>132.0</v>
      </c>
      <c r="J15" s="19">
        <v>121.0</v>
      </c>
      <c r="K15" s="19">
        <v>143.0</v>
      </c>
      <c r="L15" s="19">
        <v>143.0</v>
      </c>
      <c r="M15" s="19">
        <v>153.0</v>
      </c>
      <c r="N15" s="19">
        <v>141.0</v>
      </c>
      <c r="O15" s="19">
        <v>123.0</v>
      </c>
      <c r="P15" s="19">
        <v>158.0</v>
      </c>
      <c r="Q15" s="19">
        <v>96.0</v>
      </c>
      <c r="R15" s="19">
        <v>106.0</v>
      </c>
      <c r="S15" s="13">
        <f t="shared" si="1"/>
        <v>1817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214</v>
      </c>
      <c r="F16" s="13">
        <f t="shared" si="2"/>
        <v>237</v>
      </c>
      <c r="G16" s="13">
        <f t="shared" si="2"/>
        <v>275</v>
      </c>
      <c r="H16" s="13">
        <f t="shared" si="2"/>
        <v>225</v>
      </c>
      <c r="I16" s="13">
        <f t="shared" si="2"/>
        <v>245</v>
      </c>
      <c r="J16" s="13">
        <f t="shared" si="2"/>
        <v>241</v>
      </c>
      <c r="K16" s="13">
        <f t="shared" si="2"/>
        <v>269</v>
      </c>
      <c r="L16" s="13">
        <f t="shared" si="2"/>
        <v>285</v>
      </c>
      <c r="M16" s="13">
        <f t="shared" si="2"/>
        <v>283</v>
      </c>
      <c r="N16" s="13">
        <f t="shared" si="2"/>
        <v>277</v>
      </c>
      <c r="O16" s="13">
        <f t="shared" si="2"/>
        <v>243</v>
      </c>
      <c r="P16" s="13">
        <f t="shared" si="2"/>
        <v>293</v>
      </c>
      <c r="Q16" s="13">
        <f t="shared" si="2"/>
        <v>198</v>
      </c>
      <c r="R16" s="13">
        <f t="shared" si="2"/>
        <v>211</v>
      </c>
      <c r="S16" s="13">
        <f t="shared" si="1"/>
        <v>3496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101.0</v>
      </c>
      <c r="G19" s="19">
        <v>113.0</v>
      </c>
      <c r="H19" s="19">
        <v>85.0</v>
      </c>
      <c r="I19" s="19">
        <v>92.0</v>
      </c>
      <c r="J19" s="19">
        <v>102.0</v>
      </c>
      <c r="K19" s="19">
        <v>91.0</v>
      </c>
      <c r="L19" s="19">
        <v>107.0</v>
      </c>
      <c r="M19" s="19">
        <v>102.0</v>
      </c>
      <c r="N19" s="19">
        <v>112.0</v>
      </c>
      <c r="O19" s="19">
        <v>91.0</v>
      </c>
      <c r="P19" s="19">
        <v>121.0</v>
      </c>
      <c r="Q19" s="19">
        <v>92.0</v>
      </c>
      <c r="R19" s="19">
        <v>83.0</v>
      </c>
      <c r="S19" s="13">
        <f t="shared" ref="S19:S30" si="3">SUM(E19:R19)</f>
        <v>1389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103.0</v>
      </c>
      <c r="G20" s="19">
        <v>125.0</v>
      </c>
      <c r="H20" s="19">
        <v>107.0</v>
      </c>
      <c r="I20" s="19">
        <v>113.0</v>
      </c>
      <c r="J20" s="19">
        <v>103.0</v>
      </c>
      <c r="K20" s="19">
        <v>113.0</v>
      </c>
      <c r="L20" s="19">
        <v>115.0</v>
      </c>
      <c r="M20" s="19">
        <v>128.0</v>
      </c>
      <c r="N20" s="19">
        <v>122.0</v>
      </c>
      <c r="O20" s="19">
        <v>105.0</v>
      </c>
      <c r="P20" s="19">
        <v>138.0</v>
      </c>
      <c r="Q20" s="19">
        <v>90.0</v>
      </c>
      <c r="R20" s="19">
        <v>93.0</v>
      </c>
      <c r="S20" s="13">
        <f t="shared" si="3"/>
        <v>1560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202</v>
      </c>
      <c r="F21" s="13">
        <f t="shared" si="4"/>
        <v>204</v>
      </c>
      <c r="G21" s="13">
        <f t="shared" si="4"/>
        <v>238</v>
      </c>
      <c r="H21" s="13">
        <f t="shared" si="4"/>
        <v>192</v>
      </c>
      <c r="I21" s="13">
        <f t="shared" si="4"/>
        <v>205</v>
      </c>
      <c r="J21" s="13">
        <f t="shared" si="4"/>
        <v>205</v>
      </c>
      <c r="K21" s="13">
        <f t="shared" si="4"/>
        <v>204</v>
      </c>
      <c r="L21" s="13">
        <f t="shared" si="4"/>
        <v>222</v>
      </c>
      <c r="M21" s="13">
        <f t="shared" si="4"/>
        <v>230</v>
      </c>
      <c r="N21" s="13">
        <f t="shared" si="4"/>
        <v>234</v>
      </c>
      <c r="O21" s="13">
        <f t="shared" si="4"/>
        <v>196</v>
      </c>
      <c r="P21" s="13">
        <f t="shared" si="4"/>
        <v>259</v>
      </c>
      <c r="Q21" s="13">
        <f t="shared" si="4"/>
        <v>182</v>
      </c>
      <c r="R21" s="13">
        <f t="shared" si="4"/>
        <v>176</v>
      </c>
      <c r="S21" s="13">
        <f t="shared" si="3"/>
        <v>2949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3.0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3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2.0</v>
      </c>
      <c r="K26" s="19">
        <v>2.0</v>
      </c>
      <c r="L26" s="19">
        <v>0.0</v>
      </c>
      <c r="M26" s="19">
        <v>4.0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3</v>
      </c>
      <c r="L27" s="13">
        <f t="shared" si="6"/>
        <v>0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11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97</v>
      </c>
      <c r="F28" s="13">
        <f t="shared" si="7"/>
        <v>101</v>
      </c>
      <c r="G28" s="13">
        <f t="shared" si="7"/>
        <v>113</v>
      </c>
      <c r="H28" s="13">
        <f t="shared" si="7"/>
        <v>85</v>
      </c>
      <c r="I28" s="13">
        <f t="shared" si="7"/>
        <v>93</v>
      </c>
      <c r="J28" s="13">
        <f t="shared" si="7"/>
        <v>103</v>
      </c>
      <c r="K28" s="13">
        <f t="shared" si="7"/>
        <v>92</v>
      </c>
      <c r="L28" s="13">
        <f t="shared" si="7"/>
        <v>107</v>
      </c>
      <c r="M28" s="13">
        <f t="shared" si="7"/>
        <v>103</v>
      </c>
      <c r="N28" s="13">
        <f t="shared" si="7"/>
        <v>112</v>
      </c>
      <c r="O28" s="13">
        <f t="shared" si="7"/>
        <v>91</v>
      </c>
      <c r="P28" s="13">
        <f t="shared" si="7"/>
        <v>121</v>
      </c>
      <c r="Q28" s="13">
        <f t="shared" si="7"/>
        <v>92</v>
      </c>
      <c r="R28" s="13">
        <f t="shared" si="7"/>
        <v>84</v>
      </c>
      <c r="S28" s="13">
        <f t="shared" si="3"/>
        <v>1394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105</v>
      </c>
      <c r="F29" s="13">
        <f t="shared" si="8"/>
        <v>103</v>
      </c>
      <c r="G29" s="13">
        <f t="shared" si="8"/>
        <v>125</v>
      </c>
      <c r="H29" s="13">
        <f t="shared" si="8"/>
        <v>107</v>
      </c>
      <c r="I29" s="13">
        <f t="shared" si="8"/>
        <v>114</v>
      </c>
      <c r="J29" s="13">
        <f t="shared" si="8"/>
        <v>105</v>
      </c>
      <c r="K29" s="13">
        <f t="shared" si="8"/>
        <v>118</v>
      </c>
      <c r="L29" s="13">
        <f t="shared" si="8"/>
        <v>115</v>
      </c>
      <c r="M29" s="13">
        <f t="shared" si="8"/>
        <v>132</v>
      </c>
      <c r="N29" s="13">
        <f t="shared" si="8"/>
        <v>122</v>
      </c>
      <c r="O29" s="13">
        <f t="shared" si="8"/>
        <v>105</v>
      </c>
      <c r="P29" s="13">
        <f t="shared" si="8"/>
        <v>138</v>
      </c>
      <c r="Q29" s="13">
        <f t="shared" si="8"/>
        <v>90</v>
      </c>
      <c r="R29" s="13">
        <f t="shared" si="8"/>
        <v>93</v>
      </c>
      <c r="S29" s="13">
        <f t="shared" si="3"/>
        <v>1572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202</v>
      </c>
      <c r="F30" s="13">
        <f t="shared" si="9"/>
        <v>204</v>
      </c>
      <c r="G30" s="13">
        <f t="shared" si="9"/>
        <v>238</v>
      </c>
      <c r="H30" s="13">
        <f t="shared" si="9"/>
        <v>192</v>
      </c>
      <c r="I30" s="13">
        <f t="shared" si="9"/>
        <v>207</v>
      </c>
      <c r="J30" s="13">
        <f t="shared" si="9"/>
        <v>208</v>
      </c>
      <c r="K30" s="13">
        <f t="shared" si="9"/>
        <v>210</v>
      </c>
      <c r="L30" s="13">
        <f t="shared" si="9"/>
        <v>222</v>
      </c>
      <c r="M30" s="13">
        <f t="shared" si="9"/>
        <v>235</v>
      </c>
      <c r="N30" s="13">
        <f t="shared" si="9"/>
        <v>234</v>
      </c>
      <c r="O30" s="13">
        <f t="shared" si="9"/>
        <v>196</v>
      </c>
      <c r="P30" s="13">
        <f t="shared" si="9"/>
        <v>259</v>
      </c>
      <c r="Q30" s="13">
        <f t="shared" si="9"/>
        <v>182</v>
      </c>
      <c r="R30" s="13">
        <f t="shared" si="9"/>
        <v>177</v>
      </c>
      <c r="S30" s="13">
        <f t="shared" si="3"/>
        <v>2966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219.0</v>
      </c>
      <c r="F33" s="19">
        <v>240.0</v>
      </c>
      <c r="G33" s="19">
        <v>281.0</v>
      </c>
      <c r="H33" s="19">
        <v>230.0</v>
      </c>
      <c r="I33" s="19">
        <v>251.0</v>
      </c>
      <c r="J33" s="19">
        <v>245.0</v>
      </c>
      <c r="K33" s="19">
        <v>276.0</v>
      </c>
      <c r="L33" s="19">
        <v>311.0</v>
      </c>
      <c r="M33" s="19">
        <v>289.0</v>
      </c>
      <c r="N33" s="19">
        <v>283.0</v>
      </c>
      <c r="O33" s="19">
        <v>248.0</v>
      </c>
      <c r="P33" s="19">
        <v>299.0</v>
      </c>
      <c r="Q33" s="19">
        <v>202.0</v>
      </c>
      <c r="R33" s="19">
        <v>216.0</v>
      </c>
      <c r="S33" s="13">
        <f t="shared" ref="S33:S36" si="10">SUM(E33:R33)</f>
        <v>3590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204.0</v>
      </c>
      <c r="G34" s="13">
        <v>238.0</v>
      </c>
      <c r="H34" s="13">
        <v>192.0</v>
      </c>
      <c r="I34" s="13">
        <v>207.0</v>
      </c>
      <c r="J34" s="13">
        <v>208.0</v>
      </c>
      <c r="K34" s="13">
        <v>210.0</v>
      </c>
      <c r="L34" s="13">
        <v>222.0</v>
      </c>
      <c r="M34" s="13">
        <v>235.0</v>
      </c>
      <c r="N34" s="13">
        <v>234.0</v>
      </c>
      <c r="O34" s="13">
        <v>196.0</v>
      </c>
      <c r="P34" s="13">
        <v>259.0</v>
      </c>
      <c r="Q34" s="13">
        <v>182.0</v>
      </c>
      <c r="R34" s="13">
        <v>177.0</v>
      </c>
      <c r="S34" s="13">
        <f t="shared" si="10"/>
        <v>2966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17</v>
      </c>
      <c r="F36" s="13">
        <f t="shared" si="11"/>
        <v>36</v>
      </c>
      <c r="G36" s="13">
        <f t="shared" si="11"/>
        <v>43</v>
      </c>
      <c r="H36" s="13">
        <f t="shared" si="11"/>
        <v>37</v>
      </c>
      <c r="I36" s="13">
        <f t="shared" si="11"/>
        <v>44</v>
      </c>
      <c r="J36" s="13">
        <f t="shared" si="11"/>
        <v>37</v>
      </c>
      <c r="K36" s="13">
        <f t="shared" si="11"/>
        <v>66</v>
      </c>
      <c r="L36" s="13">
        <f t="shared" si="11"/>
        <v>89</v>
      </c>
      <c r="M36" s="13">
        <f t="shared" si="11"/>
        <v>54</v>
      </c>
      <c r="N36" s="13">
        <f t="shared" si="11"/>
        <v>49</v>
      </c>
      <c r="O36" s="13">
        <f t="shared" si="11"/>
        <v>52</v>
      </c>
      <c r="P36" s="13">
        <f t="shared" si="11"/>
        <v>40</v>
      </c>
      <c r="Q36" s="13">
        <f t="shared" si="11"/>
        <v>20</v>
      </c>
      <c r="R36" s="13">
        <f t="shared" si="11"/>
        <v>39</v>
      </c>
      <c r="S36" s="13">
        <f t="shared" si="10"/>
        <v>623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3">
        <f t="shared" ref="S39:S41" si="12">SUM(E39:R39)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13"/>
    </row>
    <row r="45" ht="12.75" customHeight="1">
      <c r="A45" s="30"/>
      <c r="B45" s="47" t="s">
        <v>17</v>
      </c>
      <c r="C45" s="61" t="s">
        <v>38</v>
      </c>
      <c r="D45" s="16"/>
      <c r="E45" s="19">
        <v>39.0</v>
      </c>
      <c r="F45" s="19">
        <v>42.0</v>
      </c>
      <c r="G45" s="19">
        <v>38.0</v>
      </c>
      <c r="H45" s="19">
        <v>33.0</v>
      </c>
      <c r="I45" s="19">
        <v>12.0</v>
      </c>
      <c r="J45" s="19">
        <v>21.0</v>
      </c>
      <c r="K45" s="19">
        <v>21.0</v>
      </c>
      <c r="L45" s="19">
        <v>16.0</v>
      </c>
      <c r="M45" s="19">
        <v>25.0</v>
      </c>
      <c r="N45" s="19">
        <v>35.0</v>
      </c>
      <c r="O45" s="19">
        <v>22.0</v>
      </c>
      <c r="P45" s="19">
        <v>18.0</v>
      </c>
      <c r="Q45" s="19">
        <v>18.0</v>
      </c>
      <c r="R45" s="19">
        <v>28.0</v>
      </c>
      <c r="S45" s="13">
        <f t="shared" ref="S45:S57" si="14">SUM(E45:R45)</f>
        <v>368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24.0</v>
      </c>
      <c r="F46" s="19">
        <v>26.0</v>
      </c>
      <c r="G46" s="19">
        <v>38.0</v>
      </c>
      <c r="H46" s="19">
        <v>27.0</v>
      </c>
      <c r="I46" s="19">
        <v>41.0</v>
      </c>
      <c r="J46" s="19">
        <v>44.0</v>
      </c>
      <c r="K46" s="19">
        <v>33.0</v>
      </c>
      <c r="L46" s="19">
        <v>27.0</v>
      </c>
      <c r="M46" s="19">
        <v>33.0</v>
      </c>
      <c r="N46" s="19">
        <v>29.0</v>
      </c>
      <c r="O46" s="19">
        <v>22.0</v>
      </c>
      <c r="P46" s="19">
        <v>41.0</v>
      </c>
      <c r="Q46" s="19">
        <v>33.0</v>
      </c>
      <c r="R46" s="19">
        <v>25.0</v>
      </c>
      <c r="S46" s="13">
        <f t="shared" si="14"/>
        <v>443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17.0</v>
      </c>
      <c r="F47" s="19">
        <v>7.0</v>
      </c>
      <c r="G47" s="19">
        <v>13.0</v>
      </c>
      <c r="H47" s="19">
        <v>7.0</v>
      </c>
      <c r="I47" s="19">
        <v>10.0</v>
      </c>
      <c r="J47" s="19">
        <v>29.0</v>
      </c>
      <c r="K47" s="19">
        <v>14.0</v>
      </c>
      <c r="L47" s="19">
        <v>9.0</v>
      </c>
      <c r="M47" s="19">
        <v>17.0</v>
      </c>
      <c r="N47" s="19">
        <v>21.0</v>
      </c>
      <c r="O47" s="19">
        <v>20.0</v>
      </c>
      <c r="P47" s="19">
        <v>17.0</v>
      </c>
      <c r="Q47" s="19">
        <v>13.0</v>
      </c>
      <c r="R47" s="19">
        <v>16.0</v>
      </c>
      <c r="S47" s="13">
        <f t="shared" si="14"/>
        <v>210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14.0</v>
      </c>
      <c r="F48" s="19">
        <v>14.0</v>
      </c>
      <c r="G48" s="19">
        <v>23.0</v>
      </c>
      <c r="H48" s="19">
        <v>15.0</v>
      </c>
      <c r="I48" s="19">
        <v>15.0</v>
      </c>
      <c r="J48" s="19">
        <v>15.0</v>
      </c>
      <c r="K48" s="19">
        <v>21.0</v>
      </c>
      <c r="L48" s="19">
        <v>19.0</v>
      </c>
      <c r="M48" s="19">
        <v>21.0</v>
      </c>
      <c r="N48" s="19">
        <v>22.0</v>
      </c>
      <c r="O48" s="19">
        <v>26.0</v>
      </c>
      <c r="P48" s="19">
        <v>11.0</v>
      </c>
      <c r="Q48" s="19">
        <v>11.0</v>
      </c>
      <c r="R48" s="19">
        <v>10.0</v>
      </c>
      <c r="S48" s="13">
        <f t="shared" si="14"/>
        <v>237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12.0</v>
      </c>
      <c r="F49" s="19">
        <v>8.0</v>
      </c>
      <c r="G49" s="19">
        <v>19.0</v>
      </c>
      <c r="H49" s="19">
        <v>14.0</v>
      </c>
      <c r="I49" s="19">
        <v>14.0</v>
      </c>
      <c r="J49" s="19">
        <v>17.0</v>
      </c>
      <c r="K49" s="19">
        <v>20.0</v>
      </c>
      <c r="L49" s="19">
        <v>27.0</v>
      </c>
      <c r="M49" s="19">
        <v>13.0</v>
      </c>
      <c r="N49" s="19">
        <v>17.0</v>
      </c>
      <c r="O49" s="19">
        <v>16.0</v>
      </c>
      <c r="P49" s="19">
        <v>15.0</v>
      </c>
      <c r="Q49" s="19">
        <v>15.0</v>
      </c>
      <c r="R49" s="19">
        <v>12.0</v>
      </c>
      <c r="S49" s="13">
        <f t="shared" si="14"/>
        <v>219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11.0</v>
      </c>
      <c r="F50" s="19">
        <v>16.0</v>
      </c>
      <c r="G50" s="19">
        <v>15.0</v>
      </c>
      <c r="H50" s="19">
        <v>14.0</v>
      </c>
      <c r="I50" s="19">
        <v>15.0</v>
      </c>
      <c r="J50" s="19">
        <v>13.0</v>
      </c>
      <c r="K50" s="19">
        <v>15.0</v>
      </c>
      <c r="L50" s="19">
        <v>16.0</v>
      </c>
      <c r="M50" s="19">
        <v>15.0</v>
      </c>
      <c r="N50" s="19">
        <v>14.0</v>
      </c>
      <c r="O50" s="19">
        <v>12.0</v>
      </c>
      <c r="P50" s="19">
        <v>27.0</v>
      </c>
      <c r="Q50" s="19">
        <v>17.0</v>
      </c>
      <c r="R50" s="19">
        <v>19.0</v>
      </c>
      <c r="S50" s="13">
        <f t="shared" si="14"/>
        <v>219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2.0</v>
      </c>
      <c r="F51" s="19">
        <v>3.0</v>
      </c>
      <c r="G51" s="19">
        <v>4.0</v>
      </c>
      <c r="H51" s="19">
        <v>4.0</v>
      </c>
      <c r="I51" s="19">
        <v>5.0</v>
      </c>
      <c r="J51" s="19">
        <v>3.0</v>
      </c>
      <c r="K51" s="19">
        <v>6.0</v>
      </c>
      <c r="L51" s="19">
        <v>1.0</v>
      </c>
      <c r="M51" s="19">
        <v>1.0</v>
      </c>
      <c r="N51" s="19">
        <v>5.0</v>
      </c>
      <c r="O51" s="19">
        <v>1.0</v>
      </c>
      <c r="P51" s="19">
        <v>6.0</v>
      </c>
      <c r="Q51" s="19">
        <v>7.0</v>
      </c>
      <c r="R51" s="19">
        <v>8.0</v>
      </c>
      <c r="S51" s="13">
        <f t="shared" si="14"/>
        <v>56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1.0</v>
      </c>
      <c r="F52" s="19">
        <v>1.0</v>
      </c>
      <c r="G52" s="19">
        <v>3.0</v>
      </c>
      <c r="H52" s="19">
        <v>1.0</v>
      </c>
      <c r="I52" s="19">
        <v>2.0</v>
      </c>
      <c r="J52" s="19">
        <v>5.0</v>
      </c>
      <c r="K52" s="19">
        <v>1.0</v>
      </c>
      <c r="L52" s="19">
        <v>3.0</v>
      </c>
      <c r="M52" s="19">
        <v>3.0</v>
      </c>
      <c r="N52" s="19">
        <v>2.0</v>
      </c>
      <c r="O52" s="19">
        <v>2.0</v>
      </c>
      <c r="P52" s="19">
        <v>4.0</v>
      </c>
      <c r="Q52" s="19">
        <v>0.0</v>
      </c>
      <c r="R52" s="19">
        <v>1.0</v>
      </c>
      <c r="S52" s="13">
        <f t="shared" si="14"/>
        <v>29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0.0</v>
      </c>
      <c r="F53" s="19">
        <v>0.0</v>
      </c>
      <c r="G53" s="19">
        <v>1.0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9">
        <v>1.0</v>
      </c>
      <c r="N53" s="19">
        <v>2.0</v>
      </c>
      <c r="O53" s="19">
        <v>0.0</v>
      </c>
      <c r="P53" s="19">
        <v>2.0</v>
      </c>
      <c r="Q53" s="19">
        <v>2.0</v>
      </c>
      <c r="R53" s="19">
        <v>0.0</v>
      </c>
      <c r="S53" s="13">
        <f t="shared" si="14"/>
        <v>8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23.0</v>
      </c>
      <c r="F54" s="19">
        <v>19.0</v>
      </c>
      <c r="G54" s="19">
        <v>21.0</v>
      </c>
      <c r="H54" s="19">
        <v>31.0</v>
      </c>
      <c r="I54" s="19">
        <v>19.0</v>
      </c>
      <c r="J54" s="19">
        <v>31.0</v>
      </c>
      <c r="K54" s="19">
        <v>15.0</v>
      </c>
      <c r="L54" s="19">
        <v>30.0</v>
      </c>
      <c r="M54" s="19">
        <v>30.0</v>
      </c>
      <c r="N54" s="19">
        <v>21.0</v>
      </c>
      <c r="O54" s="19">
        <v>20.0</v>
      </c>
      <c r="P54" s="19">
        <v>30.0</v>
      </c>
      <c r="Q54" s="19">
        <v>23.0</v>
      </c>
      <c r="R54" s="19">
        <v>15.0</v>
      </c>
      <c r="S54" s="13">
        <f t="shared" si="14"/>
        <v>328</v>
      </c>
    </row>
    <row r="55" ht="15.0" customHeight="1">
      <c r="A55" s="18"/>
      <c r="B55" s="47" t="s">
        <v>54</v>
      </c>
      <c r="C55" s="61" t="s">
        <v>55</v>
      </c>
      <c r="D55" s="16"/>
      <c r="E55" s="19">
        <v>0.0</v>
      </c>
      <c r="F55" s="19">
        <v>0.0</v>
      </c>
      <c r="G55" s="19">
        <v>0.0</v>
      </c>
      <c r="H55" s="19">
        <v>2.0</v>
      </c>
      <c r="I55" s="19">
        <v>2.0</v>
      </c>
      <c r="J55" s="19">
        <v>1.0</v>
      </c>
      <c r="K55" s="19">
        <v>2.0</v>
      </c>
      <c r="L55" s="19">
        <v>3.0</v>
      </c>
      <c r="M55" s="19">
        <v>2.0</v>
      </c>
      <c r="N55" s="19">
        <v>0.0</v>
      </c>
      <c r="O55" s="19">
        <v>0.0</v>
      </c>
      <c r="P55" s="19">
        <v>1.0</v>
      </c>
      <c r="Q55" s="19">
        <v>0.0</v>
      </c>
      <c r="R55" s="19">
        <v>1.0</v>
      </c>
      <c r="S55" s="13">
        <f t="shared" si="14"/>
        <v>14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23.0</v>
      </c>
      <c r="F56" s="19">
        <v>27.0</v>
      </c>
      <c r="G56" s="19">
        <v>25.0</v>
      </c>
      <c r="H56" s="19">
        <v>17.0</v>
      </c>
      <c r="I56" s="19">
        <v>31.0</v>
      </c>
      <c r="J56" s="19">
        <v>15.0</v>
      </c>
      <c r="K56" s="19">
        <v>20.0</v>
      </c>
      <c r="L56" s="19">
        <v>18.0</v>
      </c>
      <c r="M56" s="19">
        <v>33.0</v>
      </c>
      <c r="N56" s="19">
        <v>27.0</v>
      </c>
      <c r="O56" s="19">
        <v>19.0</v>
      </c>
      <c r="P56" s="19">
        <v>27.0</v>
      </c>
      <c r="Q56" s="19">
        <v>11.0</v>
      </c>
      <c r="R56" s="19">
        <v>12.0</v>
      </c>
      <c r="S56" s="13">
        <f t="shared" si="14"/>
        <v>305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0.0</v>
      </c>
      <c r="F57" s="19">
        <v>1.0</v>
      </c>
      <c r="G57" s="19">
        <v>4.0</v>
      </c>
      <c r="H57" s="19">
        <v>0.0</v>
      </c>
      <c r="I57" s="19">
        <v>3.0</v>
      </c>
      <c r="J57" s="19">
        <v>1.0</v>
      </c>
      <c r="K57" s="19">
        <v>2.0</v>
      </c>
      <c r="L57" s="19">
        <v>1.0</v>
      </c>
      <c r="M57" s="19">
        <v>1.0</v>
      </c>
      <c r="N57" s="19">
        <v>3.0</v>
      </c>
      <c r="O57" s="19">
        <v>4.0</v>
      </c>
      <c r="P57" s="19">
        <v>1.0</v>
      </c>
      <c r="Q57" s="19">
        <v>2.0</v>
      </c>
      <c r="R57" s="19">
        <v>1.0</v>
      </c>
      <c r="S57" s="13">
        <f t="shared" si="14"/>
        <v>24</v>
      </c>
    </row>
    <row r="58" ht="12.75" customHeight="1">
      <c r="S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R60" si="15">SUM(E45:E57)</f>
        <v>166</v>
      </c>
      <c r="F60" s="19">
        <f t="shared" si="15"/>
        <v>164</v>
      </c>
      <c r="G60" s="19">
        <f t="shared" si="15"/>
        <v>204</v>
      </c>
      <c r="H60" s="19">
        <f t="shared" si="15"/>
        <v>165</v>
      </c>
      <c r="I60" s="19">
        <f t="shared" si="15"/>
        <v>169</v>
      </c>
      <c r="J60" s="19">
        <f t="shared" si="15"/>
        <v>195</v>
      </c>
      <c r="K60" s="19">
        <f t="shared" si="15"/>
        <v>170</v>
      </c>
      <c r="L60" s="19">
        <f t="shared" si="15"/>
        <v>170</v>
      </c>
      <c r="M60" s="19">
        <f t="shared" si="15"/>
        <v>195</v>
      </c>
      <c r="N60" s="19">
        <f t="shared" si="15"/>
        <v>198</v>
      </c>
      <c r="O60" s="19">
        <f t="shared" si="15"/>
        <v>164</v>
      </c>
      <c r="P60" s="19">
        <f t="shared" si="15"/>
        <v>200</v>
      </c>
      <c r="Q60" s="19">
        <f t="shared" si="15"/>
        <v>152</v>
      </c>
      <c r="R60" s="19">
        <f t="shared" si="15"/>
        <v>148</v>
      </c>
      <c r="S60" s="13">
        <f t="shared" ref="S60:S62" si="16">SUM(E60:R60)</f>
        <v>2460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36.0</v>
      </c>
      <c r="F61" s="19">
        <v>40.0</v>
      </c>
      <c r="G61" s="19">
        <v>34.0</v>
      </c>
      <c r="H61" s="19">
        <v>27.0</v>
      </c>
      <c r="I61" s="19">
        <v>38.0</v>
      </c>
      <c r="J61" s="19">
        <v>13.0</v>
      </c>
      <c r="K61" s="19">
        <v>40.0</v>
      </c>
      <c r="L61" s="19">
        <v>52.0</v>
      </c>
      <c r="M61" s="19">
        <v>40.0</v>
      </c>
      <c r="N61" s="19">
        <v>36.0</v>
      </c>
      <c r="O61" s="19">
        <v>32.0</v>
      </c>
      <c r="P61" s="19">
        <v>59.0</v>
      </c>
      <c r="Q61" s="19">
        <v>30.0</v>
      </c>
      <c r="R61" s="19">
        <v>29.0</v>
      </c>
      <c r="S61" s="13">
        <f t="shared" si="16"/>
        <v>506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R62" si="17">SUM(E60:E61)</f>
        <v>202</v>
      </c>
      <c r="F62" s="13">
        <f t="shared" si="17"/>
        <v>204</v>
      </c>
      <c r="G62" s="13">
        <f t="shared" si="17"/>
        <v>238</v>
      </c>
      <c r="H62" s="13">
        <f t="shared" si="17"/>
        <v>192</v>
      </c>
      <c r="I62" s="13">
        <f t="shared" si="17"/>
        <v>207</v>
      </c>
      <c r="J62" s="13">
        <f t="shared" si="17"/>
        <v>208</v>
      </c>
      <c r="K62" s="13">
        <f t="shared" si="17"/>
        <v>210</v>
      </c>
      <c r="L62" s="13">
        <f t="shared" si="17"/>
        <v>222</v>
      </c>
      <c r="M62" s="13">
        <f t="shared" si="17"/>
        <v>235</v>
      </c>
      <c r="N62" s="13">
        <f t="shared" si="17"/>
        <v>234</v>
      </c>
      <c r="O62" s="13">
        <f t="shared" si="17"/>
        <v>196</v>
      </c>
      <c r="P62" s="13">
        <f t="shared" si="17"/>
        <v>259</v>
      </c>
      <c r="Q62" s="13">
        <f t="shared" si="17"/>
        <v>182</v>
      </c>
      <c r="R62" s="13">
        <f t="shared" si="17"/>
        <v>177</v>
      </c>
      <c r="S62" s="13">
        <f t="shared" si="16"/>
        <v>2966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T117" s="5"/>
      <c r="U117" s="5"/>
    </row>
    <row r="118" ht="12.75" customHeight="1">
      <c r="T118" s="5"/>
      <c r="U118" s="5"/>
    </row>
    <row r="119" ht="12.75" customHeight="1">
      <c r="T119" s="5"/>
      <c r="U119" s="5"/>
    </row>
    <row r="120" ht="12.75" customHeight="1">
      <c r="T120" s="5"/>
      <c r="U120" s="5"/>
    </row>
    <row r="121" ht="12.75" customHeight="1">
      <c r="T121" s="5"/>
      <c r="U121" s="5"/>
    </row>
    <row r="122" ht="12.75" customHeight="1">
      <c r="T122" s="5"/>
      <c r="U122" s="5"/>
    </row>
    <row r="123" ht="12.75" customHeight="1">
      <c r="T123" s="5"/>
      <c r="U123" s="5"/>
    </row>
    <row r="124" ht="12.75" customHeight="1">
      <c r="T124" s="5"/>
      <c r="U124" s="5"/>
    </row>
    <row r="125" ht="12.75" customHeight="1">
      <c r="T125" s="5"/>
      <c r="U125" s="5"/>
    </row>
    <row r="126" ht="12.75" customHeight="1">
      <c r="T126" s="5"/>
      <c r="U126" s="5"/>
    </row>
    <row r="127" ht="12.75" customHeight="1">
      <c r="T127" s="5"/>
      <c r="U127" s="5"/>
    </row>
    <row r="128" ht="12.75" customHeight="1">
      <c r="T128" s="5"/>
      <c r="U128" s="5"/>
    </row>
    <row r="129" ht="12.75" customHeight="1">
      <c r="T129" s="5"/>
      <c r="U129" s="5"/>
    </row>
    <row r="130" ht="12.75" customHeight="1">
      <c r="T130" s="1"/>
      <c r="U130" s="1"/>
    </row>
    <row r="131" ht="12.75" customHeight="1">
      <c r="T131" s="50"/>
      <c r="U131" s="50"/>
    </row>
    <row r="132" ht="12.75" customHeight="1">
      <c r="T132" s="5"/>
      <c r="U132" s="5"/>
    </row>
    <row r="133" ht="12.75" customHeight="1">
      <c r="T133" s="5"/>
      <c r="U133" s="5"/>
    </row>
    <row r="134" ht="12.75" customHeight="1">
      <c r="T134" s="5"/>
      <c r="U134" s="5"/>
    </row>
    <row r="135" ht="12.75" customHeight="1">
      <c r="T135" s="5"/>
      <c r="U135" s="5"/>
    </row>
    <row r="136" ht="12.75" customHeight="1">
      <c r="T136" s="5"/>
      <c r="U136" s="5"/>
    </row>
    <row r="137" ht="12.75" customHeight="1">
      <c r="T137" s="5"/>
      <c r="U137" s="5"/>
    </row>
    <row r="138" ht="12.75" customHeight="1">
      <c r="T138" s="5"/>
      <c r="U138" s="5"/>
    </row>
    <row r="139" ht="12.75" customHeight="1">
      <c r="T139" s="5"/>
      <c r="U139" s="5"/>
    </row>
    <row r="140" ht="12.75" customHeight="1">
      <c r="T140" s="5"/>
      <c r="U140" s="5"/>
    </row>
    <row r="141" ht="12.75" customHeight="1">
      <c r="T141" s="1"/>
      <c r="U141" s="1"/>
    </row>
    <row r="142" ht="12.75" customHeight="1">
      <c r="T142" s="50"/>
      <c r="U142" s="50"/>
    </row>
    <row r="143" ht="12.75" customHeight="1">
      <c r="T143" s="5"/>
      <c r="U143" s="5"/>
    </row>
    <row r="144" ht="12.75" customHeight="1">
      <c r="T144" s="5"/>
      <c r="U144" s="5"/>
    </row>
    <row r="145" ht="12.75" customHeight="1">
      <c r="T145" s="5"/>
      <c r="U145" s="5"/>
    </row>
    <row r="146" ht="12.75" customHeight="1">
      <c r="T146" s="5"/>
      <c r="U146" s="5"/>
    </row>
    <row r="147" ht="12.75" customHeight="1">
      <c r="T147" s="5"/>
      <c r="U147" s="5"/>
    </row>
    <row r="148" ht="12.75" customHeight="1">
      <c r="T148" s="5"/>
      <c r="U148" s="5"/>
    </row>
    <row r="149" ht="12.75" customHeight="1">
      <c r="T149" s="5"/>
      <c r="U149" s="5"/>
    </row>
    <row r="150" ht="12.75" customHeight="1">
      <c r="T150" s="5"/>
      <c r="U150" s="5"/>
    </row>
    <row r="151" ht="12.75" customHeight="1">
      <c r="T151" s="1"/>
      <c r="U151" s="1"/>
    </row>
    <row r="152" ht="12.75" customHeight="1">
      <c r="T152" s="50"/>
      <c r="U152" s="50"/>
    </row>
    <row r="153" ht="12.75" customHeight="1">
      <c r="T153" s="5"/>
      <c r="U153" s="5"/>
    </row>
    <row r="154" ht="12.75" customHeight="1">
      <c r="T154" s="5"/>
      <c r="U154" s="5"/>
    </row>
    <row r="155" ht="12.75" customHeight="1">
      <c r="T155" s="5"/>
      <c r="U155" s="5"/>
    </row>
    <row r="156" ht="12.75" customHeight="1">
      <c r="T156" s="5"/>
      <c r="U156" s="5"/>
    </row>
    <row r="157" ht="12.75" customHeight="1">
      <c r="T157" s="5"/>
      <c r="U157" s="5"/>
    </row>
    <row r="158" ht="12.75" customHeight="1">
      <c r="T158" s="5"/>
      <c r="U158" s="5"/>
    </row>
    <row r="159" ht="12.75" customHeight="1">
      <c r="T159" s="5"/>
      <c r="U159" s="5"/>
    </row>
    <row r="160" ht="12.75" customHeight="1">
      <c r="T160" s="5"/>
      <c r="U160" s="5"/>
    </row>
    <row r="161" ht="12.75" customHeight="1">
      <c r="T161" s="5"/>
      <c r="U161" s="5"/>
    </row>
    <row r="162" ht="12.75" customHeight="1">
      <c r="T162" s="5"/>
      <c r="U162" s="5"/>
    </row>
    <row r="163" ht="12.75" customHeight="1">
      <c r="T163" s="5"/>
      <c r="U163" s="5"/>
    </row>
    <row r="164" ht="12.75" customHeight="1">
      <c r="T164" s="5"/>
      <c r="U164" s="5"/>
    </row>
    <row r="165" ht="12.75" customHeight="1">
      <c r="T165" s="1"/>
      <c r="U165" s="1"/>
    </row>
    <row r="166" ht="12.75" customHeight="1">
      <c r="T166" s="50"/>
      <c r="U166" s="50"/>
    </row>
    <row r="167" ht="12.75" customHeight="1">
      <c r="T167" s="5"/>
      <c r="U167" s="5"/>
    </row>
    <row r="168" ht="12.75" customHeight="1">
      <c r="T168" s="5"/>
      <c r="U168" s="5"/>
    </row>
    <row r="169" ht="12.75" customHeight="1">
      <c r="T169" s="5"/>
      <c r="U169" s="5"/>
    </row>
    <row r="170" ht="12.75" customHeight="1">
      <c r="T170" s="5"/>
      <c r="U170" s="5"/>
    </row>
    <row r="171" ht="12.75" customHeight="1">
      <c r="T171" s="5"/>
      <c r="U171" s="5"/>
    </row>
    <row r="172" ht="12.75" customHeight="1">
      <c r="T172" s="5"/>
      <c r="U172" s="5"/>
    </row>
    <row r="173" ht="12.75" customHeight="1">
      <c r="T173" s="5"/>
      <c r="U173" s="5"/>
    </row>
    <row r="174" ht="12.75" customHeight="1">
      <c r="T174" s="5"/>
      <c r="U174" s="5"/>
    </row>
    <row r="175" ht="12.75" customHeight="1">
      <c r="T175" s="5"/>
      <c r="U175" s="5"/>
    </row>
    <row r="176" ht="12.75" customHeight="1">
      <c r="T176" s="1"/>
      <c r="U176" s="1"/>
    </row>
    <row r="177" ht="12.75" customHeight="1"/>
    <row r="178" ht="12.75" customHeight="1">
      <c r="T178" s="5"/>
      <c r="U178" s="5"/>
    </row>
    <row r="179" ht="12.75" customHeight="1">
      <c r="T179" s="5"/>
      <c r="U179" s="5"/>
    </row>
    <row r="180" ht="12.75" customHeight="1">
      <c r="T180" s="5"/>
      <c r="U180" s="5"/>
    </row>
    <row r="181" ht="12.75" customHeight="1">
      <c r="T181" s="5"/>
      <c r="U181" s="5"/>
    </row>
    <row r="182" ht="12.75" customHeight="1">
      <c r="T182" s="5"/>
      <c r="U182" s="5"/>
    </row>
    <row r="183" ht="12.75" customHeight="1">
      <c r="T183" s="5"/>
      <c r="U183" s="5"/>
    </row>
    <row r="184" ht="12.75" customHeight="1">
      <c r="T184" s="5"/>
      <c r="U184" s="5"/>
    </row>
    <row r="185" ht="12.75" customHeight="1">
      <c r="T185" s="5"/>
      <c r="U185" s="5"/>
    </row>
    <row r="186" ht="12.75" customHeight="1">
      <c r="T186" s="5"/>
      <c r="U186" s="5"/>
    </row>
    <row r="187" ht="12.75" customHeight="1">
      <c r="T187" s="1"/>
      <c r="U187" s="1"/>
    </row>
    <row r="188" ht="12.75" customHeight="1"/>
    <row r="189" ht="12.75" customHeight="1">
      <c r="T189" s="5"/>
      <c r="U189" s="5"/>
    </row>
    <row r="190" ht="12.75" customHeight="1">
      <c r="T190" s="5"/>
      <c r="U190" s="5"/>
    </row>
    <row r="191" ht="12.75" customHeight="1">
      <c r="T191" s="5"/>
      <c r="U191" s="5"/>
    </row>
    <row r="192" ht="12.75" customHeight="1">
      <c r="T192" s="5"/>
      <c r="U192" s="5"/>
    </row>
    <row r="193" ht="12.75" customHeight="1">
      <c r="T193" s="5"/>
      <c r="U193" s="5"/>
    </row>
    <row r="194" ht="12.75" customHeight="1">
      <c r="T194" s="5"/>
      <c r="U194" s="5"/>
    </row>
    <row r="195" ht="12.75" customHeight="1">
      <c r="T195" s="5"/>
      <c r="U195" s="5"/>
    </row>
    <row r="196" ht="12.75" customHeight="1">
      <c r="T196" s="1"/>
      <c r="U196" s="1"/>
    </row>
    <row r="197" ht="12.75" customHeight="1">
      <c r="T197" s="1"/>
      <c r="U197" s="1"/>
    </row>
    <row r="198" ht="12.75" customHeight="1">
      <c r="T198" s="1"/>
      <c r="U198" s="1"/>
    </row>
    <row r="199" ht="12.75" customHeight="1">
      <c r="T199" s="50"/>
      <c r="U199" s="50"/>
    </row>
    <row r="200" ht="12.75" customHeight="1">
      <c r="T200" s="5"/>
      <c r="U200" s="5"/>
    </row>
    <row r="201" ht="12.75" customHeight="1">
      <c r="T201" s="5"/>
      <c r="U201" s="5"/>
    </row>
    <row r="202" ht="12.75" customHeight="1">
      <c r="T202" s="5"/>
      <c r="U202" s="5"/>
    </row>
    <row r="203" ht="12.75" customHeight="1">
      <c r="T203" s="5"/>
      <c r="U203" s="5"/>
    </row>
    <row r="204" ht="12.75" customHeight="1">
      <c r="T204" s="5"/>
      <c r="U204" s="5"/>
    </row>
    <row r="205" ht="12.75" customHeight="1">
      <c r="T205" s="5"/>
      <c r="U205" s="5"/>
    </row>
    <row r="206" ht="12.75" customHeight="1">
      <c r="T206" s="5"/>
      <c r="U206" s="5"/>
    </row>
    <row r="207" ht="12.75" customHeight="1">
      <c r="T207" s="1"/>
      <c r="U207" s="1"/>
    </row>
    <row r="208" ht="12.75" customHeight="1">
      <c r="T208" s="50"/>
      <c r="U208" s="50"/>
    </row>
    <row r="209" ht="12.75" customHeight="1">
      <c r="T209" s="50"/>
      <c r="U209" s="50"/>
    </row>
    <row r="210" ht="12.75" customHeight="1">
      <c r="T210" s="50"/>
      <c r="U210" s="50"/>
    </row>
    <row r="211" ht="12.75" customHeight="1">
      <c r="T211" s="5"/>
      <c r="U211" s="5"/>
    </row>
    <row r="212" ht="12.75" customHeight="1">
      <c r="T212" s="5"/>
      <c r="U212" s="5"/>
    </row>
    <row r="213" ht="12.75" customHeight="1">
      <c r="T213" s="5"/>
      <c r="U213" s="5"/>
    </row>
    <row r="214" ht="12.75" customHeight="1">
      <c r="T214" s="5"/>
      <c r="U214" s="5"/>
    </row>
    <row r="215" ht="12.75" customHeight="1">
      <c r="T215" s="5"/>
      <c r="U215" s="5"/>
    </row>
    <row r="216" ht="12.75" customHeight="1">
      <c r="T216" s="5"/>
      <c r="U216" s="5"/>
    </row>
    <row r="217" ht="12.75" customHeight="1">
      <c r="T217" s="5"/>
      <c r="U217" s="5"/>
    </row>
    <row r="218" ht="12.75" customHeight="1">
      <c r="T218" s="1"/>
      <c r="U218" s="1"/>
    </row>
    <row r="219" ht="12.75" customHeight="1">
      <c r="T219" s="50"/>
      <c r="U219" s="50"/>
    </row>
    <row r="220" ht="12.75" customHeight="1">
      <c r="T220" s="5"/>
      <c r="U220" s="5"/>
    </row>
    <row r="221" ht="12.75" customHeight="1">
      <c r="T221" s="5"/>
      <c r="U221" s="5"/>
    </row>
    <row r="222" ht="12.75" customHeight="1">
      <c r="T222" s="5"/>
      <c r="U222" s="5"/>
    </row>
    <row r="223" ht="12.75" customHeight="1">
      <c r="T223" s="5"/>
      <c r="U223" s="5"/>
    </row>
    <row r="224" ht="12.75" customHeight="1">
      <c r="T224" s="5"/>
      <c r="U224" s="5"/>
    </row>
    <row r="225" ht="12.75" customHeight="1">
      <c r="T225" s="5"/>
      <c r="U225" s="5"/>
    </row>
    <row r="226" ht="12.75" customHeight="1">
      <c r="T226" s="5"/>
      <c r="U226" s="5"/>
    </row>
    <row r="227" ht="12.75" customHeight="1">
      <c r="T227" s="5"/>
      <c r="U227" s="5"/>
    </row>
    <row r="228" ht="12.75" customHeight="1">
      <c r="T228" s="5"/>
      <c r="U228" s="5"/>
    </row>
    <row r="229" ht="12.75" customHeight="1">
      <c r="T229" s="1"/>
      <c r="U229" s="1"/>
    </row>
    <row r="230" ht="12.75" customHeight="1">
      <c r="T230" s="50"/>
      <c r="U230" s="50"/>
    </row>
    <row r="231" ht="12.75" customHeight="1">
      <c r="T231" s="5"/>
      <c r="U231" s="5"/>
    </row>
    <row r="232" ht="12.75" customHeight="1">
      <c r="T232" s="5"/>
      <c r="U232" s="5"/>
    </row>
    <row r="233" ht="12.75" customHeight="1">
      <c r="T233" s="5"/>
      <c r="U233" s="5"/>
    </row>
    <row r="234" ht="12.75" customHeight="1">
      <c r="T234" s="5"/>
      <c r="U234" s="5"/>
    </row>
    <row r="235" ht="12.75" customHeight="1">
      <c r="T235" s="5"/>
      <c r="U235" s="5"/>
    </row>
    <row r="236" ht="12.75" customHeight="1">
      <c r="T236" s="5"/>
      <c r="U236" s="5"/>
    </row>
    <row r="237" ht="12.75" customHeight="1">
      <c r="T237" s="5"/>
      <c r="U237" s="5"/>
    </row>
    <row r="238" ht="12.75" customHeight="1">
      <c r="T238" s="5"/>
      <c r="U238" s="5"/>
    </row>
    <row r="239" ht="12.75" customHeight="1">
      <c r="T239" s="5"/>
      <c r="U239" s="5"/>
    </row>
    <row r="240" ht="12.75" customHeight="1">
      <c r="T240" s="1"/>
      <c r="U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45:R57">
    <cfRule type="containsBlanks" dxfId="1" priority="10">
      <formula>LEN(TRIM(E45))=0</formula>
    </cfRule>
  </conditionalFormatting>
  <conditionalFormatting sqref="E60:R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0" width="8.71"/>
    <col customWidth="1" min="11" max="11" width="13.29"/>
    <col customWidth="1" min="1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36"/>
    </row>
    <row r="14" ht="12.75" customHeight="1">
      <c r="A14" s="18"/>
      <c r="B14" s="22" t="s">
        <v>11</v>
      </c>
      <c r="C14" s="23"/>
      <c r="D14" s="19" t="s">
        <v>12</v>
      </c>
      <c r="E14" s="19">
        <v>110.0</v>
      </c>
      <c r="F14" s="19">
        <v>94.0</v>
      </c>
      <c r="G14" s="19">
        <v>129.0</v>
      </c>
      <c r="H14" s="19">
        <v>104.0</v>
      </c>
      <c r="I14" s="19">
        <v>134.0</v>
      </c>
      <c r="J14" s="19">
        <v>128.0</v>
      </c>
      <c r="K14" s="13">
        <f t="shared" ref="K14:K16" si="1">SUM(E14:J14)</f>
        <v>699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105.0</v>
      </c>
      <c r="G15" s="19">
        <v>131.0</v>
      </c>
      <c r="H15" s="19">
        <v>105.0</v>
      </c>
      <c r="I15" s="19">
        <v>133.0</v>
      </c>
      <c r="J15" s="19">
        <v>139.0</v>
      </c>
      <c r="K15" s="13">
        <f t="shared" si="1"/>
        <v>727</v>
      </c>
    </row>
    <row r="16" ht="12.75" customHeight="1">
      <c r="A16" s="25"/>
      <c r="B16" s="21"/>
      <c r="C16" s="28"/>
      <c r="D16" s="13" t="s">
        <v>14</v>
      </c>
      <c r="E16" s="13">
        <f t="shared" ref="E16:J16" si="2">SUM(E14:E15)</f>
        <v>224</v>
      </c>
      <c r="F16" s="13">
        <f t="shared" si="2"/>
        <v>199</v>
      </c>
      <c r="G16" s="13">
        <f t="shared" si="2"/>
        <v>260</v>
      </c>
      <c r="H16" s="13">
        <f t="shared" si="2"/>
        <v>209</v>
      </c>
      <c r="I16" s="13">
        <f t="shared" si="2"/>
        <v>267</v>
      </c>
      <c r="J16" s="13">
        <f t="shared" si="2"/>
        <v>267</v>
      </c>
      <c r="K16" s="13">
        <f t="shared" si="1"/>
        <v>1426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84.0</v>
      </c>
      <c r="G19" s="19">
        <v>107.0</v>
      </c>
      <c r="H19" s="19">
        <v>90.0</v>
      </c>
      <c r="I19" s="19">
        <v>115.0</v>
      </c>
      <c r="J19" s="19">
        <v>107.0</v>
      </c>
      <c r="K19" s="13">
        <f t="shared" ref="K19:K30" si="3">SUM(E19:J19)</f>
        <v>603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95.0</v>
      </c>
      <c r="G20" s="19">
        <v>120.0</v>
      </c>
      <c r="H20" s="19">
        <v>95.0</v>
      </c>
      <c r="I20" s="19">
        <v>114.0</v>
      </c>
      <c r="J20" s="19">
        <v>112.0</v>
      </c>
      <c r="K20" s="13">
        <f t="shared" si="3"/>
        <v>646</v>
      </c>
    </row>
    <row r="21" ht="12.75" customHeight="1">
      <c r="A21" s="35"/>
      <c r="B21" s="28"/>
      <c r="C21" s="36"/>
      <c r="D21" s="13" t="s">
        <v>14</v>
      </c>
      <c r="E21" s="13">
        <f t="shared" ref="E21:J21" si="4">SUM(E19:E20)</f>
        <v>210</v>
      </c>
      <c r="F21" s="13">
        <f t="shared" si="4"/>
        <v>179</v>
      </c>
      <c r="G21" s="13">
        <f t="shared" si="4"/>
        <v>227</v>
      </c>
      <c r="H21" s="13">
        <f t="shared" si="4"/>
        <v>185</v>
      </c>
      <c r="I21" s="13">
        <f t="shared" si="4"/>
        <v>229</v>
      </c>
      <c r="J21" s="13">
        <f t="shared" si="4"/>
        <v>219</v>
      </c>
      <c r="K21" s="13">
        <f t="shared" si="3"/>
        <v>1249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1.0</v>
      </c>
      <c r="J23" s="19">
        <v>1.0</v>
      </c>
      <c r="K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J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J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J28" si="7">SUM(E19,E22,E25)</f>
        <v>100</v>
      </c>
      <c r="F28" s="13">
        <f t="shared" si="7"/>
        <v>84</v>
      </c>
      <c r="G28" s="13">
        <f t="shared" si="7"/>
        <v>107</v>
      </c>
      <c r="H28" s="13">
        <f t="shared" si="7"/>
        <v>91</v>
      </c>
      <c r="I28" s="13">
        <f t="shared" si="7"/>
        <v>115</v>
      </c>
      <c r="J28" s="13">
        <f t="shared" si="7"/>
        <v>107</v>
      </c>
      <c r="K28" s="13">
        <f t="shared" si="3"/>
        <v>604</v>
      </c>
    </row>
    <row r="29" ht="12.75" customHeight="1">
      <c r="A29" s="35"/>
      <c r="B29" s="27"/>
      <c r="C29" s="34"/>
      <c r="D29" s="13" t="s">
        <v>13</v>
      </c>
      <c r="E29" s="13">
        <f t="shared" ref="E29:J29" si="8">SUM(E20,E23,E26)</f>
        <v>110</v>
      </c>
      <c r="F29" s="13">
        <f t="shared" si="8"/>
        <v>95</v>
      </c>
      <c r="G29" s="13">
        <f t="shared" si="8"/>
        <v>120</v>
      </c>
      <c r="H29" s="13">
        <f t="shared" si="8"/>
        <v>96</v>
      </c>
      <c r="I29" s="13">
        <f t="shared" si="8"/>
        <v>115</v>
      </c>
      <c r="J29" s="13">
        <f t="shared" si="8"/>
        <v>113</v>
      </c>
      <c r="K29" s="13">
        <f t="shared" si="3"/>
        <v>649</v>
      </c>
    </row>
    <row r="30" ht="12.75" customHeight="1">
      <c r="A30" s="35"/>
      <c r="B30" s="28"/>
      <c r="C30" s="36"/>
      <c r="D30" s="13" t="s">
        <v>14</v>
      </c>
      <c r="E30" s="13">
        <f t="shared" ref="E30:J30" si="9">SUM(E28:E29)</f>
        <v>210</v>
      </c>
      <c r="F30" s="13">
        <f t="shared" si="9"/>
        <v>179</v>
      </c>
      <c r="G30" s="13">
        <f t="shared" si="9"/>
        <v>227</v>
      </c>
      <c r="H30" s="13">
        <f t="shared" si="9"/>
        <v>187</v>
      </c>
      <c r="I30" s="13">
        <f t="shared" si="9"/>
        <v>230</v>
      </c>
      <c r="J30" s="13">
        <f t="shared" si="9"/>
        <v>220</v>
      </c>
      <c r="K30" s="13">
        <f t="shared" si="3"/>
        <v>1253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59"/>
    </row>
    <row r="33" ht="12.75" customHeight="1">
      <c r="A33" s="19">
        <v>1.0</v>
      </c>
      <c r="B33" s="20" t="s">
        <v>27</v>
      </c>
      <c r="C33" s="15"/>
      <c r="D33" s="16"/>
      <c r="E33" s="19">
        <v>239.0</v>
      </c>
      <c r="F33" s="19">
        <v>203.0</v>
      </c>
      <c r="G33" s="19">
        <v>265.0</v>
      </c>
      <c r="H33" s="19">
        <v>213.0</v>
      </c>
      <c r="I33" s="19">
        <v>272.0</v>
      </c>
      <c r="J33" s="19">
        <v>273.0</v>
      </c>
      <c r="K33" s="13">
        <f t="shared" ref="K33:K36" si="10">SUM(E33:J33)</f>
        <v>1465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179.0</v>
      </c>
      <c r="G34" s="13">
        <v>227.0</v>
      </c>
      <c r="H34" s="13">
        <v>187.0</v>
      </c>
      <c r="I34" s="13">
        <v>230.0</v>
      </c>
      <c r="J34" s="13">
        <v>220.0</v>
      </c>
      <c r="K34" s="13">
        <f t="shared" si="10"/>
        <v>1253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J36" si="11">E33-(E34+E35)</f>
        <v>29</v>
      </c>
      <c r="F36" s="13">
        <f t="shared" si="11"/>
        <v>24</v>
      </c>
      <c r="G36" s="13">
        <f t="shared" si="11"/>
        <v>38</v>
      </c>
      <c r="H36" s="13">
        <f t="shared" si="11"/>
        <v>26</v>
      </c>
      <c r="I36" s="13">
        <f t="shared" si="11"/>
        <v>42</v>
      </c>
      <c r="J36" s="13">
        <f t="shared" si="11"/>
        <v>53</v>
      </c>
      <c r="K36" s="13">
        <f t="shared" si="10"/>
        <v>212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>
        <v>4.0</v>
      </c>
      <c r="H39" s="19"/>
      <c r="I39" s="19"/>
      <c r="J39" s="19"/>
      <c r="K39" s="13">
        <f t="shared" ref="K39:K41" si="12">SUM(E39:J39)</f>
        <v>5</v>
      </c>
    </row>
    <row r="40" ht="12.75" customHeight="1">
      <c r="A40" s="33"/>
      <c r="C40" s="27"/>
      <c r="D40" s="19" t="s">
        <v>13</v>
      </c>
      <c r="E40" s="19"/>
      <c r="F40" s="19">
        <v>4.0</v>
      </c>
      <c r="G40" s="19"/>
      <c r="H40" s="19"/>
      <c r="I40" s="19"/>
      <c r="J40" s="19"/>
      <c r="K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J41" si="13">SUM(E39:E40)</f>
        <v>0</v>
      </c>
      <c r="F41" s="13">
        <f t="shared" si="13"/>
        <v>5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</row>
    <row r="44" ht="12.75" customHeight="1">
      <c r="A44" s="43" t="s">
        <v>36</v>
      </c>
      <c r="B44" s="46"/>
      <c r="C44" s="46"/>
      <c r="D44" s="23"/>
      <c r="E44" s="24"/>
      <c r="F44" s="24"/>
      <c r="G44" s="24"/>
      <c r="H44" s="24"/>
      <c r="I44" s="24"/>
      <c r="J44" s="24"/>
      <c r="K44" s="13"/>
    </row>
    <row r="45" ht="12.75" customHeight="1">
      <c r="A45" s="30"/>
      <c r="B45" s="47" t="s">
        <v>17</v>
      </c>
      <c r="C45" s="61" t="s">
        <v>38</v>
      </c>
      <c r="D45" s="16"/>
      <c r="E45" s="19">
        <v>19.0</v>
      </c>
      <c r="F45" s="19">
        <v>10.0</v>
      </c>
      <c r="G45" s="19">
        <v>16.0</v>
      </c>
      <c r="H45" s="19">
        <v>11.0</v>
      </c>
      <c r="I45" s="19">
        <v>20.0</v>
      </c>
      <c r="J45" s="19">
        <v>9.0</v>
      </c>
      <c r="K45" s="13">
        <f t="shared" ref="K45:K57" si="14">SUM(E45:J45)</f>
        <v>85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32.0</v>
      </c>
      <c r="F46" s="19">
        <v>30.0</v>
      </c>
      <c r="G46" s="19">
        <v>45.0</v>
      </c>
      <c r="H46" s="19">
        <v>29.0</v>
      </c>
      <c r="I46" s="19">
        <v>37.0</v>
      </c>
      <c r="J46" s="19">
        <v>34.0</v>
      </c>
      <c r="K46" s="13">
        <f t="shared" si="14"/>
        <v>207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8.0</v>
      </c>
      <c r="F47" s="19">
        <v>10.0</v>
      </c>
      <c r="G47" s="19">
        <v>17.0</v>
      </c>
      <c r="H47" s="19">
        <v>9.0</v>
      </c>
      <c r="I47" s="19">
        <v>11.0</v>
      </c>
      <c r="J47" s="19">
        <v>11.0</v>
      </c>
      <c r="K47" s="13">
        <f t="shared" si="14"/>
        <v>66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14.0</v>
      </c>
      <c r="F48" s="19">
        <v>14.0</v>
      </c>
      <c r="G48" s="19">
        <v>20.0</v>
      </c>
      <c r="H48" s="19">
        <v>15.0</v>
      </c>
      <c r="I48" s="19">
        <v>21.0</v>
      </c>
      <c r="J48" s="19">
        <v>25.0</v>
      </c>
      <c r="K48" s="13">
        <f t="shared" si="14"/>
        <v>109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11.0</v>
      </c>
      <c r="F49" s="19">
        <v>13.0</v>
      </c>
      <c r="G49" s="19">
        <v>24.0</v>
      </c>
      <c r="H49" s="19">
        <v>15.0</v>
      </c>
      <c r="I49" s="19">
        <v>14.0</v>
      </c>
      <c r="J49" s="19">
        <v>15.0</v>
      </c>
      <c r="K49" s="13">
        <f t="shared" si="14"/>
        <v>92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9.0</v>
      </c>
      <c r="F50" s="19">
        <v>9.0</v>
      </c>
      <c r="G50" s="19">
        <v>13.0</v>
      </c>
      <c r="H50" s="19">
        <v>10.0</v>
      </c>
      <c r="I50" s="19">
        <v>17.0</v>
      </c>
      <c r="J50" s="19">
        <v>13.0</v>
      </c>
      <c r="K50" s="13">
        <f t="shared" si="14"/>
        <v>71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0.0</v>
      </c>
      <c r="F51" s="19">
        <v>2.0</v>
      </c>
      <c r="G51" s="19">
        <v>4.0</v>
      </c>
      <c r="H51" s="19">
        <v>0.0</v>
      </c>
      <c r="I51" s="19">
        <v>4.0</v>
      </c>
      <c r="J51" s="19">
        <v>4.0</v>
      </c>
      <c r="K51" s="13">
        <f t="shared" si="14"/>
        <v>14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5.0</v>
      </c>
      <c r="F52" s="19">
        <v>3.0</v>
      </c>
      <c r="G52" s="19">
        <v>3.0</v>
      </c>
      <c r="H52" s="19">
        <v>4.0</v>
      </c>
      <c r="I52" s="19">
        <v>4.0</v>
      </c>
      <c r="J52" s="19">
        <v>4.0</v>
      </c>
      <c r="K52" s="13">
        <f t="shared" si="14"/>
        <v>23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1.0</v>
      </c>
      <c r="F53" s="19">
        <v>0.0</v>
      </c>
      <c r="G53" s="19">
        <v>1.0</v>
      </c>
      <c r="H53" s="19">
        <v>1.0</v>
      </c>
      <c r="I53" s="19">
        <v>4.0</v>
      </c>
      <c r="J53" s="19">
        <v>0.0</v>
      </c>
      <c r="K53" s="13">
        <f t="shared" si="14"/>
        <v>7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20.0</v>
      </c>
      <c r="F54" s="19">
        <v>9.0</v>
      </c>
      <c r="G54" s="19">
        <v>11.0</v>
      </c>
      <c r="H54" s="19">
        <v>11.0</v>
      </c>
      <c r="I54" s="19">
        <v>22.0</v>
      </c>
      <c r="J54" s="19">
        <v>25.0</v>
      </c>
      <c r="K54" s="13">
        <f t="shared" si="14"/>
        <v>98</v>
      </c>
    </row>
    <row r="55" ht="15.0" customHeight="1">
      <c r="A55" s="18"/>
      <c r="B55" s="47" t="s">
        <v>54</v>
      </c>
      <c r="C55" s="61" t="s">
        <v>55</v>
      </c>
      <c r="D55" s="16"/>
      <c r="E55" s="19">
        <v>1.0</v>
      </c>
      <c r="F55" s="19">
        <v>2.0</v>
      </c>
      <c r="G55" s="19">
        <v>2.0</v>
      </c>
      <c r="H55" s="19">
        <v>1.0</v>
      </c>
      <c r="I55" s="19">
        <v>4.0</v>
      </c>
      <c r="J55" s="19">
        <v>2.0</v>
      </c>
      <c r="K55" s="13">
        <f t="shared" si="14"/>
        <v>12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27.0</v>
      </c>
      <c r="F56" s="19">
        <v>9.0</v>
      </c>
      <c r="G56" s="19">
        <v>8.0</v>
      </c>
      <c r="H56" s="19">
        <v>19.0</v>
      </c>
      <c r="I56" s="19">
        <v>12.0</v>
      </c>
      <c r="J56" s="19">
        <v>26.0</v>
      </c>
      <c r="K56" s="13">
        <f t="shared" si="14"/>
        <v>101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2.0</v>
      </c>
      <c r="F57" s="19">
        <v>3.0</v>
      </c>
      <c r="G57" s="19">
        <v>0.0</v>
      </c>
      <c r="H57" s="19">
        <v>2.0</v>
      </c>
      <c r="I57" s="19">
        <v>2.0</v>
      </c>
      <c r="J57" s="19">
        <v>1.0</v>
      </c>
      <c r="K57" s="13">
        <f t="shared" si="14"/>
        <v>10</v>
      </c>
    </row>
    <row r="58" ht="12.75" customHeight="1">
      <c r="K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J60" si="15">SUM(E45:E57)</f>
        <v>149</v>
      </c>
      <c r="F60" s="19">
        <f t="shared" si="15"/>
        <v>114</v>
      </c>
      <c r="G60" s="19">
        <f t="shared" si="15"/>
        <v>164</v>
      </c>
      <c r="H60" s="19">
        <f t="shared" si="15"/>
        <v>127</v>
      </c>
      <c r="I60" s="19">
        <f t="shared" si="15"/>
        <v>172</v>
      </c>
      <c r="J60" s="19">
        <f t="shared" si="15"/>
        <v>169</v>
      </c>
      <c r="K60" s="13">
        <f t="shared" ref="K60:K62" si="16">SUM(E60:J60)</f>
        <v>895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61.0</v>
      </c>
      <c r="F61" s="19">
        <v>65.0</v>
      </c>
      <c r="G61" s="19">
        <v>63.0</v>
      </c>
      <c r="H61" s="19">
        <v>60.0</v>
      </c>
      <c r="I61" s="19">
        <v>58.0</v>
      </c>
      <c r="J61" s="19">
        <v>51.0</v>
      </c>
      <c r="K61" s="13">
        <f t="shared" si="16"/>
        <v>358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J62" si="17">SUM(E60:E61)</f>
        <v>210</v>
      </c>
      <c r="F62" s="13">
        <f t="shared" si="17"/>
        <v>179</v>
      </c>
      <c r="G62" s="13">
        <f t="shared" si="17"/>
        <v>227</v>
      </c>
      <c r="H62" s="13">
        <f t="shared" si="17"/>
        <v>187</v>
      </c>
      <c r="I62" s="13">
        <f t="shared" si="17"/>
        <v>230</v>
      </c>
      <c r="J62" s="13">
        <f t="shared" si="17"/>
        <v>220</v>
      </c>
      <c r="K62" s="13">
        <f t="shared" si="16"/>
        <v>1253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L117" s="5"/>
      <c r="M117" s="5"/>
    </row>
    <row r="118" ht="12.75" customHeight="1">
      <c r="L118" s="5"/>
      <c r="M118" s="5"/>
    </row>
    <row r="119" ht="12.75" customHeight="1">
      <c r="L119" s="5"/>
      <c r="M119" s="5"/>
    </row>
    <row r="120" ht="12.75" customHeight="1">
      <c r="L120" s="5"/>
      <c r="M120" s="5"/>
    </row>
    <row r="121" ht="12.75" customHeight="1">
      <c r="L121" s="5"/>
      <c r="M121" s="5"/>
    </row>
    <row r="122" ht="12.75" customHeight="1">
      <c r="L122" s="5"/>
      <c r="M122" s="5"/>
    </row>
    <row r="123" ht="12.75" customHeight="1">
      <c r="L123" s="5"/>
      <c r="M123" s="5"/>
    </row>
    <row r="124" ht="12.75" customHeight="1">
      <c r="L124" s="5"/>
      <c r="M124" s="5"/>
    </row>
    <row r="125" ht="12.75" customHeight="1">
      <c r="L125" s="5"/>
      <c r="M125" s="5"/>
    </row>
    <row r="126" ht="12.75" customHeight="1">
      <c r="L126" s="5"/>
      <c r="M126" s="5"/>
    </row>
    <row r="127" ht="12.75" customHeight="1">
      <c r="L127" s="5"/>
      <c r="M127" s="5"/>
    </row>
    <row r="128" ht="12.75" customHeight="1">
      <c r="L128" s="5"/>
      <c r="M128" s="5"/>
    </row>
    <row r="129" ht="12.75" customHeight="1">
      <c r="L129" s="5"/>
      <c r="M129" s="5"/>
    </row>
    <row r="130" ht="12.75" customHeight="1">
      <c r="L130" s="1"/>
      <c r="M130" s="1"/>
    </row>
    <row r="131" ht="12.75" customHeight="1">
      <c r="L131" s="50"/>
      <c r="M131" s="50"/>
    </row>
    <row r="132" ht="12.75" customHeight="1">
      <c r="L132" s="5"/>
      <c r="M132" s="5"/>
    </row>
    <row r="133" ht="12.75" customHeight="1">
      <c r="L133" s="5"/>
      <c r="M133" s="5"/>
    </row>
    <row r="134" ht="12.75" customHeight="1">
      <c r="L134" s="5"/>
      <c r="M134" s="5"/>
    </row>
    <row r="135" ht="12.75" customHeight="1">
      <c r="L135" s="5"/>
      <c r="M135" s="5"/>
    </row>
    <row r="136" ht="12.75" customHeight="1">
      <c r="L136" s="5"/>
      <c r="M136" s="5"/>
    </row>
    <row r="137" ht="12.75" customHeight="1">
      <c r="L137" s="5"/>
      <c r="M137" s="5"/>
    </row>
    <row r="138" ht="12.75" customHeight="1">
      <c r="L138" s="5"/>
      <c r="M138" s="5"/>
    </row>
    <row r="139" ht="12.75" customHeight="1">
      <c r="L139" s="5"/>
      <c r="M139" s="5"/>
    </row>
    <row r="140" ht="12.75" customHeight="1">
      <c r="L140" s="5"/>
      <c r="M140" s="5"/>
    </row>
    <row r="141" ht="12.75" customHeight="1">
      <c r="L141" s="1"/>
      <c r="M141" s="1"/>
    </row>
    <row r="142" ht="12.75" customHeight="1">
      <c r="L142" s="50"/>
      <c r="M142" s="50"/>
    </row>
    <row r="143" ht="12.75" customHeight="1">
      <c r="L143" s="5"/>
      <c r="M143" s="5"/>
    </row>
    <row r="144" ht="12.75" customHeight="1">
      <c r="L144" s="5"/>
      <c r="M144" s="5"/>
    </row>
    <row r="145" ht="12.75" customHeight="1">
      <c r="L145" s="5"/>
      <c r="M145" s="5"/>
    </row>
    <row r="146" ht="12.75" customHeight="1">
      <c r="L146" s="5"/>
      <c r="M146" s="5"/>
    </row>
    <row r="147" ht="12.75" customHeight="1">
      <c r="L147" s="5"/>
      <c r="M147" s="5"/>
    </row>
    <row r="148" ht="12.75" customHeight="1">
      <c r="L148" s="5"/>
      <c r="M148" s="5"/>
    </row>
    <row r="149" ht="12.75" customHeight="1">
      <c r="L149" s="5"/>
      <c r="M149" s="5"/>
    </row>
    <row r="150" ht="12.75" customHeight="1">
      <c r="L150" s="5"/>
      <c r="M150" s="5"/>
    </row>
    <row r="151" ht="12.75" customHeight="1">
      <c r="L151" s="1"/>
      <c r="M151" s="1"/>
    </row>
    <row r="152" ht="12.75" customHeight="1">
      <c r="L152" s="50"/>
      <c r="M152" s="50"/>
    </row>
    <row r="153" ht="12.75" customHeight="1">
      <c r="L153" s="5"/>
      <c r="M153" s="5"/>
    </row>
    <row r="154" ht="12.75" customHeight="1">
      <c r="L154" s="5"/>
      <c r="M154" s="5"/>
    </row>
    <row r="155" ht="12.75" customHeight="1">
      <c r="L155" s="5"/>
      <c r="M155" s="5"/>
    </row>
    <row r="156" ht="12.75" customHeight="1">
      <c r="L156" s="5"/>
      <c r="M156" s="5"/>
    </row>
    <row r="157" ht="12.75" customHeight="1">
      <c r="L157" s="5"/>
      <c r="M157" s="5"/>
    </row>
    <row r="158" ht="12.75" customHeight="1">
      <c r="L158" s="5"/>
      <c r="M158" s="5"/>
    </row>
    <row r="159" ht="12.75" customHeight="1">
      <c r="L159" s="5"/>
      <c r="M159" s="5"/>
    </row>
    <row r="160" ht="12.75" customHeight="1">
      <c r="L160" s="5"/>
      <c r="M160" s="5"/>
    </row>
    <row r="161" ht="12.75" customHeight="1">
      <c r="L161" s="5"/>
      <c r="M161" s="5"/>
    </row>
    <row r="162" ht="12.75" customHeight="1">
      <c r="L162" s="5"/>
      <c r="M162" s="5"/>
    </row>
    <row r="163" ht="12.75" customHeight="1">
      <c r="L163" s="5"/>
      <c r="M163" s="5"/>
    </row>
    <row r="164" ht="12.75" customHeight="1">
      <c r="L164" s="5"/>
      <c r="M164" s="5"/>
    </row>
    <row r="165" ht="12.75" customHeight="1">
      <c r="L165" s="1"/>
      <c r="M165" s="1"/>
    </row>
    <row r="166" ht="12.75" customHeight="1">
      <c r="L166" s="50"/>
      <c r="M166" s="50"/>
    </row>
    <row r="167" ht="12.75" customHeight="1">
      <c r="L167" s="5"/>
      <c r="M167" s="5"/>
    </row>
    <row r="168" ht="12.75" customHeight="1">
      <c r="L168" s="5"/>
      <c r="M168" s="5"/>
    </row>
    <row r="169" ht="12.75" customHeight="1">
      <c r="L169" s="5"/>
      <c r="M169" s="5"/>
    </row>
    <row r="170" ht="12.75" customHeight="1">
      <c r="L170" s="5"/>
      <c r="M170" s="5"/>
    </row>
    <row r="171" ht="12.75" customHeight="1">
      <c r="L171" s="5"/>
      <c r="M171" s="5"/>
    </row>
    <row r="172" ht="12.75" customHeight="1">
      <c r="L172" s="5"/>
      <c r="M172" s="5"/>
    </row>
    <row r="173" ht="12.75" customHeight="1">
      <c r="L173" s="5"/>
      <c r="M173" s="5"/>
    </row>
    <row r="174" ht="12.75" customHeight="1">
      <c r="L174" s="5"/>
      <c r="M174" s="5"/>
    </row>
    <row r="175" ht="12.75" customHeight="1">
      <c r="L175" s="5"/>
      <c r="M175" s="5"/>
    </row>
    <row r="176" ht="12.75" customHeight="1">
      <c r="L176" s="1"/>
      <c r="M176" s="1"/>
    </row>
    <row r="177" ht="12.75" customHeight="1"/>
    <row r="178" ht="12.75" customHeight="1">
      <c r="L178" s="5"/>
      <c r="M178" s="5"/>
    </row>
    <row r="179" ht="12.75" customHeight="1">
      <c r="L179" s="5"/>
      <c r="M179" s="5"/>
    </row>
    <row r="180" ht="12.75" customHeight="1">
      <c r="L180" s="5"/>
      <c r="M180" s="5"/>
    </row>
    <row r="181" ht="12.75" customHeight="1">
      <c r="L181" s="5"/>
      <c r="M181" s="5"/>
    </row>
    <row r="182" ht="12.75" customHeight="1">
      <c r="L182" s="5"/>
      <c r="M182" s="5"/>
    </row>
    <row r="183" ht="12.75" customHeight="1">
      <c r="L183" s="5"/>
      <c r="M183" s="5"/>
    </row>
    <row r="184" ht="12.75" customHeight="1">
      <c r="L184" s="5"/>
      <c r="M184" s="5"/>
    </row>
    <row r="185" ht="12.75" customHeight="1">
      <c r="L185" s="5"/>
      <c r="M185" s="5"/>
    </row>
    <row r="186" ht="12.75" customHeight="1">
      <c r="L186" s="5"/>
      <c r="M186" s="5"/>
    </row>
    <row r="187" ht="12.75" customHeight="1">
      <c r="L187" s="1"/>
      <c r="M187" s="1"/>
    </row>
    <row r="188" ht="12.75" customHeight="1"/>
    <row r="189" ht="12.75" customHeight="1">
      <c r="L189" s="5"/>
      <c r="M189" s="5"/>
    </row>
    <row r="190" ht="12.75" customHeight="1">
      <c r="L190" s="5"/>
      <c r="M190" s="5"/>
    </row>
    <row r="191" ht="12.75" customHeight="1">
      <c r="L191" s="5"/>
      <c r="M191" s="5"/>
    </row>
    <row r="192" ht="12.75" customHeight="1">
      <c r="L192" s="5"/>
      <c r="M192" s="5"/>
    </row>
    <row r="193" ht="12.75" customHeight="1">
      <c r="L193" s="5"/>
      <c r="M193" s="5"/>
    </row>
    <row r="194" ht="12.75" customHeight="1">
      <c r="L194" s="5"/>
      <c r="M194" s="5"/>
    </row>
    <row r="195" ht="12.75" customHeight="1">
      <c r="L195" s="5"/>
      <c r="M195" s="5"/>
    </row>
    <row r="196" ht="12.75" customHeight="1">
      <c r="L196" s="1"/>
      <c r="M196" s="1"/>
    </row>
    <row r="197" ht="12.75" customHeight="1">
      <c r="L197" s="1"/>
      <c r="M197" s="1"/>
    </row>
    <row r="198" ht="12.75" customHeight="1">
      <c r="L198" s="1"/>
      <c r="M198" s="1"/>
    </row>
    <row r="199" ht="12.75" customHeight="1">
      <c r="L199" s="50"/>
      <c r="M199" s="50"/>
    </row>
    <row r="200" ht="12.75" customHeight="1">
      <c r="L200" s="5"/>
      <c r="M200" s="5"/>
    </row>
    <row r="201" ht="12.75" customHeight="1">
      <c r="L201" s="5"/>
      <c r="M201" s="5"/>
    </row>
    <row r="202" ht="12.75" customHeight="1">
      <c r="L202" s="5"/>
      <c r="M202" s="5"/>
    </row>
    <row r="203" ht="12.75" customHeight="1">
      <c r="L203" s="5"/>
      <c r="M203" s="5"/>
    </row>
    <row r="204" ht="12.75" customHeight="1">
      <c r="L204" s="5"/>
      <c r="M204" s="5"/>
    </row>
    <row r="205" ht="12.75" customHeight="1">
      <c r="L205" s="5"/>
      <c r="M205" s="5"/>
    </row>
    <row r="206" ht="12.75" customHeight="1">
      <c r="L206" s="5"/>
      <c r="M206" s="5"/>
    </row>
    <row r="207" ht="12.75" customHeight="1">
      <c r="L207" s="1"/>
      <c r="M207" s="1"/>
    </row>
    <row r="208" ht="12.75" customHeight="1">
      <c r="L208" s="50"/>
      <c r="M208" s="50"/>
    </row>
    <row r="209" ht="12.75" customHeight="1">
      <c r="L209" s="50"/>
      <c r="M209" s="50"/>
    </row>
    <row r="210" ht="12.75" customHeight="1">
      <c r="L210" s="50"/>
      <c r="M210" s="50"/>
    </row>
    <row r="211" ht="12.75" customHeight="1">
      <c r="L211" s="5"/>
      <c r="M211" s="5"/>
    </row>
    <row r="212" ht="12.75" customHeight="1">
      <c r="L212" s="5"/>
      <c r="M212" s="5"/>
    </row>
    <row r="213" ht="12.75" customHeight="1">
      <c r="L213" s="5"/>
      <c r="M213" s="5"/>
    </row>
    <row r="214" ht="12.75" customHeight="1">
      <c r="L214" s="5"/>
      <c r="M214" s="5"/>
    </row>
    <row r="215" ht="12.75" customHeight="1">
      <c r="L215" s="5"/>
      <c r="M215" s="5"/>
    </row>
    <row r="216" ht="12.75" customHeight="1">
      <c r="L216" s="5"/>
      <c r="M216" s="5"/>
    </row>
    <row r="217" ht="12.75" customHeight="1">
      <c r="L217" s="5"/>
      <c r="M217" s="5"/>
    </row>
    <row r="218" ht="12.75" customHeight="1">
      <c r="L218" s="1"/>
      <c r="M218" s="1"/>
    </row>
    <row r="219" ht="12.75" customHeight="1">
      <c r="L219" s="50"/>
      <c r="M219" s="50"/>
    </row>
    <row r="220" ht="12.75" customHeight="1">
      <c r="L220" s="5"/>
      <c r="M220" s="5"/>
    </row>
    <row r="221" ht="12.75" customHeight="1">
      <c r="L221" s="5"/>
      <c r="M221" s="5"/>
    </row>
    <row r="222" ht="12.75" customHeight="1">
      <c r="L222" s="5"/>
      <c r="M222" s="5"/>
    </row>
    <row r="223" ht="12.75" customHeight="1">
      <c r="L223" s="5"/>
      <c r="M223" s="5"/>
    </row>
    <row r="224" ht="12.75" customHeight="1">
      <c r="L224" s="5"/>
      <c r="M224" s="5"/>
    </row>
    <row r="225" ht="12.75" customHeight="1">
      <c r="L225" s="5"/>
      <c r="M225" s="5"/>
    </row>
    <row r="226" ht="12.75" customHeight="1">
      <c r="L226" s="5"/>
      <c r="M226" s="5"/>
    </row>
    <row r="227" ht="12.75" customHeight="1">
      <c r="L227" s="5"/>
      <c r="M227" s="5"/>
    </row>
    <row r="228" ht="12.75" customHeight="1">
      <c r="L228" s="5"/>
      <c r="M228" s="5"/>
    </row>
    <row r="229" ht="12.75" customHeight="1">
      <c r="L229" s="1"/>
      <c r="M229" s="1"/>
    </row>
    <row r="230" ht="12.75" customHeight="1">
      <c r="L230" s="50"/>
      <c r="M230" s="50"/>
    </row>
    <row r="231" ht="12.75" customHeight="1">
      <c r="L231" s="5"/>
      <c r="M231" s="5"/>
    </row>
    <row r="232" ht="12.75" customHeight="1">
      <c r="L232" s="5"/>
      <c r="M232" s="5"/>
    </row>
    <row r="233" ht="12.75" customHeight="1">
      <c r="L233" s="5"/>
      <c r="M233" s="5"/>
    </row>
    <row r="234" ht="12.75" customHeight="1">
      <c r="L234" s="5"/>
      <c r="M234" s="5"/>
    </row>
    <row r="235" ht="12.75" customHeight="1">
      <c r="L235" s="5"/>
      <c r="M235" s="5"/>
    </row>
    <row r="236" ht="12.75" customHeight="1">
      <c r="L236" s="5"/>
      <c r="M236" s="5"/>
    </row>
    <row r="237" ht="12.75" customHeight="1">
      <c r="L237" s="5"/>
      <c r="M237" s="5"/>
    </row>
    <row r="238" ht="12.75" customHeight="1">
      <c r="L238" s="5"/>
      <c r="M238" s="5"/>
    </row>
    <row r="239" ht="12.75" customHeight="1">
      <c r="L239" s="5"/>
      <c r="M239" s="5"/>
    </row>
    <row r="240" ht="12.75" customHeight="1">
      <c r="L240" s="1"/>
      <c r="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J15">
    <cfRule type="containsBlanks" dxfId="1" priority="1">
      <formula>LEN(TRIM(E14))=0</formula>
    </cfRule>
  </conditionalFormatting>
  <conditionalFormatting sqref="E19:J20">
    <cfRule type="containsBlanks" dxfId="1" priority="2">
      <formula>LEN(TRIM(E19))=0</formula>
    </cfRule>
  </conditionalFormatting>
  <conditionalFormatting sqref="E22:J23 E25:J26 E33:J33 E35:J35 E39:J40">
    <cfRule type="containsBlanks" dxfId="1" priority="3">
      <formula>LEN(TRIM(E22))=0</formula>
    </cfRule>
  </conditionalFormatting>
  <conditionalFormatting sqref="E30:J30">
    <cfRule type="expression" dxfId="0" priority="4">
      <formula>E30&lt;&gt;E47</formula>
    </cfRule>
  </conditionalFormatting>
  <conditionalFormatting sqref="E30:J30">
    <cfRule type="expression" dxfId="0" priority="5">
      <formula>E30&lt;&gt;E34</formula>
    </cfRule>
  </conditionalFormatting>
  <conditionalFormatting sqref="E34:J34">
    <cfRule type="expression" dxfId="2" priority="6">
      <formula>E30&lt;&gt;E34</formula>
    </cfRule>
  </conditionalFormatting>
  <conditionalFormatting sqref="E34:J34">
    <cfRule type="expression" dxfId="3" priority="7">
      <formula>E30=E34</formula>
    </cfRule>
  </conditionalFormatting>
  <conditionalFormatting sqref="E34:J34">
    <cfRule type="expression" dxfId="0" priority="8">
      <formula>E34&lt;&gt;E30</formula>
    </cfRule>
  </conditionalFormatting>
  <conditionalFormatting sqref="E34:J34">
    <cfRule type="expression" dxfId="0" priority="9">
      <formula>E34&lt;&gt;#REF!</formula>
    </cfRule>
  </conditionalFormatting>
  <conditionalFormatting sqref="E45:J57">
    <cfRule type="containsBlanks" dxfId="1" priority="10">
      <formula>LEN(TRIM(E45))=0</formula>
    </cfRule>
  </conditionalFormatting>
  <conditionalFormatting sqref="E60:J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96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115.0</v>
      </c>
      <c r="F14" s="19">
        <v>129.0</v>
      </c>
      <c r="G14" s="19">
        <v>141.0</v>
      </c>
      <c r="H14" s="19">
        <v>82.0</v>
      </c>
      <c r="I14" s="19">
        <v>105.0</v>
      </c>
      <c r="J14" s="19">
        <v>114.0</v>
      </c>
      <c r="K14" s="19">
        <v>103.0</v>
      </c>
      <c r="L14" s="19">
        <v>110.0</v>
      </c>
      <c r="M14" s="19">
        <v>109.0</v>
      </c>
      <c r="N14" s="19">
        <v>132.0</v>
      </c>
      <c r="O14" s="19">
        <v>132.0</v>
      </c>
      <c r="P14" s="19">
        <v>92.0</v>
      </c>
      <c r="Q14" s="19">
        <v>122.0</v>
      </c>
      <c r="R14" s="19">
        <v>100.0</v>
      </c>
      <c r="S14" s="19">
        <v>54.0</v>
      </c>
      <c r="T14" s="13">
        <f t="shared" ref="T14:T16" si="1">SUM(E14:S14)</f>
        <v>1640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148.0</v>
      </c>
      <c r="G15" s="19">
        <v>144.0</v>
      </c>
      <c r="H15" s="19">
        <v>91.0</v>
      </c>
      <c r="I15" s="19">
        <v>103.0</v>
      </c>
      <c r="J15" s="19">
        <v>135.0</v>
      </c>
      <c r="K15" s="19">
        <v>106.0</v>
      </c>
      <c r="L15" s="19">
        <v>119.0</v>
      </c>
      <c r="M15" s="19">
        <v>102.0</v>
      </c>
      <c r="N15" s="19">
        <v>139.0</v>
      </c>
      <c r="O15" s="19">
        <v>135.0</v>
      </c>
      <c r="P15" s="19">
        <v>102.0</v>
      </c>
      <c r="Q15" s="19">
        <v>142.0</v>
      </c>
      <c r="R15" s="19">
        <v>104.0</v>
      </c>
      <c r="S15" s="19">
        <v>65.0</v>
      </c>
      <c r="T15" s="13">
        <f t="shared" si="1"/>
        <v>1759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239</v>
      </c>
      <c r="F16" s="13">
        <f t="shared" si="2"/>
        <v>277</v>
      </c>
      <c r="G16" s="13">
        <f t="shared" si="2"/>
        <v>285</v>
      </c>
      <c r="H16" s="13">
        <f t="shared" si="2"/>
        <v>173</v>
      </c>
      <c r="I16" s="13">
        <f t="shared" si="2"/>
        <v>208</v>
      </c>
      <c r="J16" s="13">
        <f t="shared" si="2"/>
        <v>249</v>
      </c>
      <c r="K16" s="13">
        <f t="shared" si="2"/>
        <v>209</v>
      </c>
      <c r="L16" s="13">
        <f t="shared" si="2"/>
        <v>229</v>
      </c>
      <c r="M16" s="13">
        <f t="shared" si="2"/>
        <v>211</v>
      </c>
      <c r="N16" s="13">
        <f t="shared" si="2"/>
        <v>271</v>
      </c>
      <c r="O16" s="13">
        <f t="shared" si="2"/>
        <v>267</v>
      </c>
      <c r="P16" s="13">
        <f t="shared" si="2"/>
        <v>194</v>
      </c>
      <c r="Q16" s="13">
        <f t="shared" si="2"/>
        <v>264</v>
      </c>
      <c r="R16" s="13">
        <f t="shared" si="2"/>
        <v>204</v>
      </c>
      <c r="S16" s="13">
        <f t="shared" si="2"/>
        <v>119</v>
      </c>
      <c r="T16" s="13">
        <f t="shared" si="1"/>
        <v>3399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105.0</v>
      </c>
      <c r="G19" s="19">
        <v>110.0</v>
      </c>
      <c r="H19" s="19">
        <v>71.0</v>
      </c>
      <c r="I19" s="19">
        <v>85.0</v>
      </c>
      <c r="J19" s="19">
        <v>91.0</v>
      </c>
      <c r="K19" s="19">
        <v>90.0</v>
      </c>
      <c r="L19" s="19">
        <v>88.0</v>
      </c>
      <c r="M19" s="19">
        <v>87.0</v>
      </c>
      <c r="N19" s="19">
        <v>104.0</v>
      </c>
      <c r="O19" s="19">
        <v>105.0</v>
      </c>
      <c r="P19" s="19">
        <v>69.0</v>
      </c>
      <c r="Q19" s="19">
        <v>101.0</v>
      </c>
      <c r="R19" s="19">
        <v>77.0</v>
      </c>
      <c r="S19" s="19">
        <v>47.0</v>
      </c>
      <c r="T19" s="13">
        <f t="shared" ref="T19:T30" si="3">SUM(E19:S19)</f>
        <v>1331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125.0</v>
      </c>
      <c r="G20" s="19">
        <v>128.0</v>
      </c>
      <c r="H20" s="19">
        <v>77.0</v>
      </c>
      <c r="I20" s="19">
        <v>91.0</v>
      </c>
      <c r="J20" s="19">
        <v>108.0</v>
      </c>
      <c r="K20" s="19">
        <v>90.0</v>
      </c>
      <c r="L20" s="19">
        <v>98.0</v>
      </c>
      <c r="M20" s="19">
        <v>86.0</v>
      </c>
      <c r="N20" s="19">
        <v>117.0</v>
      </c>
      <c r="O20" s="19">
        <v>121.0</v>
      </c>
      <c r="P20" s="19">
        <v>86.0</v>
      </c>
      <c r="Q20" s="19">
        <v>119.0</v>
      </c>
      <c r="R20" s="19">
        <v>87.0</v>
      </c>
      <c r="S20" s="19">
        <v>59.0</v>
      </c>
      <c r="T20" s="13">
        <f t="shared" si="3"/>
        <v>1501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210</v>
      </c>
      <c r="F21" s="13">
        <f t="shared" si="4"/>
        <v>230</v>
      </c>
      <c r="G21" s="13">
        <f t="shared" si="4"/>
        <v>238</v>
      </c>
      <c r="H21" s="13">
        <f t="shared" si="4"/>
        <v>148</v>
      </c>
      <c r="I21" s="13">
        <f t="shared" si="4"/>
        <v>176</v>
      </c>
      <c r="J21" s="13">
        <f t="shared" si="4"/>
        <v>199</v>
      </c>
      <c r="K21" s="13">
        <f t="shared" si="4"/>
        <v>180</v>
      </c>
      <c r="L21" s="13">
        <f t="shared" si="4"/>
        <v>186</v>
      </c>
      <c r="M21" s="13">
        <f t="shared" si="4"/>
        <v>173</v>
      </c>
      <c r="N21" s="13">
        <f t="shared" si="4"/>
        <v>221</v>
      </c>
      <c r="O21" s="13">
        <f t="shared" si="4"/>
        <v>226</v>
      </c>
      <c r="P21" s="13">
        <f t="shared" si="4"/>
        <v>155</v>
      </c>
      <c r="Q21" s="13">
        <f t="shared" si="4"/>
        <v>220</v>
      </c>
      <c r="R21" s="13">
        <f t="shared" si="4"/>
        <v>164</v>
      </c>
      <c r="S21" s="13">
        <f t="shared" si="4"/>
        <v>106</v>
      </c>
      <c r="T21" s="13">
        <f t="shared" si="3"/>
        <v>2832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4.0</v>
      </c>
      <c r="G25" s="19">
        <v>4.0</v>
      </c>
      <c r="H25" s="19">
        <v>2.0</v>
      </c>
      <c r="I25" s="19">
        <v>0.0</v>
      </c>
      <c r="J25" s="19">
        <v>7.0</v>
      </c>
      <c r="K25" s="19">
        <v>0.0</v>
      </c>
      <c r="L25" s="19">
        <v>0.0</v>
      </c>
      <c r="M25" s="19">
        <v>1.0</v>
      </c>
      <c r="N25" s="19">
        <v>3.0</v>
      </c>
      <c r="O25" s="19">
        <v>0.0</v>
      </c>
      <c r="P25" s="19">
        <v>6.0</v>
      </c>
      <c r="Q25" s="19">
        <v>21.0</v>
      </c>
      <c r="R25" s="19">
        <v>9.0</v>
      </c>
      <c r="S25" s="19">
        <v>0.0</v>
      </c>
      <c r="T25" s="13">
        <f t="shared" si="3"/>
        <v>57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1.0</v>
      </c>
      <c r="J26" s="19">
        <v>4.0</v>
      </c>
      <c r="K26" s="19">
        <v>0.0</v>
      </c>
      <c r="L26" s="19">
        <v>0.0</v>
      </c>
      <c r="M26" s="19">
        <v>2.0</v>
      </c>
      <c r="N26" s="19">
        <v>2.0</v>
      </c>
      <c r="O26" s="19">
        <v>0.0</v>
      </c>
      <c r="P26" s="19">
        <v>6.0</v>
      </c>
      <c r="Q26" s="19">
        <v>29.0</v>
      </c>
      <c r="R26" s="19">
        <v>9.0</v>
      </c>
      <c r="S26" s="19">
        <v>1.0</v>
      </c>
      <c r="T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1</v>
      </c>
      <c r="F27" s="13">
        <f t="shared" si="6"/>
        <v>6</v>
      </c>
      <c r="G27" s="13">
        <f t="shared" si="6"/>
        <v>4</v>
      </c>
      <c r="H27" s="13">
        <f t="shared" si="6"/>
        <v>2</v>
      </c>
      <c r="I27" s="13">
        <f t="shared" si="6"/>
        <v>1</v>
      </c>
      <c r="J27" s="13">
        <f t="shared" si="6"/>
        <v>11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5</v>
      </c>
      <c r="O27" s="13">
        <f t="shared" si="6"/>
        <v>0</v>
      </c>
      <c r="P27" s="13">
        <f t="shared" si="6"/>
        <v>12</v>
      </c>
      <c r="Q27" s="13">
        <f t="shared" si="6"/>
        <v>50</v>
      </c>
      <c r="R27" s="13">
        <f t="shared" si="6"/>
        <v>18</v>
      </c>
      <c r="S27" s="13">
        <f t="shared" si="6"/>
        <v>1</v>
      </c>
      <c r="T27" s="13">
        <f t="shared" si="3"/>
        <v>114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101</v>
      </c>
      <c r="F28" s="13">
        <f t="shared" si="7"/>
        <v>109</v>
      </c>
      <c r="G28" s="13">
        <f t="shared" si="7"/>
        <v>114</v>
      </c>
      <c r="H28" s="13">
        <f t="shared" si="7"/>
        <v>73</v>
      </c>
      <c r="I28" s="13">
        <f t="shared" si="7"/>
        <v>85</v>
      </c>
      <c r="J28" s="13">
        <f t="shared" si="7"/>
        <v>98</v>
      </c>
      <c r="K28" s="13">
        <f t="shared" si="7"/>
        <v>90</v>
      </c>
      <c r="L28" s="13">
        <f t="shared" si="7"/>
        <v>88</v>
      </c>
      <c r="M28" s="13">
        <f t="shared" si="7"/>
        <v>88</v>
      </c>
      <c r="N28" s="13">
        <f t="shared" si="7"/>
        <v>107</v>
      </c>
      <c r="O28" s="13">
        <f t="shared" si="7"/>
        <v>105</v>
      </c>
      <c r="P28" s="13">
        <f t="shared" si="7"/>
        <v>75</v>
      </c>
      <c r="Q28" s="13">
        <f t="shared" si="7"/>
        <v>122</v>
      </c>
      <c r="R28" s="13">
        <f t="shared" si="7"/>
        <v>86</v>
      </c>
      <c r="S28" s="13">
        <f t="shared" si="7"/>
        <v>47</v>
      </c>
      <c r="T28" s="13">
        <f t="shared" si="3"/>
        <v>1388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110</v>
      </c>
      <c r="F29" s="13">
        <f t="shared" si="8"/>
        <v>127</v>
      </c>
      <c r="G29" s="13">
        <f t="shared" si="8"/>
        <v>128</v>
      </c>
      <c r="H29" s="13">
        <f t="shared" si="8"/>
        <v>77</v>
      </c>
      <c r="I29" s="13">
        <f t="shared" si="8"/>
        <v>92</v>
      </c>
      <c r="J29" s="13">
        <f t="shared" si="8"/>
        <v>112</v>
      </c>
      <c r="K29" s="13">
        <f t="shared" si="8"/>
        <v>90</v>
      </c>
      <c r="L29" s="13">
        <f t="shared" si="8"/>
        <v>98</v>
      </c>
      <c r="M29" s="13">
        <f t="shared" si="8"/>
        <v>88</v>
      </c>
      <c r="N29" s="13">
        <f t="shared" si="8"/>
        <v>119</v>
      </c>
      <c r="O29" s="13">
        <f t="shared" si="8"/>
        <v>121</v>
      </c>
      <c r="P29" s="13">
        <f t="shared" si="8"/>
        <v>92</v>
      </c>
      <c r="Q29" s="13">
        <f t="shared" si="8"/>
        <v>148</v>
      </c>
      <c r="R29" s="13">
        <f t="shared" si="8"/>
        <v>96</v>
      </c>
      <c r="S29" s="13">
        <f t="shared" si="8"/>
        <v>60</v>
      </c>
      <c r="T29" s="13">
        <f t="shared" si="3"/>
        <v>1558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211</v>
      </c>
      <c r="F30" s="13">
        <f t="shared" si="9"/>
        <v>236</v>
      </c>
      <c r="G30" s="13">
        <f t="shared" si="9"/>
        <v>242</v>
      </c>
      <c r="H30" s="13">
        <f t="shared" si="9"/>
        <v>150</v>
      </c>
      <c r="I30" s="13">
        <f t="shared" si="9"/>
        <v>177</v>
      </c>
      <c r="J30" s="13">
        <f t="shared" si="9"/>
        <v>210</v>
      </c>
      <c r="K30" s="13">
        <f t="shared" si="9"/>
        <v>180</v>
      </c>
      <c r="L30" s="13">
        <f t="shared" si="9"/>
        <v>186</v>
      </c>
      <c r="M30" s="13">
        <f t="shared" si="9"/>
        <v>176</v>
      </c>
      <c r="N30" s="13">
        <f t="shared" si="9"/>
        <v>226</v>
      </c>
      <c r="O30" s="13">
        <f t="shared" si="9"/>
        <v>226</v>
      </c>
      <c r="P30" s="13">
        <f t="shared" si="9"/>
        <v>167</v>
      </c>
      <c r="Q30" s="13">
        <f t="shared" si="9"/>
        <v>270</v>
      </c>
      <c r="R30" s="13">
        <f t="shared" si="9"/>
        <v>182</v>
      </c>
      <c r="S30" s="13">
        <f t="shared" si="9"/>
        <v>107</v>
      </c>
      <c r="T30" s="13">
        <f t="shared" si="3"/>
        <v>2946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244.0</v>
      </c>
      <c r="F33" s="19">
        <v>283.0</v>
      </c>
      <c r="G33" s="19">
        <v>291.0</v>
      </c>
      <c r="H33" s="19">
        <v>177.0</v>
      </c>
      <c r="I33" s="19">
        <v>213.0</v>
      </c>
      <c r="J33" s="19">
        <v>254.0</v>
      </c>
      <c r="K33" s="19">
        <v>214.0</v>
      </c>
      <c r="L33" s="19">
        <v>234.0</v>
      </c>
      <c r="M33" s="19">
        <v>216.0</v>
      </c>
      <c r="N33" s="19">
        <v>277.0</v>
      </c>
      <c r="O33" s="19">
        <v>273.0</v>
      </c>
      <c r="P33" s="19">
        <v>198.0</v>
      </c>
      <c r="Q33" s="19">
        <v>270.0</v>
      </c>
      <c r="R33" s="19">
        <v>209.0</v>
      </c>
      <c r="S33" s="19">
        <v>122.0</v>
      </c>
      <c r="T33" s="13">
        <f t="shared" ref="T33:T36" si="10">SUM(E33:S33)</f>
        <v>3475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236.0</v>
      </c>
      <c r="G34" s="13">
        <v>242.0</v>
      </c>
      <c r="H34" s="13">
        <v>150.0</v>
      </c>
      <c r="I34" s="13">
        <v>177.0</v>
      </c>
      <c r="J34" s="13">
        <v>210.0</v>
      </c>
      <c r="K34" s="13">
        <v>180.0</v>
      </c>
      <c r="L34" s="13">
        <v>186.0</v>
      </c>
      <c r="M34" s="13">
        <v>176.0</v>
      </c>
      <c r="N34" s="13">
        <v>226.0</v>
      </c>
      <c r="O34" s="13">
        <v>226.0</v>
      </c>
      <c r="P34" s="13">
        <v>167.0</v>
      </c>
      <c r="Q34" s="13">
        <v>270.0</v>
      </c>
      <c r="R34" s="13">
        <v>182.0</v>
      </c>
      <c r="S34" s="13">
        <v>107.0</v>
      </c>
      <c r="T34" s="13">
        <f t="shared" si="10"/>
        <v>2946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33</v>
      </c>
      <c r="F36" s="13">
        <f t="shared" si="11"/>
        <v>47</v>
      </c>
      <c r="G36" s="13">
        <f t="shared" si="11"/>
        <v>49</v>
      </c>
      <c r="H36" s="13">
        <f t="shared" si="11"/>
        <v>27</v>
      </c>
      <c r="I36" s="13">
        <f t="shared" si="11"/>
        <v>36</v>
      </c>
      <c r="J36" s="13">
        <f t="shared" si="11"/>
        <v>44</v>
      </c>
      <c r="K36" s="13">
        <f t="shared" si="11"/>
        <v>34</v>
      </c>
      <c r="L36" s="13">
        <f t="shared" si="11"/>
        <v>48</v>
      </c>
      <c r="M36" s="13">
        <f t="shared" si="11"/>
        <v>40</v>
      </c>
      <c r="N36" s="13">
        <f t="shared" si="11"/>
        <v>51</v>
      </c>
      <c r="O36" s="13">
        <f t="shared" si="11"/>
        <v>47</v>
      </c>
      <c r="P36" s="13">
        <f t="shared" si="11"/>
        <v>31</v>
      </c>
      <c r="Q36" s="13">
        <f t="shared" si="11"/>
        <v>0</v>
      </c>
      <c r="R36" s="13">
        <f t="shared" si="11"/>
        <v>27</v>
      </c>
      <c r="S36" s="13">
        <f t="shared" si="11"/>
        <v>15</v>
      </c>
      <c r="T36" s="13">
        <f t="shared" si="10"/>
        <v>529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2.0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3"/>
    </row>
    <row r="45" ht="12.75" customHeight="1">
      <c r="A45" s="30"/>
      <c r="B45" s="47" t="s">
        <v>17</v>
      </c>
      <c r="C45" s="61" t="s">
        <v>38</v>
      </c>
      <c r="D45" s="16"/>
      <c r="E45" s="19">
        <v>12.0</v>
      </c>
      <c r="F45" s="19">
        <v>18.0</v>
      </c>
      <c r="G45" s="19">
        <v>32.0</v>
      </c>
      <c r="H45" s="19">
        <v>21.0</v>
      </c>
      <c r="I45" s="19">
        <v>21.0</v>
      </c>
      <c r="J45" s="19">
        <v>22.0</v>
      </c>
      <c r="K45" s="19">
        <v>29.0</v>
      </c>
      <c r="L45" s="19">
        <v>25.0</v>
      </c>
      <c r="M45" s="19">
        <v>12.0</v>
      </c>
      <c r="N45" s="19">
        <v>35.0</v>
      </c>
      <c r="O45" s="19">
        <v>23.0</v>
      </c>
      <c r="P45" s="19">
        <v>17.0</v>
      </c>
      <c r="Q45" s="19">
        <v>47.0</v>
      </c>
      <c r="R45" s="19">
        <v>14.0</v>
      </c>
      <c r="S45" s="19">
        <v>9.0</v>
      </c>
      <c r="T45" s="13">
        <f t="shared" ref="T45:T57" si="14">SUM(E45:S45)</f>
        <v>337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29.0</v>
      </c>
      <c r="F46" s="19">
        <v>49.0</v>
      </c>
      <c r="G46" s="19">
        <v>37.0</v>
      </c>
      <c r="H46" s="19">
        <v>20.0</v>
      </c>
      <c r="I46" s="19">
        <v>27.0</v>
      </c>
      <c r="J46" s="19">
        <v>29.0</v>
      </c>
      <c r="K46" s="19">
        <v>37.0</v>
      </c>
      <c r="L46" s="19">
        <v>21.0</v>
      </c>
      <c r="M46" s="19">
        <v>33.0</v>
      </c>
      <c r="N46" s="19">
        <v>45.0</v>
      </c>
      <c r="O46" s="19">
        <v>55.0</v>
      </c>
      <c r="P46" s="19">
        <v>28.0</v>
      </c>
      <c r="Q46" s="19">
        <v>38.0</v>
      </c>
      <c r="R46" s="19">
        <v>37.0</v>
      </c>
      <c r="S46" s="19">
        <v>19.0</v>
      </c>
      <c r="T46" s="13">
        <f t="shared" si="14"/>
        <v>504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16.0</v>
      </c>
      <c r="F47" s="19">
        <v>9.0</v>
      </c>
      <c r="G47" s="19">
        <v>17.0</v>
      </c>
      <c r="H47" s="19">
        <v>12.0</v>
      </c>
      <c r="I47" s="19">
        <v>16.0</v>
      </c>
      <c r="J47" s="19">
        <v>22.0</v>
      </c>
      <c r="K47" s="19">
        <v>7.0</v>
      </c>
      <c r="L47" s="19">
        <v>10.0</v>
      </c>
      <c r="M47" s="19">
        <v>13.0</v>
      </c>
      <c r="N47" s="19">
        <v>16.0</v>
      </c>
      <c r="O47" s="19">
        <v>14.0</v>
      </c>
      <c r="P47" s="19">
        <v>10.0</v>
      </c>
      <c r="Q47" s="19">
        <v>18.0</v>
      </c>
      <c r="R47" s="19">
        <v>9.0</v>
      </c>
      <c r="S47" s="19">
        <v>4.0</v>
      </c>
      <c r="T47" s="13">
        <f t="shared" si="14"/>
        <v>193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21.0</v>
      </c>
      <c r="F48" s="19">
        <v>26.0</v>
      </c>
      <c r="G48" s="19">
        <v>18.0</v>
      </c>
      <c r="H48" s="19">
        <v>13.0</v>
      </c>
      <c r="I48" s="19">
        <v>13.0</v>
      </c>
      <c r="J48" s="19">
        <v>17.0</v>
      </c>
      <c r="K48" s="19">
        <v>8.0</v>
      </c>
      <c r="L48" s="19">
        <v>20.0</v>
      </c>
      <c r="M48" s="19">
        <v>19.0</v>
      </c>
      <c r="N48" s="19">
        <v>18.0</v>
      </c>
      <c r="O48" s="19">
        <v>33.0</v>
      </c>
      <c r="P48" s="19">
        <v>27.0</v>
      </c>
      <c r="Q48" s="19">
        <v>30.0</v>
      </c>
      <c r="R48" s="19">
        <v>19.0</v>
      </c>
      <c r="S48" s="19">
        <v>13.0</v>
      </c>
      <c r="T48" s="13">
        <f t="shared" si="14"/>
        <v>295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25.0</v>
      </c>
      <c r="F49" s="19">
        <v>17.0</v>
      </c>
      <c r="G49" s="19">
        <v>18.0</v>
      </c>
      <c r="H49" s="19">
        <v>8.0</v>
      </c>
      <c r="I49" s="19">
        <v>13.0</v>
      </c>
      <c r="J49" s="19">
        <v>14.0</v>
      </c>
      <c r="K49" s="19">
        <v>12.0</v>
      </c>
      <c r="L49" s="19">
        <v>16.0</v>
      </c>
      <c r="M49" s="19">
        <v>11.0</v>
      </c>
      <c r="N49" s="19">
        <v>18.0</v>
      </c>
      <c r="O49" s="19">
        <v>12.0</v>
      </c>
      <c r="P49" s="19">
        <v>6.0</v>
      </c>
      <c r="Q49" s="19">
        <v>17.0</v>
      </c>
      <c r="R49" s="19">
        <v>7.0</v>
      </c>
      <c r="S49" s="19">
        <v>9.0</v>
      </c>
      <c r="T49" s="13">
        <f t="shared" si="14"/>
        <v>203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20.0</v>
      </c>
      <c r="F50" s="19">
        <v>14.0</v>
      </c>
      <c r="G50" s="19">
        <v>18.0</v>
      </c>
      <c r="H50" s="19">
        <v>4.0</v>
      </c>
      <c r="I50" s="19">
        <v>11.0</v>
      </c>
      <c r="J50" s="19">
        <v>6.0</v>
      </c>
      <c r="K50" s="19">
        <v>9.0</v>
      </c>
      <c r="L50" s="19">
        <v>13.0</v>
      </c>
      <c r="M50" s="19">
        <v>9.0</v>
      </c>
      <c r="N50" s="19">
        <v>16.0</v>
      </c>
      <c r="O50" s="19">
        <v>12.0</v>
      </c>
      <c r="P50" s="19">
        <v>15.0</v>
      </c>
      <c r="Q50" s="19">
        <v>16.0</v>
      </c>
      <c r="R50" s="19">
        <v>13.0</v>
      </c>
      <c r="S50" s="19">
        <v>7.0</v>
      </c>
      <c r="T50" s="13">
        <f t="shared" si="14"/>
        <v>183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1.0</v>
      </c>
      <c r="F51" s="19">
        <v>4.0</v>
      </c>
      <c r="G51" s="19">
        <v>1.0</v>
      </c>
      <c r="H51" s="19">
        <v>6.0</v>
      </c>
      <c r="I51" s="19">
        <v>3.0</v>
      </c>
      <c r="J51" s="19">
        <v>1.0</v>
      </c>
      <c r="K51" s="19">
        <v>2.0</v>
      </c>
      <c r="L51" s="19">
        <v>6.0</v>
      </c>
      <c r="M51" s="19">
        <v>4.0</v>
      </c>
      <c r="N51" s="19">
        <v>9.0</v>
      </c>
      <c r="O51" s="19">
        <v>5.0</v>
      </c>
      <c r="P51" s="19">
        <v>0.0</v>
      </c>
      <c r="Q51" s="19">
        <v>2.0</v>
      </c>
      <c r="R51" s="19">
        <v>2.0</v>
      </c>
      <c r="S51" s="19">
        <v>0.0</v>
      </c>
      <c r="T51" s="13">
        <f t="shared" si="14"/>
        <v>46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6.0</v>
      </c>
      <c r="F52" s="19">
        <v>11.0</v>
      </c>
      <c r="G52" s="19">
        <v>11.0</v>
      </c>
      <c r="H52" s="19">
        <v>6.0</v>
      </c>
      <c r="I52" s="19">
        <v>2.0</v>
      </c>
      <c r="J52" s="19">
        <v>6.0</v>
      </c>
      <c r="K52" s="19">
        <v>12.0</v>
      </c>
      <c r="L52" s="19">
        <v>11.0</v>
      </c>
      <c r="M52" s="19">
        <v>8.0</v>
      </c>
      <c r="N52" s="19">
        <v>10.0</v>
      </c>
      <c r="O52" s="19">
        <v>1.0</v>
      </c>
      <c r="P52" s="19">
        <v>0.0</v>
      </c>
      <c r="Q52" s="19">
        <v>3.0</v>
      </c>
      <c r="R52" s="19">
        <v>3.0</v>
      </c>
      <c r="S52" s="19">
        <v>4.0</v>
      </c>
      <c r="T52" s="13">
        <f t="shared" si="14"/>
        <v>94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0.0</v>
      </c>
      <c r="F53" s="19">
        <v>1.0</v>
      </c>
      <c r="G53" s="19">
        <v>2.0</v>
      </c>
      <c r="H53" s="19">
        <v>2.0</v>
      </c>
      <c r="I53" s="19">
        <v>1.0</v>
      </c>
      <c r="J53" s="19">
        <v>1.0</v>
      </c>
      <c r="K53" s="19">
        <v>2.0</v>
      </c>
      <c r="L53" s="19">
        <v>1.0</v>
      </c>
      <c r="M53" s="19">
        <v>1.0</v>
      </c>
      <c r="N53" s="19">
        <v>0.0</v>
      </c>
      <c r="O53" s="19">
        <v>2.0</v>
      </c>
      <c r="P53" s="19">
        <v>0.0</v>
      </c>
      <c r="Q53" s="19">
        <v>1.0</v>
      </c>
      <c r="R53" s="19">
        <v>1.0</v>
      </c>
      <c r="S53" s="19">
        <v>1.0</v>
      </c>
      <c r="T53" s="13">
        <f t="shared" si="14"/>
        <v>16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30.0</v>
      </c>
      <c r="F54" s="19">
        <v>26.0</v>
      </c>
      <c r="G54" s="19">
        <v>29.0</v>
      </c>
      <c r="H54" s="19">
        <v>18.0</v>
      </c>
      <c r="I54" s="19">
        <v>19.0</v>
      </c>
      <c r="J54" s="19">
        <v>37.0</v>
      </c>
      <c r="K54" s="19">
        <v>15.0</v>
      </c>
      <c r="L54" s="19">
        <v>26.0</v>
      </c>
      <c r="M54" s="19">
        <v>25.0</v>
      </c>
      <c r="N54" s="19">
        <v>15.0</v>
      </c>
      <c r="O54" s="19">
        <v>18.0</v>
      </c>
      <c r="P54" s="19">
        <v>22.0</v>
      </c>
      <c r="Q54" s="19">
        <v>20.0</v>
      </c>
      <c r="R54" s="19">
        <v>26.0</v>
      </c>
      <c r="S54" s="19">
        <v>14.0</v>
      </c>
      <c r="T54" s="13">
        <f t="shared" si="14"/>
        <v>340</v>
      </c>
    </row>
    <row r="55" ht="15.0" customHeight="1">
      <c r="A55" s="18"/>
      <c r="B55" s="47" t="s">
        <v>54</v>
      </c>
      <c r="C55" s="61" t="s">
        <v>55</v>
      </c>
      <c r="D55" s="16"/>
      <c r="E55" s="19">
        <v>0.0</v>
      </c>
      <c r="F55" s="19">
        <v>1.0</v>
      </c>
      <c r="G55" s="19">
        <v>1.0</v>
      </c>
      <c r="H55" s="19">
        <v>2.0</v>
      </c>
      <c r="I55" s="19">
        <v>1.0</v>
      </c>
      <c r="J55" s="19">
        <v>1.0</v>
      </c>
      <c r="K55" s="19">
        <v>0.0</v>
      </c>
      <c r="L55" s="19">
        <v>1.0</v>
      </c>
      <c r="M55" s="19">
        <v>0.0</v>
      </c>
      <c r="N55" s="19">
        <v>0.0</v>
      </c>
      <c r="O55" s="19">
        <v>1.0</v>
      </c>
      <c r="P55" s="19">
        <v>0.0</v>
      </c>
      <c r="Q55" s="19">
        <v>1.0</v>
      </c>
      <c r="R55" s="19">
        <v>2.0</v>
      </c>
      <c r="S55" s="19">
        <v>0.0</v>
      </c>
      <c r="T55" s="13">
        <f t="shared" si="14"/>
        <v>11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11.0</v>
      </c>
      <c r="F56" s="19">
        <v>16.0</v>
      </c>
      <c r="G56" s="19">
        <v>16.0</v>
      </c>
      <c r="H56" s="19">
        <v>15.0</v>
      </c>
      <c r="I56" s="19">
        <v>27.0</v>
      </c>
      <c r="J56" s="19">
        <v>19.0</v>
      </c>
      <c r="K56" s="19">
        <v>18.0</v>
      </c>
      <c r="L56" s="19">
        <v>20.0</v>
      </c>
      <c r="M56" s="19">
        <v>7.0</v>
      </c>
      <c r="N56" s="19">
        <v>17.0</v>
      </c>
      <c r="O56" s="19">
        <v>27.0</v>
      </c>
      <c r="P56" s="19">
        <v>13.0</v>
      </c>
      <c r="Q56" s="19">
        <v>26.0</v>
      </c>
      <c r="R56" s="19">
        <v>22.0</v>
      </c>
      <c r="S56" s="19">
        <v>14.0</v>
      </c>
      <c r="T56" s="13">
        <f t="shared" si="14"/>
        <v>268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3.0</v>
      </c>
      <c r="F57" s="19">
        <v>3.0</v>
      </c>
      <c r="G57" s="19">
        <v>5.0</v>
      </c>
      <c r="H57" s="19">
        <v>1.0</v>
      </c>
      <c r="I57" s="19">
        <v>2.0</v>
      </c>
      <c r="J57" s="19">
        <v>2.0</v>
      </c>
      <c r="K57" s="19">
        <v>4.0</v>
      </c>
      <c r="L57" s="19">
        <v>0.0</v>
      </c>
      <c r="M57" s="19">
        <v>0.0</v>
      </c>
      <c r="N57" s="19">
        <v>6.0</v>
      </c>
      <c r="O57" s="19">
        <v>0.0</v>
      </c>
      <c r="P57" s="19">
        <v>2.0</v>
      </c>
      <c r="Q57" s="19">
        <v>3.0</v>
      </c>
      <c r="R57" s="19">
        <v>2.0</v>
      </c>
      <c r="S57" s="19">
        <v>1.0</v>
      </c>
      <c r="T57" s="13">
        <f t="shared" si="14"/>
        <v>34</v>
      </c>
    </row>
    <row r="58" ht="12.75" customHeight="1">
      <c r="T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S60" si="15">SUM(E45:E57)</f>
        <v>174</v>
      </c>
      <c r="F60" s="19">
        <f t="shared" si="15"/>
        <v>195</v>
      </c>
      <c r="G60" s="19">
        <f t="shared" si="15"/>
        <v>205</v>
      </c>
      <c r="H60" s="19">
        <f t="shared" si="15"/>
        <v>128</v>
      </c>
      <c r="I60" s="19">
        <f t="shared" si="15"/>
        <v>156</v>
      </c>
      <c r="J60" s="19">
        <f t="shared" si="15"/>
        <v>177</v>
      </c>
      <c r="K60" s="19">
        <f t="shared" si="15"/>
        <v>155</v>
      </c>
      <c r="L60" s="19">
        <f t="shared" si="15"/>
        <v>170</v>
      </c>
      <c r="M60" s="19">
        <f t="shared" si="15"/>
        <v>142</v>
      </c>
      <c r="N60" s="19">
        <f t="shared" si="15"/>
        <v>205</v>
      </c>
      <c r="O60" s="19">
        <f t="shared" si="15"/>
        <v>203</v>
      </c>
      <c r="P60" s="19">
        <f t="shared" si="15"/>
        <v>140</v>
      </c>
      <c r="Q60" s="19">
        <f t="shared" si="15"/>
        <v>222</v>
      </c>
      <c r="R60" s="19">
        <f t="shared" si="15"/>
        <v>157</v>
      </c>
      <c r="S60" s="19">
        <f t="shared" si="15"/>
        <v>95</v>
      </c>
      <c r="T60" s="13">
        <f t="shared" ref="T60:T62" si="16">SUM(E60:S60)</f>
        <v>2524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37.0</v>
      </c>
      <c r="F61" s="19">
        <v>41.0</v>
      </c>
      <c r="G61" s="19">
        <v>37.0</v>
      </c>
      <c r="H61" s="19">
        <v>22.0</v>
      </c>
      <c r="I61" s="19">
        <v>21.0</v>
      </c>
      <c r="J61" s="19">
        <v>33.0</v>
      </c>
      <c r="K61" s="19">
        <v>25.0</v>
      </c>
      <c r="L61" s="19">
        <v>16.0</v>
      </c>
      <c r="M61" s="19">
        <v>34.0</v>
      </c>
      <c r="N61" s="19">
        <v>21.0</v>
      </c>
      <c r="O61" s="19">
        <v>23.0</v>
      </c>
      <c r="P61" s="19">
        <v>27.0</v>
      </c>
      <c r="Q61" s="19">
        <v>48.0</v>
      </c>
      <c r="R61" s="19">
        <v>25.0</v>
      </c>
      <c r="S61" s="19">
        <v>12.0</v>
      </c>
      <c r="T61" s="13">
        <f t="shared" si="16"/>
        <v>422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S62" si="17">SUM(E60:E61)</f>
        <v>211</v>
      </c>
      <c r="F62" s="13">
        <f t="shared" si="17"/>
        <v>236</v>
      </c>
      <c r="G62" s="13">
        <f t="shared" si="17"/>
        <v>242</v>
      </c>
      <c r="H62" s="13">
        <f t="shared" si="17"/>
        <v>150</v>
      </c>
      <c r="I62" s="13">
        <f t="shared" si="17"/>
        <v>177</v>
      </c>
      <c r="J62" s="13">
        <f t="shared" si="17"/>
        <v>210</v>
      </c>
      <c r="K62" s="13">
        <f t="shared" si="17"/>
        <v>180</v>
      </c>
      <c r="L62" s="13">
        <f t="shared" si="17"/>
        <v>186</v>
      </c>
      <c r="M62" s="13">
        <f t="shared" si="17"/>
        <v>176</v>
      </c>
      <c r="N62" s="13">
        <f t="shared" si="17"/>
        <v>226</v>
      </c>
      <c r="O62" s="13">
        <f t="shared" si="17"/>
        <v>226</v>
      </c>
      <c r="P62" s="13">
        <f t="shared" si="17"/>
        <v>167</v>
      </c>
      <c r="Q62" s="13">
        <f t="shared" si="17"/>
        <v>270</v>
      </c>
      <c r="R62" s="13">
        <f t="shared" si="17"/>
        <v>182</v>
      </c>
      <c r="S62" s="13">
        <f t="shared" si="17"/>
        <v>107</v>
      </c>
      <c r="T62" s="13">
        <f t="shared" si="16"/>
        <v>2946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U117" s="5"/>
      <c r="V117" s="5"/>
    </row>
    <row r="118" ht="12.75" customHeight="1">
      <c r="U118" s="5"/>
      <c r="V118" s="5"/>
    </row>
    <row r="119" ht="12.75" customHeight="1">
      <c r="U119" s="5"/>
      <c r="V119" s="5"/>
    </row>
    <row r="120" ht="12.75" customHeight="1">
      <c r="U120" s="5"/>
      <c r="V120" s="5"/>
    </row>
    <row r="121" ht="12.75" customHeight="1">
      <c r="U121" s="5"/>
      <c r="V121" s="5"/>
    </row>
    <row r="122" ht="12.75" customHeight="1">
      <c r="U122" s="5"/>
      <c r="V122" s="5"/>
    </row>
    <row r="123" ht="12.75" customHeight="1">
      <c r="U123" s="5"/>
      <c r="V123" s="5"/>
    </row>
    <row r="124" ht="12.75" customHeight="1">
      <c r="U124" s="5"/>
      <c r="V124" s="5"/>
    </row>
    <row r="125" ht="12.75" customHeight="1">
      <c r="U125" s="5"/>
      <c r="V125" s="5"/>
    </row>
    <row r="126" ht="12.75" customHeight="1">
      <c r="U126" s="5"/>
      <c r="V126" s="5"/>
    </row>
    <row r="127" ht="12.75" customHeight="1">
      <c r="U127" s="5"/>
      <c r="V127" s="5"/>
    </row>
    <row r="128" ht="12.75" customHeight="1">
      <c r="U128" s="5"/>
      <c r="V128" s="5"/>
    </row>
    <row r="129" ht="12.75" customHeight="1">
      <c r="U129" s="5"/>
      <c r="V129" s="5"/>
    </row>
    <row r="130" ht="12.75" customHeight="1">
      <c r="U130" s="1"/>
      <c r="V130" s="1"/>
    </row>
    <row r="131" ht="12.75" customHeight="1">
      <c r="U131" s="50"/>
      <c r="V131" s="50"/>
    </row>
    <row r="132" ht="12.75" customHeight="1">
      <c r="U132" s="5"/>
      <c r="V132" s="5"/>
    </row>
    <row r="133" ht="12.75" customHeight="1">
      <c r="U133" s="5"/>
      <c r="V133" s="5"/>
    </row>
    <row r="134" ht="12.75" customHeight="1">
      <c r="U134" s="5"/>
      <c r="V134" s="5"/>
    </row>
    <row r="135" ht="12.75" customHeight="1">
      <c r="U135" s="5"/>
      <c r="V135" s="5"/>
    </row>
    <row r="136" ht="12.75" customHeight="1">
      <c r="U136" s="5"/>
      <c r="V136" s="5"/>
    </row>
    <row r="137" ht="12.75" customHeight="1">
      <c r="U137" s="5"/>
      <c r="V137" s="5"/>
    </row>
    <row r="138" ht="12.75" customHeight="1">
      <c r="U138" s="5"/>
      <c r="V138" s="5"/>
    </row>
    <row r="139" ht="12.75" customHeight="1">
      <c r="U139" s="5"/>
      <c r="V139" s="5"/>
    </row>
    <row r="140" ht="12.75" customHeight="1">
      <c r="U140" s="5"/>
      <c r="V140" s="5"/>
    </row>
    <row r="141" ht="12.75" customHeight="1">
      <c r="U141" s="1"/>
      <c r="V141" s="1"/>
    </row>
    <row r="142" ht="12.75" customHeight="1">
      <c r="U142" s="50"/>
      <c r="V142" s="50"/>
    </row>
    <row r="143" ht="12.75" customHeight="1">
      <c r="U143" s="5"/>
      <c r="V143" s="5"/>
    </row>
    <row r="144" ht="12.75" customHeight="1">
      <c r="U144" s="5"/>
      <c r="V144" s="5"/>
    </row>
    <row r="145" ht="12.75" customHeight="1">
      <c r="U145" s="5"/>
      <c r="V145" s="5"/>
    </row>
    <row r="146" ht="12.75" customHeight="1">
      <c r="U146" s="5"/>
      <c r="V146" s="5"/>
    </row>
    <row r="147" ht="12.75" customHeight="1">
      <c r="U147" s="5"/>
      <c r="V147" s="5"/>
    </row>
    <row r="148" ht="12.75" customHeight="1">
      <c r="U148" s="5"/>
      <c r="V148" s="5"/>
    </row>
    <row r="149" ht="12.75" customHeight="1">
      <c r="U149" s="5"/>
      <c r="V149" s="5"/>
    </row>
    <row r="150" ht="12.75" customHeight="1">
      <c r="U150" s="5"/>
      <c r="V150" s="5"/>
    </row>
    <row r="151" ht="12.75" customHeight="1">
      <c r="U151" s="1"/>
      <c r="V151" s="1"/>
    </row>
    <row r="152" ht="12.75" customHeight="1">
      <c r="U152" s="50"/>
      <c r="V152" s="50"/>
    </row>
    <row r="153" ht="12.75" customHeight="1">
      <c r="U153" s="5"/>
      <c r="V153" s="5"/>
    </row>
    <row r="154" ht="12.75" customHeight="1">
      <c r="U154" s="5"/>
      <c r="V154" s="5"/>
    </row>
    <row r="155" ht="12.75" customHeight="1">
      <c r="U155" s="5"/>
      <c r="V155" s="5"/>
    </row>
    <row r="156" ht="12.75" customHeight="1">
      <c r="U156" s="5"/>
      <c r="V156" s="5"/>
    </row>
    <row r="157" ht="12.75" customHeight="1">
      <c r="U157" s="5"/>
      <c r="V157" s="5"/>
    </row>
    <row r="158" ht="12.75" customHeight="1">
      <c r="U158" s="5"/>
      <c r="V158" s="5"/>
    </row>
    <row r="159" ht="12.75" customHeight="1">
      <c r="U159" s="5"/>
      <c r="V159" s="5"/>
    </row>
    <row r="160" ht="12.75" customHeight="1">
      <c r="U160" s="5"/>
      <c r="V160" s="5"/>
    </row>
    <row r="161" ht="12.75" customHeight="1">
      <c r="U161" s="5"/>
      <c r="V161" s="5"/>
    </row>
    <row r="162" ht="12.75" customHeight="1">
      <c r="U162" s="5"/>
      <c r="V162" s="5"/>
    </row>
    <row r="163" ht="12.75" customHeight="1">
      <c r="U163" s="5"/>
      <c r="V163" s="5"/>
    </row>
    <row r="164" ht="12.75" customHeight="1">
      <c r="U164" s="5"/>
      <c r="V164" s="5"/>
    </row>
    <row r="165" ht="12.75" customHeight="1">
      <c r="U165" s="1"/>
      <c r="V165" s="1"/>
    </row>
    <row r="166" ht="12.75" customHeight="1">
      <c r="U166" s="50"/>
      <c r="V166" s="50"/>
    </row>
    <row r="167" ht="12.75" customHeight="1">
      <c r="U167" s="5"/>
      <c r="V167" s="5"/>
    </row>
    <row r="168" ht="12.75" customHeight="1">
      <c r="U168" s="5"/>
      <c r="V168" s="5"/>
    </row>
    <row r="169" ht="12.75" customHeight="1">
      <c r="U169" s="5"/>
      <c r="V169" s="5"/>
    </row>
    <row r="170" ht="12.75" customHeight="1">
      <c r="U170" s="5"/>
      <c r="V170" s="5"/>
    </row>
    <row r="171" ht="12.75" customHeight="1">
      <c r="U171" s="5"/>
      <c r="V171" s="5"/>
    </row>
    <row r="172" ht="12.75" customHeight="1">
      <c r="U172" s="5"/>
      <c r="V172" s="5"/>
    </row>
    <row r="173" ht="12.75" customHeight="1">
      <c r="U173" s="5"/>
      <c r="V173" s="5"/>
    </row>
    <row r="174" ht="12.75" customHeight="1">
      <c r="U174" s="5"/>
      <c r="V174" s="5"/>
    </row>
    <row r="175" ht="12.75" customHeight="1">
      <c r="U175" s="5"/>
      <c r="V175" s="5"/>
    </row>
    <row r="176" ht="12.75" customHeight="1">
      <c r="U176" s="1"/>
      <c r="V176" s="1"/>
    </row>
    <row r="177" ht="12.75" customHeight="1"/>
    <row r="178" ht="12.75" customHeight="1">
      <c r="U178" s="5"/>
      <c r="V178" s="5"/>
    </row>
    <row r="179" ht="12.75" customHeight="1">
      <c r="U179" s="5"/>
      <c r="V179" s="5"/>
    </row>
    <row r="180" ht="12.75" customHeight="1">
      <c r="U180" s="5"/>
      <c r="V180" s="5"/>
    </row>
    <row r="181" ht="12.75" customHeight="1">
      <c r="U181" s="5"/>
      <c r="V181" s="5"/>
    </row>
    <row r="182" ht="12.75" customHeight="1">
      <c r="U182" s="5"/>
      <c r="V182" s="5"/>
    </row>
    <row r="183" ht="12.75" customHeight="1">
      <c r="U183" s="5"/>
      <c r="V183" s="5"/>
    </row>
    <row r="184" ht="12.75" customHeight="1">
      <c r="U184" s="5"/>
      <c r="V184" s="5"/>
    </row>
    <row r="185" ht="12.75" customHeight="1">
      <c r="U185" s="5"/>
      <c r="V185" s="5"/>
    </row>
    <row r="186" ht="12.75" customHeight="1">
      <c r="U186" s="5"/>
      <c r="V186" s="5"/>
    </row>
    <row r="187" ht="12.75" customHeight="1">
      <c r="U187" s="1"/>
      <c r="V187" s="1"/>
    </row>
    <row r="188" ht="12.75" customHeight="1"/>
    <row r="189" ht="12.75" customHeight="1">
      <c r="U189" s="5"/>
      <c r="V189" s="5"/>
    </row>
    <row r="190" ht="12.75" customHeight="1">
      <c r="U190" s="5"/>
      <c r="V190" s="5"/>
    </row>
    <row r="191" ht="12.75" customHeight="1">
      <c r="U191" s="5"/>
      <c r="V191" s="5"/>
    </row>
    <row r="192" ht="12.75" customHeight="1">
      <c r="U192" s="5"/>
      <c r="V192" s="5"/>
    </row>
    <row r="193" ht="12.75" customHeight="1">
      <c r="U193" s="5"/>
      <c r="V193" s="5"/>
    </row>
    <row r="194" ht="12.75" customHeight="1">
      <c r="U194" s="5"/>
      <c r="V194" s="5"/>
    </row>
    <row r="195" ht="12.75" customHeight="1">
      <c r="U195" s="5"/>
      <c r="V195" s="5"/>
    </row>
    <row r="196" ht="12.75" customHeight="1">
      <c r="U196" s="1"/>
      <c r="V196" s="1"/>
    </row>
    <row r="197" ht="12.75" customHeight="1">
      <c r="U197" s="1"/>
      <c r="V197" s="1"/>
    </row>
    <row r="198" ht="12.75" customHeight="1">
      <c r="U198" s="1"/>
      <c r="V198" s="1"/>
    </row>
    <row r="199" ht="12.75" customHeight="1">
      <c r="U199" s="50"/>
      <c r="V199" s="50"/>
    </row>
    <row r="200" ht="12.75" customHeight="1">
      <c r="U200" s="5"/>
      <c r="V200" s="5"/>
    </row>
    <row r="201" ht="12.75" customHeight="1">
      <c r="U201" s="5"/>
      <c r="V201" s="5"/>
    </row>
    <row r="202" ht="12.75" customHeight="1">
      <c r="U202" s="5"/>
      <c r="V202" s="5"/>
    </row>
    <row r="203" ht="12.75" customHeight="1">
      <c r="U203" s="5"/>
      <c r="V203" s="5"/>
    </row>
    <row r="204" ht="12.75" customHeight="1">
      <c r="U204" s="5"/>
      <c r="V204" s="5"/>
    </row>
    <row r="205" ht="12.75" customHeight="1">
      <c r="U205" s="5"/>
      <c r="V205" s="5"/>
    </row>
    <row r="206" ht="12.75" customHeight="1">
      <c r="U206" s="5"/>
      <c r="V206" s="5"/>
    </row>
    <row r="207" ht="12.75" customHeight="1">
      <c r="U207" s="1"/>
      <c r="V207" s="1"/>
    </row>
    <row r="208" ht="12.75" customHeight="1">
      <c r="U208" s="50"/>
      <c r="V208" s="50"/>
    </row>
    <row r="209" ht="12.75" customHeight="1">
      <c r="U209" s="50"/>
      <c r="V209" s="50"/>
    </row>
    <row r="210" ht="12.75" customHeight="1">
      <c r="U210" s="50"/>
      <c r="V210" s="50"/>
    </row>
    <row r="211" ht="12.75" customHeight="1">
      <c r="U211" s="5"/>
      <c r="V211" s="5"/>
    </row>
    <row r="212" ht="12.75" customHeight="1">
      <c r="U212" s="5"/>
      <c r="V212" s="5"/>
    </row>
    <row r="213" ht="12.75" customHeight="1">
      <c r="U213" s="5"/>
      <c r="V213" s="5"/>
    </row>
    <row r="214" ht="12.75" customHeight="1">
      <c r="U214" s="5"/>
      <c r="V214" s="5"/>
    </row>
    <row r="215" ht="12.75" customHeight="1">
      <c r="U215" s="5"/>
      <c r="V215" s="5"/>
    </row>
    <row r="216" ht="12.75" customHeight="1">
      <c r="U216" s="5"/>
      <c r="V216" s="5"/>
    </row>
    <row r="217" ht="12.75" customHeight="1">
      <c r="U217" s="5"/>
      <c r="V217" s="5"/>
    </row>
    <row r="218" ht="12.75" customHeight="1">
      <c r="U218" s="1"/>
      <c r="V218" s="1"/>
    </row>
    <row r="219" ht="12.75" customHeight="1">
      <c r="U219" s="50"/>
      <c r="V219" s="50"/>
    </row>
    <row r="220" ht="12.75" customHeight="1">
      <c r="U220" s="5"/>
      <c r="V220" s="5"/>
    </row>
    <row r="221" ht="12.75" customHeight="1">
      <c r="U221" s="5"/>
      <c r="V221" s="5"/>
    </row>
    <row r="222" ht="12.75" customHeight="1">
      <c r="U222" s="5"/>
      <c r="V222" s="5"/>
    </row>
    <row r="223" ht="12.75" customHeight="1">
      <c r="U223" s="5"/>
      <c r="V223" s="5"/>
    </row>
    <row r="224" ht="12.75" customHeight="1">
      <c r="U224" s="5"/>
      <c r="V224" s="5"/>
    </row>
    <row r="225" ht="12.75" customHeight="1">
      <c r="U225" s="5"/>
      <c r="V225" s="5"/>
    </row>
    <row r="226" ht="12.75" customHeight="1">
      <c r="U226" s="5"/>
      <c r="V226" s="5"/>
    </row>
    <row r="227" ht="12.75" customHeight="1">
      <c r="U227" s="5"/>
      <c r="V227" s="5"/>
    </row>
    <row r="228" ht="12.75" customHeight="1">
      <c r="U228" s="5"/>
      <c r="V228" s="5"/>
    </row>
    <row r="229" ht="12.75" customHeight="1">
      <c r="U229" s="1"/>
      <c r="V229" s="1"/>
    </row>
    <row r="230" ht="12.75" customHeight="1">
      <c r="U230" s="50"/>
      <c r="V230" s="50"/>
    </row>
    <row r="231" ht="12.75" customHeight="1">
      <c r="U231" s="5"/>
      <c r="V231" s="5"/>
    </row>
    <row r="232" ht="12.75" customHeight="1">
      <c r="U232" s="5"/>
      <c r="V232" s="5"/>
    </row>
    <row r="233" ht="12.75" customHeight="1">
      <c r="U233" s="5"/>
      <c r="V233" s="5"/>
    </row>
    <row r="234" ht="12.75" customHeight="1">
      <c r="U234" s="5"/>
      <c r="V234" s="5"/>
    </row>
    <row r="235" ht="12.75" customHeight="1">
      <c r="U235" s="5"/>
      <c r="V235" s="5"/>
    </row>
    <row r="236" ht="12.75" customHeight="1">
      <c r="U236" s="5"/>
      <c r="V236" s="5"/>
    </row>
    <row r="237" ht="12.75" customHeight="1">
      <c r="U237" s="5"/>
      <c r="V237" s="5"/>
    </row>
    <row r="238" ht="12.75" customHeight="1">
      <c r="U238" s="5"/>
      <c r="V238" s="5"/>
    </row>
    <row r="239" ht="12.75" customHeight="1">
      <c r="U239" s="5"/>
      <c r="V239" s="5"/>
    </row>
    <row r="240" ht="12.75" customHeight="1">
      <c r="U240" s="1"/>
      <c r="V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45:S57">
    <cfRule type="containsBlanks" dxfId="1" priority="10">
      <formula>LEN(TRIM(E45))=0</formula>
    </cfRule>
  </conditionalFormatting>
  <conditionalFormatting sqref="E60:S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