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NJAR" sheetId="2" r:id="rId5"/>
    <sheet state="visible" name="GUMUK" sheetId="3" r:id="rId6"/>
    <sheet state="visible" name="JELUN" sheetId="4" r:id="rId7"/>
    <sheet state="visible" name="KLUNCING" sheetId="5" r:id="rId8"/>
    <sheet state="visible" name="LICIN" sheetId="6" r:id="rId9"/>
    <sheet state="visible" name="PAKEL" sheetId="7" r:id="rId10"/>
    <sheet state="visible" name="SEGOBANG" sheetId="8" r:id="rId11"/>
    <sheet state="visible" name="TAMANSARI" sheetId="9" r:id="rId12"/>
  </sheets>
  <definedNames/>
  <calcPr/>
  <extLst>
    <ext uri="GoogleSheetsCustomDataVersion2">
      <go:sheetsCustomData xmlns:go="http://customooxmlschemas.google.com/" r:id="rId13" roundtripDataChecksum="YNBlCBXgvOaytwCe3Q7RFfqCiwQlwP8mbmuLobjQxSo="/>
    </ext>
  </extLst>
</workbook>
</file>

<file path=xl/sharedStrings.xml><?xml version="1.0" encoding="utf-8"?>
<sst xmlns="http://schemas.openxmlformats.org/spreadsheetml/2006/main" count="893" uniqueCount="101">
  <si>
    <t>Kecamatan</t>
  </si>
  <si>
    <t>LICIN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</si>
  <si>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</si>
  <si>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</si>
  <si>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</si>
  <si>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</si>
  <si>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</si>
  <si>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</si>
  <si>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</si>
  <si>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</si>
  <si>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</si>
  <si>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</si>
  <si>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</si>
  <si>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</si>
  <si>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</si>
  <si>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</si>
  <si>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</si>
  <si>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</si>
  <si>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</si>
  <si>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</si>
  <si>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</si>
  <si>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</si>
  <si>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</si>
  <si>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</si>
  <si>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</si>
  <si>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</si>
  <si>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</si>
  <si>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</si>
  <si>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</si>
  <si>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</si>
  <si>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</si>
  <si>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</si>
  <si>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</si>
  <si>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</si>
  <si>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</si>
  <si>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CALON ANGGOTA DEWAN PERWAKILAN DAERAH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</si>
  <si>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</si>
  <si>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</si>
  <si>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</si>
  <si>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</si>
  <si>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</si>
  <si>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</si>
  <si>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</si>
  <si>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</si>
  <si>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</si>
  <si>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</si>
  <si>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</si>
  <si>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</si>
  <si>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</si>
  <si>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</si>
  <si>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</si>
  <si>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</si>
  <si>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</si>
  <si>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</si>
  <si>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</si>
  <si>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</si>
  <si>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</si>
  <si>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</si>
  <si>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</si>
  <si>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</si>
  <si>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</si>
  <si>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</si>
  <si>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</si>
  <si>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</si>
  <si>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</si>
  <si>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</si>
  <si>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</si>
  <si>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</si>
  <si>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</si>
  <si>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BANJAR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</si>
  <si>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</si>
  <si>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</si>
  <si>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</si>
  <si>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</si>
  <si>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</si>
  <si>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</si>
  <si>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</si>
  <si>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</si>
  <si>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</si>
  <si>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GUMUK</t>
  </si>
  <si>
    <t>JELUN</t>
  </si>
  <si>
    <t>KLUNCING</t>
  </si>
  <si>
    <t>TPS 010</t>
  </si>
  <si>
    <t>TPS 011</t>
  </si>
  <si>
    <t>TPS 012</t>
  </si>
  <si>
    <t>TPS 013</t>
  </si>
  <si>
    <t>TPS 014</t>
  </si>
  <si>
    <t>TPS 015</t>
  </si>
  <si>
    <t>PAKEL</t>
  </si>
  <si>
    <t>SEGOBANG</t>
  </si>
  <si>
    <t>TPS 016</t>
  </si>
  <si>
    <t>TPS 017</t>
  </si>
  <si>
    <t>TPS 018</t>
  </si>
  <si>
    <t>TAMANSARI</t>
  </si>
  <si>
    <t>TPS 019</t>
  </si>
  <si>
    <t>TPS 020</t>
  </si>
  <si>
    <t>TPS 021</t>
  </si>
  <si>
    <t>TPS 022</t>
  </si>
  <si>
    <t>TPS 023</t>
  </si>
  <si>
    <t>TPS 024</t>
  </si>
  <si>
    <t>TPS 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</si>
</sst>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B050"/>
        <bgColor rgb="FF00B05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2" fillId="0" fontId="3" numFmtId="3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3" fillId="0" fontId="3" numFmtId="0" xfId="0" applyAlignment="1" applyBorder="1" applyFont="1">
      <alignment shrinkToFit="0" vertical="center" wrapText="1"/>
    </xf>
    <xf borderId="1" fillId="0" fontId="8" numFmtId="0" xfId="0" applyBorder="1" applyFont="1"/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19.14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11.736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11.864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23.6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33">
        <v>9042.0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33">
        <v>9713.0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38">
        <f>SUM(E19:E20)</f>
        <v>18755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1" t="s">
        <v>19</v>
      </c>
      <c r="C22" s="32" t="s">
        <v>20</v>
      </c>
      <c r="D22" s="19" t="s">
        <v>12</v>
      </c>
      <c r="E22" s="24">
        <v>7.0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24">
        <v>5.0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12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1" t="s">
        <v>21</v>
      </c>
      <c r="C25" s="32" t="s">
        <v>22</v>
      </c>
      <c r="D25" s="19" t="s">
        <v>12</v>
      </c>
      <c r="E25" s="24">
        <v>78.0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24">
        <v>78.0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156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38">
        <f>sum(E19,E22,E25)</f>
        <v>9127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38">
        <f>E20+E23+E26</f>
        <v>9796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38">
        <f>SUM(E28:E29)</f>
        <v>18923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33">
        <v>23472.0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33">
        <v>18923.0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v>28.0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38">
        <f>E33-(E34+E35)</f>
        <v>4521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5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6" t="s">
        <v>33</v>
      </c>
      <c r="C39" s="23"/>
      <c r="D39" s="19" t="s">
        <v>12</v>
      </c>
      <c r="E39" s="24">
        <v>27.0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24">
        <v>19.0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7"/>
      <c r="C41" s="28"/>
      <c r="D41" s="13" t="s">
        <v>14</v>
      </c>
      <c r="E41" s="39">
        <f>SUM(E39:E40)</f>
        <v>46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8"/>
      <c r="B42" s="47"/>
      <c r="C42" s="47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5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36</v>
      </c>
      <c r="B44" s="49"/>
      <c r="C44" s="49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50" t="s">
        <v>17</v>
      </c>
      <c r="C45" s="51" t="s">
        <v>38</v>
      </c>
      <c r="D45" s="16"/>
      <c r="E45" s="33">
        <v>2074.0</v>
      </c>
      <c r="F45" s="52"/>
      <c r="G45" s="53"/>
      <c r="H45" s="53"/>
      <c r="I45" s="53"/>
      <c r="J45" s="53"/>
      <c r="K45" s="53"/>
      <c r="L45" s="53"/>
      <c r="M45" s="53"/>
      <c r="N45" s="53"/>
      <c r="O45" s="53"/>
      <c r="P45" s="54"/>
      <c r="Q45" s="3"/>
      <c r="R45" s="3"/>
      <c r="S45" s="3"/>
      <c r="T45" s="3"/>
      <c r="U45" s="3"/>
      <c r="V45" s="3"/>
      <c r="W45" s="55"/>
      <c r="X45" s="3"/>
      <c r="Y45" s="3"/>
      <c r="Z45" s="3"/>
    </row>
    <row r="46" ht="15.75" customHeight="1">
      <c r="A46" s="18"/>
      <c r="B46" s="50" t="s">
        <v>19</v>
      </c>
      <c r="C46" s="51" t="s">
        <v>39</v>
      </c>
      <c r="D46" s="16"/>
      <c r="E46" s="33">
        <v>3615.0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50" t="s">
        <v>21</v>
      </c>
      <c r="C47" s="51" t="s">
        <v>40</v>
      </c>
      <c r="D47" s="16"/>
      <c r="E47" s="33">
        <v>1185.0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0" t="s">
        <v>23</v>
      </c>
      <c r="C48" s="51" t="s">
        <v>41</v>
      </c>
      <c r="D48" s="16"/>
      <c r="E48" s="33">
        <v>1860.0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0" t="s">
        <v>42</v>
      </c>
      <c r="C49" s="51" t="s">
        <v>43</v>
      </c>
      <c r="D49" s="16"/>
      <c r="E49" s="33">
        <v>1365.0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0" t="s">
        <v>44</v>
      </c>
      <c r="C50" s="51" t="s">
        <v>45</v>
      </c>
      <c r="D50" s="16"/>
      <c r="E50" s="33">
        <v>1221.0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0" t="s">
        <v>46</v>
      </c>
      <c r="C51" s="51" t="s">
        <v>47</v>
      </c>
      <c r="D51" s="16"/>
      <c r="E51" s="24">
        <v>175.0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0" t="s">
        <v>48</v>
      </c>
      <c r="C52" s="51" t="s">
        <v>49</v>
      </c>
      <c r="D52" s="16"/>
      <c r="E52" s="24">
        <v>203.0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0" t="s">
        <v>50</v>
      </c>
      <c r="C53" s="51" t="s">
        <v>51</v>
      </c>
      <c r="D53" s="16"/>
      <c r="E53" s="24">
        <v>57.0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0" t="s">
        <v>52</v>
      </c>
      <c r="C54" s="51" t="s">
        <v>53</v>
      </c>
      <c r="D54" s="16"/>
      <c r="E54" s="33">
        <v>1755.0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50" t="s">
        <v>54</v>
      </c>
      <c r="C55" s="51" t="s">
        <v>55</v>
      </c>
      <c r="D55" s="16"/>
      <c r="E55" s="24">
        <v>79.0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50" t="s">
        <v>56</v>
      </c>
      <c r="C56" s="51" t="s">
        <v>57</v>
      </c>
      <c r="D56" s="16"/>
      <c r="E56" s="33">
        <v>1554.0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50" t="s">
        <v>58</v>
      </c>
      <c r="C57" s="51" t="s">
        <v>59</v>
      </c>
      <c r="D57" s="16"/>
      <c r="E57" s="24">
        <v>176.0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5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5"/>
      <c r="B60" s="56" t="s">
        <v>62</v>
      </c>
      <c r="C60" s="57" t="s">
        <v>63</v>
      </c>
      <c r="D60" s="16"/>
      <c r="E60" s="33">
        <v>15321.0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6"/>
      <c r="B61" s="56" t="s">
        <v>64</v>
      </c>
      <c r="C61" s="57" t="s">
        <v>65</v>
      </c>
      <c r="D61" s="16"/>
      <c r="E61" s="33">
        <v>3602.0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4"/>
      <c r="B62" s="56" t="s">
        <v>66</v>
      </c>
      <c r="C62" s="57" t="s">
        <v>67</v>
      </c>
      <c r="D62" s="16"/>
      <c r="E62" s="58">
        <f>SUM(E60:E61)</f>
        <v>18923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9"/>
      <c r="C63" s="6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9"/>
      <c r="C64" s="6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9"/>
      <c r="C65" s="6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9"/>
      <c r="C66" s="6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9"/>
      <c r="C67" s="6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9"/>
      <c r="C68" s="6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9"/>
      <c r="C69" s="6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9"/>
      <c r="C70" s="6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9"/>
      <c r="C71" s="6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9"/>
      <c r="C72" s="6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9"/>
      <c r="C73" s="6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9"/>
      <c r="C74" s="6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9"/>
      <c r="C75" s="6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9"/>
      <c r="C76" s="6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9"/>
      <c r="C77" s="6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9"/>
      <c r="C78" s="6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9"/>
      <c r="C79" s="6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9"/>
      <c r="C80" s="6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9"/>
      <c r="C81" s="6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9"/>
      <c r="C82" s="6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9"/>
      <c r="C83" s="6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9"/>
      <c r="C84" s="6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9"/>
      <c r="C85" s="6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9"/>
      <c r="C86" s="6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9"/>
      <c r="C87" s="6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9"/>
      <c r="C88" s="6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9"/>
      <c r="C89" s="6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9"/>
      <c r="C90" s="6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9"/>
      <c r="C91" s="6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9"/>
      <c r="C92" s="6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9"/>
      <c r="C93" s="6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9"/>
      <c r="C94" s="6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9"/>
      <c r="C95" s="6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9"/>
      <c r="C96" s="6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9"/>
      <c r="C97" s="6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9"/>
      <c r="C98" s="6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9"/>
      <c r="C99" s="6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9"/>
      <c r="C100" s="6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9"/>
      <c r="C101" s="6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9"/>
      <c r="C102" s="6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9"/>
      <c r="C103" s="6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9"/>
      <c r="C104" s="6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9"/>
      <c r="C105" s="6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9"/>
      <c r="C106" s="6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9"/>
      <c r="C107" s="6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9"/>
      <c r="C108" s="6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9"/>
      <c r="C109" s="6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9"/>
      <c r="C110" s="6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9"/>
      <c r="C111" s="6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9"/>
      <c r="C112" s="6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9"/>
      <c r="C113" s="6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9"/>
      <c r="C114" s="6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9"/>
      <c r="C115" s="6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9"/>
      <c r="C116" s="6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9"/>
      <c r="C117" s="6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9"/>
      <c r="C118" s="6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9"/>
      <c r="C119" s="6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9"/>
      <c r="C120" s="6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9"/>
      <c r="C121" s="6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9"/>
      <c r="C122" s="6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9"/>
      <c r="C123" s="6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9"/>
      <c r="C124" s="6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9"/>
      <c r="C125" s="6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9"/>
      <c r="C126" s="6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9"/>
      <c r="C127" s="6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9"/>
      <c r="C128" s="6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9"/>
      <c r="C129" s="6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9"/>
      <c r="C130" s="6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9"/>
      <c r="C131" s="6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9"/>
      <c r="C132" s="6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9"/>
      <c r="C133" s="6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9"/>
      <c r="C134" s="6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9"/>
      <c r="C135" s="6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9"/>
      <c r="C136" s="6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9"/>
      <c r="C137" s="6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9"/>
      <c r="C138" s="6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9"/>
      <c r="C139" s="6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9"/>
      <c r="C140" s="6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9"/>
      <c r="C141" s="6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9"/>
      <c r="C142" s="6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9"/>
      <c r="C143" s="6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9"/>
      <c r="C144" s="6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9"/>
      <c r="C145" s="6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9"/>
      <c r="C146" s="6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9"/>
      <c r="C147" s="6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9"/>
      <c r="C148" s="6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9"/>
      <c r="C149" s="6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9"/>
      <c r="C150" s="6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9"/>
      <c r="C151" s="6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9"/>
      <c r="C152" s="6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9"/>
      <c r="C153" s="6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9"/>
      <c r="C154" s="6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9"/>
      <c r="C155" s="6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9"/>
      <c r="C156" s="6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9"/>
      <c r="C157" s="6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9"/>
      <c r="C158" s="6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9"/>
      <c r="C159" s="6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9"/>
      <c r="C160" s="6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9"/>
      <c r="C161" s="6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9"/>
      <c r="C162" s="6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9"/>
      <c r="C163" s="6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9"/>
      <c r="C164" s="6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9"/>
      <c r="C165" s="6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9"/>
      <c r="C166" s="6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9"/>
      <c r="C167" s="6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9"/>
      <c r="C168" s="6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9"/>
      <c r="C169" s="6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9"/>
      <c r="C170" s="6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9"/>
      <c r="C171" s="6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9"/>
      <c r="C172" s="6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9"/>
      <c r="C173" s="6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9"/>
      <c r="C174" s="6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9"/>
      <c r="C175" s="6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9"/>
      <c r="C176" s="6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9"/>
      <c r="C177" s="6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9"/>
      <c r="C178" s="6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9"/>
      <c r="C179" s="6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9"/>
      <c r="C180" s="6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9"/>
      <c r="C181" s="6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9"/>
      <c r="C182" s="6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9"/>
      <c r="C183" s="6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9"/>
      <c r="C184" s="6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9"/>
      <c r="C185" s="6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9"/>
      <c r="C186" s="6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9"/>
      <c r="C187" s="6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9"/>
      <c r="C188" s="6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9"/>
      <c r="C189" s="6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9"/>
      <c r="C190" s="6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9"/>
      <c r="C191" s="6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9"/>
      <c r="C192" s="6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9"/>
      <c r="C193" s="6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9"/>
      <c r="C194" s="6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9"/>
      <c r="C195" s="6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9"/>
      <c r="C196" s="6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9"/>
      <c r="C197" s="6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9"/>
      <c r="C198" s="6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9"/>
      <c r="C199" s="6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9"/>
      <c r="C200" s="6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9"/>
      <c r="C201" s="6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9"/>
      <c r="C202" s="6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9"/>
      <c r="C203" s="6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9"/>
      <c r="C204" s="6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9"/>
      <c r="C205" s="6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9"/>
      <c r="C206" s="6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9"/>
      <c r="C207" s="6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9"/>
      <c r="C208" s="6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9"/>
      <c r="C209" s="6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9"/>
      <c r="C210" s="6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9"/>
      <c r="C211" s="6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9"/>
      <c r="C212" s="6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9"/>
      <c r="C213" s="6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9"/>
      <c r="C214" s="6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9"/>
      <c r="C215" s="6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9"/>
      <c r="C216" s="6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9"/>
      <c r="C217" s="6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9"/>
      <c r="C218" s="6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9"/>
      <c r="C219" s="6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9"/>
      <c r="C220" s="6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9"/>
      <c r="C221" s="6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9"/>
      <c r="C222" s="6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9"/>
      <c r="C223" s="6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9"/>
      <c r="C224" s="6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9"/>
      <c r="C225" s="6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9"/>
      <c r="C226" s="6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9"/>
      <c r="C227" s="6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9"/>
      <c r="C228" s="6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9"/>
      <c r="C229" s="6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9"/>
      <c r="C230" s="6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9"/>
      <c r="C231" s="6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9"/>
      <c r="C232" s="6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9"/>
      <c r="C233" s="6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9"/>
      <c r="C234" s="6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9"/>
      <c r="C235" s="6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9"/>
      <c r="C236" s="6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9"/>
      <c r="C237" s="6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9"/>
      <c r="C238" s="6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9"/>
      <c r="C239" s="6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9"/>
      <c r="C240" s="6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9"/>
      <c r="C241" s="6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9"/>
      <c r="C242" s="6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9"/>
      <c r="C243" s="6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9"/>
      <c r="C244" s="6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9"/>
      <c r="C245" s="6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9"/>
      <c r="C246" s="6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9"/>
      <c r="C247" s="6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9"/>
      <c r="C248" s="6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9"/>
      <c r="C249" s="6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9"/>
      <c r="C250" s="6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9"/>
      <c r="C251" s="6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9"/>
      <c r="C252" s="6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9"/>
      <c r="C253" s="6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9"/>
      <c r="C254" s="6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9"/>
      <c r="C255" s="6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9"/>
      <c r="C256" s="6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9"/>
      <c r="C257" s="6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9"/>
      <c r="C258" s="6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9"/>
      <c r="C259" s="6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9"/>
      <c r="C260" s="60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9"/>
      <c r="C261" s="60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9"/>
      <c r="C262" s="60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4.14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103.0</v>
      </c>
      <c r="G14" s="19">
        <v>107.0</v>
      </c>
      <c r="H14" s="19">
        <v>115.0</v>
      </c>
      <c r="I14" s="19">
        <v>81.0</v>
      </c>
      <c r="J14" s="19">
        <v>73.0</v>
      </c>
      <c r="K14" s="19">
        <v>115.0</v>
      </c>
      <c r="L14" s="19">
        <v>146.0</v>
      </c>
      <c r="M14" s="19">
        <v>132.0</v>
      </c>
      <c r="N14" s="13">
        <f t="shared" ref="N14:N16" si="1">SUM(E14:M14)</f>
        <v>995</v>
      </c>
    </row>
    <row r="15" ht="12.75" customHeight="1">
      <c r="A15" s="18"/>
      <c r="B15" s="26"/>
      <c r="C15" s="27"/>
      <c r="D15" s="19" t="s">
        <v>13</v>
      </c>
      <c r="E15" s="19">
        <v>120.0</v>
      </c>
      <c r="F15" s="19">
        <v>107.0</v>
      </c>
      <c r="G15" s="19">
        <v>116.0</v>
      </c>
      <c r="H15" s="19">
        <v>117.0</v>
      </c>
      <c r="I15" s="19">
        <v>83.0</v>
      </c>
      <c r="J15" s="19">
        <v>77.0</v>
      </c>
      <c r="K15" s="19">
        <v>131.0</v>
      </c>
      <c r="L15" s="19">
        <v>133.0</v>
      </c>
      <c r="M15" s="19">
        <v>128.0</v>
      </c>
      <c r="N15" s="13">
        <f t="shared" si="1"/>
        <v>1012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243</v>
      </c>
      <c r="F16" s="13">
        <f t="shared" si="2"/>
        <v>210</v>
      </c>
      <c r="G16" s="13">
        <f t="shared" si="2"/>
        <v>223</v>
      </c>
      <c r="H16" s="13">
        <f t="shared" si="2"/>
        <v>232</v>
      </c>
      <c r="I16" s="13">
        <f t="shared" si="2"/>
        <v>164</v>
      </c>
      <c r="J16" s="13">
        <f t="shared" si="2"/>
        <v>150</v>
      </c>
      <c r="K16" s="13">
        <f t="shared" si="2"/>
        <v>246</v>
      </c>
      <c r="L16" s="13">
        <f t="shared" si="2"/>
        <v>279</v>
      </c>
      <c r="M16" s="13">
        <f t="shared" si="2"/>
        <v>260</v>
      </c>
      <c r="N16" s="13">
        <f t="shared" si="1"/>
        <v>2007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78.0</v>
      </c>
      <c r="G19" s="19">
        <v>80.0</v>
      </c>
      <c r="H19" s="19">
        <v>81.0</v>
      </c>
      <c r="I19" s="19">
        <v>55.0</v>
      </c>
      <c r="J19" s="19">
        <v>61.0</v>
      </c>
      <c r="K19" s="19">
        <v>92.0</v>
      </c>
      <c r="L19" s="19">
        <v>112.0</v>
      </c>
      <c r="M19" s="19">
        <v>111.0</v>
      </c>
      <c r="N19" s="13">
        <f t="shared" ref="N19:N30" si="3">SUM(E19:M19)</f>
        <v>752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86.0</v>
      </c>
      <c r="G20" s="19">
        <v>95.0</v>
      </c>
      <c r="H20" s="19">
        <v>92.0</v>
      </c>
      <c r="I20" s="19">
        <v>71.0</v>
      </c>
      <c r="J20" s="19">
        <v>65.0</v>
      </c>
      <c r="K20" s="19">
        <v>105.0</v>
      </c>
      <c r="L20" s="19">
        <v>101.0</v>
      </c>
      <c r="M20" s="19">
        <v>111.0</v>
      </c>
      <c r="N20" s="13">
        <f t="shared" si="3"/>
        <v>822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178</v>
      </c>
      <c r="F21" s="13">
        <f t="shared" si="4"/>
        <v>164</v>
      </c>
      <c r="G21" s="13">
        <f t="shared" si="4"/>
        <v>175</v>
      </c>
      <c r="H21" s="13">
        <f t="shared" si="4"/>
        <v>173</v>
      </c>
      <c r="I21" s="13">
        <f t="shared" si="4"/>
        <v>126</v>
      </c>
      <c r="J21" s="13">
        <f t="shared" si="4"/>
        <v>126</v>
      </c>
      <c r="K21" s="13">
        <f t="shared" si="4"/>
        <v>197</v>
      </c>
      <c r="L21" s="13">
        <f t="shared" si="4"/>
        <v>213</v>
      </c>
      <c r="M21" s="13">
        <f t="shared" si="4"/>
        <v>222</v>
      </c>
      <c r="N21" s="13">
        <f t="shared" si="3"/>
        <v>1574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3.0</v>
      </c>
      <c r="N25" s="13">
        <f t="shared" si="3"/>
        <v>3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2.0</v>
      </c>
      <c r="L26" s="19">
        <v>1.0</v>
      </c>
      <c r="M26" s="19">
        <v>1.0</v>
      </c>
      <c r="N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4</v>
      </c>
      <c r="N27" s="13">
        <f t="shared" si="3"/>
        <v>8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M28" si="7">SUM(E19,E22,E25)</f>
        <v>82</v>
      </c>
      <c r="F28" s="13">
        <f t="shared" si="7"/>
        <v>78</v>
      </c>
      <c r="G28" s="13">
        <f t="shared" si="7"/>
        <v>80</v>
      </c>
      <c r="H28" s="13">
        <f t="shared" si="7"/>
        <v>81</v>
      </c>
      <c r="I28" s="13">
        <f t="shared" si="7"/>
        <v>55</v>
      </c>
      <c r="J28" s="13">
        <f t="shared" si="7"/>
        <v>61</v>
      </c>
      <c r="K28" s="13">
        <f t="shared" si="7"/>
        <v>92</v>
      </c>
      <c r="L28" s="13">
        <f t="shared" si="7"/>
        <v>112</v>
      </c>
      <c r="M28" s="13">
        <f t="shared" si="7"/>
        <v>114</v>
      </c>
      <c r="N28" s="13">
        <f t="shared" si="3"/>
        <v>755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96</v>
      </c>
      <c r="F29" s="13">
        <f t="shared" si="8"/>
        <v>86</v>
      </c>
      <c r="G29" s="13">
        <f t="shared" si="8"/>
        <v>96</v>
      </c>
      <c r="H29" s="13">
        <f t="shared" si="8"/>
        <v>92</v>
      </c>
      <c r="I29" s="13">
        <f t="shared" si="8"/>
        <v>71</v>
      </c>
      <c r="J29" s="13">
        <f t="shared" si="8"/>
        <v>65</v>
      </c>
      <c r="K29" s="13">
        <f t="shared" si="8"/>
        <v>107</v>
      </c>
      <c r="L29" s="13">
        <f t="shared" si="8"/>
        <v>102</v>
      </c>
      <c r="M29" s="13">
        <f t="shared" si="8"/>
        <v>112</v>
      </c>
      <c r="N29" s="13">
        <f t="shared" si="3"/>
        <v>827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178</v>
      </c>
      <c r="F30" s="13">
        <f t="shared" si="9"/>
        <v>164</v>
      </c>
      <c r="G30" s="13">
        <f t="shared" si="9"/>
        <v>176</v>
      </c>
      <c r="H30" s="13">
        <f t="shared" si="9"/>
        <v>173</v>
      </c>
      <c r="I30" s="13">
        <f t="shared" si="9"/>
        <v>126</v>
      </c>
      <c r="J30" s="13">
        <f t="shared" si="9"/>
        <v>126</v>
      </c>
      <c r="K30" s="13">
        <f t="shared" si="9"/>
        <v>199</v>
      </c>
      <c r="L30" s="13">
        <f t="shared" si="9"/>
        <v>214</v>
      </c>
      <c r="M30" s="13">
        <f t="shared" si="9"/>
        <v>226</v>
      </c>
      <c r="N30" s="13">
        <f t="shared" si="3"/>
        <v>1582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210.0</v>
      </c>
      <c r="G33" s="19">
        <v>217.0</v>
      </c>
      <c r="H33" s="19">
        <v>221.0</v>
      </c>
      <c r="I33" s="19">
        <v>157.0</v>
      </c>
      <c r="J33" s="19">
        <v>145.0</v>
      </c>
      <c r="K33" s="19">
        <v>245.0</v>
      </c>
      <c r="L33" s="19">
        <v>292.0</v>
      </c>
      <c r="M33" s="19">
        <v>245.0</v>
      </c>
      <c r="N33" s="13">
        <f t="shared" ref="N33:N36" si="10">SUM(E33:M33)</f>
        <v>1980</v>
      </c>
    </row>
    <row r="34" ht="12.75" customHeight="1">
      <c r="A34" s="19">
        <v>2.0</v>
      </c>
      <c r="B34" s="20" t="s">
        <v>28</v>
      </c>
      <c r="C34" s="15"/>
      <c r="D34" s="16"/>
      <c r="E34" s="13">
        <v>178.0</v>
      </c>
      <c r="F34" s="13">
        <v>164.0</v>
      </c>
      <c r="G34" s="13">
        <v>176.0</v>
      </c>
      <c r="H34" s="13">
        <v>173.0</v>
      </c>
      <c r="I34" s="13">
        <v>126.0</v>
      </c>
      <c r="J34" s="13">
        <v>126.0</v>
      </c>
      <c r="K34" s="13">
        <v>199.0</v>
      </c>
      <c r="L34" s="13">
        <v>214.0</v>
      </c>
      <c r="M34" s="13">
        <v>226.0</v>
      </c>
      <c r="N34" s="13">
        <f t="shared" si="10"/>
        <v>1582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0.0</v>
      </c>
      <c r="H35" s="19">
        <v>22.0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22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70</v>
      </c>
      <c r="F36" s="13">
        <f t="shared" si="11"/>
        <v>46</v>
      </c>
      <c r="G36" s="13">
        <f t="shared" si="11"/>
        <v>41</v>
      </c>
      <c r="H36" s="13">
        <f t="shared" si="11"/>
        <v>26</v>
      </c>
      <c r="I36" s="13">
        <f t="shared" si="11"/>
        <v>31</v>
      </c>
      <c r="J36" s="13">
        <f t="shared" si="11"/>
        <v>19</v>
      </c>
      <c r="K36" s="13">
        <f t="shared" si="11"/>
        <v>46</v>
      </c>
      <c r="L36" s="13">
        <f t="shared" si="11"/>
        <v>78</v>
      </c>
      <c r="M36" s="13">
        <f t="shared" si="11"/>
        <v>19</v>
      </c>
      <c r="N36" s="13">
        <f t="shared" si="10"/>
        <v>376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</row>
    <row r="39" ht="12.75" customHeight="1">
      <c r="A39" s="30"/>
      <c r="B39" s="46" t="s">
        <v>33</v>
      </c>
      <c r="C39" s="23"/>
      <c r="D39" s="19" t="s">
        <v>12</v>
      </c>
      <c r="E39" s="19">
        <v>1.0</v>
      </c>
      <c r="F39" s="19">
        <v>2.0</v>
      </c>
      <c r="G39" s="19">
        <v>3.0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3">
        <f t="shared" ref="N39:N41" si="12">SUM(E39:M39)</f>
        <v>7</v>
      </c>
    </row>
    <row r="40" ht="12.75" customHeight="1">
      <c r="A40" s="34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2</v>
      </c>
    </row>
    <row r="41" ht="12.75" customHeight="1">
      <c r="A41" s="44"/>
      <c r="B41" s="47"/>
      <c r="C41" s="28"/>
      <c r="D41" s="13" t="s">
        <v>14</v>
      </c>
      <c r="E41" s="13">
        <f t="shared" ref="E41:M41" si="13">SUM(E39:E40)</f>
        <v>1</v>
      </c>
      <c r="F41" s="13">
        <f t="shared" si="13"/>
        <v>3</v>
      </c>
      <c r="G41" s="13">
        <f t="shared" si="13"/>
        <v>3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2"/>
        <v>9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50" t="s">
        <v>17</v>
      </c>
      <c r="C45" s="63" t="s">
        <v>38</v>
      </c>
      <c r="D45" s="16"/>
      <c r="E45" s="19">
        <v>18.0</v>
      </c>
      <c r="F45" s="19">
        <v>21.0</v>
      </c>
      <c r="G45" s="19">
        <v>13.0</v>
      </c>
      <c r="H45" s="19">
        <v>13.0</v>
      </c>
      <c r="I45" s="19">
        <v>3.0</v>
      </c>
      <c r="J45" s="19">
        <v>19.0</v>
      </c>
      <c r="K45" s="19">
        <v>31.0</v>
      </c>
      <c r="L45" s="19">
        <v>28.0</v>
      </c>
      <c r="M45" s="19">
        <v>31.0</v>
      </c>
      <c r="N45" s="13">
        <f t="shared" ref="N45:N57" si="14">SUM(E45:M45)</f>
        <v>177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34.0</v>
      </c>
      <c r="F46" s="19">
        <v>20.0</v>
      </c>
      <c r="G46" s="19">
        <v>27.0</v>
      </c>
      <c r="H46" s="19">
        <v>21.0</v>
      </c>
      <c r="I46" s="19">
        <v>29.0</v>
      </c>
      <c r="J46" s="19">
        <v>18.0</v>
      </c>
      <c r="K46" s="19">
        <v>39.0</v>
      </c>
      <c r="L46" s="19">
        <v>37.0</v>
      </c>
      <c r="M46" s="19">
        <v>40.0</v>
      </c>
      <c r="N46" s="13">
        <f t="shared" si="14"/>
        <v>265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9.0</v>
      </c>
      <c r="F47" s="19">
        <v>5.0</v>
      </c>
      <c r="G47" s="19">
        <v>7.0</v>
      </c>
      <c r="H47" s="19">
        <v>8.0</v>
      </c>
      <c r="I47" s="19">
        <v>12.0</v>
      </c>
      <c r="J47" s="19">
        <v>10.0</v>
      </c>
      <c r="K47" s="19">
        <v>11.0</v>
      </c>
      <c r="L47" s="19">
        <v>16.0</v>
      </c>
      <c r="M47" s="19">
        <v>12.0</v>
      </c>
      <c r="N47" s="13">
        <f t="shared" si="14"/>
        <v>90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17.0</v>
      </c>
      <c r="F48" s="19">
        <v>19.0</v>
      </c>
      <c r="G48" s="19">
        <v>18.0</v>
      </c>
      <c r="H48" s="19">
        <v>19.0</v>
      </c>
      <c r="I48" s="19">
        <v>11.0</v>
      </c>
      <c r="J48" s="19">
        <v>15.0</v>
      </c>
      <c r="K48" s="19">
        <v>18.0</v>
      </c>
      <c r="L48" s="19">
        <v>28.0</v>
      </c>
      <c r="M48" s="19">
        <v>16.0</v>
      </c>
      <c r="N48" s="13">
        <f t="shared" si="14"/>
        <v>161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19.0</v>
      </c>
      <c r="F49" s="19">
        <v>14.0</v>
      </c>
      <c r="G49" s="19">
        <v>7.0</v>
      </c>
      <c r="H49" s="19">
        <v>11.0</v>
      </c>
      <c r="I49" s="19">
        <v>12.0</v>
      </c>
      <c r="J49" s="19">
        <v>5.0</v>
      </c>
      <c r="K49" s="19">
        <v>12.0</v>
      </c>
      <c r="L49" s="19">
        <v>21.0</v>
      </c>
      <c r="M49" s="19">
        <v>17.0</v>
      </c>
      <c r="N49" s="13">
        <f t="shared" si="14"/>
        <v>118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10.0</v>
      </c>
      <c r="F50" s="19">
        <v>13.0</v>
      </c>
      <c r="G50" s="19">
        <v>13.0</v>
      </c>
      <c r="H50" s="19">
        <v>13.0</v>
      </c>
      <c r="I50" s="19">
        <v>3.0</v>
      </c>
      <c r="J50" s="19">
        <v>6.0</v>
      </c>
      <c r="K50" s="19">
        <v>16.0</v>
      </c>
      <c r="L50" s="19">
        <v>13.0</v>
      </c>
      <c r="M50" s="19">
        <v>18.0</v>
      </c>
      <c r="N50" s="13">
        <f t="shared" si="14"/>
        <v>105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2.0</v>
      </c>
      <c r="F51" s="19">
        <v>2.0</v>
      </c>
      <c r="G51" s="19">
        <v>3.0</v>
      </c>
      <c r="H51" s="19">
        <v>1.0</v>
      </c>
      <c r="I51" s="19">
        <v>0.0</v>
      </c>
      <c r="J51" s="19">
        <v>1.0</v>
      </c>
      <c r="K51" s="19">
        <v>2.0</v>
      </c>
      <c r="L51" s="19">
        <v>0.0</v>
      </c>
      <c r="M51" s="19">
        <v>2.0</v>
      </c>
      <c r="N51" s="13">
        <f t="shared" si="14"/>
        <v>13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0.0</v>
      </c>
      <c r="F52" s="19">
        <v>1.0</v>
      </c>
      <c r="G52" s="19">
        <v>2.0</v>
      </c>
      <c r="H52" s="19">
        <v>1.0</v>
      </c>
      <c r="I52" s="19">
        <v>0.0</v>
      </c>
      <c r="J52" s="19">
        <v>1.0</v>
      </c>
      <c r="K52" s="19">
        <v>5.0</v>
      </c>
      <c r="L52" s="19">
        <v>0.0</v>
      </c>
      <c r="M52" s="19">
        <v>6.0</v>
      </c>
      <c r="N52" s="13">
        <f t="shared" si="14"/>
        <v>16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0.0</v>
      </c>
      <c r="F53" s="19">
        <v>0.0</v>
      </c>
      <c r="G53" s="19">
        <v>2.0</v>
      </c>
      <c r="H53" s="19">
        <v>0.0</v>
      </c>
      <c r="I53" s="19">
        <v>1.0</v>
      </c>
      <c r="J53" s="19">
        <v>0.0</v>
      </c>
      <c r="K53" s="19">
        <v>0.0</v>
      </c>
      <c r="L53" s="19">
        <v>2.0</v>
      </c>
      <c r="M53" s="19">
        <v>0.0</v>
      </c>
      <c r="N53" s="13">
        <f t="shared" si="14"/>
        <v>5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12.0</v>
      </c>
      <c r="F54" s="19">
        <v>17.0</v>
      </c>
      <c r="G54" s="19">
        <v>20.0</v>
      </c>
      <c r="H54" s="19">
        <v>11.0</v>
      </c>
      <c r="I54" s="19">
        <v>13.0</v>
      </c>
      <c r="J54" s="19">
        <v>15.0</v>
      </c>
      <c r="K54" s="19">
        <v>18.0</v>
      </c>
      <c r="L54" s="19">
        <v>24.0</v>
      </c>
      <c r="M54" s="19">
        <v>22.0</v>
      </c>
      <c r="N54" s="13">
        <f t="shared" si="14"/>
        <v>152</v>
      </c>
    </row>
    <row r="55" ht="15.0" customHeight="1">
      <c r="A55" s="18"/>
      <c r="B55" s="50" t="s">
        <v>54</v>
      </c>
      <c r="C55" s="63" t="s">
        <v>55</v>
      </c>
      <c r="D55" s="16"/>
      <c r="E55" s="19">
        <v>0.0</v>
      </c>
      <c r="F55" s="19">
        <v>0.0</v>
      </c>
      <c r="G55" s="19">
        <v>4.0</v>
      </c>
      <c r="H55" s="19">
        <v>1.0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3">
        <f t="shared" si="14"/>
        <v>7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17.0</v>
      </c>
      <c r="F56" s="19">
        <v>15.0</v>
      </c>
      <c r="G56" s="19">
        <v>14.0</v>
      </c>
      <c r="H56" s="19">
        <v>7.0</v>
      </c>
      <c r="I56" s="19">
        <v>7.0</v>
      </c>
      <c r="J56" s="19">
        <v>10.0</v>
      </c>
      <c r="K56" s="19">
        <v>12.0</v>
      </c>
      <c r="L56" s="19">
        <v>14.0</v>
      </c>
      <c r="M56" s="19">
        <v>21.0</v>
      </c>
      <c r="N56" s="13">
        <f t="shared" si="14"/>
        <v>117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2.0</v>
      </c>
      <c r="F57" s="19">
        <v>4.0</v>
      </c>
      <c r="G57" s="19">
        <v>5.0</v>
      </c>
      <c r="H57" s="19">
        <v>2.0</v>
      </c>
      <c r="I57" s="19">
        <v>2.0</v>
      </c>
      <c r="J57" s="19">
        <v>1.0</v>
      </c>
      <c r="K57" s="19">
        <v>0.0</v>
      </c>
      <c r="L57" s="19">
        <v>1.0</v>
      </c>
      <c r="M57" s="19">
        <v>2.0</v>
      </c>
      <c r="N57" s="13">
        <f t="shared" si="14"/>
        <v>19</v>
      </c>
    </row>
    <row r="58" ht="12.75" customHeight="1">
      <c r="N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M60" si="15">SUM(E45:E57)</f>
        <v>140</v>
      </c>
      <c r="F60" s="19">
        <f t="shared" si="15"/>
        <v>131</v>
      </c>
      <c r="G60" s="19">
        <f t="shared" si="15"/>
        <v>135</v>
      </c>
      <c r="H60" s="19">
        <f t="shared" si="15"/>
        <v>108</v>
      </c>
      <c r="I60" s="19">
        <f t="shared" si="15"/>
        <v>93</v>
      </c>
      <c r="J60" s="19">
        <f t="shared" si="15"/>
        <v>102</v>
      </c>
      <c r="K60" s="19">
        <f t="shared" si="15"/>
        <v>164</v>
      </c>
      <c r="L60" s="19">
        <f t="shared" si="15"/>
        <v>184</v>
      </c>
      <c r="M60" s="19">
        <f t="shared" si="15"/>
        <v>188</v>
      </c>
      <c r="N60" s="13">
        <f t="shared" ref="N60:N62" si="16">SUM(E60:M60)</f>
        <v>1245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38.0</v>
      </c>
      <c r="F61" s="19">
        <v>33.0</v>
      </c>
      <c r="G61" s="19">
        <v>41.0</v>
      </c>
      <c r="H61" s="19">
        <v>65.0</v>
      </c>
      <c r="I61" s="19">
        <v>33.0</v>
      </c>
      <c r="J61" s="19">
        <v>24.0</v>
      </c>
      <c r="K61" s="19">
        <v>35.0</v>
      </c>
      <c r="L61" s="19">
        <v>30.0</v>
      </c>
      <c r="M61" s="19">
        <v>38.0</v>
      </c>
      <c r="N61" s="13">
        <f t="shared" si="16"/>
        <v>337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M62" si="17">SUM(E60:E61)</f>
        <v>178</v>
      </c>
      <c r="F62" s="13">
        <f t="shared" si="17"/>
        <v>164</v>
      </c>
      <c r="G62" s="13">
        <f t="shared" si="17"/>
        <v>176</v>
      </c>
      <c r="H62" s="13">
        <f t="shared" si="17"/>
        <v>173</v>
      </c>
      <c r="I62" s="13">
        <f t="shared" si="17"/>
        <v>126</v>
      </c>
      <c r="J62" s="13">
        <f t="shared" si="17"/>
        <v>126</v>
      </c>
      <c r="K62" s="13">
        <f t="shared" si="17"/>
        <v>199</v>
      </c>
      <c r="L62" s="13">
        <f t="shared" si="17"/>
        <v>214</v>
      </c>
      <c r="M62" s="13">
        <f t="shared" si="17"/>
        <v>226</v>
      </c>
      <c r="N62" s="13">
        <f t="shared" si="16"/>
        <v>1582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3"/>
      <c r="P131" s="53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3"/>
      <c r="P142" s="53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3"/>
      <c r="P152" s="53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3"/>
      <c r="P166" s="53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3"/>
      <c r="P199" s="53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3"/>
      <c r="P208" s="53"/>
    </row>
    <row r="209" ht="12.75" customHeight="1">
      <c r="O209" s="53"/>
      <c r="P209" s="53"/>
    </row>
    <row r="210" ht="12.75" customHeight="1">
      <c r="O210" s="53"/>
      <c r="P210" s="53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3"/>
      <c r="P219" s="53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3"/>
      <c r="P230" s="53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45:M57">
    <cfRule type="containsBlanks" dxfId="1" priority="9">
      <formula>LEN(TRIM(E45))=0</formula>
    </cfRule>
  </conditionalFormatting>
  <conditionalFormatting sqref="E60:M61">
    <cfRule type="containsBlanks" dxfId="1" priority="10">
      <formula>LEN(TRIM(E60))=0</formula>
    </cfRule>
  </conditionalFormatting>
  <conditionalFormatting sqref="E34:M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4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79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145.0</v>
      </c>
      <c r="G14" s="19">
        <v>133.0</v>
      </c>
      <c r="H14" s="19">
        <v>108.0</v>
      </c>
      <c r="I14" s="19">
        <v>127.0</v>
      </c>
      <c r="J14" s="19">
        <v>110.0</v>
      </c>
      <c r="K14" s="19">
        <v>99.0</v>
      </c>
      <c r="L14" s="19">
        <v>106.0</v>
      </c>
      <c r="M14" s="13">
        <f t="shared" ref="M14:M16" si="1">SUM(E14:L14)</f>
        <v>957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129.0</v>
      </c>
      <c r="G15" s="19">
        <v>139.0</v>
      </c>
      <c r="H15" s="19">
        <v>112.0</v>
      </c>
      <c r="I15" s="19">
        <v>133.0</v>
      </c>
      <c r="J15" s="19">
        <v>115.0</v>
      </c>
      <c r="K15" s="19">
        <v>111.0</v>
      </c>
      <c r="L15" s="19">
        <v>109.0</v>
      </c>
      <c r="M15" s="13">
        <f t="shared" si="1"/>
        <v>979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260</v>
      </c>
      <c r="F16" s="13">
        <f t="shared" si="2"/>
        <v>274</v>
      </c>
      <c r="G16" s="13">
        <f t="shared" si="2"/>
        <v>272</v>
      </c>
      <c r="H16" s="13">
        <f t="shared" si="2"/>
        <v>220</v>
      </c>
      <c r="I16" s="13">
        <f t="shared" si="2"/>
        <v>260</v>
      </c>
      <c r="J16" s="13">
        <f t="shared" si="2"/>
        <v>225</v>
      </c>
      <c r="K16" s="13">
        <f t="shared" si="2"/>
        <v>210</v>
      </c>
      <c r="L16" s="13">
        <f t="shared" si="2"/>
        <v>215</v>
      </c>
      <c r="M16" s="13">
        <f t="shared" si="1"/>
        <v>1936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113.0</v>
      </c>
      <c r="G19" s="19">
        <v>102.0</v>
      </c>
      <c r="H19" s="19">
        <v>76.0</v>
      </c>
      <c r="I19" s="19">
        <v>100.0</v>
      </c>
      <c r="J19" s="19">
        <v>99.0</v>
      </c>
      <c r="K19" s="19">
        <v>79.0</v>
      </c>
      <c r="L19" s="19">
        <v>90.0</v>
      </c>
      <c r="M19" s="13">
        <f t="shared" ref="M19:M30" si="3">SUM(E19:L19)</f>
        <v>766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101.0</v>
      </c>
      <c r="G20" s="19">
        <v>113.0</v>
      </c>
      <c r="H20" s="19">
        <v>86.0</v>
      </c>
      <c r="I20" s="19">
        <v>112.0</v>
      </c>
      <c r="J20" s="19">
        <v>97.0</v>
      </c>
      <c r="K20" s="19">
        <v>89.0</v>
      </c>
      <c r="L20" s="19">
        <v>98.0</v>
      </c>
      <c r="M20" s="13">
        <f t="shared" si="3"/>
        <v>792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203</v>
      </c>
      <c r="F21" s="13">
        <f t="shared" si="4"/>
        <v>214</v>
      </c>
      <c r="G21" s="13">
        <f t="shared" si="4"/>
        <v>215</v>
      </c>
      <c r="H21" s="13">
        <f t="shared" si="4"/>
        <v>162</v>
      </c>
      <c r="I21" s="13">
        <f t="shared" si="4"/>
        <v>212</v>
      </c>
      <c r="J21" s="13">
        <f t="shared" si="4"/>
        <v>196</v>
      </c>
      <c r="K21" s="13">
        <f t="shared" si="4"/>
        <v>168</v>
      </c>
      <c r="L21" s="13">
        <f t="shared" si="4"/>
        <v>188</v>
      </c>
      <c r="M21" s="13">
        <f t="shared" si="3"/>
        <v>1558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3"/>
        <v>3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4.0</v>
      </c>
      <c r="K25" s="19">
        <v>1.0</v>
      </c>
      <c r="L25" s="19">
        <v>2.0</v>
      </c>
      <c r="M25" s="13">
        <f t="shared" si="3"/>
        <v>8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1.0</v>
      </c>
      <c r="H26" s="19">
        <v>0.0</v>
      </c>
      <c r="I26" s="19">
        <v>2.0</v>
      </c>
      <c r="J26" s="19">
        <v>2.0</v>
      </c>
      <c r="K26" s="19">
        <v>1.0</v>
      </c>
      <c r="L26" s="19">
        <v>0.0</v>
      </c>
      <c r="M26" s="13">
        <f t="shared" si="3"/>
        <v>7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0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6</v>
      </c>
      <c r="K27" s="13">
        <f t="shared" si="6"/>
        <v>2</v>
      </c>
      <c r="L27" s="13">
        <f t="shared" si="6"/>
        <v>2</v>
      </c>
      <c r="M27" s="13">
        <f t="shared" si="3"/>
        <v>15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115</v>
      </c>
      <c r="G28" s="13">
        <f t="shared" si="7"/>
        <v>102</v>
      </c>
      <c r="H28" s="13">
        <f t="shared" si="7"/>
        <v>76</v>
      </c>
      <c r="I28" s="13">
        <f t="shared" si="7"/>
        <v>101</v>
      </c>
      <c r="J28" s="13">
        <f t="shared" si="7"/>
        <v>104</v>
      </c>
      <c r="K28" s="13">
        <f t="shared" si="7"/>
        <v>80</v>
      </c>
      <c r="L28" s="13">
        <f t="shared" si="7"/>
        <v>92</v>
      </c>
      <c r="M28" s="13">
        <f t="shared" si="3"/>
        <v>777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96</v>
      </c>
      <c r="F29" s="13">
        <f t="shared" si="8"/>
        <v>102</v>
      </c>
      <c r="G29" s="13">
        <f t="shared" si="8"/>
        <v>114</v>
      </c>
      <c r="H29" s="13">
        <f t="shared" si="8"/>
        <v>86</v>
      </c>
      <c r="I29" s="13">
        <f t="shared" si="8"/>
        <v>114</v>
      </c>
      <c r="J29" s="13">
        <f t="shared" si="8"/>
        <v>99</v>
      </c>
      <c r="K29" s="13">
        <f t="shared" si="8"/>
        <v>90</v>
      </c>
      <c r="L29" s="13">
        <f t="shared" si="8"/>
        <v>98</v>
      </c>
      <c r="M29" s="13">
        <f t="shared" si="3"/>
        <v>799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203</v>
      </c>
      <c r="F30" s="13">
        <f t="shared" si="9"/>
        <v>217</v>
      </c>
      <c r="G30" s="13">
        <f t="shared" si="9"/>
        <v>216</v>
      </c>
      <c r="H30" s="13">
        <f t="shared" si="9"/>
        <v>162</v>
      </c>
      <c r="I30" s="13">
        <f t="shared" si="9"/>
        <v>215</v>
      </c>
      <c r="J30" s="13">
        <f t="shared" si="9"/>
        <v>203</v>
      </c>
      <c r="K30" s="13">
        <f t="shared" si="9"/>
        <v>170</v>
      </c>
      <c r="L30" s="13">
        <f t="shared" si="9"/>
        <v>190</v>
      </c>
      <c r="M30" s="13">
        <f t="shared" si="3"/>
        <v>1576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2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270.0</v>
      </c>
      <c r="G33" s="19">
        <v>268.0</v>
      </c>
      <c r="H33" s="19">
        <v>225.0</v>
      </c>
      <c r="I33" s="19">
        <v>266.0</v>
      </c>
      <c r="J33" s="19">
        <v>214.0</v>
      </c>
      <c r="K33" s="19">
        <v>215.0</v>
      </c>
      <c r="L33" s="19">
        <v>209.0</v>
      </c>
      <c r="M33" s="13">
        <f t="shared" ref="M33:M36" si="10">SUM(E33:L33)</f>
        <v>1934</v>
      </c>
    </row>
    <row r="34" ht="12.75" customHeight="1">
      <c r="A34" s="19">
        <v>2.0</v>
      </c>
      <c r="B34" s="20" t="s">
        <v>28</v>
      </c>
      <c r="C34" s="15"/>
      <c r="D34" s="16"/>
      <c r="E34" s="13">
        <v>203.0</v>
      </c>
      <c r="F34" s="13">
        <v>217.0</v>
      </c>
      <c r="G34" s="13">
        <v>216.0</v>
      </c>
      <c r="H34" s="13">
        <v>162.0</v>
      </c>
      <c r="I34" s="13">
        <v>215.0</v>
      </c>
      <c r="J34" s="13">
        <v>203.0</v>
      </c>
      <c r="K34" s="13">
        <v>170.0</v>
      </c>
      <c r="L34" s="13">
        <v>190.0</v>
      </c>
      <c r="M34" s="13">
        <f t="shared" si="10"/>
        <v>1576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64</v>
      </c>
      <c r="F36" s="13">
        <f t="shared" si="11"/>
        <v>53</v>
      </c>
      <c r="G36" s="13">
        <f t="shared" si="11"/>
        <v>52</v>
      </c>
      <c r="H36" s="13">
        <f t="shared" si="11"/>
        <v>63</v>
      </c>
      <c r="I36" s="13">
        <f t="shared" si="11"/>
        <v>51</v>
      </c>
      <c r="J36" s="13">
        <f t="shared" si="11"/>
        <v>11</v>
      </c>
      <c r="K36" s="13">
        <f t="shared" si="11"/>
        <v>45</v>
      </c>
      <c r="L36" s="13">
        <f t="shared" si="11"/>
        <v>19</v>
      </c>
      <c r="M36" s="13">
        <f t="shared" si="10"/>
        <v>358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2"/>
    </row>
    <row r="39" ht="12.75" customHeight="1">
      <c r="A39" s="30"/>
      <c r="B39" s="46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2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/>
      <c r="B45" s="50" t="s">
        <v>17</v>
      </c>
      <c r="C45" s="63" t="s">
        <v>38</v>
      </c>
      <c r="D45" s="16"/>
      <c r="E45" s="19">
        <v>21.0</v>
      </c>
      <c r="F45" s="19">
        <v>26.0</v>
      </c>
      <c r="G45" s="19">
        <v>13.0</v>
      </c>
      <c r="H45" s="19">
        <v>12.0</v>
      </c>
      <c r="I45" s="19">
        <v>13.0</v>
      </c>
      <c r="J45" s="19">
        <v>22.0</v>
      </c>
      <c r="K45" s="19">
        <v>9.0</v>
      </c>
      <c r="L45" s="19">
        <v>20.0</v>
      </c>
      <c r="M45" s="13">
        <f t="shared" ref="M45:M57" si="14">SUM(E45:L45)</f>
        <v>136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38.0</v>
      </c>
      <c r="F46" s="19">
        <v>33.0</v>
      </c>
      <c r="G46" s="19">
        <v>26.0</v>
      </c>
      <c r="H46" s="19">
        <v>24.0</v>
      </c>
      <c r="I46" s="19">
        <v>50.0</v>
      </c>
      <c r="J46" s="19">
        <v>58.0</v>
      </c>
      <c r="K46" s="19">
        <v>41.0</v>
      </c>
      <c r="L46" s="19">
        <v>46.0</v>
      </c>
      <c r="M46" s="13">
        <f t="shared" si="14"/>
        <v>316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17.0</v>
      </c>
      <c r="F47" s="19">
        <v>16.0</v>
      </c>
      <c r="G47" s="19">
        <v>13.0</v>
      </c>
      <c r="H47" s="19">
        <v>8.0</v>
      </c>
      <c r="I47" s="19">
        <v>12.0</v>
      </c>
      <c r="J47" s="19">
        <v>12.0</v>
      </c>
      <c r="K47" s="19">
        <v>15.0</v>
      </c>
      <c r="L47" s="19">
        <v>8.0</v>
      </c>
      <c r="M47" s="13">
        <f t="shared" si="14"/>
        <v>101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15.0</v>
      </c>
      <c r="F48" s="19">
        <v>18.0</v>
      </c>
      <c r="G48" s="19">
        <v>15.0</v>
      </c>
      <c r="H48" s="19">
        <v>13.0</v>
      </c>
      <c r="I48" s="19">
        <v>20.0</v>
      </c>
      <c r="J48" s="19">
        <v>10.0</v>
      </c>
      <c r="K48" s="19">
        <v>20.0</v>
      </c>
      <c r="L48" s="19">
        <v>19.0</v>
      </c>
      <c r="M48" s="13">
        <f t="shared" si="14"/>
        <v>130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19.0</v>
      </c>
      <c r="F49" s="19">
        <v>10.0</v>
      </c>
      <c r="G49" s="19">
        <v>9.0</v>
      </c>
      <c r="H49" s="19">
        <v>13.0</v>
      </c>
      <c r="I49" s="19">
        <v>14.0</v>
      </c>
      <c r="J49" s="19">
        <v>10.0</v>
      </c>
      <c r="K49" s="19">
        <v>13.0</v>
      </c>
      <c r="L49" s="19">
        <v>15.0</v>
      </c>
      <c r="M49" s="13">
        <f t="shared" si="14"/>
        <v>103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12.0</v>
      </c>
      <c r="F50" s="19">
        <v>10.0</v>
      </c>
      <c r="G50" s="19">
        <v>12.0</v>
      </c>
      <c r="H50" s="19">
        <v>8.0</v>
      </c>
      <c r="I50" s="19">
        <v>9.0</v>
      </c>
      <c r="J50" s="19">
        <v>6.0</v>
      </c>
      <c r="K50" s="19">
        <v>7.0</v>
      </c>
      <c r="L50" s="19">
        <v>8.0</v>
      </c>
      <c r="M50" s="13">
        <f t="shared" si="14"/>
        <v>72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2.0</v>
      </c>
      <c r="F51" s="19">
        <v>2.0</v>
      </c>
      <c r="G51" s="19">
        <v>2.0</v>
      </c>
      <c r="H51" s="19">
        <v>0.0</v>
      </c>
      <c r="I51" s="19">
        <v>2.0</v>
      </c>
      <c r="J51" s="19">
        <v>1.0</v>
      </c>
      <c r="K51" s="19">
        <v>4.0</v>
      </c>
      <c r="L51" s="19">
        <v>3.0</v>
      </c>
      <c r="M51" s="13">
        <f t="shared" si="14"/>
        <v>16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1.0</v>
      </c>
      <c r="F52" s="19">
        <v>1.0</v>
      </c>
      <c r="G52" s="19">
        <v>3.0</v>
      </c>
      <c r="H52" s="19">
        <v>1.0</v>
      </c>
      <c r="I52" s="19">
        <v>1.0</v>
      </c>
      <c r="J52" s="19">
        <v>4.0</v>
      </c>
      <c r="K52" s="19">
        <v>0.0</v>
      </c>
      <c r="L52" s="19">
        <v>2.0</v>
      </c>
      <c r="M52" s="13">
        <f t="shared" si="14"/>
        <v>13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1.0</v>
      </c>
      <c r="J53" s="19">
        <v>0.0</v>
      </c>
      <c r="K53" s="19">
        <v>1.0</v>
      </c>
      <c r="L53" s="19">
        <v>1.0</v>
      </c>
      <c r="M53" s="13">
        <f t="shared" si="14"/>
        <v>4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11.0</v>
      </c>
      <c r="F54" s="19">
        <v>16.0</v>
      </c>
      <c r="G54" s="19">
        <v>6.0</v>
      </c>
      <c r="H54" s="19">
        <v>10.0</v>
      </c>
      <c r="I54" s="19">
        <v>18.0</v>
      </c>
      <c r="J54" s="19">
        <v>11.0</v>
      </c>
      <c r="K54" s="19">
        <v>9.0</v>
      </c>
      <c r="L54" s="19">
        <v>9.0</v>
      </c>
      <c r="M54" s="13">
        <f t="shared" si="14"/>
        <v>90</v>
      </c>
    </row>
    <row r="55" ht="15.0" customHeight="1">
      <c r="A55" s="18"/>
      <c r="B55" s="50" t="s">
        <v>54</v>
      </c>
      <c r="C55" s="63" t="s">
        <v>55</v>
      </c>
      <c r="D55" s="16"/>
      <c r="E55" s="19">
        <v>1.0</v>
      </c>
      <c r="F55" s="19">
        <v>1.0</v>
      </c>
      <c r="G55" s="19">
        <v>1.0</v>
      </c>
      <c r="H55" s="19">
        <v>0.0</v>
      </c>
      <c r="I55" s="19">
        <v>0.0</v>
      </c>
      <c r="J55" s="19">
        <v>0.0</v>
      </c>
      <c r="K55" s="19">
        <v>0.0</v>
      </c>
      <c r="L55" s="19">
        <v>1.0</v>
      </c>
      <c r="M55" s="13">
        <f t="shared" si="14"/>
        <v>4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16.0</v>
      </c>
      <c r="F56" s="19">
        <v>14.0</v>
      </c>
      <c r="G56" s="19">
        <v>10.0</v>
      </c>
      <c r="H56" s="19">
        <v>11.0</v>
      </c>
      <c r="I56" s="19">
        <v>22.0</v>
      </c>
      <c r="J56" s="19">
        <v>11.0</v>
      </c>
      <c r="K56" s="19">
        <v>7.0</v>
      </c>
      <c r="L56" s="19">
        <v>8.0</v>
      </c>
      <c r="M56" s="13">
        <f t="shared" si="14"/>
        <v>99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2.0</v>
      </c>
      <c r="F57" s="19">
        <v>3.0</v>
      </c>
      <c r="G57" s="19">
        <v>0.0</v>
      </c>
      <c r="H57" s="19">
        <v>1.0</v>
      </c>
      <c r="I57" s="19">
        <v>2.0</v>
      </c>
      <c r="J57" s="19">
        <v>1.0</v>
      </c>
      <c r="K57" s="19">
        <v>2.0</v>
      </c>
      <c r="L57" s="19">
        <v>0.0</v>
      </c>
      <c r="M57" s="13">
        <f t="shared" si="14"/>
        <v>11</v>
      </c>
    </row>
    <row r="58" ht="12.75" customHeight="1">
      <c r="M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L60" si="15">SUM(E45:E57)</f>
        <v>155</v>
      </c>
      <c r="F60" s="19">
        <f t="shared" si="15"/>
        <v>150</v>
      </c>
      <c r="G60" s="19">
        <f t="shared" si="15"/>
        <v>110</v>
      </c>
      <c r="H60" s="19">
        <f t="shared" si="15"/>
        <v>102</v>
      </c>
      <c r="I60" s="19">
        <f t="shared" si="15"/>
        <v>164</v>
      </c>
      <c r="J60" s="19">
        <f t="shared" si="15"/>
        <v>146</v>
      </c>
      <c r="K60" s="19">
        <f t="shared" si="15"/>
        <v>128</v>
      </c>
      <c r="L60" s="19">
        <f t="shared" si="15"/>
        <v>140</v>
      </c>
      <c r="M60" s="13">
        <f t="shared" ref="M60:M62" si="16">SUM(E60:L60)</f>
        <v>1095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48.0</v>
      </c>
      <c r="F61" s="19">
        <v>67.0</v>
      </c>
      <c r="G61" s="19">
        <v>106.0</v>
      </c>
      <c r="H61" s="19">
        <v>60.0</v>
      </c>
      <c r="I61" s="19">
        <v>51.0</v>
      </c>
      <c r="J61" s="19">
        <v>57.0</v>
      </c>
      <c r="K61" s="19">
        <v>42.0</v>
      </c>
      <c r="L61" s="19">
        <v>50.0</v>
      </c>
      <c r="M61" s="13">
        <f t="shared" si="16"/>
        <v>481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L62" si="17">SUM(E60:E61)</f>
        <v>203</v>
      </c>
      <c r="F62" s="13">
        <f t="shared" si="17"/>
        <v>217</v>
      </c>
      <c r="G62" s="13">
        <f t="shared" si="17"/>
        <v>216</v>
      </c>
      <c r="H62" s="13">
        <f t="shared" si="17"/>
        <v>162</v>
      </c>
      <c r="I62" s="13">
        <f t="shared" si="17"/>
        <v>215</v>
      </c>
      <c r="J62" s="13">
        <f t="shared" si="17"/>
        <v>203</v>
      </c>
      <c r="K62" s="13">
        <f t="shared" si="17"/>
        <v>170</v>
      </c>
      <c r="L62" s="13">
        <f t="shared" si="17"/>
        <v>190</v>
      </c>
      <c r="M62" s="13">
        <f t="shared" si="16"/>
        <v>1576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3"/>
      <c r="O131" s="53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3"/>
      <c r="O142" s="53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3"/>
      <c r="O152" s="53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3"/>
      <c r="O166" s="53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3"/>
      <c r="O199" s="53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3"/>
      <c r="O208" s="53"/>
    </row>
    <row r="209" ht="12.75" customHeight="1">
      <c r="N209" s="53"/>
      <c r="O209" s="53"/>
    </row>
    <row r="210" ht="12.75" customHeight="1">
      <c r="N210" s="53"/>
      <c r="O210" s="53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3"/>
      <c r="O219" s="53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3"/>
      <c r="O230" s="53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45:L57">
    <cfRule type="containsBlanks" dxfId="1" priority="9">
      <formula>LEN(TRIM(E45))=0</formula>
    </cfRule>
  </conditionalFormatting>
  <conditionalFormatting sqref="E60:L61">
    <cfRule type="containsBlanks" dxfId="1" priority="10">
      <formula>LEN(TRIM(E60))=0</formula>
    </cfRule>
  </conditionalFormatting>
  <conditionalFormatting sqref="E34:L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0.43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107.0</v>
      </c>
      <c r="G14" s="19">
        <v>123.0</v>
      </c>
      <c r="H14" s="19">
        <v>127.0</v>
      </c>
      <c r="I14" s="19">
        <v>129.0</v>
      </c>
      <c r="J14" s="19">
        <v>119.0</v>
      </c>
      <c r="K14" s="19">
        <v>115.0</v>
      </c>
      <c r="L14" s="19">
        <v>110.0</v>
      </c>
      <c r="M14" s="13">
        <f t="shared" ref="M14:M16" si="1">SUM(E14:L14)</f>
        <v>978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121.0</v>
      </c>
      <c r="G15" s="19">
        <v>105.0</v>
      </c>
      <c r="H15" s="19">
        <v>132.0</v>
      </c>
      <c r="I15" s="19">
        <v>132.0</v>
      </c>
      <c r="J15" s="19">
        <v>134.0</v>
      </c>
      <c r="K15" s="19">
        <v>115.0</v>
      </c>
      <c r="L15" s="19">
        <v>106.0</v>
      </c>
      <c r="M15" s="13">
        <f t="shared" si="1"/>
        <v>986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289</v>
      </c>
      <c r="F16" s="13">
        <f t="shared" si="2"/>
        <v>228</v>
      </c>
      <c r="G16" s="13">
        <f t="shared" si="2"/>
        <v>228</v>
      </c>
      <c r="H16" s="13">
        <f t="shared" si="2"/>
        <v>259</v>
      </c>
      <c r="I16" s="13">
        <f t="shared" si="2"/>
        <v>261</v>
      </c>
      <c r="J16" s="13">
        <f t="shared" si="2"/>
        <v>253</v>
      </c>
      <c r="K16" s="13">
        <f t="shared" si="2"/>
        <v>230</v>
      </c>
      <c r="L16" s="13">
        <f t="shared" si="2"/>
        <v>216</v>
      </c>
      <c r="M16" s="13">
        <f t="shared" si="1"/>
        <v>1964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83.0</v>
      </c>
      <c r="G19" s="19">
        <v>101.0</v>
      </c>
      <c r="H19" s="19">
        <v>95.0</v>
      </c>
      <c r="I19" s="19">
        <v>108.0</v>
      </c>
      <c r="J19" s="19">
        <v>95.0</v>
      </c>
      <c r="K19" s="19">
        <v>78.0</v>
      </c>
      <c r="L19" s="19">
        <v>84.0</v>
      </c>
      <c r="M19" s="13">
        <f t="shared" ref="M19:M30" si="3">SUM(E19:L19)</f>
        <v>744</v>
      </c>
    </row>
    <row r="20" ht="12.75" customHeight="1">
      <c r="A20" s="34"/>
      <c r="B20" s="27"/>
      <c r="C20" s="35"/>
      <c r="D20" s="19" t="s">
        <v>13</v>
      </c>
      <c r="E20" s="19">
        <v>118.0</v>
      </c>
      <c r="F20" s="19">
        <v>100.0</v>
      </c>
      <c r="G20" s="19">
        <v>83.0</v>
      </c>
      <c r="H20" s="19">
        <v>101.0</v>
      </c>
      <c r="I20" s="19">
        <v>114.0</v>
      </c>
      <c r="J20" s="19">
        <v>109.0</v>
      </c>
      <c r="K20" s="19">
        <v>85.0</v>
      </c>
      <c r="L20" s="19">
        <v>78.0</v>
      </c>
      <c r="M20" s="13">
        <f t="shared" si="3"/>
        <v>788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218</v>
      </c>
      <c r="F21" s="13">
        <f t="shared" si="4"/>
        <v>183</v>
      </c>
      <c r="G21" s="13">
        <f t="shared" si="4"/>
        <v>184</v>
      </c>
      <c r="H21" s="13">
        <f t="shared" si="4"/>
        <v>196</v>
      </c>
      <c r="I21" s="13">
        <f t="shared" si="4"/>
        <v>222</v>
      </c>
      <c r="J21" s="13">
        <f t="shared" si="4"/>
        <v>204</v>
      </c>
      <c r="K21" s="13">
        <f t="shared" si="4"/>
        <v>163</v>
      </c>
      <c r="L21" s="13">
        <f t="shared" si="4"/>
        <v>162</v>
      </c>
      <c r="M21" s="13">
        <f t="shared" si="3"/>
        <v>1532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L28" si="7">SUM(E19,E22,E25)</f>
        <v>100</v>
      </c>
      <c r="F28" s="13">
        <f t="shared" si="7"/>
        <v>83</v>
      </c>
      <c r="G28" s="13">
        <f t="shared" si="7"/>
        <v>101</v>
      </c>
      <c r="H28" s="13">
        <f t="shared" si="7"/>
        <v>95</v>
      </c>
      <c r="I28" s="13">
        <f t="shared" si="7"/>
        <v>109</v>
      </c>
      <c r="J28" s="13">
        <f t="shared" si="7"/>
        <v>95</v>
      </c>
      <c r="K28" s="13">
        <f t="shared" si="7"/>
        <v>78</v>
      </c>
      <c r="L28" s="13">
        <f t="shared" si="7"/>
        <v>84</v>
      </c>
      <c r="M28" s="13">
        <f t="shared" si="3"/>
        <v>745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121</v>
      </c>
      <c r="F29" s="13">
        <f t="shared" si="8"/>
        <v>100</v>
      </c>
      <c r="G29" s="13">
        <f t="shared" si="8"/>
        <v>83</v>
      </c>
      <c r="H29" s="13">
        <f t="shared" si="8"/>
        <v>102</v>
      </c>
      <c r="I29" s="13">
        <f t="shared" si="8"/>
        <v>114</v>
      </c>
      <c r="J29" s="13">
        <f t="shared" si="8"/>
        <v>109</v>
      </c>
      <c r="K29" s="13">
        <f t="shared" si="8"/>
        <v>85</v>
      </c>
      <c r="L29" s="13">
        <f t="shared" si="8"/>
        <v>78</v>
      </c>
      <c r="M29" s="13">
        <f t="shared" si="3"/>
        <v>792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221</v>
      </c>
      <c r="F30" s="13">
        <f t="shared" si="9"/>
        <v>183</v>
      </c>
      <c r="G30" s="13">
        <f t="shared" si="9"/>
        <v>184</v>
      </c>
      <c r="H30" s="13">
        <f t="shared" si="9"/>
        <v>197</v>
      </c>
      <c r="I30" s="13">
        <f t="shared" si="9"/>
        <v>223</v>
      </c>
      <c r="J30" s="13">
        <f t="shared" si="9"/>
        <v>204</v>
      </c>
      <c r="K30" s="13">
        <f t="shared" si="9"/>
        <v>163</v>
      </c>
      <c r="L30" s="13">
        <f t="shared" si="9"/>
        <v>162</v>
      </c>
      <c r="M30" s="13">
        <f t="shared" si="3"/>
        <v>1537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2"/>
    </row>
    <row r="33" ht="12.75" customHeight="1">
      <c r="A33" s="19">
        <v>1.0</v>
      </c>
      <c r="B33" s="20" t="s">
        <v>27</v>
      </c>
      <c r="C33" s="15"/>
      <c r="D33" s="16"/>
      <c r="E33" s="19">
        <v>284.0</v>
      </c>
      <c r="F33" s="19">
        <v>226.0</v>
      </c>
      <c r="G33" s="19">
        <v>222.0</v>
      </c>
      <c r="H33" s="19">
        <v>265.0</v>
      </c>
      <c r="I33" s="19">
        <v>256.0</v>
      </c>
      <c r="J33" s="19">
        <v>246.0</v>
      </c>
      <c r="K33" s="19">
        <v>222.0</v>
      </c>
      <c r="L33" s="19">
        <v>207.0</v>
      </c>
      <c r="M33" s="13">
        <f t="shared" ref="M33:M36" si="10">SUM(E33:L33)</f>
        <v>1928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183.0</v>
      </c>
      <c r="G34" s="13">
        <v>184.0</v>
      </c>
      <c r="H34" s="13">
        <v>197.0</v>
      </c>
      <c r="I34" s="13">
        <v>223.0</v>
      </c>
      <c r="J34" s="13">
        <v>204.0</v>
      </c>
      <c r="K34" s="13">
        <v>163.0</v>
      </c>
      <c r="L34" s="13">
        <v>162.0</v>
      </c>
      <c r="M34" s="13">
        <f t="shared" si="10"/>
        <v>1537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v>63.0</v>
      </c>
      <c r="F36" s="13">
        <v>43.0</v>
      </c>
      <c r="G36" s="13">
        <f t="shared" ref="G36:L36" si="11">G33-(G34+G35)</f>
        <v>38</v>
      </c>
      <c r="H36" s="13">
        <f t="shared" si="11"/>
        <v>68</v>
      </c>
      <c r="I36" s="13">
        <f t="shared" si="11"/>
        <v>33</v>
      </c>
      <c r="J36" s="13">
        <f t="shared" si="11"/>
        <v>42</v>
      </c>
      <c r="K36" s="13">
        <f t="shared" si="11"/>
        <v>59</v>
      </c>
      <c r="L36" s="13">
        <f t="shared" si="11"/>
        <v>45</v>
      </c>
      <c r="M36" s="13">
        <f t="shared" si="10"/>
        <v>391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2"/>
    </row>
    <row r="39" ht="12.75" customHeight="1">
      <c r="A39" s="30"/>
      <c r="B39" s="46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1.0</v>
      </c>
      <c r="L39" s="19">
        <v>0.0</v>
      </c>
      <c r="M39" s="13">
        <f t="shared" ref="M39:M41" si="12">SUM(E39:L39)</f>
        <v>2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1</v>
      </c>
      <c r="L41" s="13">
        <f t="shared" si="13"/>
        <v>0</v>
      </c>
      <c r="M41" s="13">
        <f t="shared" si="12"/>
        <v>3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/>
      <c r="B45" s="50" t="s">
        <v>17</v>
      </c>
      <c r="C45" s="63" t="s">
        <v>38</v>
      </c>
      <c r="D45" s="16"/>
      <c r="E45" s="19">
        <v>19.0</v>
      </c>
      <c r="F45" s="19">
        <v>18.0</v>
      </c>
      <c r="G45" s="19">
        <v>23.0</v>
      </c>
      <c r="H45" s="19">
        <v>11.0</v>
      </c>
      <c r="I45" s="19">
        <v>10.0</v>
      </c>
      <c r="J45" s="19">
        <v>9.0</v>
      </c>
      <c r="K45" s="19">
        <v>12.0</v>
      </c>
      <c r="L45" s="19">
        <v>18.0</v>
      </c>
      <c r="M45" s="13">
        <f t="shared" ref="M45:M57" si="14">SUM(E45:L45)</f>
        <v>120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45.0</v>
      </c>
      <c r="F46" s="19">
        <v>30.0</v>
      </c>
      <c r="G46" s="19">
        <v>31.0</v>
      </c>
      <c r="H46" s="19">
        <v>24.0</v>
      </c>
      <c r="I46" s="19">
        <v>40.0</v>
      </c>
      <c r="J46" s="19">
        <v>50.0</v>
      </c>
      <c r="K46" s="19">
        <v>46.0</v>
      </c>
      <c r="L46" s="19">
        <v>41.0</v>
      </c>
      <c r="M46" s="13">
        <f t="shared" si="14"/>
        <v>307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14.0</v>
      </c>
      <c r="F47" s="19">
        <v>12.0</v>
      </c>
      <c r="G47" s="19">
        <v>14.0</v>
      </c>
      <c r="H47" s="19">
        <v>8.0</v>
      </c>
      <c r="I47" s="19">
        <v>9.0</v>
      </c>
      <c r="J47" s="19">
        <v>10.0</v>
      </c>
      <c r="K47" s="19">
        <v>14.0</v>
      </c>
      <c r="L47" s="19">
        <v>13.0</v>
      </c>
      <c r="M47" s="13">
        <f t="shared" si="14"/>
        <v>94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23.0</v>
      </c>
      <c r="F48" s="19">
        <v>16.0</v>
      </c>
      <c r="G48" s="19">
        <v>13.0</v>
      </c>
      <c r="H48" s="19">
        <v>26.0</v>
      </c>
      <c r="I48" s="19">
        <v>17.0</v>
      </c>
      <c r="J48" s="19">
        <v>17.0</v>
      </c>
      <c r="K48" s="19">
        <v>18.0</v>
      </c>
      <c r="L48" s="19">
        <v>18.0</v>
      </c>
      <c r="M48" s="13">
        <f t="shared" si="14"/>
        <v>148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17.0</v>
      </c>
      <c r="F49" s="19">
        <v>13.0</v>
      </c>
      <c r="G49" s="19">
        <v>12.0</v>
      </c>
      <c r="H49" s="19">
        <v>18.0</v>
      </c>
      <c r="I49" s="19">
        <v>22.0</v>
      </c>
      <c r="J49" s="19">
        <v>12.0</v>
      </c>
      <c r="K49" s="19">
        <v>17.0</v>
      </c>
      <c r="L49" s="19">
        <v>18.0</v>
      </c>
      <c r="M49" s="13">
        <f t="shared" si="14"/>
        <v>129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14.0</v>
      </c>
      <c r="F50" s="19">
        <v>9.0</v>
      </c>
      <c r="G50" s="19">
        <v>20.0</v>
      </c>
      <c r="H50" s="19">
        <v>5.0</v>
      </c>
      <c r="I50" s="19">
        <v>15.0</v>
      </c>
      <c r="J50" s="19">
        <v>12.0</v>
      </c>
      <c r="K50" s="19">
        <v>8.0</v>
      </c>
      <c r="L50" s="19">
        <v>9.0</v>
      </c>
      <c r="M50" s="13">
        <f t="shared" si="14"/>
        <v>92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3.0</v>
      </c>
      <c r="F51" s="19">
        <v>2.0</v>
      </c>
      <c r="G51" s="19">
        <v>2.0</v>
      </c>
      <c r="H51" s="19">
        <v>2.0</v>
      </c>
      <c r="I51" s="19">
        <v>0.0</v>
      </c>
      <c r="J51" s="19">
        <v>2.0</v>
      </c>
      <c r="K51" s="19">
        <v>1.0</v>
      </c>
      <c r="L51" s="19">
        <v>0.0</v>
      </c>
      <c r="M51" s="13">
        <f t="shared" si="14"/>
        <v>12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1.0</v>
      </c>
      <c r="F52" s="19">
        <v>4.0</v>
      </c>
      <c r="G52" s="19">
        <v>2.0</v>
      </c>
      <c r="H52" s="19">
        <v>0.0</v>
      </c>
      <c r="I52" s="19">
        <v>3.0</v>
      </c>
      <c r="J52" s="19">
        <v>1.0</v>
      </c>
      <c r="K52" s="19">
        <v>4.0</v>
      </c>
      <c r="L52" s="19">
        <v>1.0</v>
      </c>
      <c r="M52" s="13">
        <f t="shared" si="14"/>
        <v>16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1.0</v>
      </c>
      <c r="F53" s="19">
        <v>1.0</v>
      </c>
      <c r="G53" s="19">
        <v>0.0</v>
      </c>
      <c r="H53" s="19">
        <v>1.0</v>
      </c>
      <c r="I53" s="19">
        <v>2.0</v>
      </c>
      <c r="J53" s="19">
        <v>0.0</v>
      </c>
      <c r="K53" s="19">
        <v>0.0</v>
      </c>
      <c r="L53" s="19">
        <v>0.0</v>
      </c>
      <c r="M53" s="13">
        <f t="shared" si="14"/>
        <v>5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22.0</v>
      </c>
      <c r="F54" s="19">
        <v>16.0</v>
      </c>
      <c r="G54" s="19">
        <v>10.0</v>
      </c>
      <c r="H54" s="19">
        <v>11.0</v>
      </c>
      <c r="I54" s="19">
        <v>24.0</v>
      </c>
      <c r="J54" s="19">
        <v>5.0</v>
      </c>
      <c r="K54" s="19">
        <v>5.0</v>
      </c>
      <c r="L54" s="19">
        <v>15.0</v>
      </c>
      <c r="M54" s="13">
        <f t="shared" si="14"/>
        <v>108</v>
      </c>
    </row>
    <row r="55" ht="15.0" customHeight="1">
      <c r="A55" s="18"/>
      <c r="B55" s="50" t="s">
        <v>54</v>
      </c>
      <c r="C55" s="63" t="s">
        <v>55</v>
      </c>
      <c r="D55" s="16"/>
      <c r="E55" s="19">
        <v>1.0</v>
      </c>
      <c r="F55" s="19">
        <v>1.0</v>
      </c>
      <c r="G55" s="19">
        <v>0.0</v>
      </c>
      <c r="H55" s="19">
        <v>0.0</v>
      </c>
      <c r="I55" s="19">
        <v>1.0</v>
      </c>
      <c r="J55" s="19">
        <v>1.0</v>
      </c>
      <c r="K55" s="19">
        <v>0.0</v>
      </c>
      <c r="L55" s="19">
        <v>0.0</v>
      </c>
      <c r="M55" s="13">
        <f t="shared" si="14"/>
        <v>4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20.0</v>
      </c>
      <c r="F56" s="19">
        <v>13.0</v>
      </c>
      <c r="G56" s="19">
        <v>9.0</v>
      </c>
      <c r="H56" s="19">
        <v>23.0</v>
      </c>
      <c r="I56" s="19">
        <v>10.0</v>
      </c>
      <c r="J56" s="19">
        <v>15.0</v>
      </c>
      <c r="K56" s="19">
        <v>11.0</v>
      </c>
      <c r="L56" s="19">
        <v>12.0</v>
      </c>
      <c r="M56" s="13">
        <f t="shared" si="14"/>
        <v>113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1.0</v>
      </c>
      <c r="F57" s="19">
        <v>0.0</v>
      </c>
      <c r="G57" s="19">
        <v>2.0</v>
      </c>
      <c r="H57" s="19">
        <v>2.0</v>
      </c>
      <c r="I57" s="19">
        <v>4.0</v>
      </c>
      <c r="J57" s="19">
        <v>4.0</v>
      </c>
      <c r="K57" s="19">
        <v>1.0</v>
      </c>
      <c r="L57" s="19">
        <v>0.0</v>
      </c>
      <c r="M57" s="13">
        <f t="shared" si="14"/>
        <v>14</v>
      </c>
    </row>
    <row r="58" ht="12.75" customHeight="1">
      <c r="M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L60" si="15">SUM(E45:E57)</f>
        <v>181</v>
      </c>
      <c r="F60" s="19">
        <f t="shared" si="15"/>
        <v>135</v>
      </c>
      <c r="G60" s="19">
        <f t="shared" si="15"/>
        <v>138</v>
      </c>
      <c r="H60" s="19">
        <f t="shared" si="15"/>
        <v>131</v>
      </c>
      <c r="I60" s="19">
        <f t="shared" si="15"/>
        <v>157</v>
      </c>
      <c r="J60" s="19">
        <f t="shared" si="15"/>
        <v>138</v>
      </c>
      <c r="K60" s="19">
        <f t="shared" si="15"/>
        <v>137</v>
      </c>
      <c r="L60" s="19">
        <f t="shared" si="15"/>
        <v>145</v>
      </c>
      <c r="M60" s="13">
        <f t="shared" ref="M60:M62" si="16">SUM(E60:L60)</f>
        <v>1162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40.0</v>
      </c>
      <c r="F61" s="19">
        <v>48.0</v>
      </c>
      <c r="G61" s="19">
        <v>46.0</v>
      </c>
      <c r="H61" s="19">
        <v>66.0</v>
      </c>
      <c r="I61" s="19">
        <v>66.0</v>
      </c>
      <c r="J61" s="19">
        <v>66.0</v>
      </c>
      <c r="K61" s="19">
        <v>26.0</v>
      </c>
      <c r="L61" s="19">
        <v>17.0</v>
      </c>
      <c r="M61" s="13">
        <f t="shared" si="16"/>
        <v>375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L62" si="17">SUM(E60:E61)</f>
        <v>221</v>
      </c>
      <c r="F62" s="13">
        <f t="shared" si="17"/>
        <v>183</v>
      </c>
      <c r="G62" s="13">
        <f t="shared" si="17"/>
        <v>184</v>
      </c>
      <c r="H62" s="13">
        <f t="shared" si="17"/>
        <v>197</v>
      </c>
      <c r="I62" s="13">
        <f t="shared" si="17"/>
        <v>223</v>
      </c>
      <c r="J62" s="13">
        <f t="shared" si="17"/>
        <v>204</v>
      </c>
      <c r="K62" s="13">
        <f t="shared" si="17"/>
        <v>163</v>
      </c>
      <c r="L62" s="13">
        <f t="shared" si="17"/>
        <v>162</v>
      </c>
      <c r="M62" s="13">
        <f t="shared" si="16"/>
        <v>1537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3"/>
      <c r="O131" s="53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3"/>
      <c r="O142" s="53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3"/>
      <c r="O152" s="53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3"/>
      <c r="O166" s="53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3"/>
      <c r="O199" s="53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3"/>
      <c r="O208" s="53"/>
    </row>
    <row r="209" ht="12.75" customHeight="1">
      <c r="N209" s="53"/>
      <c r="O209" s="53"/>
    </row>
    <row r="210" ht="12.75" customHeight="1">
      <c r="N210" s="53"/>
      <c r="O210" s="53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3"/>
      <c r="O219" s="53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3"/>
      <c r="O230" s="53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45:L57">
    <cfRule type="containsBlanks" dxfId="1" priority="9">
      <formula>LEN(TRIM(E45))=0</formula>
    </cfRule>
  </conditionalFormatting>
  <conditionalFormatting sqref="E60:L61">
    <cfRule type="containsBlanks" dxfId="1" priority="10">
      <formula>LEN(TRIM(E60))=0</formula>
    </cfRule>
  </conditionalFormatting>
  <conditionalFormatting sqref="E34:L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9.57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82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106.0</v>
      </c>
      <c r="G14" s="19">
        <v>134.0</v>
      </c>
      <c r="H14" s="19">
        <v>146.0</v>
      </c>
      <c r="I14" s="19">
        <v>146.0</v>
      </c>
      <c r="J14" s="64">
        <v>132.0</v>
      </c>
      <c r="K14" s="19">
        <v>138.0</v>
      </c>
      <c r="L14" s="19">
        <v>116.0</v>
      </c>
      <c r="M14" s="19">
        <v>145.0</v>
      </c>
      <c r="N14" s="19">
        <v>148.0</v>
      </c>
      <c r="O14" s="13">
        <f t="shared" ref="O14:O16" si="1">SUM(E14:N14)</f>
        <v>1335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108.0</v>
      </c>
      <c r="G15" s="19">
        <v>147.0</v>
      </c>
      <c r="H15" s="19">
        <v>145.0</v>
      </c>
      <c r="I15" s="19">
        <v>136.0</v>
      </c>
      <c r="J15" s="64">
        <v>134.0</v>
      </c>
      <c r="K15" s="19">
        <v>144.0</v>
      </c>
      <c r="L15" s="19">
        <v>105.0</v>
      </c>
      <c r="M15" s="19">
        <v>138.0</v>
      </c>
      <c r="N15" s="19">
        <v>128.0</v>
      </c>
      <c r="O15" s="13">
        <f t="shared" si="1"/>
        <v>1321</v>
      </c>
    </row>
    <row r="16" ht="12.75" customHeight="1">
      <c r="A16" s="25"/>
      <c r="B16" s="21"/>
      <c r="C16" s="28"/>
      <c r="D16" s="13" t="s">
        <v>14</v>
      </c>
      <c r="E16" s="13">
        <f t="shared" ref="E16:K16" si="2">SUM(E14:E15)</f>
        <v>260</v>
      </c>
      <c r="F16" s="13">
        <f t="shared" si="2"/>
        <v>214</v>
      </c>
      <c r="G16" s="13">
        <f t="shared" si="2"/>
        <v>281</v>
      </c>
      <c r="H16" s="13">
        <f t="shared" si="2"/>
        <v>291</v>
      </c>
      <c r="I16" s="13">
        <f t="shared" si="2"/>
        <v>282</v>
      </c>
      <c r="J16" s="13">
        <f t="shared" si="2"/>
        <v>266</v>
      </c>
      <c r="K16" s="13">
        <f t="shared" si="2"/>
        <v>282</v>
      </c>
      <c r="L16" s="13">
        <f>SUM(L13:L15)</f>
        <v>221</v>
      </c>
      <c r="M16" s="13">
        <f t="shared" ref="M16:N16" si="3">SUM(M14:M15)</f>
        <v>283</v>
      </c>
      <c r="N16" s="13">
        <f t="shared" si="3"/>
        <v>276</v>
      </c>
      <c r="O16" s="13">
        <f t="shared" si="1"/>
        <v>2656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83.0</v>
      </c>
      <c r="G19" s="19">
        <v>120.0</v>
      </c>
      <c r="H19" s="19">
        <v>112.0</v>
      </c>
      <c r="I19" s="19">
        <v>114.0</v>
      </c>
      <c r="J19" s="19">
        <v>110.0</v>
      </c>
      <c r="K19" s="19">
        <v>111.0</v>
      </c>
      <c r="L19" s="19">
        <v>96.0</v>
      </c>
      <c r="M19" s="19">
        <v>113.0</v>
      </c>
      <c r="N19" s="19">
        <v>115.0</v>
      </c>
      <c r="O19" s="13">
        <f t="shared" ref="O19:O30" si="4">SUM(E19:N19)</f>
        <v>1064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97.0</v>
      </c>
      <c r="G20" s="19">
        <v>126.0</v>
      </c>
      <c r="H20" s="19">
        <v>125.0</v>
      </c>
      <c r="I20" s="19">
        <v>115.0</v>
      </c>
      <c r="J20" s="19">
        <v>112.0</v>
      </c>
      <c r="K20" s="19">
        <v>130.0</v>
      </c>
      <c r="L20" s="19">
        <v>93.0</v>
      </c>
      <c r="M20" s="19">
        <v>123.0</v>
      </c>
      <c r="N20" s="19">
        <v>100.0</v>
      </c>
      <c r="O20" s="13">
        <f t="shared" si="4"/>
        <v>1137</v>
      </c>
    </row>
    <row r="21" ht="12.75" customHeight="1">
      <c r="A21" s="36"/>
      <c r="B21" s="28"/>
      <c r="C21" s="37"/>
      <c r="D21" s="13" t="s">
        <v>14</v>
      </c>
      <c r="E21" s="13">
        <f t="shared" ref="E21:H21" si="5">SUM(E19:E20)</f>
        <v>206</v>
      </c>
      <c r="F21" s="13">
        <f t="shared" si="5"/>
        <v>180</v>
      </c>
      <c r="G21" s="13">
        <f t="shared" si="5"/>
        <v>246</v>
      </c>
      <c r="H21" s="13">
        <f t="shared" si="5"/>
        <v>237</v>
      </c>
      <c r="I21" s="13">
        <v>229.0</v>
      </c>
      <c r="J21" s="13">
        <f t="shared" ref="J21:N21" si="6">SUM(J19:J20)</f>
        <v>222</v>
      </c>
      <c r="K21" s="13">
        <f t="shared" si="6"/>
        <v>241</v>
      </c>
      <c r="L21" s="13">
        <f t="shared" si="6"/>
        <v>189</v>
      </c>
      <c r="M21" s="13">
        <f t="shared" si="6"/>
        <v>236</v>
      </c>
      <c r="N21" s="13">
        <f t="shared" si="6"/>
        <v>215</v>
      </c>
      <c r="O21" s="13">
        <f t="shared" si="4"/>
        <v>2201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4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4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N24" si="7">SUM(E22:E23)</f>
        <v>0</v>
      </c>
      <c r="F24" s="13">
        <f t="shared" si="7"/>
        <v>0</v>
      </c>
      <c r="G24" s="13">
        <f t="shared" si="7"/>
        <v>0</v>
      </c>
      <c r="H24" s="13">
        <f t="shared" si="7"/>
        <v>1</v>
      </c>
      <c r="I24" s="13">
        <f t="shared" si="7"/>
        <v>0</v>
      </c>
      <c r="J24" s="13">
        <f t="shared" si="7"/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4"/>
        <v>1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3.0</v>
      </c>
      <c r="K25" s="19">
        <v>0.0</v>
      </c>
      <c r="L25" s="19">
        <v>0.0</v>
      </c>
      <c r="M25" s="19">
        <v>0.0</v>
      </c>
      <c r="N25" s="19">
        <v>0.0</v>
      </c>
      <c r="O25" s="13">
        <f t="shared" si="4"/>
        <v>3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0.0</v>
      </c>
      <c r="O26" s="13">
        <f t="shared" si="4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N27" si="8">SUM(E25:E26)</f>
        <v>0</v>
      </c>
      <c r="F27" s="13">
        <f t="shared" si="8"/>
        <v>0</v>
      </c>
      <c r="G27" s="13">
        <f t="shared" si="8"/>
        <v>0</v>
      </c>
      <c r="H27" s="13">
        <f t="shared" si="8"/>
        <v>0</v>
      </c>
      <c r="I27" s="13">
        <f t="shared" si="8"/>
        <v>0</v>
      </c>
      <c r="J27" s="13">
        <f t="shared" si="8"/>
        <v>4</v>
      </c>
      <c r="K27" s="13">
        <f t="shared" si="8"/>
        <v>0</v>
      </c>
      <c r="L27" s="13">
        <f t="shared" si="8"/>
        <v>0</v>
      </c>
      <c r="M27" s="13">
        <f t="shared" si="8"/>
        <v>0</v>
      </c>
      <c r="N27" s="13">
        <f t="shared" si="8"/>
        <v>0</v>
      </c>
      <c r="O27" s="13">
        <f t="shared" si="4"/>
        <v>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N28" si="9">SUM(E19,E22,E25)</f>
        <v>90</v>
      </c>
      <c r="F28" s="13">
        <f t="shared" si="9"/>
        <v>83</v>
      </c>
      <c r="G28" s="13">
        <f t="shared" si="9"/>
        <v>120</v>
      </c>
      <c r="H28" s="13">
        <f t="shared" si="9"/>
        <v>112</v>
      </c>
      <c r="I28" s="13">
        <f t="shared" si="9"/>
        <v>114</v>
      </c>
      <c r="J28" s="13">
        <f t="shared" si="9"/>
        <v>113</v>
      </c>
      <c r="K28" s="13">
        <f t="shared" si="9"/>
        <v>111</v>
      </c>
      <c r="L28" s="13">
        <f t="shared" si="9"/>
        <v>96</v>
      </c>
      <c r="M28" s="13">
        <f t="shared" si="9"/>
        <v>113</v>
      </c>
      <c r="N28" s="13">
        <f t="shared" si="9"/>
        <v>115</v>
      </c>
      <c r="O28" s="13">
        <f t="shared" si="4"/>
        <v>1067</v>
      </c>
    </row>
    <row r="29" ht="12.75" customHeight="1">
      <c r="A29" s="36"/>
      <c r="B29" s="27"/>
      <c r="C29" s="35"/>
      <c r="D29" s="13" t="s">
        <v>13</v>
      </c>
      <c r="E29" s="13">
        <f t="shared" ref="E29:N29" si="10">SUM(E20,E23,E26)</f>
        <v>116</v>
      </c>
      <c r="F29" s="13">
        <f t="shared" si="10"/>
        <v>97</v>
      </c>
      <c r="G29" s="13">
        <f t="shared" si="10"/>
        <v>126</v>
      </c>
      <c r="H29" s="13">
        <f t="shared" si="10"/>
        <v>126</v>
      </c>
      <c r="I29" s="13">
        <f t="shared" si="10"/>
        <v>115</v>
      </c>
      <c r="J29" s="13">
        <f t="shared" si="10"/>
        <v>113</v>
      </c>
      <c r="K29" s="13">
        <f t="shared" si="10"/>
        <v>130</v>
      </c>
      <c r="L29" s="13">
        <f t="shared" si="10"/>
        <v>93</v>
      </c>
      <c r="M29" s="13">
        <f t="shared" si="10"/>
        <v>123</v>
      </c>
      <c r="N29" s="13">
        <f t="shared" si="10"/>
        <v>100</v>
      </c>
      <c r="O29" s="13">
        <f t="shared" si="4"/>
        <v>1139</v>
      </c>
    </row>
    <row r="30" ht="12.75" customHeight="1">
      <c r="A30" s="36"/>
      <c r="B30" s="28"/>
      <c r="C30" s="37"/>
      <c r="D30" s="13" t="s">
        <v>14</v>
      </c>
      <c r="E30" s="13">
        <f t="shared" ref="E30:N30" si="11">SUM(E28:E29)</f>
        <v>206</v>
      </c>
      <c r="F30" s="13">
        <f t="shared" si="11"/>
        <v>180</v>
      </c>
      <c r="G30" s="13">
        <f t="shared" si="11"/>
        <v>246</v>
      </c>
      <c r="H30" s="13">
        <f t="shared" si="11"/>
        <v>238</v>
      </c>
      <c r="I30" s="13">
        <f t="shared" si="11"/>
        <v>229</v>
      </c>
      <c r="J30" s="13">
        <f t="shared" si="11"/>
        <v>226</v>
      </c>
      <c r="K30" s="13">
        <f t="shared" si="11"/>
        <v>241</v>
      </c>
      <c r="L30" s="13">
        <f t="shared" si="11"/>
        <v>189</v>
      </c>
      <c r="M30" s="13">
        <f t="shared" si="11"/>
        <v>236</v>
      </c>
      <c r="N30" s="13">
        <f t="shared" si="11"/>
        <v>215</v>
      </c>
      <c r="O30" s="13">
        <f t="shared" si="4"/>
        <v>2206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6"/>
      <c r="O32" s="62"/>
    </row>
    <row r="33" ht="12.75" customHeight="1">
      <c r="A33" s="19">
        <v>1.0</v>
      </c>
      <c r="B33" s="20" t="s">
        <v>27</v>
      </c>
      <c r="C33" s="15"/>
      <c r="D33" s="16"/>
      <c r="E33" s="19">
        <v>251.0</v>
      </c>
      <c r="F33" s="19">
        <v>204.0</v>
      </c>
      <c r="G33" s="19">
        <v>264.0</v>
      </c>
      <c r="H33" s="19">
        <v>284.0</v>
      </c>
      <c r="I33" s="19">
        <v>275.0</v>
      </c>
      <c r="J33" s="19">
        <v>258.0</v>
      </c>
      <c r="K33" s="19">
        <v>274.0</v>
      </c>
      <c r="L33" s="19">
        <v>210.0</v>
      </c>
      <c r="M33" s="19">
        <v>276.0</v>
      </c>
      <c r="N33" s="19">
        <v>270.0</v>
      </c>
      <c r="O33" s="13">
        <f t="shared" ref="O33:O36" si="12">SUM(E33:N33)</f>
        <v>2566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180.0</v>
      </c>
      <c r="G34" s="13">
        <v>246.0</v>
      </c>
      <c r="H34" s="13">
        <v>238.0</v>
      </c>
      <c r="I34" s="13">
        <v>229.0</v>
      </c>
      <c r="J34" s="13">
        <v>226.0</v>
      </c>
      <c r="K34" s="13">
        <v>241.0</v>
      </c>
      <c r="L34" s="13">
        <v>189.0</v>
      </c>
      <c r="M34" s="13">
        <v>236.0</v>
      </c>
      <c r="N34" s="13">
        <v>215.0</v>
      </c>
      <c r="O34" s="13">
        <f t="shared" si="12"/>
        <v>2206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/>
      <c r="N35" s="19">
        <v>0.0</v>
      </c>
      <c r="O35" s="13">
        <f t="shared" si="12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3">E33-(E34+E35)</f>
        <v>45</v>
      </c>
      <c r="F36" s="13">
        <f t="shared" si="13"/>
        <v>24</v>
      </c>
      <c r="G36" s="13">
        <f t="shared" si="13"/>
        <v>18</v>
      </c>
      <c r="H36" s="13">
        <f t="shared" si="13"/>
        <v>46</v>
      </c>
      <c r="I36" s="13">
        <f t="shared" si="13"/>
        <v>46</v>
      </c>
      <c r="J36" s="13">
        <f t="shared" si="13"/>
        <v>32</v>
      </c>
      <c r="K36" s="13">
        <f t="shared" si="13"/>
        <v>33</v>
      </c>
      <c r="L36" s="13">
        <f t="shared" si="13"/>
        <v>21</v>
      </c>
      <c r="M36" s="13">
        <f t="shared" si="13"/>
        <v>40</v>
      </c>
      <c r="N36" s="13">
        <f t="shared" si="13"/>
        <v>55</v>
      </c>
      <c r="O36" s="13">
        <f t="shared" si="12"/>
        <v>360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6"/>
      <c r="O38" s="62"/>
    </row>
    <row r="39" ht="12.75" customHeight="1">
      <c r="A39" s="30"/>
      <c r="B39" s="46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3">
        <f t="shared" ref="O39:O41" si="14">SUM(E39:N39)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4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N41" si="15">SUM(E39:E40)</f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1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4"/>
        <v>1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66"/>
      <c r="O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3"/>
    </row>
    <row r="45" ht="12.75" customHeight="1">
      <c r="A45" s="30"/>
      <c r="B45" s="50" t="s">
        <v>17</v>
      </c>
      <c r="C45" s="63" t="s">
        <v>38</v>
      </c>
      <c r="D45" s="16"/>
      <c r="E45" s="19">
        <v>17.0</v>
      </c>
      <c r="F45" s="19">
        <v>12.0</v>
      </c>
      <c r="G45" s="19">
        <v>22.0</v>
      </c>
      <c r="H45" s="19">
        <v>21.0</v>
      </c>
      <c r="I45" s="19">
        <v>40.0</v>
      </c>
      <c r="J45" s="19">
        <v>12.0</v>
      </c>
      <c r="K45" s="19">
        <v>16.0</v>
      </c>
      <c r="L45" s="19">
        <v>32.0</v>
      </c>
      <c r="M45" s="19">
        <v>21.0</v>
      </c>
      <c r="N45" s="19">
        <v>20.0</v>
      </c>
      <c r="O45" s="13">
        <f t="shared" ref="O45:O57" si="16">SUM(E45:N45)</f>
        <v>213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41.0</v>
      </c>
      <c r="F46" s="19">
        <v>43.0</v>
      </c>
      <c r="G46" s="19">
        <v>51.0</v>
      </c>
      <c r="H46" s="19">
        <v>35.0</v>
      </c>
      <c r="I46" s="19">
        <v>45.0</v>
      </c>
      <c r="J46" s="19">
        <v>44.0</v>
      </c>
      <c r="K46" s="19">
        <v>61.0</v>
      </c>
      <c r="L46" s="19">
        <v>48.0</v>
      </c>
      <c r="M46" s="19">
        <v>64.0</v>
      </c>
      <c r="N46" s="19">
        <v>47.0</v>
      </c>
      <c r="O46" s="13">
        <f t="shared" si="16"/>
        <v>479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12.0</v>
      </c>
      <c r="F47" s="19">
        <v>7.0</v>
      </c>
      <c r="G47" s="19">
        <v>20.0</v>
      </c>
      <c r="H47" s="19">
        <v>16.0</v>
      </c>
      <c r="I47" s="19">
        <v>9.0</v>
      </c>
      <c r="J47" s="19">
        <v>8.0</v>
      </c>
      <c r="K47" s="19">
        <v>18.0</v>
      </c>
      <c r="L47" s="19">
        <v>18.0</v>
      </c>
      <c r="M47" s="19">
        <v>6.0</v>
      </c>
      <c r="N47" s="19">
        <v>16.0</v>
      </c>
      <c r="O47" s="13">
        <f t="shared" si="16"/>
        <v>130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30.0</v>
      </c>
      <c r="F48" s="19">
        <v>14.0</v>
      </c>
      <c r="G48" s="19">
        <v>29.0</v>
      </c>
      <c r="H48" s="19">
        <v>24.0</v>
      </c>
      <c r="I48" s="19">
        <v>19.0</v>
      </c>
      <c r="J48" s="19">
        <v>15.0</v>
      </c>
      <c r="K48" s="19">
        <v>19.0</v>
      </c>
      <c r="L48" s="19">
        <v>22.0</v>
      </c>
      <c r="M48" s="19">
        <v>25.0</v>
      </c>
      <c r="N48" s="19">
        <v>13.0</v>
      </c>
      <c r="O48" s="13">
        <f t="shared" si="16"/>
        <v>210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6.0</v>
      </c>
      <c r="F49" s="19">
        <v>5.0</v>
      </c>
      <c r="G49" s="19">
        <v>18.0</v>
      </c>
      <c r="H49" s="19">
        <v>17.0</v>
      </c>
      <c r="I49" s="19">
        <v>17.0</v>
      </c>
      <c r="J49" s="19">
        <v>15.0</v>
      </c>
      <c r="K49" s="19">
        <v>14.0</v>
      </c>
      <c r="L49" s="19">
        <v>9.0</v>
      </c>
      <c r="M49" s="19">
        <v>10.0</v>
      </c>
      <c r="N49" s="19">
        <v>17.0</v>
      </c>
      <c r="O49" s="13">
        <f t="shared" si="16"/>
        <v>128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4.0</v>
      </c>
      <c r="F50" s="19">
        <v>9.0</v>
      </c>
      <c r="G50" s="19">
        <v>15.0</v>
      </c>
      <c r="H50" s="19">
        <v>12.0</v>
      </c>
      <c r="I50" s="19">
        <v>12.0</v>
      </c>
      <c r="J50" s="19">
        <v>14.0</v>
      </c>
      <c r="K50" s="19">
        <v>20.0</v>
      </c>
      <c r="L50" s="19">
        <v>13.0</v>
      </c>
      <c r="M50" s="19">
        <v>8.0</v>
      </c>
      <c r="N50" s="19">
        <v>19.0</v>
      </c>
      <c r="O50" s="13">
        <f t="shared" si="16"/>
        <v>126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4.0</v>
      </c>
      <c r="F51" s="19">
        <v>2.0</v>
      </c>
      <c r="G51" s="19">
        <v>5.0</v>
      </c>
      <c r="H51" s="19">
        <v>2.0</v>
      </c>
      <c r="I51" s="19">
        <v>3.0</v>
      </c>
      <c r="J51" s="19">
        <v>2.0</v>
      </c>
      <c r="K51" s="19">
        <v>0.0</v>
      </c>
      <c r="L51" s="19">
        <v>0.0</v>
      </c>
      <c r="M51" s="19">
        <v>4.0</v>
      </c>
      <c r="N51" s="19">
        <v>2.0</v>
      </c>
      <c r="O51" s="13">
        <f t="shared" si="16"/>
        <v>24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4.0</v>
      </c>
      <c r="F52" s="19">
        <v>2.0</v>
      </c>
      <c r="G52" s="19">
        <v>2.0</v>
      </c>
      <c r="H52" s="19">
        <v>2.0</v>
      </c>
      <c r="I52" s="19">
        <v>4.0</v>
      </c>
      <c r="J52" s="19">
        <v>1.0</v>
      </c>
      <c r="K52" s="19">
        <v>2.0</v>
      </c>
      <c r="L52" s="19">
        <v>1.0</v>
      </c>
      <c r="M52" s="19">
        <v>0.0</v>
      </c>
      <c r="N52" s="19">
        <v>11.0</v>
      </c>
      <c r="O52" s="13">
        <f t="shared" si="16"/>
        <v>29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0.0</v>
      </c>
      <c r="J53" s="19">
        <v>1.0</v>
      </c>
      <c r="K53" s="19">
        <v>0.0</v>
      </c>
      <c r="L53" s="19">
        <v>1.0</v>
      </c>
      <c r="M53" s="19">
        <v>2.0</v>
      </c>
      <c r="N53" s="19">
        <v>0.0</v>
      </c>
      <c r="O53" s="13">
        <f t="shared" si="16"/>
        <v>6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20.0</v>
      </c>
      <c r="F54" s="19">
        <v>24.0</v>
      </c>
      <c r="G54" s="19">
        <v>20.0</v>
      </c>
      <c r="H54" s="19">
        <v>26.0</v>
      </c>
      <c r="I54" s="19">
        <v>22.0</v>
      </c>
      <c r="J54" s="19">
        <v>22.0</v>
      </c>
      <c r="K54" s="19">
        <v>26.0</v>
      </c>
      <c r="L54" s="19">
        <v>20.0</v>
      </c>
      <c r="M54" s="19">
        <v>29.0</v>
      </c>
      <c r="N54" s="19">
        <v>25.0</v>
      </c>
      <c r="O54" s="13">
        <f t="shared" si="16"/>
        <v>234</v>
      </c>
    </row>
    <row r="55" ht="15.0" customHeight="1">
      <c r="A55" s="18"/>
      <c r="B55" s="50" t="s">
        <v>54</v>
      </c>
      <c r="C55" s="63" t="s">
        <v>55</v>
      </c>
      <c r="D55" s="16"/>
      <c r="E55" s="19">
        <v>0.0</v>
      </c>
      <c r="F55" s="19">
        <v>1.0</v>
      </c>
      <c r="G55" s="19">
        <v>0.0</v>
      </c>
      <c r="H55" s="19">
        <v>1.0</v>
      </c>
      <c r="I55" s="19">
        <v>1.0</v>
      </c>
      <c r="J55" s="19">
        <v>2.0</v>
      </c>
      <c r="K55" s="19">
        <v>2.0</v>
      </c>
      <c r="L55" s="19">
        <v>0.0</v>
      </c>
      <c r="M55" s="19">
        <v>1.0</v>
      </c>
      <c r="N55" s="19">
        <v>1.0</v>
      </c>
      <c r="O55" s="13">
        <f t="shared" si="16"/>
        <v>9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17.0</v>
      </c>
      <c r="F56" s="19">
        <v>13.0</v>
      </c>
      <c r="G56" s="19">
        <v>24.0</v>
      </c>
      <c r="H56" s="19">
        <v>23.0</v>
      </c>
      <c r="I56" s="19">
        <v>9.0</v>
      </c>
      <c r="J56" s="19">
        <v>25.0</v>
      </c>
      <c r="K56" s="19">
        <v>15.0</v>
      </c>
      <c r="L56" s="19">
        <v>10.0</v>
      </c>
      <c r="M56" s="19">
        <v>26.0</v>
      </c>
      <c r="N56" s="19">
        <v>19.0</v>
      </c>
      <c r="O56" s="13">
        <f t="shared" si="16"/>
        <v>181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1.0</v>
      </c>
      <c r="F57" s="19">
        <v>2.0</v>
      </c>
      <c r="G57" s="19">
        <v>1.0</v>
      </c>
      <c r="H57" s="19">
        <v>2.0</v>
      </c>
      <c r="I57" s="19">
        <v>4.0</v>
      </c>
      <c r="J57" s="19">
        <v>5.0</v>
      </c>
      <c r="K57" s="19">
        <v>9.0</v>
      </c>
      <c r="L57" s="19">
        <v>1.0</v>
      </c>
      <c r="M57" s="19">
        <v>1.0</v>
      </c>
      <c r="N57" s="19">
        <v>1.0</v>
      </c>
      <c r="O57" s="13">
        <f t="shared" si="16"/>
        <v>27</v>
      </c>
    </row>
    <row r="58" ht="12.75" customHeight="1">
      <c r="O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N60" si="17">SUM(E45:E57)</f>
        <v>156</v>
      </c>
      <c r="F60" s="19">
        <f t="shared" si="17"/>
        <v>134</v>
      </c>
      <c r="G60" s="19">
        <f t="shared" si="17"/>
        <v>208</v>
      </c>
      <c r="H60" s="19">
        <f t="shared" si="17"/>
        <v>182</v>
      </c>
      <c r="I60" s="19">
        <f t="shared" si="17"/>
        <v>185</v>
      </c>
      <c r="J60" s="19">
        <f t="shared" si="17"/>
        <v>166</v>
      </c>
      <c r="K60" s="19">
        <f t="shared" si="17"/>
        <v>202</v>
      </c>
      <c r="L60" s="19">
        <f t="shared" si="17"/>
        <v>175</v>
      </c>
      <c r="M60" s="19">
        <f t="shared" si="17"/>
        <v>197</v>
      </c>
      <c r="N60" s="19">
        <f t="shared" si="17"/>
        <v>191</v>
      </c>
      <c r="O60" s="13">
        <f t="shared" ref="O60:O62" si="18">SUM(E60:N60)</f>
        <v>1796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50.0</v>
      </c>
      <c r="F61" s="19">
        <v>46.0</v>
      </c>
      <c r="G61" s="19">
        <v>38.0</v>
      </c>
      <c r="H61" s="19">
        <v>56.0</v>
      </c>
      <c r="I61" s="19">
        <v>44.0</v>
      </c>
      <c r="J61" s="19">
        <v>60.0</v>
      </c>
      <c r="K61" s="19">
        <v>39.0</v>
      </c>
      <c r="L61" s="19">
        <v>14.0</v>
      </c>
      <c r="M61" s="19">
        <v>39.0</v>
      </c>
      <c r="N61" s="19">
        <v>24.0</v>
      </c>
      <c r="O61" s="13">
        <f t="shared" si="18"/>
        <v>410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N62" si="19">SUM(E60:E61)</f>
        <v>206</v>
      </c>
      <c r="F62" s="13">
        <f t="shared" si="19"/>
        <v>180</v>
      </c>
      <c r="G62" s="13">
        <f t="shared" si="19"/>
        <v>246</v>
      </c>
      <c r="H62" s="13">
        <f t="shared" si="19"/>
        <v>238</v>
      </c>
      <c r="I62" s="13">
        <f t="shared" si="19"/>
        <v>229</v>
      </c>
      <c r="J62" s="13">
        <f t="shared" si="19"/>
        <v>226</v>
      </c>
      <c r="K62" s="13">
        <f t="shared" si="19"/>
        <v>241</v>
      </c>
      <c r="L62" s="13">
        <f t="shared" si="19"/>
        <v>189</v>
      </c>
      <c r="M62" s="13">
        <f t="shared" si="19"/>
        <v>236</v>
      </c>
      <c r="N62" s="13">
        <f t="shared" si="19"/>
        <v>215</v>
      </c>
      <c r="O62" s="13">
        <f t="shared" si="18"/>
        <v>2206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P117" s="5"/>
      <c r="Q117" s="5"/>
    </row>
    <row r="118" ht="12.75" customHeight="1">
      <c r="P118" s="5"/>
      <c r="Q118" s="5"/>
    </row>
    <row r="119" ht="12.75" customHeight="1">
      <c r="P119" s="5"/>
      <c r="Q119" s="5"/>
    </row>
    <row r="120" ht="12.75" customHeight="1">
      <c r="P120" s="5"/>
      <c r="Q120" s="5"/>
    </row>
    <row r="121" ht="12.75" customHeight="1">
      <c r="P121" s="5"/>
      <c r="Q121" s="5"/>
    </row>
    <row r="122" ht="12.75" customHeight="1">
      <c r="P122" s="5"/>
      <c r="Q122" s="5"/>
    </row>
    <row r="123" ht="12.75" customHeight="1">
      <c r="P123" s="5"/>
      <c r="Q123" s="5"/>
    </row>
    <row r="124" ht="12.75" customHeight="1">
      <c r="P124" s="5"/>
      <c r="Q124" s="5"/>
    </row>
    <row r="125" ht="12.75" customHeight="1">
      <c r="P125" s="5"/>
      <c r="Q125" s="5"/>
    </row>
    <row r="126" ht="12.75" customHeight="1">
      <c r="P126" s="5"/>
      <c r="Q126" s="5"/>
    </row>
    <row r="127" ht="12.75" customHeight="1">
      <c r="P127" s="5"/>
      <c r="Q127" s="5"/>
    </row>
    <row r="128" ht="12.75" customHeight="1">
      <c r="P128" s="5"/>
      <c r="Q128" s="5"/>
    </row>
    <row r="129" ht="12.75" customHeight="1">
      <c r="P129" s="5"/>
      <c r="Q129" s="5"/>
    </row>
    <row r="130" ht="12.75" customHeight="1">
      <c r="P130" s="1"/>
      <c r="Q130" s="1"/>
    </row>
    <row r="131" ht="12.75" customHeight="1">
      <c r="P131" s="53"/>
      <c r="Q131" s="53"/>
    </row>
    <row r="132" ht="12.75" customHeight="1">
      <c r="P132" s="5"/>
      <c r="Q132" s="5"/>
    </row>
    <row r="133" ht="12.75" customHeight="1">
      <c r="P133" s="5"/>
      <c r="Q133" s="5"/>
    </row>
    <row r="134" ht="12.75" customHeight="1">
      <c r="P134" s="5"/>
      <c r="Q134" s="5"/>
    </row>
    <row r="135" ht="12.75" customHeight="1">
      <c r="P135" s="5"/>
      <c r="Q135" s="5"/>
    </row>
    <row r="136" ht="12.75" customHeight="1">
      <c r="P136" s="5"/>
      <c r="Q136" s="5"/>
    </row>
    <row r="137" ht="12.75" customHeight="1">
      <c r="P137" s="5"/>
      <c r="Q137" s="5"/>
    </row>
    <row r="138" ht="12.75" customHeight="1">
      <c r="P138" s="5"/>
      <c r="Q138" s="5"/>
    </row>
    <row r="139" ht="12.75" customHeight="1">
      <c r="P139" s="5"/>
      <c r="Q139" s="5"/>
    </row>
    <row r="140" ht="12.75" customHeight="1">
      <c r="P140" s="5"/>
      <c r="Q140" s="5"/>
    </row>
    <row r="141" ht="12.75" customHeight="1">
      <c r="P141" s="1"/>
      <c r="Q141" s="1"/>
    </row>
    <row r="142" ht="12.75" customHeight="1">
      <c r="P142" s="53"/>
      <c r="Q142" s="53"/>
    </row>
    <row r="143" ht="12.75" customHeight="1">
      <c r="P143" s="5"/>
      <c r="Q143" s="5"/>
    </row>
    <row r="144" ht="12.75" customHeight="1">
      <c r="P144" s="5"/>
      <c r="Q144" s="5"/>
    </row>
    <row r="145" ht="12.75" customHeight="1">
      <c r="P145" s="5"/>
      <c r="Q145" s="5"/>
    </row>
    <row r="146" ht="12.75" customHeight="1">
      <c r="P146" s="5"/>
      <c r="Q146" s="5"/>
    </row>
    <row r="147" ht="12.75" customHeight="1">
      <c r="P147" s="5"/>
      <c r="Q147" s="5"/>
    </row>
    <row r="148" ht="12.75" customHeight="1">
      <c r="P148" s="5"/>
      <c r="Q148" s="5"/>
    </row>
    <row r="149" ht="12.75" customHeight="1">
      <c r="P149" s="5"/>
      <c r="Q149" s="5"/>
    </row>
    <row r="150" ht="12.75" customHeight="1">
      <c r="P150" s="5"/>
      <c r="Q150" s="5"/>
    </row>
    <row r="151" ht="12.75" customHeight="1">
      <c r="P151" s="1"/>
      <c r="Q151" s="1"/>
    </row>
    <row r="152" ht="12.75" customHeight="1">
      <c r="P152" s="53"/>
      <c r="Q152" s="53"/>
    </row>
    <row r="153" ht="12.75" customHeight="1">
      <c r="P153" s="5"/>
      <c r="Q153" s="5"/>
    </row>
    <row r="154" ht="12.75" customHeight="1">
      <c r="P154" s="5"/>
      <c r="Q154" s="5"/>
    </row>
    <row r="155" ht="12.75" customHeight="1">
      <c r="P155" s="5"/>
      <c r="Q155" s="5"/>
    </row>
    <row r="156" ht="12.75" customHeight="1">
      <c r="P156" s="5"/>
      <c r="Q156" s="5"/>
    </row>
    <row r="157" ht="12.75" customHeight="1">
      <c r="P157" s="5"/>
      <c r="Q157" s="5"/>
    </row>
    <row r="158" ht="12.75" customHeight="1">
      <c r="P158" s="5"/>
      <c r="Q158" s="5"/>
    </row>
    <row r="159" ht="12.75" customHeight="1">
      <c r="P159" s="5"/>
      <c r="Q159" s="5"/>
    </row>
    <row r="160" ht="12.75" customHeight="1">
      <c r="P160" s="5"/>
      <c r="Q160" s="5"/>
    </row>
    <row r="161" ht="12.75" customHeight="1">
      <c r="P161" s="5"/>
      <c r="Q161" s="5"/>
    </row>
    <row r="162" ht="12.75" customHeight="1">
      <c r="P162" s="5"/>
      <c r="Q162" s="5"/>
    </row>
    <row r="163" ht="12.75" customHeight="1">
      <c r="P163" s="5"/>
      <c r="Q163" s="5"/>
    </row>
    <row r="164" ht="12.75" customHeight="1">
      <c r="P164" s="5"/>
      <c r="Q164" s="5"/>
    </row>
    <row r="165" ht="12.75" customHeight="1">
      <c r="P165" s="1"/>
      <c r="Q165" s="1"/>
    </row>
    <row r="166" ht="12.75" customHeight="1">
      <c r="P166" s="53"/>
      <c r="Q166" s="53"/>
    </row>
    <row r="167" ht="12.75" customHeight="1">
      <c r="P167" s="5"/>
      <c r="Q167" s="5"/>
    </row>
    <row r="168" ht="12.75" customHeight="1">
      <c r="P168" s="5"/>
      <c r="Q168" s="5"/>
    </row>
    <row r="169" ht="12.75" customHeight="1">
      <c r="P169" s="5"/>
      <c r="Q169" s="5"/>
    </row>
    <row r="170" ht="12.75" customHeight="1">
      <c r="P170" s="5"/>
      <c r="Q170" s="5"/>
    </row>
    <row r="171" ht="12.75" customHeight="1">
      <c r="P171" s="5"/>
      <c r="Q171" s="5"/>
    </row>
    <row r="172" ht="12.75" customHeight="1">
      <c r="P172" s="5"/>
      <c r="Q172" s="5"/>
    </row>
    <row r="173" ht="12.75" customHeight="1">
      <c r="P173" s="5"/>
      <c r="Q173" s="5"/>
    </row>
    <row r="174" ht="12.75" customHeight="1">
      <c r="P174" s="5"/>
      <c r="Q174" s="5"/>
    </row>
    <row r="175" ht="12.75" customHeight="1">
      <c r="P175" s="5"/>
      <c r="Q175" s="5"/>
    </row>
    <row r="176" ht="12.75" customHeight="1">
      <c r="P176" s="1"/>
      <c r="Q176" s="1"/>
    </row>
    <row r="177" ht="12.75" customHeight="1"/>
    <row r="178" ht="12.75" customHeight="1">
      <c r="P178" s="5"/>
      <c r="Q178" s="5"/>
    </row>
    <row r="179" ht="12.75" customHeight="1">
      <c r="P179" s="5"/>
      <c r="Q179" s="5"/>
    </row>
    <row r="180" ht="12.75" customHeight="1">
      <c r="P180" s="5"/>
      <c r="Q180" s="5"/>
    </row>
    <row r="181" ht="12.75" customHeight="1">
      <c r="P181" s="5"/>
      <c r="Q181" s="5"/>
    </row>
    <row r="182" ht="12.75" customHeight="1">
      <c r="P182" s="5"/>
      <c r="Q182" s="5"/>
    </row>
    <row r="183" ht="12.75" customHeight="1">
      <c r="P183" s="5"/>
      <c r="Q183" s="5"/>
    </row>
    <row r="184" ht="12.75" customHeight="1">
      <c r="P184" s="5"/>
      <c r="Q184" s="5"/>
    </row>
    <row r="185" ht="12.75" customHeight="1">
      <c r="P185" s="5"/>
      <c r="Q185" s="5"/>
    </row>
    <row r="186" ht="12.75" customHeight="1">
      <c r="P186" s="5"/>
      <c r="Q186" s="5"/>
    </row>
    <row r="187" ht="12.75" customHeight="1">
      <c r="P187" s="1"/>
      <c r="Q187" s="1"/>
    </row>
    <row r="188" ht="12.75" customHeight="1"/>
    <row r="189" ht="12.75" customHeight="1">
      <c r="P189" s="5"/>
      <c r="Q189" s="5"/>
    </row>
    <row r="190" ht="12.75" customHeight="1">
      <c r="P190" s="5"/>
      <c r="Q190" s="5"/>
    </row>
    <row r="191" ht="12.75" customHeight="1">
      <c r="P191" s="5"/>
      <c r="Q191" s="5"/>
    </row>
    <row r="192" ht="12.75" customHeight="1">
      <c r="P192" s="5"/>
      <c r="Q192" s="5"/>
    </row>
    <row r="193" ht="12.75" customHeight="1">
      <c r="P193" s="5"/>
      <c r="Q193" s="5"/>
    </row>
    <row r="194" ht="12.75" customHeight="1">
      <c r="P194" s="5"/>
      <c r="Q194" s="5"/>
    </row>
    <row r="195" ht="12.75" customHeight="1">
      <c r="P195" s="5"/>
      <c r="Q195" s="5"/>
    </row>
    <row r="196" ht="12.75" customHeight="1">
      <c r="P196" s="1"/>
      <c r="Q196" s="1"/>
    </row>
    <row r="197" ht="12.75" customHeight="1">
      <c r="P197" s="1"/>
      <c r="Q197" s="1"/>
    </row>
    <row r="198" ht="12.75" customHeight="1">
      <c r="P198" s="1"/>
      <c r="Q198" s="1"/>
    </row>
    <row r="199" ht="12.75" customHeight="1">
      <c r="P199" s="53"/>
      <c r="Q199" s="53"/>
    </row>
    <row r="200" ht="12.75" customHeight="1">
      <c r="P200" s="5"/>
      <c r="Q200" s="5"/>
    </row>
    <row r="201" ht="12.75" customHeight="1">
      <c r="P201" s="5"/>
      <c r="Q201" s="5"/>
    </row>
    <row r="202" ht="12.75" customHeight="1">
      <c r="P202" s="5"/>
      <c r="Q202" s="5"/>
    </row>
    <row r="203" ht="12.75" customHeight="1">
      <c r="P203" s="5"/>
      <c r="Q203" s="5"/>
    </row>
    <row r="204" ht="12.75" customHeight="1">
      <c r="P204" s="5"/>
      <c r="Q204" s="5"/>
    </row>
    <row r="205" ht="12.75" customHeight="1">
      <c r="P205" s="5"/>
      <c r="Q205" s="5"/>
    </row>
    <row r="206" ht="12.75" customHeight="1">
      <c r="P206" s="5"/>
      <c r="Q206" s="5"/>
    </row>
    <row r="207" ht="12.75" customHeight="1">
      <c r="P207" s="1"/>
      <c r="Q207" s="1"/>
    </row>
    <row r="208" ht="12.75" customHeight="1">
      <c r="P208" s="53"/>
      <c r="Q208" s="53"/>
    </row>
    <row r="209" ht="12.75" customHeight="1">
      <c r="P209" s="53"/>
      <c r="Q209" s="53"/>
    </row>
    <row r="210" ht="12.75" customHeight="1">
      <c r="P210" s="53"/>
      <c r="Q210" s="53"/>
    </row>
    <row r="211" ht="12.75" customHeight="1">
      <c r="P211" s="5"/>
      <c r="Q211" s="5"/>
    </row>
    <row r="212" ht="12.75" customHeight="1">
      <c r="P212" s="5"/>
      <c r="Q212" s="5"/>
    </row>
    <row r="213" ht="12.75" customHeight="1">
      <c r="P213" s="5"/>
      <c r="Q213" s="5"/>
    </row>
    <row r="214" ht="12.75" customHeight="1">
      <c r="P214" s="5"/>
      <c r="Q214" s="5"/>
    </row>
    <row r="215" ht="12.75" customHeight="1">
      <c r="P215" s="5"/>
      <c r="Q215" s="5"/>
    </row>
    <row r="216" ht="12.75" customHeight="1">
      <c r="P216" s="5"/>
      <c r="Q216" s="5"/>
    </row>
    <row r="217" ht="12.75" customHeight="1">
      <c r="P217" s="5"/>
      <c r="Q217" s="5"/>
    </row>
    <row r="218" ht="12.75" customHeight="1">
      <c r="P218" s="1"/>
      <c r="Q218" s="1"/>
    </row>
    <row r="219" ht="12.75" customHeight="1">
      <c r="P219" s="53"/>
      <c r="Q219" s="53"/>
    </row>
    <row r="220" ht="12.75" customHeight="1">
      <c r="P220" s="5"/>
      <c r="Q220" s="5"/>
    </row>
    <row r="221" ht="12.75" customHeight="1">
      <c r="P221" s="5"/>
      <c r="Q221" s="5"/>
    </row>
    <row r="222" ht="12.75" customHeight="1">
      <c r="P222" s="5"/>
      <c r="Q222" s="5"/>
    </row>
    <row r="223" ht="12.75" customHeight="1">
      <c r="P223" s="5"/>
      <c r="Q223" s="5"/>
    </row>
    <row r="224" ht="12.75" customHeight="1">
      <c r="P224" s="5"/>
      <c r="Q224" s="5"/>
    </row>
    <row r="225" ht="12.75" customHeight="1">
      <c r="P225" s="5"/>
      <c r="Q225" s="5"/>
    </row>
    <row r="226" ht="12.75" customHeight="1">
      <c r="P226" s="5"/>
      <c r="Q226" s="5"/>
    </row>
    <row r="227" ht="12.75" customHeight="1">
      <c r="P227" s="5"/>
      <c r="Q227" s="5"/>
    </row>
    <row r="228" ht="12.75" customHeight="1">
      <c r="P228" s="5"/>
      <c r="Q228" s="5"/>
    </row>
    <row r="229" ht="12.75" customHeight="1">
      <c r="P229" s="1"/>
      <c r="Q229" s="1"/>
    </row>
    <row r="230" ht="12.75" customHeight="1">
      <c r="P230" s="53"/>
      <c r="Q230" s="53"/>
    </row>
    <row r="231" ht="12.75" customHeight="1">
      <c r="P231" s="5"/>
      <c r="Q231" s="5"/>
    </row>
    <row r="232" ht="12.75" customHeight="1">
      <c r="P232" s="5"/>
      <c r="Q232" s="5"/>
    </row>
    <row r="233" ht="12.75" customHeight="1">
      <c r="P233" s="5"/>
      <c r="Q233" s="5"/>
    </row>
    <row r="234" ht="12.75" customHeight="1">
      <c r="P234" s="5"/>
      <c r="Q234" s="5"/>
    </row>
    <row r="235" ht="12.75" customHeight="1">
      <c r="P235" s="5"/>
      <c r="Q235" s="5"/>
    </row>
    <row r="236" ht="12.75" customHeight="1">
      <c r="P236" s="5"/>
      <c r="Q236" s="5"/>
    </row>
    <row r="237" ht="12.75" customHeight="1">
      <c r="P237" s="5"/>
      <c r="Q237" s="5"/>
    </row>
    <row r="238" ht="12.75" customHeight="1">
      <c r="P238" s="5"/>
      <c r="Q238" s="5"/>
    </row>
    <row r="239" ht="12.75" customHeight="1">
      <c r="P239" s="5"/>
      <c r="Q239" s="5"/>
    </row>
    <row r="240" ht="12.75" customHeight="1">
      <c r="P240" s="1"/>
      <c r="Q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45:N57">
    <cfRule type="containsBlanks" dxfId="1" priority="9">
      <formula>LEN(TRIM(E45))=0</formula>
    </cfRule>
  </conditionalFormatting>
  <conditionalFormatting sqref="E60:N61">
    <cfRule type="containsBlanks" dxfId="1" priority="10">
      <formula>LEN(TRIM(E60))=0</formula>
    </cfRule>
  </conditionalFormatting>
  <conditionalFormatting sqref="E34:N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4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82</v>
      </c>
      <c r="O13" s="13" t="s">
        <v>83</v>
      </c>
      <c r="P13" s="13" t="s">
        <v>84</v>
      </c>
      <c r="Q13" s="13" t="s">
        <v>85</v>
      </c>
      <c r="R13" s="13" t="s">
        <v>86</v>
      </c>
      <c r="S13" s="13" t="s">
        <v>87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104.0</v>
      </c>
      <c r="F14" s="19">
        <v>118.0</v>
      </c>
      <c r="G14" s="19">
        <v>112.0</v>
      </c>
      <c r="H14" s="19">
        <v>124.0</v>
      </c>
      <c r="I14" s="19">
        <v>139.0</v>
      </c>
      <c r="J14" s="19">
        <v>110.0</v>
      </c>
      <c r="K14" s="19">
        <v>87.0</v>
      </c>
      <c r="L14" s="19">
        <v>82.0</v>
      </c>
      <c r="M14" s="19">
        <v>117.0</v>
      </c>
      <c r="N14" s="19">
        <v>84.0</v>
      </c>
      <c r="O14" s="19">
        <v>87.0</v>
      </c>
      <c r="P14" s="19">
        <v>83.0</v>
      </c>
      <c r="Q14" s="19">
        <v>74.0</v>
      </c>
      <c r="R14" s="19">
        <v>124.0</v>
      </c>
      <c r="S14" s="19">
        <v>99.0</v>
      </c>
      <c r="T14" s="13">
        <f t="shared" ref="T14:T16" si="1">SUM(E14:S14)</f>
        <v>1544</v>
      </c>
    </row>
    <row r="15" ht="12.75" customHeight="1">
      <c r="A15" s="18"/>
      <c r="B15" s="26"/>
      <c r="C15" s="27"/>
      <c r="D15" s="19" t="s">
        <v>13</v>
      </c>
      <c r="E15" s="19">
        <v>104.0</v>
      </c>
      <c r="F15" s="19">
        <v>135.0</v>
      </c>
      <c r="G15" s="19">
        <v>116.0</v>
      </c>
      <c r="H15" s="19">
        <v>152.0</v>
      </c>
      <c r="I15" s="19">
        <v>131.0</v>
      </c>
      <c r="J15" s="19">
        <v>131.0</v>
      </c>
      <c r="K15" s="19">
        <v>94.0</v>
      </c>
      <c r="L15" s="19">
        <v>92.0</v>
      </c>
      <c r="M15" s="19">
        <v>111.0</v>
      </c>
      <c r="N15" s="19">
        <v>88.0</v>
      </c>
      <c r="O15" s="19">
        <v>91.0</v>
      </c>
      <c r="P15" s="19">
        <v>75.0</v>
      </c>
      <c r="Q15" s="19">
        <v>80.0</v>
      </c>
      <c r="R15" s="19">
        <v>122.0</v>
      </c>
      <c r="S15" s="19">
        <v>90.0</v>
      </c>
      <c r="T15" s="13">
        <f t="shared" si="1"/>
        <v>1612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208</v>
      </c>
      <c r="F16" s="13">
        <f t="shared" si="2"/>
        <v>253</v>
      </c>
      <c r="G16" s="13">
        <f t="shared" si="2"/>
        <v>228</v>
      </c>
      <c r="H16" s="13">
        <f t="shared" si="2"/>
        <v>276</v>
      </c>
      <c r="I16" s="13">
        <f t="shared" si="2"/>
        <v>270</v>
      </c>
      <c r="J16" s="13">
        <f t="shared" si="2"/>
        <v>241</v>
      </c>
      <c r="K16" s="13">
        <f t="shared" si="2"/>
        <v>181</v>
      </c>
      <c r="L16" s="13">
        <f t="shared" si="2"/>
        <v>174</v>
      </c>
      <c r="M16" s="13">
        <f t="shared" si="2"/>
        <v>228</v>
      </c>
      <c r="N16" s="13">
        <f t="shared" si="2"/>
        <v>172</v>
      </c>
      <c r="O16" s="13">
        <f t="shared" si="2"/>
        <v>178</v>
      </c>
      <c r="P16" s="13">
        <f t="shared" si="2"/>
        <v>158</v>
      </c>
      <c r="Q16" s="13">
        <f t="shared" si="2"/>
        <v>154</v>
      </c>
      <c r="R16" s="13">
        <f t="shared" si="2"/>
        <v>246</v>
      </c>
      <c r="S16" s="13">
        <f t="shared" si="2"/>
        <v>189</v>
      </c>
      <c r="T16" s="13">
        <f t="shared" si="1"/>
        <v>3156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19"/>
      <c r="P17" s="19"/>
      <c r="Q17" s="19"/>
      <c r="R17" s="19"/>
      <c r="S17" s="65"/>
      <c r="T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19"/>
      <c r="P18" s="19"/>
      <c r="Q18" s="19"/>
      <c r="R18" s="19"/>
      <c r="S18" s="65"/>
      <c r="T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86.0</v>
      </c>
      <c r="G19" s="19">
        <v>85.0</v>
      </c>
      <c r="H19" s="19">
        <v>102.0</v>
      </c>
      <c r="I19" s="19">
        <v>99.0</v>
      </c>
      <c r="J19" s="19">
        <v>85.0</v>
      </c>
      <c r="K19" s="19">
        <v>64.0</v>
      </c>
      <c r="L19" s="19">
        <v>66.0</v>
      </c>
      <c r="M19" s="19">
        <v>90.0</v>
      </c>
      <c r="N19" s="19">
        <v>67.0</v>
      </c>
      <c r="O19" s="19">
        <v>62.0</v>
      </c>
      <c r="P19" s="19">
        <v>69.0</v>
      </c>
      <c r="Q19" s="19">
        <v>60.0</v>
      </c>
      <c r="R19" s="19">
        <v>107.0</v>
      </c>
      <c r="S19" s="19">
        <v>86.0</v>
      </c>
      <c r="T19" s="13">
        <f t="shared" ref="T19:T30" si="3">SUM(E19:S19)</f>
        <v>1208</v>
      </c>
    </row>
    <row r="20" ht="12.75" customHeight="1">
      <c r="A20" s="34"/>
      <c r="B20" s="27"/>
      <c r="C20" s="35"/>
      <c r="D20" s="19" t="s">
        <v>13</v>
      </c>
      <c r="E20" s="19">
        <v>81.0</v>
      </c>
      <c r="F20" s="19">
        <v>102.0</v>
      </c>
      <c r="G20" s="19">
        <v>89.0</v>
      </c>
      <c r="H20" s="19">
        <v>126.0</v>
      </c>
      <c r="I20" s="19">
        <v>114.0</v>
      </c>
      <c r="J20" s="19">
        <v>102.0</v>
      </c>
      <c r="K20" s="19">
        <v>76.0</v>
      </c>
      <c r="L20" s="19">
        <v>79.0</v>
      </c>
      <c r="M20" s="19">
        <v>96.0</v>
      </c>
      <c r="N20" s="19">
        <v>76.0</v>
      </c>
      <c r="O20" s="19">
        <v>60.0</v>
      </c>
      <c r="P20" s="19">
        <v>67.0</v>
      </c>
      <c r="Q20" s="19">
        <v>71.0</v>
      </c>
      <c r="R20" s="19">
        <v>110.0</v>
      </c>
      <c r="S20" s="19">
        <v>80.0</v>
      </c>
      <c r="T20" s="13">
        <f t="shared" si="3"/>
        <v>1329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161</v>
      </c>
      <c r="F21" s="13">
        <f t="shared" si="4"/>
        <v>188</v>
      </c>
      <c r="G21" s="13">
        <f t="shared" si="4"/>
        <v>174</v>
      </c>
      <c r="H21" s="13">
        <f t="shared" si="4"/>
        <v>228</v>
      </c>
      <c r="I21" s="13">
        <f t="shared" si="4"/>
        <v>213</v>
      </c>
      <c r="J21" s="13">
        <f t="shared" si="4"/>
        <v>187</v>
      </c>
      <c r="K21" s="13">
        <f t="shared" si="4"/>
        <v>140</v>
      </c>
      <c r="L21" s="13">
        <f t="shared" si="4"/>
        <v>145</v>
      </c>
      <c r="M21" s="13">
        <f t="shared" si="4"/>
        <v>186</v>
      </c>
      <c r="N21" s="13">
        <f t="shared" si="4"/>
        <v>143</v>
      </c>
      <c r="O21" s="13">
        <f t="shared" si="4"/>
        <v>122</v>
      </c>
      <c r="P21" s="13">
        <f t="shared" si="4"/>
        <v>136</v>
      </c>
      <c r="Q21" s="13">
        <f t="shared" si="4"/>
        <v>131</v>
      </c>
      <c r="R21" s="13">
        <f t="shared" si="4"/>
        <v>217</v>
      </c>
      <c r="S21" s="13">
        <f t="shared" si="4"/>
        <v>166</v>
      </c>
      <c r="T21" s="13">
        <f t="shared" si="3"/>
        <v>2537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3.0</v>
      </c>
      <c r="L26" s="19">
        <v>1.0</v>
      </c>
      <c r="M26" s="19">
        <v>0.0</v>
      </c>
      <c r="N26" s="19">
        <v>0.0</v>
      </c>
      <c r="O26" s="19">
        <v>0.0</v>
      </c>
      <c r="P26" s="19">
        <v>2.0</v>
      </c>
      <c r="Q26" s="19">
        <v>0.0</v>
      </c>
      <c r="R26" s="19">
        <v>0.0</v>
      </c>
      <c r="S26" s="19">
        <v>0.0</v>
      </c>
      <c r="T26" s="13">
        <f t="shared" si="3"/>
        <v>6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80</v>
      </c>
      <c r="F28" s="13">
        <f t="shared" si="7"/>
        <v>86</v>
      </c>
      <c r="G28" s="13">
        <f t="shared" si="7"/>
        <v>85</v>
      </c>
      <c r="H28" s="13">
        <f t="shared" si="7"/>
        <v>102</v>
      </c>
      <c r="I28" s="13">
        <f t="shared" si="7"/>
        <v>99</v>
      </c>
      <c r="J28" s="13">
        <f t="shared" si="7"/>
        <v>85</v>
      </c>
      <c r="K28" s="13">
        <f t="shared" si="7"/>
        <v>64</v>
      </c>
      <c r="L28" s="13">
        <f t="shared" si="7"/>
        <v>67</v>
      </c>
      <c r="M28" s="13">
        <f t="shared" si="7"/>
        <v>90</v>
      </c>
      <c r="N28" s="13">
        <f t="shared" si="7"/>
        <v>67</v>
      </c>
      <c r="O28" s="13">
        <f t="shared" si="7"/>
        <v>63</v>
      </c>
      <c r="P28" s="13">
        <f t="shared" si="7"/>
        <v>69</v>
      </c>
      <c r="Q28" s="13">
        <f t="shared" si="7"/>
        <v>60</v>
      </c>
      <c r="R28" s="13">
        <f t="shared" si="7"/>
        <v>107</v>
      </c>
      <c r="S28" s="13">
        <f t="shared" si="7"/>
        <v>86</v>
      </c>
      <c r="T28" s="13">
        <f t="shared" si="3"/>
        <v>1210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81</v>
      </c>
      <c r="F29" s="13">
        <f t="shared" si="8"/>
        <v>102</v>
      </c>
      <c r="G29" s="13">
        <f t="shared" si="8"/>
        <v>89</v>
      </c>
      <c r="H29" s="13">
        <f t="shared" si="8"/>
        <v>126</v>
      </c>
      <c r="I29" s="13">
        <f t="shared" si="8"/>
        <v>114</v>
      </c>
      <c r="J29" s="13">
        <f t="shared" si="8"/>
        <v>102</v>
      </c>
      <c r="K29" s="13">
        <f t="shared" si="8"/>
        <v>79</v>
      </c>
      <c r="L29" s="13">
        <f t="shared" si="8"/>
        <v>80</v>
      </c>
      <c r="M29" s="13">
        <f t="shared" si="8"/>
        <v>96</v>
      </c>
      <c r="N29" s="13">
        <f t="shared" si="8"/>
        <v>76</v>
      </c>
      <c r="O29" s="13">
        <f t="shared" si="8"/>
        <v>62</v>
      </c>
      <c r="P29" s="13">
        <f t="shared" si="8"/>
        <v>69</v>
      </c>
      <c r="Q29" s="13">
        <f t="shared" si="8"/>
        <v>71</v>
      </c>
      <c r="R29" s="13">
        <f t="shared" si="8"/>
        <v>110</v>
      </c>
      <c r="S29" s="13">
        <f t="shared" si="8"/>
        <v>80</v>
      </c>
      <c r="T29" s="13">
        <f t="shared" si="3"/>
        <v>1337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161</v>
      </c>
      <c r="F30" s="13">
        <f t="shared" si="9"/>
        <v>188</v>
      </c>
      <c r="G30" s="13">
        <f t="shared" si="9"/>
        <v>174</v>
      </c>
      <c r="H30" s="13">
        <f t="shared" si="9"/>
        <v>228</v>
      </c>
      <c r="I30" s="13">
        <f t="shared" si="9"/>
        <v>213</v>
      </c>
      <c r="J30" s="13">
        <f t="shared" si="9"/>
        <v>187</v>
      </c>
      <c r="K30" s="13">
        <f t="shared" si="9"/>
        <v>143</v>
      </c>
      <c r="L30" s="13">
        <f t="shared" si="9"/>
        <v>147</v>
      </c>
      <c r="M30" s="13">
        <f t="shared" si="9"/>
        <v>186</v>
      </c>
      <c r="N30" s="13">
        <f t="shared" si="9"/>
        <v>143</v>
      </c>
      <c r="O30" s="13">
        <f t="shared" si="9"/>
        <v>125</v>
      </c>
      <c r="P30" s="13">
        <f t="shared" si="9"/>
        <v>138</v>
      </c>
      <c r="Q30" s="13">
        <f t="shared" si="9"/>
        <v>131</v>
      </c>
      <c r="R30" s="13">
        <f t="shared" si="9"/>
        <v>217</v>
      </c>
      <c r="S30" s="13">
        <f t="shared" si="9"/>
        <v>166</v>
      </c>
      <c r="T30" s="13">
        <f t="shared" si="3"/>
        <v>2547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19"/>
      <c r="P31" s="19"/>
      <c r="Q31" s="19"/>
      <c r="R31" s="19"/>
      <c r="S31" s="65"/>
      <c r="T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6"/>
      <c r="O32" s="13"/>
      <c r="P32" s="13"/>
      <c r="Q32" s="13"/>
      <c r="R32" s="13"/>
      <c r="S32" s="66"/>
      <c r="T32" s="62"/>
    </row>
    <row r="33" ht="12.75" customHeight="1">
      <c r="A33" s="19">
        <v>1.0</v>
      </c>
      <c r="B33" s="20" t="s">
        <v>27</v>
      </c>
      <c r="C33" s="15"/>
      <c r="D33" s="16"/>
      <c r="E33" s="19">
        <v>195.0</v>
      </c>
      <c r="F33" s="19">
        <v>245.0</v>
      </c>
      <c r="G33" s="19">
        <v>217.0</v>
      </c>
      <c r="H33" s="19">
        <v>265.0</v>
      </c>
      <c r="I33" s="19">
        <v>261.0</v>
      </c>
      <c r="J33" s="19">
        <v>230.0</v>
      </c>
      <c r="K33" s="19">
        <v>169.0</v>
      </c>
      <c r="L33" s="19">
        <v>162.0</v>
      </c>
      <c r="M33" s="19">
        <v>231.0</v>
      </c>
      <c r="N33" s="19">
        <v>176.0</v>
      </c>
      <c r="O33" s="19">
        <v>171.0</v>
      </c>
      <c r="P33" s="19">
        <v>150.0</v>
      </c>
      <c r="Q33" s="19">
        <v>158.0</v>
      </c>
      <c r="R33" s="19">
        <v>236.0</v>
      </c>
      <c r="S33" s="19">
        <v>177.0</v>
      </c>
      <c r="T33" s="13">
        <f t="shared" ref="T33:T36" si="10">SUM(E33:S33)</f>
        <v>3043</v>
      </c>
    </row>
    <row r="34" ht="12.75" customHeight="1">
      <c r="A34" s="19">
        <v>2.0</v>
      </c>
      <c r="B34" s="20" t="s">
        <v>28</v>
      </c>
      <c r="C34" s="15"/>
      <c r="D34" s="16"/>
      <c r="E34" s="13">
        <v>161.0</v>
      </c>
      <c r="F34" s="13">
        <v>188.0</v>
      </c>
      <c r="G34" s="13">
        <v>174.0</v>
      </c>
      <c r="H34" s="13">
        <v>228.0</v>
      </c>
      <c r="I34" s="13">
        <v>213.0</v>
      </c>
      <c r="J34" s="13">
        <v>187.0</v>
      </c>
      <c r="K34" s="13">
        <v>143.0</v>
      </c>
      <c r="L34" s="13">
        <v>147.0</v>
      </c>
      <c r="M34" s="13">
        <v>186.0</v>
      </c>
      <c r="N34" s="13">
        <v>143.0</v>
      </c>
      <c r="O34" s="13">
        <v>125.0</v>
      </c>
      <c r="P34" s="13">
        <v>138.0</v>
      </c>
      <c r="Q34" s="13">
        <v>131.0</v>
      </c>
      <c r="R34" s="13">
        <v>217.0</v>
      </c>
      <c r="S34" s="13">
        <v>166.0</v>
      </c>
      <c r="T34" s="13">
        <f t="shared" si="10"/>
        <v>2547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34</v>
      </c>
      <c r="F36" s="13">
        <f t="shared" si="11"/>
        <v>57</v>
      </c>
      <c r="G36" s="13">
        <f t="shared" si="11"/>
        <v>43</v>
      </c>
      <c r="H36" s="13">
        <f t="shared" si="11"/>
        <v>37</v>
      </c>
      <c r="I36" s="13">
        <f t="shared" si="11"/>
        <v>48</v>
      </c>
      <c r="J36" s="13">
        <f t="shared" si="11"/>
        <v>43</v>
      </c>
      <c r="K36" s="13">
        <f t="shared" si="11"/>
        <v>26</v>
      </c>
      <c r="L36" s="13">
        <f t="shared" si="11"/>
        <v>15</v>
      </c>
      <c r="M36" s="13">
        <f t="shared" si="11"/>
        <v>44</v>
      </c>
      <c r="N36" s="13">
        <f t="shared" si="11"/>
        <v>33</v>
      </c>
      <c r="O36" s="13">
        <f t="shared" si="11"/>
        <v>46</v>
      </c>
      <c r="P36" s="13">
        <f t="shared" si="11"/>
        <v>12</v>
      </c>
      <c r="Q36" s="13">
        <f t="shared" si="11"/>
        <v>27</v>
      </c>
      <c r="R36" s="13">
        <f t="shared" si="11"/>
        <v>19</v>
      </c>
      <c r="S36" s="13">
        <f t="shared" si="11"/>
        <v>11</v>
      </c>
      <c r="T36" s="13">
        <f t="shared" si="10"/>
        <v>495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19"/>
      <c r="P37" s="19"/>
      <c r="Q37" s="19"/>
      <c r="R37" s="19"/>
      <c r="S37" s="65"/>
      <c r="T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6"/>
      <c r="O38" s="13"/>
      <c r="P38" s="13"/>
      <c r="Q38" s="13"/>
      <c r="R38" s="13"/>
      <c r="S38" s="66"/>
      <c r="T38" s="62"/>
    </row>
    <row r="39" ht="12.75" customHeight="1">
      <c r="A39" s="30"/>
      <c r="B39" s="46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1.0</v>
      </c>
      <c r="T39" s="13">
        <f t="shared" ref="T39:T41" si="12">SUM(E39:S39)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3.0</v>
      </c>
      <c r="Q40" s="19">
        <v>0.0</v>
      </c>
      <c r="R40" s="19">
        <v>3.0</v>
      </c>
      <c r="S40" s="19">
        <v>0.0</v>
      </c>
      <c r="T40" s="13">
        <f t="shared" si="12"/>
        <v>8</v>
      </c>
    </row>
    <row r="41" ht="12.75" customHeight="1">
      <c r="A41" s="44"/>
      <c r="B41" s="47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3</v>
      </c>
      <c r="S41" s="13">
        <f t="shared" si="13"/>
        <v>1</v>
      </c>
      <c r="T41" s="13">
        <f t="shared" si="12"/>
        <v>11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19"/>
      <c r="Q42" s="19"/>
      <c r="R42" s="19"/>
      <c r="S42" s="65"/>
      <c r="T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66"/>
      <c r="O43" s="13"/>
      <c r="P43" s="13"/>
      <c r="Q43" s="13"/>
      <c r="R43" s="13"/>
      <c r="S43" s="66"/>
      <c r="T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19"/>
      <c r="Q44" s="19"/>
      <c r="R44" s="19"/>
      <c r="S44" s="65"/>
      <c r="T44" s="13"/>
    </row>
    <row r="45" ht="12.75" customHeight="1">
      <c r="A45" s="30"/>
      <c r="B45" s="50" t="s">
        <v>17</v>
      </c>
      <c r="C45" s="63" t="s">
        <v>38</v>
      </c>
      <c r="D45" s="16"/>
      <c r="E45" s="19">
        <v>20.0</v>
      </c>
      <c r="F45" s="19">
        <v>18.0</v>
      </c>
      <c r="G45" s="19">
        <v>14.0</v>
      </c>
      <c r="H45" s="19">
        <v>70.0</v>
      </c>
      <c r="I45" s="19">
        <v>29.0</v>
      </c>
      <c r="J45" s="19">
        <v>24.0</v>
      </c>
      <c r="K45" s="19">
        <v>7.0</v>
      </c>
      <c r="L45" s="19">
        <v>10.0</v>
      </c>
      <c r="M45" s="19">
        <v>14.0</v>
      </c>
      <c r="N45" s="19">
        <v>16.0</v>
      </c>
      <c r="O45" s="19">
        <v>13.0</v>
      </c>
      <c r="P45" s="19">
        <v>17.0</v>
      </c>
      <c r="Q45" s="19">
        <v>13.0</v>
      </c>
      <c r="R45" s="19">
        <v>25.0</v>
      </c>
      <c r="S45" s="19">
        <v>10.0</v>
      </c>
      <c r="T45" s="13">
        <f t="shared" ref="T45:T57" si="14">SUM(E45:S45)</f>
        <v>300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31.0</v>
      </c>
      <c r="F46" s="19">
        <v>35.0</v>
      </c>
      <c r="G46" s="19">
        <v>25.0</v>
      </c>
      <c r="H46" s="19">
        <v>25.0</v>
      </c>
      <c r="I46" s="19">
        <v>28.0</v>
      </c>
      <c r="J46" s="19">
        <v>19.0</v>
      </c>
      <c r="K46" s="19">
        <v>28.0</v>
      </c>
      <c r="L46" s="19">
        <v>31.0</v>
      </c>
      <c r="M46" s="19">
        <v>23.0</v>
      </c>
      <c r="N46" s="19">
        <v>34.0</v>
      </c>
      <c r="O46" s="19">
        <v>20.0</v>
      </c>
      <c r="P46" s="19">
        <v>19.0</v>
      </c>
      <c r="Q46" s="19">
        <v>32.0</v>
      </c>
      <c r="R46" s="19">
        <v>37.0</v>
      </c>
      <c r="S46" s="19">
        <v>30.0</v>
      </c>
      <c r="T46" s="13">
        <f t="shared" si="14"/>
        <v>417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8.0</v>
      </c>
      <c r="F47" s="19">
        <v>9.0</v>
      </c>
      <c r="G47" s="19">
        <v>8.0</v>
      </c>
      <c r="H47" s="19">
        <v>8.0</v>
      </c>
      <c r="I47" s="19">
        <v>8.0</v>
      </c>
      <c r="J47" s="19">
        <v>11.0</v>
      </c>
      <c r="K47" s="19">
        <v>14.0</v>
      </c>
      <c r="L47" s="19">
        <v>10.0</v>
      </c>
      <c r="M47" s="19">
        <v>14.0</v>
      </c>
      <c r="N47" s="19">
        <v>12.0</v>
      </c>
      <c r="O47" s="19">
        <v>10.0</v>
      </c>
      <c r="P47" s="19">
        <v>8.0</v>
      </c>
      <c r="Q47" s="19">
        <v>13.0</v>
      </c>
      <c r="R47" s="19">
        <v>18.0</v>
      </c>
      <c r="S47" s="19">
        <v>23.0</v>
      </c>
      <c r="T47" s="13">
        <f t="shared" si="14"/>
        <v>174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15.0</v>
      </c>
      <c r="F48" s="19">
        <v>17.0</v>
      </c>
      <c r="G48" s="19">
        <v>13.0</v>
      </c>
      <c r="H48" s="19">
        <v>13.0</v>
      </c>
      <c r="I48" s="19">
        <v>22.0</v>
      </c>
      <c r="J48" s="19">
        <v>17.0</v>
      </c>
      <c r="K48" s="19">
        <v>13.0</v>
      </c>
      <c r="L48" s="19">
        <v>10.0</v>
      </c>
      <c r="M48" s="19">
        <v>21.0</v>
      </c>
      <c r="N48" s="19">
        <v>11.0</v>
      </c>
      <c r="O48" s="19">
        <v>12.0</v>
      </c>
      <c r="P48" s="19">
        <v>20.0</v>
      </c>
      <c r="Q48" s="19">
        <v>25.0</v>
      </c>
      <c r="R48" s="19">
        <v>50.0</v>
      </c>
      <c r="S48" s="19">
        <v>34.0</v>
      </c>
      <c r="T48" s="13">
        <f t="shared" si="14"/>
        <v>293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11.0</v>
      </c>
      <c r="F49" s="19">
        <v>13.0</v>
      </c>
      <c r="G49" s="19">
        <v>18.0</v>
      </c>
      <c r="H49" s="19">
        <v>14.0</v>
      </c>
      <c r="I49" s="19">
        <v>21.0</v>
      </c>
      <c r="J49" s="19">
        <v>14.0</v>
      </c>
      <c r="K49" s="19">
        <v>8.0</v>
      </c>
      <c r="L49" s="19">
        <v>10.0</v>
      </c>
      <c r="M49" s="19">
        <v>7.0</v>
      </c>
      <c r="N49" s="19">
        <v>12.0</v>
      </c>
      <c r="O49" s="19">
        <v>11.0</v>
      </c>
      <c r="P49" s="19">
        <v>10.0</v>
      </c>
      <c r="Q49" s="19">
        <v>11.0</v>
      </c>
      <c r="R49" s="19">
        <v>20.0</v>
      </c>
      <c r="S49" s="19">
        <v>14.0</v>
      </c>
      <c r="T49" s="13">
        <f t="shared" si="14"/>
        <v>194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11.0</v>
      </c>
      <c r="F50" s="19">
        <v>18.0</v>
      </c>
      <c r="G50" s="19">
        <v>7.0</v>
      </c>
      <c r="H50" s="19">
        <v>8.0</v>
      </c>
      <c r="I50" s="19">
        <v>14.0</v>
      </c>
      <c r="J50" s="19">
        <v>7.0</v>
      </c>
      <c r="K50" s="19">
        <v>6.0</v>
      </c>
      <c r="L50" s="19">
        <v>8.0</v>
      </c>
      <c r="M50" s="19">
        <v>9.0</v>
      </c>
      <c r="N50" s="19">
        <v>9.0</v>
      </c>
      <c r="O50" s="19">
        <v>11.0</v>
      </c>
      <c r="P50" s="19">
        <v>9.0</v>
      </c>
      <c r="Q50" s="19">
        <v>6.0</v>
      </c>
      <c r="R50" s="19">
        <v>17.0</v>
      </c>
      <c r="S50" s="19">
        <v>5.0</v>
      </c>
      <c r="T50" s="13">
        <f t="shared" si="14"/>
        <v>145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1.0</v>
      </c>
      <c r="F51" s="19">
        <v>4.0</v>
      </c>
      <c r="G51" s="19">
        <v>0.0</v>
      </c>
      <c r="H51" s="19">
        <v>1.0</v>
      </c>
      <c r="I51" s="19">
        <v>3.0</v>
      </c>
      <c r="J51" s="19">
        <v>0.0</v>
      </c>
      <c r="K51" s="19">
        <v>0.0</v>
      </c>
      <c r="L51" s="19">
        <v>1.0</v>
      </c>
      <c r="M51" s="19">
        <v>2.0</v>
      </c>
      <c r="N51" s="19">
        <v>1.0</v>
      </c>
      <c r="O51" s="19">
        <v>1.0</v>
      </c>
      <c r="P51" s="19">
        <v>3.0</v>
      </c>
      <c r="Q51" s="19">
        <v>1.0</v>
      </c>
      <c r="R51" s="19">
        <v>1.0</v>
      </c>
      <c r="S51" s="19">
        <v>1.0</v>
      </c>
      <c r="T51" s="13">
        <f t="shared" si="14"/>
        <v>20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3.0</v>
      </c>
      <c r="F52" s="19">
        <v>2.0</v>
      </c>
      <c r="G52" s="19">
        <v>2.0</v>
      </c>
      <c r="H52" s="19">
        <v>1.0</v>
      </c>
      <c r="I52" s="19">
        <v>1.0</v>
      </c>
      <c r="J52" s="19">
        <v>2.0</v>
      </c>
      <c r="K52" s="19">
        <v>2.0</v>
      </c>
      <c r="L52" s="19">
        <v>1.0</v>
      </c>
      <c r="M52" s="19">
        <v>2.0</v>
      </c>
      <c r="N52" s="19">
        <v>0.0</v>
      </c>
      <c r="O52" s="19">
        <v>0.0</v>
      </c>
      <c r="P52" s="19">
        <v>1.0</v>
      </c>
      <c r="Q52" s="19">
        <v>0.0</v>
      </c>
      <c r="R52" s="19">
        <v>1.0</v>
      </c>
      <c r="S52" s="19">
        <v>2.0</v>
      </c>
      <c r="T52" s="13">
        <f t="shared" si="14"/>
        <v>20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1.0</v>
      </c>
      <c r="J53" s="19">
        <v>1.0</v>
      </c>
      <c r="K53" s="19">
        <v>0.0</v>
      </c>
      <c r="L53" s="19">
        <v>1.0</v>
      </c>
      <c r="M53" s="19">
        <v>1.0</v>
      </c>
      <c r="N53" s="19">
        <v>1.0</v>
      </c>
      <c r="O53" s="19">
        <v>0.0</v>
      </c>
      <c r="P53" s="19">
        <v>1.0</v>
      </c>
      <c r="Q53" s="19">
        <v>0.0</v>
      </c>
      <c r="R53" s="19">
        <v>0.0</v>
      </c>
      <c r="S53" s="19">
        <v>0.0</v>
      </c>
      <c r="T53" s="13">
        <f t="shared" si="14"/>
        <v>8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13.0</v>
      </c>
      <c r="F54" s="19">
        <v>21.0</v>
      </c>
      <c r="G54" s="19">
        <v>20.0</v>
      </c>
      <c r="H54" s="19">
        <v>20.0</v>
      </c>
      <c r="I54" s="19">
        <v>16.0</v>
      </c>
      <c r="J54" s="19">
        <v>30.0</v>
      </c>
      <c r="K54" s="19">
        <v>15.0</v>
      </c>
      <c r="L54" s="19">
        <v>18.0</v>
      </c>
      <c r="M54" s="19">
        <v>20.0</v>
      </c>
      <c r="N54" s="19">
        <v>11.0</v>
      </c>
      <c r="O54" s="19">
        <v>8.0</v>
      </c>
      <c r="P54" s="19">
        <v>17.0</v>
      </c>
      <c r="Q54" s="19">
        <v>9.0</v>
      </c>
      <c r="R54" s="19">
        <v>15.0</v>
      </c>
      <c r="S54" s="19">
        <v>14.0</v>
      </c>
      <c r="T54" s="13">
        <f t="shared" si="14"/>
        <v>247</v>
      </c>
    </row>
    <row r="55" ht="15.0" customHeight="1">
      <c r="A55" s="18"/>
      <c r="B55" s="50" t="s">
        <v>54</v>
      </c>
      <c r="C55" s="63" t="s">
        <v>55</v>
      </c>
      <c r="D55" s="16"/>
      <c r="E55" s="19">
        <v>1.0</v>
      </c>
      <c r="F55" s="19">
        <v>1.0</v>
      </c>
      <c r="G55" s="19">
        <v>1.0</v>
      </c>
      <c r="H55" s="19">
        <v>2.0</v>
      </c>
      <c r="I55" s="19">
        <v>0.0</v>
      </c>
      <c r="J55" s="19">
        <v>0.0</v>
      </c>
      <c r="K55" s="19">
        <v>0.0</v>
      </c>
      <c r="L55" s="19">
        <v>1.0</v>
      </c>
      <c r="M55" s="19">
        <v>0.0</v>
      </c>
      <c r="N55" s="19">
        <v>0.0</v>
      </c>
      <c r="O55" s="19">
        <v>1.0</v>
      </c>
      <c r="P55" s="19">
        <v>1.0</v>
      </c>
      <c r="Q55" s="19">
        <v>1.0</v>
      </c>
      <c r="R55" s="19">
        <v>1.0</v>
      </c>
      <c r="S55" s="19">
        <v>0.0</v>
      </c>
      <c r="T55" s="13">
        <f t="shared" si="14"/>
        <v>10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16.0</v>
      </c>
      <c r="F56" s="19">
        <v>22.0</v>
      </c>
      <c r="G56" s="19">
        <v>19.0</v>
      </c>
      <c r="H56" s="19">
        <v>13.0</v>
      </c>
      <c r="I56" s="19">
        <v>17.0</v>
      </c>
      <c r="J56" s="19">
        <v>27.0</v>
      </c>
      <c r="K56" s="19">
        <v>8.0</v>
      </c>
      <c r="L56" s="19">
        <v>13.0</v>
      </c>
      <c r="M56" s="19">
        <v>20.0</v>
      </c>
      <c r="N56" s="19">
        <v>16.0</v>
      </c>
      <c r="O56" s="19">
        <v>12.0</v>
      </c>
      <c r="P56" s="19">
        <v>18.0</v>
      </c>
      <c r="Q56" s="19">
        <v>5.0</v>
      </c>
      <c r="R56" s="19">
        <v>21.0</v>
      </c>
      <c r="S56" s="19">
        <v>21.0</v>
      </c>
      <c r="T56" s="13">
        <f t="shared" si="14"/>
        <v>248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6.0</v>
      </c>
      <c r="F57" s="19">
        <v>1.0</v>
      </c>
      <c r="G57" s="19">
        <v>1.0</v>
      </c>
      <c r="H57" s="19">
        <v>5.0</v>
      </c>
      <c r="I57" s="19">
        <v>0.0</v>
      </c>
      <c r="J57" s="19">
        <v>1.0</v>
      </c>
      <c r="K57" s="19">
        <v>1.0</v>
      </c>
      <c r="L57" s="19">
        <v>0.0</v>
      </c>
      <c r="M57" s="19">
        <v>2.0</v>
      </c>
      <c r="N57" s="19">
        <v>0.0</v>
      </c>
      <c r="O57" s="19">
        <v>1.0</v>
      </c>
      <c r="P57" s="19">
        <v>2.0</v>
      </c>
      <c r="Q57" s="19">
        <v>1.0</v>
      </c>
      <c r="R57" s="19">
        <v>3.0</v>
      </c>
      <c r="S57" s="19">
        <v>1.0</v>
      </c>
      <c r="T57" s="13">
        <f t="shared" si="14"/>
        <v>25</v>
      </c>
    </row>
    <row r="58" ht="12.75" customHeight="1">
      <c r="T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S60" si="15">SUM(E45:E57)</f>
        <v>136</v>
      </c>
      <c r="F60" s="19">
        <f t="shared" si="15"/>
        <v>161</v>
      </c>
      <c r="G60" s="19">
        <f t="shared" si="15"/>
        <v>129</v>
      </c>
      <c r="H60" s="19">
        <f t="shared" si="15"/>
        <v>181</v>
      </c>
      <c r="I60" s="19">
        <f t="shared" si="15"/>
        <v>160</v>
      </c>
      <c r="J60" s="19">
        <f t="shared" si="15"/>
        <v>153</v>
      </c>
      <c r="K60" s="19">
        <f t="shared" si="15"/>
        <v>102</v>
      </c>
      <c r="L60" s="19">
        <f t="shared" si="15"/>
        <v>114</v>
      </c>
      <c r="M60" s="19">
        <f t="shared" si="15"/>
        <v>135</v>
      </c>
      <c r="N60" s="19">
        <f t="shared" si="15"/>
        <v>123</v>
      </c>
      <c r="O60" s="19">
        <f t="shared" si="15"/>
        <v>100</v>
      </c>
      <c r="P60" s="19">
        <f t="shared" si="15"/>
        <v>126</v>
      </c>
      <c r="Q60" s="19">
        <f t="shared" si="15"/>
        <v>117</v>
      </c>
      <c r="R60" s="19">
        <f t="shared" si="15"/>
        <v>209</v>
      </c>
      <c r="S60" s="19">
        <f t="shared" si="15"/>
        <v>155</v>
      </c>
      <c r="T60" s="13">
        <f t="shared" ref="T60:T62" si="16">SUM(E60:S60)</f>
        <v>2101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25.0</v>
      </c>
      <c r="F61" s="19">
        <v>27.0</v>
      </c>
      <c r="G61" s="19">
        <v>45.0</v>
      </c>
      <c r="H61" s="19">
        <v>47.0</v>
      </c>
      <c r="I61" s="19">
        <v>53.0</v>
      </c>
      <c r="J61" s="19">
        <v>34.0</v>
      </c>
      <c r="K61" s="19">
        <v>41.0</v>
      </c>
      <c r="L61" s="19">
        <v>33.0</v>
      </c>
      <c r="M61" s="19">
        <v>51.0</v>
      </c>
      <c r="N61" s="19">
        <v>20.0</v>
      </c>
      <c r="O61" s="19">
        <v>25.0</v>
      </c>
      <c r="P61" s="19">
        <v>12.0</v>
      </c>
      <c r="Q61" s="19">
        <v>14.0</v>
      </c>
      <c r="R61" s="19">
        <v>8.0</v>
      </c>
      <c r="S61" s="19">
        <v>11.0</v>
      </c>
      <c r="T61" s="13">
        <f t="shared" si="16"/>
        <v>446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S62" si="17">SUM(E60:E61)</f>
        <v>161</v>
      </c>
      <c r="F62" s="13">
        <f t="shared" si="17"/>
        <v>188</v>
      </c>
      <c r="G62" s="13">
        <f t="shared" si="17"/>
        <v>174</v>
      </c>
      <c r="H62" s="13">
        <f t="shared" si="17"/>
        <v>228</v>
      </c>
      <c r="I62" s="13">
        <f t="shared" si="17"/>
        <v>213</v>
      </c>
      <c r="J62" s="13">
        <f t="shared" si="17"/>
        <v>187</v>
      </c>
      <c r="K62" s="13">
        <f t="shared" si="17"/>
        <v>143</v>
      </c>
      <c r="L62" s="13">
        <f t="shared" si="17"/>
        <v>147</v>
      </c>
      <c r="M62" s="13">
        <f t="shared" si="17"/>
        <v>186</v>
      </c>
      <c r="N62" s="13">
        <f t="shared" si="17"/>
        <v>143</v>
      </c>
      <c r="O62" s="13">
        <f t="shared" si="17"/>
        <v>125</v>
      </c>
      <c r="P62" s="13">
        <f t="shared" si="17"/>
        <v>138</v>
      </c>
      <c r="Q62" s="13">
        <f t="shared" si="17"/>
        <v>131</v>
      </c>
      <c r="R62" s="13">
        <f t="shared" si="17"/>
        <v>217</v>
      </c>
      <c r="S62" s="13">
        <f t="shared" si="17"/>
        <v>166</v>
      </c>
      <c r="T62" s="13">
        <f t="shared" si="16"/>
        <v>2547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5"/>
      <c r="V122" s="5"/>
    </row>
    <row r="123" ht="12.75" customHeight="1">
      <c r="U123" s="5"/>
      <c r="V123" s="5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1"/>
      <c r="V130" s="1"/>
    </row>
    <row r="131" ht="12.75" customHeight="1">
      <c r="U131" s="53"/>
      <c r="V131" s="53"/>
    </row>
    <row r="132" ht="12.75" customHeight="1">
      <c r="U132" s="5"/>
      <c r="V132" s="5"/>
    </row>
    <row r="133" ht="12.75" customHeight="1">
      <c r="U133" s="5"/>
      <c r="V133" s="5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1"/>
      <c r="V141" s="1"/>
    </row>
    <row r="142" ht="12.75" customHeight="1">
      <c r="U142" s="53"/>
      <c r="V142" s="53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5"/>
      <c r="V146" s="5"/>
    </row>
    <row r="147" ht="12.75" customHeight="1">
      <c r="U147" s="5"/>
      <c r="V147" s="5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1"/>
      <c r="V151" s="1"/>
    </row>
    <row r="152" ht="12.75" customHeight="1">
      <c r="U152" s="53"/>
      <c r="V152" s="53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5"/>
      <c r="V157" s="5"/>
    </row>
    <row r="158" ht="12.75" customHeight="1">
      <c r="U158" s="5"/>
      <c r="V158" s="5"/>
    </row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1"/>
      <c r="V165" s="1"/>
    </row>
    <row r="166" ht="12.75" customHeight="1">
      <c r="U166" s="53"/>
      <c r="V166" s="53"/>
    </row>
    <row r="167" ht="12.75" customHeight="1">
      <c r="U167" s="5"/>
      <c r="V167" s="5"/>
    </row>
    <row r="168" ht="12.75" customHeight="1">
      <c r="U168" s="5"/>
      <c r="V168" s="5"/>
    </row>
    <row r="169" ht="12.75" customHeight="1">
      <c r="U169" s="5"/>
      <c r="V169" s="5"/>
    </row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1"/>
      <c r="V176" s="1"/>
    </row>
    <row r="177" ht="12.75" customHeight="1"/>
    <row r="178" ht="12.75" customHeight="1">
      <c r="U178" s="5"/>
      <c r="V178" s="5"/>
    </row>
    <row r="179" ht="12.75" customHeight="1">
      <c r="U179" s="5"/>
      <c r="V179" s="5"/>
    </row>
    <row r="180" ht="12.75" customHeight="1">
      <c r="U180" s="5"/>
      <c r="V180" s="5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1"/>
      <c r="V187" s="1"/>
    </row>
    <row r="188" ht="12.75" customHeight="1"/>
    <row r="189" ht="12.75" customHeight="1">
      <c r="U189" s="5"/>
      <c r="V189" s="5"/>
    </row>
    <row r="190" ht="12.75" customHeight="1">
      <c r="U190" s="5"/>
      <c r="V190" s="5"/>
    </row>
    <row r="191" ht="12.75" customHeight="1">
      <c r="U191" s="5"/>
      <c r="V191" s="5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3"/>
      <c r="V199" s="53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3"/>
      <c r="V208" s="53"/>
    </row>
    <row r="209" ht="12.75" customHeight="1">
      <c r="U209" s="53"/>
      <c r="V209" s="53"/>
    </row>
    <row r="210" ht="12.75" customHeight="1">
      <c r="U210" s="53"/>
      <c r="V210" s="53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3"/>
      <c r="V219" s="53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3"/>
      <c r="V230" s="53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45:S57">
    <cfRule type="containsBlanks" dxfId="1" priority="9">
      <formula>LEN(TRIM(E45))=0</formula>
    </cfRule>
  </conditionalFormatting>
  <conditionalFormatting sqref="E60:S61">
    <cfRule type="containsBlanks" dxfId="1" priority="10">
      <formula>LEN(TRIM(E60))=0</formula>
    </cfRule>
  </conditionalFormatting>
  <conditionalFormatting sqref="E34:S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3.29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128.0</v>
      </c>
      <c r="G14" s="19">
        <v>135.0</v>
      </c>
      <c r="H14" s="19">
        <v>133.0</v>
      </c>
      <c r="I14" s="19">
        <v>128.0</v>
      </c>
      <c r="J14" s="19">
        <v>97.0</v>
      </c>
      <c r="K14" s="19">
        <v>97.0</v>
      </c>
      <c r="L14" s="19">
        <v>106.0</v>
      </c>
      <c r="M14" s="19">
        <v>98.0</v>
      </c>
      <c r="N14" s="13">
        <f t="shared" ref="N14:N16" si="1">SUM(E14:M14)</f>
        <v>1048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129.0</v>
      </c>
      <c r="G15" s="19">
        <v>133.0</v>
      </c>
      <c r="H15" s="19">
        <v>142.0</v>
      </c>
      <c r="I15" s="19">
        <v>133.0</v>
      </c>
      <c r="J15" s="19">
        <v>105.0</v>
      </c>
      <c r="K15" s="19">
        <v>103.0</v>
      </c>
      <c r="L15" s="19">
        <v>96.0</v>
      </c>
      <c r="M15" s="19">
        <v>107.0</v>
      </c>
      <c r="N15" s="13">
        <f t="shared" si="1"/>
        <v>1079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257</v>
      </c>
      <c r="F16" s="13">
        <f t="shared" si="2"/>
        <v>257</v>
      </c>
      <c r="G16" s="13">
        <f t="shared" si="2"/>
        <v>268</v>
      </c>
      <c r="H16" s="13">
        <f t="shared" si="2"/>
        <v>275</v>
      </c>
      <c r="I16" s="13">
        <f t="shared" si="2"/>
        <v>261</v>
      </c>
      <c r="J16" s="13">
        <f t="shared" si="2"/>
        <v>202</v>
      </c>
      <c r="K16" s="13">
        <f t="shared" si="2"/>
        <v>200</v>
      </c>
      <c r="L16" s="13">
        <f t="shared" si="2"/>
        <v>202</v>
      </c>
      <c r="M16" s="13">
        <f t="shared" si="2"/>
        <v>205</v>
      </c>
      <c r="N16" s="13">
        <f t="shared" si="1"/>
        <v>2127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91.0</v>
      </c>
      <c r="G19" s="19">
        <v>102.0</v>
      </c>
      <c r="H19" s="19">
        <v>91.0</v>
      </c>
      <c r="I19" s="19">
        <v>94.0</v>
      </c>
      <c r="J19" s="19">
        <v>74.0</v>
      </c>
      <c r="K19" s="19">
        <v>72.0</v>
      </c>
      <c r="L19" s="19">
        <v>76.0</v>
      </c>
      <c r="M19" s="19">
        <v>71.0</v>
      </c>
      <c r="N19" s="13">
        <f t="shared" ref="N19:N30" si="3">SUM(E19:M19)</f>
        <v>760</v>
      </c>
    </row>
    <row r="20" ht="12.75" customHeight="1">
      <c r="A20" s="34"/>
      <c r="B20" s="27"/>
      <c r="C20" s="35"/>
      <c r="D20" s="19" t="s">
        <v>13</v>
      </c>
      <c r="E20" s="19">
        <v>110.0</v>
      </c>
      <c r="F20" s="19">
        <v>97.0</v>
      </c>
      <c r="G20" s="19">
        <v>104.0</v>
      </c>
      <c r="H20" s="19">
        <v>111.0</v>
      </c>
      <c r="I20" s="19">
        <v>104.0</v>
      </c>
      <c r="J20" s="19">
        <v>88.0</v>
      </c>
      <c r="K20" s="19">
        <v>82.0</v>
      </c>
      <c r="L20" s="19">
        <v>76.0</v>
      </c>
      <c r="M20" s="19">
        <v>76.0</v>
      </c>
      <c r="N20" s="13">
        <f t="shared" si="3"/>
        <v>848</v>
      </c>
    </row>
    <row r="21" ht="12.75" customHeight="1">
      <c r="A21" s="36"/>
      <c r="B21" s="28"/>
      <c r="C21" s="37"/>
      <c r="D21" s="13" t="s">
        <v>14</v>
      </c>
      <c r="E21" s="13">
        <f t="shared" ref="E21:F21" si="4">SUM(E19:E20)</f>
        <v>199</v>
      </c>
      <c r="F21" s="13">
        <f t="shared" si="4"/>
        <v>188</v>
      </c>
      <c r="G21" s="13">
        <v>206.0</v>
      </c>
      <c r="H21" s="13">
        <f t="shared" ref="H21:M21" si="5">SUM(H19:H20)</f>
        <v>202</v>
      </c>
      <c r="I21" s="13">
        <f t="shared" si="5"/>
        <v>198</v>
      </c>
      <c r="J21" s="13">
        <f t="shared" si="5"/>
        <v>162</v>
      </c>
      <c r="K21" s="13">
        <f t="shared" si="5"/>
        <v>154</v>
      </c>
      <c r="L21" s="13">
        <f t="shared" si="5"/>
        <v>152</v>
      </c>
      <c r="M21" s="13">
        <f t="shared" si="5"/>
        <v>147</v>
      </c>
      <c r="N21" s="13">
        <f t="shared" si="3"/>
        <v>1608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M24" si="6">SUM(E22:E23)</f>
        <v>0</v>
      </c>
      <c r="F24" s="13">
        <f t="shared" si="6"/>
        <v>0</v>
      </c>
      <c r="G24" s="13">
        <f t="shared" si="6"/>
        <v>0</v>
      </c>
      <c r="H24" s="13">
        <f t="shared" si="6"/>
        <v>0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1</v>
      </c>
      <c r="M24" s="13">
        <f t="shared" si="6"/>
        <v>0</v>
      </c>
      <c r="N24" s="13">
        <f t="shared" si="3"/>
        <v>1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4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M27" si="7">SUM(E25:E26)</f>
        <v>0</v>
      </c>
      <c r="F27" s="13">
        <f t="shared" si="7"/>
        <v>2</v>
      </c>
      <c r="G27" s="13">
        <f t="shared" si="7"/>
        <v>2</v>
      </c>
      <c r="H27" s="13">
        <f t="shared" si="7"/>
        <v>0</v>
      </c>
      <c r="I27" s="13">
        <f t="shared" si="7"/>
        <v>1</v>
      </c>
      <c r="J27" s="13">
        <f t="shared" si="7"/>
        <v>0</v>
      </c>
      <c r="K27" s="13">
        <f t="shared" si="7"/>
        <v>0</v>
      </c>
      <c r="L27" s="13">
        <f t="shared" si="7"/>
        <v>0</v>
      </c>
      <c r="M27" s="13">
        <f t="shared" si="7"/>
        <v>0</v>
      </c>
      <c r="N27" s="13">
        <f t="shared" si="3"/>
        <v>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M28" si="8">SUM(E19,E22,E25)</f>
        <v>89</v>
      </c>
      <c r="F28" s="13">
        <f t="shared" si="8"/>
        <v>92</v>
      </c>
      <c r="G28" s="13">
        <f t="shared" si="8"/>
        <v>104</v>
      </c>
      <c r="H28" s="13">
        <f t="shared" si="8"/>
        <v>91</v>
      </c>
      <c r="I28" s="13">
        <f t="shared" si="8"/>
        <v>95</v>
      </c>
      <c r="J28" s="13">
        <f t="shared" si="8"/>
        <v>74</v>
      </c>
      <c r="K28" s="13">
        <f t="shared" si="8"/>
        <v>72</v>
      </c>
      <c r="L28" s="13">
        <f t="shared" si="8"/>
        <v>76</v>
      </c>
      <c r="M28" s="13">
        <f t="shared" si="8"/>
        <v>71</v>
      </c>
      <c r="N28" s="13">
        <f t="shared" si="3"/>
        <v>764</v>
      </c>
    </row>
    <row r="29" ht="12.75" customHeight="1">
      <c r="A29" s="36"/>
      <c r="B29" s="27"/>
      <c r="C29" s="35"/>
      <c r="D29" s="13" t="s">
        <v>13</v>
      </c>
      <c r="E29" s="13">
        <f t="shared" ref="E29:M29" si="9">SUM(E20,E23,E26)</f>
        <v>110</v>
      </c>
      <c r="F29" s="13">
        <f t="shared" si="9"/>
        <v>98</v>
      </c>
      <c r="G29" s="13">
        <f t="shared" si="9"/>
        <v>104</v>
      </c>
      <c r="H29" s="13">
        <f t="shared" si="9"/>
        <v>111</v>
      </c>
      <c r="I29" s="13">
        <f t="shared" si="9"/>
        <v>104</v>
      </c>
      <c r="J29" s="13">
        <f t="shared" si="9"/>
        <v>88</v>
      </c>
      <c r="K29" s="13">
        <f t="shared" si="9"/>
        <v>82</v>
      </c>
      <c r="L29" s="13">
        <f t="shared" si="9"/>
        <v>77</v>
      </c>
      <c r="M29" s="13">
        <f t="shared" si="9"/>
        <v>76</v>
      </c>
      <c r="N29" s="13">
        <f t="shared" si="3"/>
        <v>850</v>
      </c>
    </row>
    <row r="30" ht="12.75" customHeight="1">
      <c r="A30" s="36"/>
      <c r="B30" s="28"/>
      <c r="C30" s="37"/>
      <c r="D30" s="13" t="s">
        <v>14</v>
      </c>
      <c r="E30" s="13">
        <f t="shared" ref="E30:M30" si="10">SUM(E28:E29)</f>
        <v>199</v>
      </c>
      <c r="F30" s="13">
        <f t="shared" si="10"/>
        <v>190</v>
      </c>
      <c r="G30" s="13">
        <f t="shared" si="10"/>
        <v>208</v>
      </c>
      <c r="H30" s="13">
        <f t="shared" si="10"/>
        <v>202</v>
      </c>
      <c r="I30" s="13">
        <f t="shared" si="10"/>
        <v>199</v>
      </c>
      <c r="J30" s="13">
        <f t="shared" si="10"/>
        <v>162</v>
      </c>
      <c r="K30" s="13">
        <f t="shared" si="10"/>
        <v>154</v>
      </c>
      <c r="L30" s="13">
        <f t="shared" si="10"/>
        <v>153</v>
      </c>
      <c r="M30" s="13">
        <f t="shared" si="10"/>
        <v>147</v>
      </c>
      <c r="N30" s="13">
        <f t="shared" si="3"/>
        <v>1614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2"/>
    </row>
    <row r="33" ht="12.75" customHeight="1">
      <c r="A33" s="19">
        <v>1.0</v>
      </c>
      <c r="B33" s="20" t="s">
        <v>27</v>
      </c>
      <c r="C33" s="15"/>
      <c r="D33" s="16"/>
      <c r="E33" s="19">
        <v>263.0</v>
      </c>
      <c r="F33" s="19">
        <v>263.0</v>
      </c>
      <c r="G33" s="19">
        <v>273.0</v>
      </c>
      <c r="H33" s="19">
        <v>281.0</v>
      </c>
      <c r="I33" s="19">
        <v>270.0</v>
      </c>
      <c r="J33" s="19">
        <v>207.0</v>
      </c>
      <c r="K33" s="19">
        <v>204.0</v>
      </c>
      <c r="L33" s="19">
        <v>207.0</v>
      </c>
      <c r="M33" s="19">
        <v>210.0</v>
      </c>
      <c r="N33" s="13">
        <f t="shared" ref="N33:N36" si="11">SUM(E33:M33)</f>
        <v>2178</v>
      </c>
    </row>
    <row r="34" ht="12.75" customHeight="1">
      <c r="A34" s="19">
        <v>2.0</v>
      </c>
      <c r="B34" s="20" t="s">
        <v>28</v>
      </c>
      <c r="C34" s="15"/>
      <c r="D34" s="16"/>
      <c r="E34" s="13">
        <v>199.0</v>
      </c>
      <c r="F34" s="13">
        <v>190.0</v>
      </c>
      <c r="G34" s="13">
        <v>208.0</v>
      </c>
      <c r="H34" s="13">
        <v>202.0</v>
      </c>
      <c r="I34" s="13">
        <v>199.0</v>
      </c>
      <c r="J34" s="13">
        <v>162.0</v>
      </c>
      <c r="K34" s="13">
        <v>154.0</v>
      </c>
      <c r="L34" s="13">
        <v>153.0</v>
      </c>
      <c r="M34" s="13">
        <v>147.0</v>
      </c>
      <c r="N34" s="13">
        <f t="shared" si="11"/>
        <v>1614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1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2">E33-(E34+E35)</f>
        <v>64</v>
      </c>
      <c r="F36" s="13">
        <f t="shared" si="12"/>
        <v>73</v>
      </c>
      <c r="G36" s="13">
        <f t="shared" si="12"/>
        <v>65</v>
      </c>
      <c r="H36" s="13">
        <f t="shared" si="12"/>
        <v>79</v>
      </c>
      <c r="I36" s="13">
        <f t="shared" si="12"/>
        <v>71</v>
      </c>
      <c r="J36" s="13">
        <f t="shared" si="12"/>
        <v>45</v>
      </c>
      <c r="K36" s="13">
        <f t="shared" si="12"/>
        <v>50</v>
      </c>
      <c r="L36" s="13">
        <f t="shared" si="12"/>
        <v>54</v>
      </c>
      <c r="M36" s="13">
        <f t="shared" si="12"/>
        <v>63</v>
      </c>
      <c r="N36" s="13">
        <f t="shared" si="11"/>
        <v>564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2"/>
    </row>
    <row r="39" ht="12.75" customHeight="1">
      <c r="A39" s="30"/>
      <c r="B39" s="46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3">
        <f t="shared" ref="N39:N41" si="13">SUM(E39:M39)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3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M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3"/>
        <v>0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50" t="s">
        <v>17</v>
      </c>
      <c r="C45" s="63" t="s">
        <v>38</v>
      </c>
      <c r="D45" s="16"/>
      <c r="E45" s="19">
        <v>21.0</v>
      </c>
      <c r="F45" s="19">
        <v>27.0</v>
      </c>
      <c r="G45" s="19">
        <v>19.0</v>
      </c>
      <c r="H45" s="19">
        <v>22.0</v>
      </c>
      <c r="I45" s="19">
        <v>17.0</v>
      </c>
      <c r="J45" s="19">
        <v>19.0</v>
      </c>
      <c r="K45" s="19">
        <v>16.0</v>
      </c>
      <c r="L45" s="19">
        <v>14.0</v>
      </c>
      <c r="M45" s="19">
        <v>13.0</v>
      </c>
      <c r="N45" s="13">
        <f t="shared" ref="N45:N57" si="15">SUM(E45:M45)</f>
        <v>168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42.0</v>
      </c>
      <c r="F46" s="19">
        <v>23.0</v>
      </c>
      <c r="G46" s="19">
        <v>47.0</v>
      </c>
      <c r="H46" s="19">
        <v>50.0</v>
      </c>
      <c r="I46" s="19">
        <v>46.0</v>
      </c>
      <c r="J46" s="19">
        <v>22.0</v>
      </c>
      <c r="K46" s="19">
        <v>19.0</v>
      </c>
      <c r="L46" s="19">
        <v>18.0</v>
      </c>
      <c r="M46" s="19">
        <v>23.0</v>
      </c>
      <c r="N46" s="13">
        <f t="shared" si="15"/>
        <v>290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10.0</v>
      </c>
      <c r="F47" s="19">
        <v>11.0</v>
      </c>
      <c r="G47" s="19">
        <v>10.0</v>
      </c>
      <c r="H47" s="19">
        <v>11.0</v>
      </c>
      <c r="I47" s="19">
        <v>13.0</v>
      </c>
      <c r="J47" s="19">
        <v>13.0</v>
      </c>
      <c r="K47" s="19">
        <v>12.0</v>
      </c>
      <c r="L47" s="19">
        <v>9.0</v>
      </c>
      <c r="M47" s="19">
        <v>11.0</v>
      </c>
      <c r="N47" s="13">
        <f t="shared" si="15"/>
        <v>100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14.0</v>
      </c>
      <c r="F48" s="19">
        <v>18.0</v>
      </c>
      <c r="G48" s="19">
        <v>15.0</v>
      </c>
      <c r="H48" s="19">
        <v>9.0</v>
      </c>
      <c r="I48" s="19">
        <v>22.0</v>
      </c>
      <c r="J48" s="19">
        <v>11.0</v>
      </c>
      <c r="K48" s="19">
        <v>22.0</v>
      </c>
      <c r="L48" s="19">
        <v>13.0</v>
      </c>
      <c r="M48" s="19">
        <v>18.0</v>
      </c>
      <c r="N48" s="13">
        <f t="shared" si="15"/>
        <v>142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12.0</v>
      </c>
      <c r="F49" s="19">
        <v>8.0</v>
      </c>
      <c r="G49" s="19">
        <v>13.0</v>
      </c>
      <c r="H49" s="19">
        <v>11.0</v>
      </c>
      <c r="I49" s="19">
        <v>17.0</v>
      </c>
      <c r="J49" s="19">
        <v>10.0</v>
      </c>
      <c r="K49" s="19">
        <v>5.0</v>
      </c>
      <c r="L49" s="19">
        <v>4.0</v>
      </c>
      <c r="M49" s="19">
        <v>11.0</v>
      </c>
      <c r="N49" s="13">
        <f t="shared" si="15"/>
        <v>91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13.0</v>
      </c>
      <c r="F50" s="19">
        <v>4.0</v>
      </c>
      <c r="G50" s="19">
        <v>10.0</v>
      </c>
      <c r="H50" s="19">
        <v>11.0</v>
      </c>
      <c r="I50" s="19">
        <v>10.0</v>
      </c>
      <c r="J50" s="19">
        <v>11.0</v>
      </c>
      <c r="K50" s="19">
        <v>12.0</v>
      </c>
      <c r="L50" s="19">
        <v>17.0</v>
      </c>
      <c r="M50" s="19">
        <v>13.0</v>
      </c>
      <c r="N50" s="13">
        <f t="shared" si="15"/>
        <v>101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0.0</v>
      </c>
      <c r="F51" s="19">
        <v>3.0</v>
      </c>
      <c r="G51" s="19">
        <v>0.0</v>
      </c>
      <c r="H51" s="19">
        <v>3.0</v>
      </c>
      <c r="I51" s="19">
        <v>3.0</v>
      </c>
      <c r="J51" s="19">
        <v>3.0</v>
      </c>
      <c r="K51" s="19">
        <v>0.0</v>
      </c>
      <c r="L51" s="19">
        <v>0.0</v>
      </c>
      <c r="M51" s="19">
        <v>0.0</v>
      </c>
      <c r="N51" s="13">
        <f t="shared" si="15"/>
        <v>12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4.0</v>
      </c>
      <c r="F52" s="19">
        <v>0.0</v>
      </c>
      <c r="G52" s="19">
        <v>1.0</v>
      </c>
      <c r="H52" s="19">
        <v>6.0</v>
      </c>
      <c r="I52" s="19">
        <v>2.0</v>
      </c>
      <c r="J52" s="19">
        <v>1.0</v>
      </c>
      <c r="K52" s="19">
        <v>1.0</v>
      </c>
      <c r="L52" s="19">
        <v>2.0</v>
      </c>
      <c r="M52" s="19">
        <v>4.0</v>
      </c>
      <c r="N52" s="13">
        <f t="shared" si="15"/>
        <v>21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3">
        <f t="shared" si="15"/>
        <v>1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16.0</v>
      </c>
      <c r="F54" s="19">
        <v>12.0</v>
      </c>
      <c r="G54" s="19">
        <v>19.0</v>
      </c>
      <c r="H54" s="19">
        <v>24.0</v>
      </c>
      <c r="I54" s="19">
        <v>14.0</v>
      </c>
      <c r="J54" s="19">
        <v>15.0</v>
      </c>
      <c r="K54" s="19">
        <v>16.0</v>
      </c>
      <c r="L54" s="19">
        <v>20.0</v>
      </c>
      <c r="M54" s="19">
        <v>11.0</v>
      </c>
      <c r="N54" s="13">
        <f t="shared" si="15"/>
        <v>147</v>
      </c>
    </row>
    <row r="55" ht="15.0" customHeight="1">
      <c r="A55" s="18"/>
      <c r="B55" s="50" t="s">
        <v>54</v>
      </c>
      <c r="C55" s="63" t="s">
        <v>55</v>
      </c>
      <c r="D55" s="16"/>
      <c r="E55" s="19">
        <v>0.0</v>
      </c>
      <c r="F55" s="19">
        <v>1.0</v>
      </c>
      <c r="G55" s="19">
        <v>1.0</v>
      </c>
      <c r="H55" s="19">
        <v>2.0</v>
      </c>
      <c r="I55" s="19">
        <v>2.0</v>
      </c>
      <c r="J55" s="19">
        <v>0.0</v>
      </c>
      <c r="K55" s="19">
        <v>1.0</v>
      </c>
      <c r="L55" s="19">
        <v>2.0</v>
      </c>
      <c r="M55" s="19">
        <v>0.0</v>
      </c>
      <c r="N55" s="13">
        <f t="shared" si="15"/>
        <v>9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14.0</v>
      </c>
      <c r="F56" s="19">
        <v>15.0</v>
      </c>
      <c r="G56" s="19">
        <v>15.0</v>
      </c>
      <c r="H56" s="19">
        <v>16.0</v>
      </c>
      <c r="I56" s="19">
        <v>18.0</v>
      </c>
      <c r="J56" s="19">
        <v>8.0</v>
      </c>
      <c r="K56" s="19">
        <v>6.0</v>
      </c>
      <c r="L56" s="19">
        <v>19.0</v>
      </c>
      <c r="M56" s="19">
        <v>12.0</v>
      </c>
      <c r="N56" s="13">
        <f t="shared" si="15"/>
        <v>123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0.0</v>
      </c>
      <c r="F57" s="19">
        <v>2.0</v>
      </c>
      <c r="G57" s="19">
        <v>2.0</v>
      </c>
      <c r="H57" s="19">
        <v>3.0</v>
      </c>
      <c r="I57" s="19">
        <v>4.0</v>
      </c>
      <c r="J57" s="19">
        <v>2.0</v>
      </c>
      <c r="K57" s="19">
        <v>3.0</v>
      </c>
      <c r="L57" s="19">
        <v>3.0</v>
      </c>
      <c r="M57" s="19">
        <v>0.0</v>
      </c>
      <c r="N57" s="13">
        <f t="shared" si="15"/>
        <v>19</v>
      </c>
    </row>
    <row r="58" ht="12.75" customHeight="1">
      <c r="N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M60" si="16">SUM(E45:E57)</f>
        <v>146</v>
      </c>
      <c r="F60" s="19">
        <f t="shared" si="16"/>
        <v>124</v>
      </c>
      <c r="G60" s="19">
        <f t="shared" si="16"/>
        <v>152</v>
      </c>
      <c r="H60" s="19">
        <f t="shared" si="16"/>
        <v>169</v>
      </c>
      <c r="I60" s="19">
        <f t="shared" si="16"/>
        <v>168</v>
      </c>
      <c r="J60" s="19">
        <f t="shared" si="16"/>
        <v>115</v>
      </c>
      <c r="K60" s="19">
        <f t="shared" si="16"/>
        <v>113</v>
      </c>
      <c r="L60" s="19">
        <f t="shared" si="16"/>
        <v>121</v>
      </c>
      <c r="M60" s="19">
        <f t="shared" si="16"/>
        <v>116</v>
      </c>
      <c r="N60" s="13">
        <f t="shared" ref="N60:N62" si="17">SUM(E60:M60)</f>
        <v>1224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53.0</v>
      </c>
      <c r="F61" s="19">
        <v>66.0</v>
      </c>
      <c r="G61" s="19">
        <v>56.0</v>
      </c>
      <c r="H61" s="19">
        <v>33.0</v>
      </c>
      <c r="I61" s="19">
        <v>31.0</v>
      </c>
      <c r="J61" s="19">
        <v>47.0</v>
      </c>
      <c r="K61" s="19">
        <v>41.0</v>
      </c>
      <c r="L61" s="19">
        <v>32.0</v>
      </c>
      <c r="M61" s="19">
        <v>31.0</v>
      </c>
      <c r="N61" s="13">
        <f t="shared" si="17"/>
        <v>390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M62" si="18">SUM(E60:E61)</f>
        <v>199</v>
      </c>
      <c r="F62" s="13">
        <f t="shared" si="18"/>
        <v>190</v>
      </c>
      <c r="G62" s="13">
        <f t="shared" si="18"/>
        <v>208</v>
      </c>
      <c r="H62" s="13">
        <f t="shared" si="18"/>
        <v>202</v>
      </c>
      <c r="I62" s="13">
        <f t="shared" si="18"/>
        <v>199</v>
      </c>
      <c r="J62" s="13">
        <f t="shared" si="18"/>
        <v>162</v>
      </c>
      <c r="K62" s="13">
        <f t="shared" si="18"/>
        <v>154</v>
      </c>
      <c r="L62" s="13">
        <f t="shared" si="18"/>
        <v>153</v>
      </c>
      <c r="M62" s="13">
        <f t="shared" si="18"/>
        <v>147</v>
      </c>
      <c r="N62" s="13">
        <f t="shared" si="17"/>
        <v>1614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3"/>
      <c r="P131" s="53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3"/>
      <c r="P142" s="53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3"/>
      <c r="P152" s="53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3"/>
      <c r="P166" s="53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3"/>
      <c r="P199" s="53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3"/>
      <c r="P208" s="53"/>
    </row>
    <row r="209" ht="12.75" customHeight="1">
      <c r="O209" s="53"/>
      <c r="P209" s="53"/>
    </row>
    <row r="210" ht="12.75" customHeight="1">
      <c r="O210" s="53"/>
      <c r="P210" s="53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3"/>
      <c r="P219" s="53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3"/>
      <c r="P230" s="53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45:M57">
    <cfRule type="containsBlanks" dxfId="1" priority="9">
      <formula>LEN(TRIM(E45))=0</formula>
    </cfRule>
  </conditionalFormatting>
  <conditionalFormatting sqref="E60:M61">
    <cfRule type="containsBlanks" dxfId="1" priority="10">
      <formula>LEN(TRIM(E60))=0</formula>
    </cfRule>
  </conditionalFormatting>
  <conditionalFormatting sqref="E34:M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0.71"/>
    <col customWidth="1" min="5" max="19" width="8.71"/>
    <col customWidth="1" min="20" max="20" width="8.86"/>
    <col customWidth="1" min="21" max="21" width="8.14"/>
    <col customWidth="1" min="22" max="22" width="10.29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7"/>
      <c r="U12" s="67"/>
      <c r="V12" s="67"/>
      <c r="W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82</v>
      </c>
      <c r="O13" s="13" t="s">
        <v>83</v>
      </c>
      <c r="P13" s="13" t="s">
        <v>84</v>
      </c>
      <c r="Q13" s="13" t="s">
        <v>85</v>
      </c>
      <c r="R13" s="13" t="s">
        <v>86</v>
      </c>
      <c r="S13" s="13" t="s">
        <v>87</v>
      </c>
      <c r="T13" s="13" t="s">
        <v>90</v>
      </c>
      <c r="U13" s="13" t="s">
        <v>91</v>
      </c>
      <c r="V13" s="68" t="s">
        <v>92</v>
      </c>
      <c r="W13" s="37"/>
    </row>
    <row r="14" ht="12.75" customHeight="1">
      <c r="A14" s="18"/>
      <c r="B14" s="22" t="s">
        <v>11</v>
      </c>
      <c r="C14" s="23"/>
      <c r="D14" s="19" t="s">
        <v>12</v>
      </c>
      <c r="E14" s="19">
        <v>92.0</v>
      </c>
      <c r="F14" s="19">
        <v>63.0</v>
      </c>
      <c r="G14" s="19">
        <v>139.0</v>
      </c>
      <c r="H14" s="19">
        <v>138.0</v>
      </c>
      <c r="I14" s="19">
        <v>122.0</v>
      </c>
      <c r="J14" s="19">
        <v>137.0</v>
      </c>
      <c r="K14" s="19">
        <v>148.0</v>
      </c>
      <c r="L14" s="19">
        <v>125.0</v>
      </c>
      <c r="M14" s="19">
        <v>94.0</v>
      </c>
      <c r="N14" s="19">
        <v>142.0</v>
      </c>
      <c r="O14" s="19">
        <v>121.0</v>
      </c>
      <c r="P14" s="19">
        <v>119.0</v>
      </c>
      <c r="Q14" s="19">
        <v>128.0</v>
      </c>
      <c r="R14" s="19">
        <v>150.0</v>
      </c>
      <c r="S14" s="19">
        <v>132.0</v>
      </c>
      <c r="T14" s="19">
        <v>108.0</v>
      </c>
      <c r="U14" s="19">
        <v>132.0</v>
      </c>
      <c r="V14" s="19">
        <v>144.0</v>
      </c>
      <c r="W14" s="13">
        <f t="shared" ref="W14:W16" si="1">SUM(E14:V14)</f>
        <v>2234</v>
      </c>
    </row>
    <row r="15" ht="12.75" customHeight="1">
      <c r="A15" s="18"/>
      <c r="B15" s="26"/>
      <c r="C15" s="27"/>
      <c r="D15" s="19" t="s">
        <v>13</v>
      </c>
      <c r="E15" s="19">
        <v>84.0</v>
      </c>
      <c r="F15" s="19">
        <v>65.0</v>
      </c>
      <c r="G15" s="19">
        <v>137.0</v>
      </c>
      <c r="H15" s="19">
        <v>129.0</v>
      </c>
      <c r="I15" s="19">
        <v>118.0</v>
      </c>
      <c r="J15" s="19">
        <v>133.0</v>
      </c>
      <c r="K15" s="19">
        <v>135.0</v>
      </c>
      <c r="L15" s="19">
        <v>117.0</v>
      </c>
      <c r="M15" s="19">
        <v>105.0</v>
      </c>
      <c r="N15" s="19">
        <v>132.0</v>
      </c>
      <c r="O15" s="19">
        <v>124.0</v>
      </c>
      <c r="P15" s="19">
        <v>113.0</v>
      </c>
      <c r="Q15" s="19">
        <v>141.0</v>
      </c>
      <c r="R15" s="19">
        <v>135.0</v>
      </c>
      <c r="S15" s="19">
        <v>145.0</v>
      </c>
      <c r="T15" s="19">
        <v>102.0</v>
      </c>
      <c r="U15" s="19">
        <v>126.0</v>
      </c>
      <c r="V15" s="19">
        <v>143.0</v>
      </c>
      <c r="W15" s="13">
        <f t="shared" si="1"/>
        <v>2184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176</v>
      </c>
      <c r="F16" s="13">
        <f t="shared" si="2"/>
        <v>128</v>
      </c>
      <c r="G16" s="13">
        <f t="shared" si="2"/>
        <v>276</v>
      </c>
      <c r="H16" s="13">
        <f t="shared" si="2"/>
        <v>267</v>
      </c>
      <c r="I16" s="13">
        <f t="shared" si="2"/>
        <v>240</v>
      </c>
      <c r="J16" s="13">
        <f t="shared" si="2"/>
        <v>270</v>
      </c>
      <c r="K16" s="13">
        <f t="shared" si="2"/>
        <v>283</v>
      </c>
      <c r="L16" s="13">
        <f t="shared" si="2"/>
        <v>242</v>
      </c>
      <c r="M16" s="13">
        <f t="shared" si="2"/>
        <v>199</v>
      </c>
      <c r="N16" s="13">
        <f t="shared" si="2"/>
        <v>274</v>
      </c>
      <c r="O16" s="13">
        <f t="shared" si="2"/>
        <v>245</v>
      </c>
      <c r="P16" s="13">
        <f t="shared" si="2"/>
        <v>232</v>
      </c>
      <c r="Q16" s="13">
        <f t="shared" si="2"/>
        <v>269</v>
      </c>
      <c r="R16" s="13">
        <f t="shared" si="2"/>
        <v>285</v>
      </c>
      <c r="S16" s="13">
        <f t="shared" si="2"/>
        <v>277</v>
      </c>
      <c r="T16" s="13">
        <f t="shared" si="2"/>
        <v>210</v>
      </c>
      <c r="U16" s="13">
        <f t="shared" si="2"/>
        <v>258</v>
      </c>
      <c r="V16" s="13">
        <f t="shared" si="2"/>
        <v>287</v>
      </c>
      <c r="W16" s="13">
        <f t="shared" si="1"/>
        <v>4418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19"/>
      <c r="P17" s="19"/>
      <c r="Q17" s="19"/>
      <c r="R17" s="19"/>
      <c r="S17" s="65"/>
      <c r="T17" s="62"/>
      <c r="U17" s="62"/>
      <c r="V17" s="62"/>
      <c r="W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19"/>
      <c r="P18" s="19"/>
      <c r="Q18" s="19"/>
      <c r="R18" s="19"/>
      <c r="S18" s="65"/>
      <c r="T18" s="62"/>
      <c r="U18" s="62"/>
      <c r="V18" s="62"/>
      <c r="W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73.0</v>
      </c>
      <c r="F19" s="19">
        <v>46.0</v>
      </c>
      <c r="G19" s="19">
        <v>100.0</v>
      </c>
      <c r="H19" s="19">
        <v>97.0</v>
      </c>
      <c r="I19" s="19">
        <v>89.0</v>
      </c>
      <c r="J19" s="19">
        <v>102.0</v>
      </c>
      <c r="K19" s="19">
        <v>97.0</v>
      </c>
      <c r="L19" s="19">
        <v>94.0</v>
      </c>
      <c r="M19" s="19">
        <v>74.0</v>
      </c>
      <c r="N19" s="19">
        <v>106.0</v>
      </c>
      <c r="O19" s="19">
        <v>90.0</v>
      </c>
      <c r="P19" s="19">
        <v>91.0</v>
      </c>
      <c r="Q19" s="19">
        <v>102.0</v>
      </c>
      <c r="R19" s="19">
        <v>104.0</v>
      </c>
      <c r="S19" s="19">
        <v>101.0</v>
      </c>
      <c r="T19" s="19">
        <v>80.0</v>
      </c>
      <c r="U19" s="19">
        <v>101.0</v>
      </c>
      <c r="V19" s="19">
        <v>106.0</v>
      </c>
      <c r="W19" s="13">
        <f t="shared" ref="W19:W30" si="3">SUM(E19:V19)</f>
        <v>1653</v>
      </c>
    </row>
    <row r="20" ht="12.75" customHeight="1">
      <c r="A20" s="34"/>
      <c r="B20" s="27"/>
      <c r="C20" s="35"/>
      <c r="D20" s="19" t="s">
        <v>13</v>
      </c>
      <c r="E20" s="19">
        <v>68.0</v>
      </c>
      <c r="F20" s="19">
        <v>58.0</v>
      </c>
      <c r="G20" s="19">
        <v>111.0</v>
      </c>
      <c r="H20" s="19">
        <v>111.0</v>
      </c>
      <c r="I20" s="19">
        <v>91.0</v>
      </c>
      <c r="J20" s="19">
        <v>104.0</v>
      </c>
      <c r="K20" s="19">
        <v>100.0</v>
      </c>
      <c r="L20" s="19">
        <v>97.0</v>
      </c>
      <c r="M20" s="19">
        <v>86.0</v>
      </c>
      <c r="N20" s="19">
        <v>117.0</v>
      </c>
      <c r="O20" s="19">
        <v>96.0</v>
      </c>
      <c r="P20" s="19">
        <v>90.0</v>
      </c>
      <c r="Q20" s="19">
        <v>115.0</v>
      </c>
      <c r="R20" s="19">
        <v>111.0</v>
      </c>
      <c r="S20" s="19">
        <v>113.0</v>
      </c>
      <c r="T20" s="19">
        <v>90.0</v>
      </c>
      <c r="U20" s="19">
        <v>108.0</v>
      </c>
      <c r="V20" s="19">
        <v>111.0</v>
      </c>
      <c r="W20" s="13">
        <f t="shared" si="3"/>
        <v>1777</v>
      </c>
    </row>
    <row r="21" ht="12.75" customHeight="1">
      <c r="A21" s="36"/>
      <c r="B21" s="28"/>
      <c r="C21" s="37"/>
      <c r="D21" s="13" t="s">
        <v>14</v>
      </c>
      <c r="E21" s="13">
        <f t="shared" ref="E21:G21" si="4">SUM(E19:E20)</f>
        <v>141</v>
      </c>
      <c r="F21" s="13">
        <f t="shared" si="4"/>
        <v>104</v>
      </c>
      <c r="G21" s="13">
        <f t="shared" si="4"/>
        <v>211</v>
      </c>
      <c r="H21" s="13">
        <v>208.0</v>
      </c>
      <c r="I21" s="13">
        <f t="shared" ref="I21:V21" si="5">SUM(I19:I20)</f>
        <v>180</v>
      </c>
      <c r="J21" s="13">
        <f t="shared" si="5"/>
        <v>206</v>
      </c>
      <c r="K21" s="13">
        <f t="shared" si="5"/>
        <v>197</v>
      </c>
      <c r="L21" s="13">
        <f t="shared" si="5"/>
        <v>191</v>
      </c>
      <c r="M21" s="13">
        <f t="shared" si="5"/>
        <v>160</v>
      </c>
      <c r="N21" s="13">
        <f t="shared" si="5"/>
        <v>223</v>
      </c>
      <c r="O21" s="13">
        <f t="shared" si="5"/>
        <v>186</v>
      </c>
      <c r="P21" s="13">
        <f t="shared" si="5"/>
        <v>181</v>
      </c>
      <c r="Q21" s="13">
        <f t="shared" si="5"/>
        <v>217</v>
      </c>
      <c r="R21" s="13">
        <f t="shared" si="5"/>
        <v>215</v>
      </c>
      <c r="S21" s="13">
        <f t="shared" si="5"/>
        <v>214</v>
      </c>
      <c r="T21" s="13">
        <f t="shared" si="5"/>
        <v>170</v>
      </c>
      <c r="U21" s="13">
        <f t="shared" si="5"/>
        <v>209</v>
      </c>
      <c r="V21" s="13">
        <f t="shared" si="5"/>
        <v>217</v>
      </c>
      <c r="W21" s="13">
        <f t="shared" si="3"/>
        <v>3430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V24" si="6">SUM(E22:E23)</f>
        <v>0</v>
      </c>
      <c r="F24" s="13">
        <f t="shared" si="6"/>
        <v>0</v>
      </c>
      <c r="G24" s="13">
        <f t="shared" si="6"/>
        <v>0</v>
      </c>
      <c r="H24" s="13">
        <f t="shared" si="6"/>
        <v>0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6"/>
        <v>1</v>
      </c>
      <c r="U24" s="13">
        <f t="shared" si="6"/>
        <v>0</v>
      </c>
      <c r="V24" s="13">
        <f t="shared" si="6"/>
        <v>0</v>
      </c>
      <c r="W24" s="13">
        <f t="shared" si="3"/>
        <v>1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2.0</v>
      </c>
      <c r="O25" s="19">
        <v>1.0</v>
      </c>
      <c r="P25" s="19">
        <v>0.0</v>
      </c>
      <c r="Q25" s="19">
        <v>0.0</v>
      </c>
      <c r="R25" s="19">
        <v>1.0</v>
      </c>
      <c r="S25" s="19">
        <v>3.0</v>
      </c>
      <c r="T25" s="19">
        <v>0.0</v>
      </c>
      <c r="U25" s="19">
        <v>0.0</v>
      </c>
      <c r="V25" s="19">
        <v>1.0</v>
      </c>
      <c r="W25" s="13">
        <f t="shared" si="3"/>
        <v>11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1.0</v>
      </c>
      <c r="V26" s="19">
        <v>0.0</v>
      </c>
      <c r="W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V27" si="7">SUM(E25:E26)</f>
        <v>0</v>
      </c>
      <c r="F27" s="13">
        <f t="shared" si="7"/>
        <v>0</v>
      </c>
      <c r="G27" s="13">
        <f t="shared" si="7"/>
        <v>3</v>
      </c>
      <c r="H27" s="13">
        <f t="shared" si="7"/>
        <v>0</v>
      </c>
      <c r="I27" s="13">
        <f t="shared" si="7"/>
        <v>2</v>
      </c>
      <c r="J27" s="13">
        <f t="shared" si="7"/>
        <v>0</v>
      </c>
      <c r="K27" s="13">
        <f t="shared" si="7"/>
        <v>0</v>
      </c>
      <c r="L27" s="13">
        <f t="shared" si="7"/>
        <v>0</v>
      </c>
      <c r="M27" s="13">
        <f t="shared" si="7"/>
        <v>0</v>
      </c>
      <c r="N27" s="13">
        <f t="shared" si="7"/>
        <v>3</v>
      </c>
      <c r="O27" s="13">
        <f t="shared" si="7"/>
        <v>1</v>
      </c>
      <c r="P27" s="13">
        <f t="shared" si="7"/>
        <v>0</v>
      </c>
      <c r="Q27" s="13">
        <f t="shared" si="7"/>
        <v>0</v>
      </c>
      <c r="R27" s="13">
        <f t="shared" si="7"/>
        <v>1</v>
      </c>
      <c r="S27" s="13">
        <f t="shared" si="7"/>
        <v>4</v>
      </c>
      <c r="T27" s="13">
        <f t="shared" si="7"/>
        <v>0</v>
      </c>
      <c r="U27" s="13">
        <f t="shared" si="7"/>
        <v>1</v>
      </c>
      <c r="V27" s="13">
        <f t="shared" si="7"/>
        <v>1</v>
      </c>
      <c r="W27" s="13">
        <f t="shared" si="3"/>
        <v>16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V28" si="8">SUM(E19,E22,E25)</f>
        <v>73</v>
      </c>
      <c r="F28" s="13">
        <f t="shared" si="8"/>
        <v>46</v>
      </c>
      <c r="G28" s="13">
        <f t="shared" si="8"/>
        <v>102</v>
      </c>
      <c r="H28" s="13">
        <f t="shared" si="8"/>
        <v>97</v>
      </c>
      <c r="I28" s="13">
        <f t="shared" si="8"/>
        <v>90</v>
      </c>
      <c r="J28" s="13">
        <f t="shared" si="8"/>
        <v>102</v>
      </c>
      <c r="K28" s="13">
        <f t="shared" si="8"/>
        <v>97</v>
      </c>
      <c r="L28" s="13">
        <f t="shared" si="8"/>
        <v>94</v>
      </c>
      <c r="M28" s="13">
        <f t="shared" si="8"/>
        <v>74</v>
      </c>
      <c r="N28" s="13">
        <f t="shared" si="8"/>
        <v>108</v>
      </c>
      <c r="O28" s="13">
        <f t="shared" si="8"/>
        <v>91</v>
      </c>
      <c r="P28" s="13">
        <f t="shared" si="8"/>
        <v>91</v>
      </c>
      <c r="Q28" s="13">
        <f t="shared" si="8"/>
        <v>102</v>
      </c>
      <c r="R28" s="13">
        <f t="shared" si="8"/>
        <v>105</v>
      </c>
      <c r="S28" s="13">
        <f t="shared" si="8"/>
        <v>104</v>
      </c>
      <c r="T28" s="13">
        <f t="shared" si="8"/>
        <v>81</v>
      </c>
      <c r="U28" s="13">
        <f t="shared" si="8"/>
        <v>101</v>
      </c>
      <c r="V28" s="13">
        <f t="shared" si="8"/>
        <v>107</v>
      </c>
      <c r="W28" s="13">
        <f t="shared" si="3"/>
        <v>1665</v>
      </c>
    </row>
    <row r="29" ht="12.75" customHeight="1">
      <c r="A29" s="36"/>
      <c r="B29" s="27"/>
      <c r="C29" s="35"/>
      <c r="D29" s="13" t="s">
        <v>13</v>
      </c>
      <c r="E29" s="13">
        <f t="shared" ref="E29:V29" si="9">SUM(E20,E23,E26)</f>
        <v>68</v>
      </c>
      <c r="F29" s="13">
        <f t="shared" si="9"/>
        <v>58</v>
      </c>
      <c r="G29" s="13">
        <f t="shared" si="9"/>
        <v>112</v>
      </c>
      <c r="H29" s="13">
        <f t="shared" si="9"/>
        <v>111</v>
      </c>
      <c r="I29" s="13">
        <f t="shared" si="9"/>
        <v>92</v>
      </c>
      <c r="J29" s="13">
        <f t="shared" si="9"/>
        <v>104</v>
      </c>
      <c r="K29" s="13">
        <f t="shared" si="9"/>
        <v>100</v>
      </c>
      <c r="L29" s="13">
        <f t="shared" si="9"/>
        <v>97</v>
      </c>
      <c r="M29" s="13">
        <f t="shared" si="9"/>
        <v>86</v>
      </c>
      <c r="N29" s="13">
        <f t="shared" si="9"/>
        <v>118</v>
      </c>
      <c r="O29" s="13">
        <f t="shared" si="9"/>
        <v>96</v>
      </c>
      <c r="P29" s="13">
        <f t="shared" si="9"/>
        <v>90</v>
      </c>
      <c r="Q29" s="13">
        <f t="shared" si="9"/>
        <v>115</v>
      </c>
      <c r="R29" s="13">
        <f t="shared" si="9"/>
        <v>111</v>
      </c>
      <c r="S29" s="13">
        <f t="shared" si="9"/>
        <v>114</v>
      </c>
      <c r="T29" s="13">
        <f t="shared" si="9"/>
        <v>90</v>
      </c>
      <c r="U29" s="13">
        <f t="shared" si="9"/>
        <v>109</v>
      </c>
      <c r="V29" s="13">
        <f t="shared" si="9"/>
        <v>111</v>
      </c>
      <c r="W29" s="13">
        <f t="shared" si="3"/>
        <v>1782</v>
      </c>
    </row>
    <row r="30" ht="12.75" customHeight="1">
      <c r="A30" s="36"/>
      <c r="B30" s="28"/>
      <c r="C30" s="37"/>
      <c r="D30" s="13" t="s">
        <v>14</v>
      </c>
      <c r="E30" s="13">
        <f t="shared" ref="E30:V30" si="10">SUM(E28:E29)</f>
        <v>141</v>
      </c>
      <c r="F30" s="13">
        <f t="shared" si="10"/>
        <v>104</v>
      </c>
      <c r="G30" s="13">
        <f t="shared" si="10"/>
        <v>214</v>
      </c>
      <c r="H30" s="13">
        <f t="shared" si="10"/>
        <v>208</v>
      </c>
      <c r="I30" s="13">
        <f t="shared" si="10"/>
        <v>182</v>
      </c>
      <c r="J30" s="13">
        <f t="shared" si="10"/>
        <v>206</v>
      </c>
      <c r="K30" s="13">
        <f t="shared" si="10"/>
        <v>197</v>
      </c>
      <c r="L30" s="13">
        <f t="shared" si="10"/>
        <v>191</v>
      </c>
      <c r="M30" s="13">
        <f t="shared" si="10"/>
        <v>160</v>
      </c>
      <c r="N30" s="13">
        <f t="shared" si="10"/>
        <v>226</v>
      </c>
      <c r="O30" s="13">
        <f t="shared" si="10"/>
        <v>187</v>
      </c>
      <c r="P30" s="13">
        <f t="shared" si="10"/>
        <v>181</v>
      </c>
      <c r="Q30" s="13">
        <f t="shared" si="10"/>
        <v>217</v>
      </c>
      <c r="R30" s="13">
        <f t="shared" si="10"/>
        <v>216</v>
      </c>
      <c r="S30" s="13">
        <f t="shared" si="10"/>
        <v>218</v>
      </c>
      <c r="T30" s="69">
        <f t="shared" si="10"/>
        <v>171</v>
      </c>
      <c r="U30" s="69">
        <f t="shared" si="10"/>
        <v>210</v>
      </c>
      <c r="V30" s="69">
        <f t="shared" si="10"/>
        <v>218</v>
      </c>
      <c r="W30" s="13">
        <f t="shared" si="3"/>
        <v>3447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19"/>
      <c r="P31" s="19"/>
      <c r="Q31" s="19"/>
      <c r="R31" s="19"/>
      <c r="S31" s="65"/>
      <c r="T31" s="62"/>
      <c r="U31" s="62"/>
      <c r="V31" s="62"/>
      <c r="W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6"/>
      <c r="O32" s="13"/>
      <c r="P32" s="13"/>
      <c r="Q32" s="13"/>
      <c r="R32" s="13"/>
      <c r="S32" s="66"/>
      <c r="T32" s="62"/>
      <c r="U32" s="62"/>
      <c r="V32" s="62"/>
      <c r="W32" s="62"/>
    </row>
    <row r="33" ht="12.75" customHeight="1">
      <c r="A33" s="19">
        <v>1.0</v>
      </c>
      <c r="B33" s="20" t="s">
        <v>27</v>
      </c>
      <c r="C33" s="15"/>
      <c r="D33" s="16"/>
      <c r="E33" s="19">
        <v>175.0</v>
      </c>
      <c r="F33" s="19">
        <v>125.0</v>
      </c>
      <c r="G33" s="19">
        <v>276.0</v>
      </c>
      <c r="H33" s="19">
        <v>266.0</v>
      </c>
      <c r="I33" s="19">
        <v>239.0</v>
      </c>
      <c r="J33" s="19">
        <v>274.0</v>
      </c>
      <c r="K33" s="19">
        <v>283.0</v>
      </c>
      <c r="L33" s="19">
        <v>242.0</v>
      </c>
      <c r="M33" s="19">
        <v>202.0</v>
      </c>
      <c r="N33" s="19">
        <v>279.0</v>
      </c>
      <c r="O33" s="19">
        <v>244.0</v>
      </c>
      <c r="P33" s="19">
        <v>231.0</v>
      </c>
      <c r="Q33" s="19">
        <v>269.0</v>
      </c>
      <c r="R33" s="19">
        <v>291.0</v>
      </c>
      <c r="S33" s="19">
        <v>278.0</v>
      </c>
      <c r="T33" s="19">
        <v>217.0</v>
      </c>
      <c r="U33" s="19">
        <v>253.0</v>
      </c>
      <c r="V33" s="19">
        <v>290.0</v>
      </c>
      <c r="W33" s="13">
        <f t="shared" ref="W33:W36" si="11">SUM(E33:V33)</f>
        <v>4434</v>
      </c>
    </row>
    <row r="34" ht="12.75" customHeight="1">
      <c r="A34" s="19">
        <v>2.0</v>
      </c>
      <c r="B34" s="20" t="s">
        <v>28</v>
      </c>
      <c r="C34" s="15"/>
      <c r="D34" s="16"/>
      <c r="E34" s="13">
        <v>141.0</v>
      </c>
      <c r="F34" s="13">
        <v>104.0</v>
      </c>
      <c r="G34" s="13">
        <v>214.0</v>
      </c>
      <c r="H34" s="13">
        <v>208.0</v>
      </c>
      <c r="I34" s="13">
        <v>182.0</v>
      </c>
      <c r="J34" s="13">
        <v>206.0</v>
      </c>
      <c r="K34" s="13">
        <v>197.0</v>
      </c>
      <c r="L34" s="13">
        <v>191.0</v>
      </c>
      <c r="M34" s="13">
        <v>160.0</v>
      </c>
      <c r="N34" s="13">
        <v>226.0</v>
      </c>
      <c r="O34" s="13">
        <v>187.0</v>
      </c>
      <c r="P34" s="13">
        <v>181.0</v>
      </c>
      <c r="Q34" s="13">
        <v>217.0</v>
      </c>
      <c r="R34" s="13">
        <v>216.0</v>
      </c>
      <c r="S34" s="13">
        <v>218.0</v>
      </c>
      <c r="T34" s="70">
        <v>171.0</v>
      </c>
      <c r="U34" s="70">
        <v>210.0</v>
      </c>
      <c r="V34" s="70">
        <v>218.0</v>
      </c>
      <c r="W34" s="13">
        <f t="shared" si="11"/>
        <v>3447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/>
      <c r="H35" s="19"/>
      <c r="I35" s="19">
        <v>0.0</v>
      </c>
      <c r="J35" s="19"/>
      <c r="K35" s="19"/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1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2">E33-(E34+E35)</f>
        <v>34</v>
      </c>
      <c r="F36" s="13">
        <f t="shared" si="12"/>
        <v>21</v>
      </c>
      <c r="G36" s="13">
        <f t="shared" si="12"/>
        <v>62</v>
      </c>
      <c r="H36" s="13">
        <f t="shared" si="12"/>
        <v>58</v>
      </c>
      <c r="I36" s="13">
        <f t="shared" si="12"/>
        <v>57</v>
      </c>
      <c r="J36" s="13">
        <f t="shared" si="12"/>
        <v>68</v>
      </c>
      <c r="K36" s="13">
        <f t="shared" si="12"/>
        <v>86</v>
      </c>
      <c r="L36" s="13">
        <f t="shared" si="12"/>
        <v>51</v>
      </c>
      <c r="M36" s="13">
        <f t="shared" si="12"/>
        <v>42</v>
      </c>
      <c r="N36" s="13">
        <f t="shared" si="12"/>
        <v>53</v>
      </c>
      <c r="O36" s="13">
        <f t="shared" si="12"/>
        <v>57</v>
      </c>
      <c r="P36" s="13">
        <f t="shared" si="12"/>
        <v>50</v>
      </c>
      <c r="Q36" s="13">
        <f t="shared" si="12"/>
        <v>50</v>
      </c>
      <c r="R36" s="13">
        <f t="shared" si="12"/>
        <v>75</v>
      </c>
      <c r="S36" s="13">
        <f t="shared" si="12"/>
        <v>60</v>
      </c>
      <c r="T36" s="13">
        <f t="shared" si="12"/>
        <v>46</v>
      </c>
      <c r="U36" s="13">
        <f t="shared" si="12"/>
        <v>43</v>
      </c>
      <c r="V36" s="13">
        <f t="shared" si="12"/>
        <v>72</v>
      </c>
      <c r="W36" s="13">
        <f t="shared" si="11"/>
        <v>985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19"/>
      <c r="P37" s="19"/>
      <c r="Q37" s="19"/>
      <c r="R37" s="19"/>
      <c r="S37" s="65"/>
      <c r="T37" s="62"/>
      <c r="U37" s="62"/>
      <c r="V37" s="62"/>
      <c r="W37" s="13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6"/>
      <c r="O38" s="13"/>
      <c r="P38" s="13"/>
      <c r="Q38" s="13"/>
      <c r="R38" s="13"/>
      <c r="S38" s="66"/>
      <c r="T38" s="62"/>
      <c r="U38" s="62"/>
      <c r="V38" s="62"/>
      <c r="W38" s="13"/>
    </row>
    <row r="39" ht="12.75" customHeight="1">
      <c r="A39" s="30"/>
      <c r="B39" s="46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1.0</v>
      </c>
      <c r="S39" s="19">
        <v>1.0</v>
      </c>
      <c r="T39" s="19">
        <v>1.0</v>
      </c>
      <c r="U39" s="19">
        <v>0.0</v>
      </c>
      <c r="V39" s="19">
        <v>0.0</v>
      </c>
      <c r="W39" s="13">
        <f t="shared" ref="W39:W41" si="13">SUM(E39:V39)</f>
        <v>5</v>
      </c>
    </row>
    <row r="40" ht="12.75" customHeight="1">
      <c r="A40" s="34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1.0</v>
      </c>
      <c r="U40" s="19">
        <v>0.0</v>
      </c>
      <c r="V40" s="19">
        <v>0.0</v>
      </c>
      <c r="W40" s="13">
        <f t="shared" si="13"/>
        <v>5</v>
      </c>
    </row>
    <row r="41" ht="12.75" customHeight="1">
      <c r="A41" s="44"/>
      <c r="B41" s="47"/>
      <c r="C41" s="28"/>
      <c r="D41" s="13" t="s">
        <v>14</v>
      </c>
      <c r="E41" s="13">
        <f t="shared" ref="E41:V41" si="14">SUM(E39:E40)</f>
        <v>0</v>
      </c>
      <c r="F41" s="13">
        <f t="shared" si="14"/>
        <v>3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1</v>
      </c>
      <c r="N41" s="13">
        <f t="shared" si="14"/>
        <v>1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2</v>
      </c>
      <c r="S41" s="13">
        <f t="shared" si="14"/>
        <v>1</v>
      </c>
      <c r="T41" s="13">
        <f t="shared" si="14"/>
        <v>2</v>
      </c>
      <c r="U41" s="13">
        <f t="shared" si="14"/>
        <v>0</v>
      </c>
      <c r="V41" s="13">
        <f t="shared" si="14"/>
        <v>0</v>
      </c>
      <c r="W41" s="13">
        <f t="shared" si="13"/>
        <v>10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19"/>
      <c r="Q42" s="19"/>
      <c r="R42" s="19"/>
      <c r="S42" s="65"/>
      <c r="T42" s="13"/>
      <c r="U42" s="13"/>
      <c r="V42" s="13"/>
      <c r="W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66"/>
      <c r="O43" s="13"/>
      <c r="P43" s="13"/>
      <c r="Q43" s="13"/>
      <c r="R43" s="13"/>
      <c r="S43" s="66"/>
      <c r="T43" s="13"/>
      <c r="U43" s="13"/>
      <c r="V43" s="13"/>
      <c r="W43" s="13"/>
    </row>
    <row r="44" ht="12.75" customHeight="1">
      <c r="A44" s="46" t="s">
        <v>36</v>
      </c>
      <c r="B44" s="49"/>
      <c r="C44" s="49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19"/>
      <c r="Q44" s="19"/>
      <c r="R44" s="19"/>
      <c r="S44" s="65"/>
      <c r="T44" s="13"/>
      <c r="U44" s="13"/>
      <c r="V44" s="13"/>
      <c r="W44" s="13"/>
    </row>
    <row r="45" ht="12.75" customHeight="1">
      <c r="A45" s="30"/>
      <c r="B45" s="50" t="s">
        <v>17</v>
      </c>
      <c r="C45" s="63" t="s">
        <v>38</v>
      </c>
      <c r="D45" s="16"/>
      <c r="E45" s="19">
        <v>20.0</v>
      </c>
      <c r="F45" s="19">
        <v>20.0</v>
      </c>
      <c r="G45" s="19">
        <v>34.0</v>
      </c>
      <c r="H45" s="19">
        <v>30.0</v>
      </c>
      <c r="I45" s="19">
        <v>25.0</v>
      </c>
      <c r="J45" s="19">
        <v>21.0</v>
      </c>
      <c r="K45" s="19">
        <v>25.0</v>
      </c>
      <c r="L45" s="19">
        <v>30.0</v>
      </c>
      <c r="M45" s="19">
        <v>26.0</v>
      </c>
      <c r="N45" s="19">
        <v>26.0</v>
      </c>
      <c r="O45" s="19">
        <v>16.0</v>
      </c>
      <c r="P45" s="19">
        <v>27.0</v>
      </c>
      <c r="Q45" s="19">
        <v>19.0</v>
      </c>
      <c r="R45" s="19">
        <v>23.0</v>
      </c>
      <c r="S45" s="19">
        <v>18.0</v>
      </c>
      <c r="T45" s="19">
        <v>25.0</v>
      </c>
      <c r="U45" s="19">
        <v>29.0</v>
      </c>
      <c r="V45" s="19">
        <v>24.0</v>
      </c>
      <c r="W45" s="13">
        <f t="shared" ref="W45:W57" si="15">SUM(E45:V45)</f>
        <v>438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23.0</v>
      </c>
      <c r="F46" s="19">
        <v>15.0</v>
      </c>
      <c r="G46" s="19">
        <v>47.0</v>
      </c>
      <c r="H46" s="19">
        <v>40.0</v>
      </c>
      <c r="I46" s="19">
        <v>46.0</v>
      </c>
      <c r="J46" s="19">
        <v>40.0</v>
      </c>
      <c r="K46" s="19">
        <v>39.0</v>
      </c>
      <c r="L46" s="19">
        <v>29.0</v>
      </c>
      <c r="M46" s="19">
        <v>24.0</v>
      </c>
      <c r="N46" s="19">
        <v>41.0</v>
      </c>
      <c r="O46" s="19">
        <v>34.0</v>
      </c>
      <c r="P46" s="19">
        <v>38.0</v>
      </c>
      <c r="Q46" s="19">
        <v>40.0</v>
      </c>
      <c r="R46" s="19">
        <v>45.0</v>
      </c>
      <c r="S46" s="19">
        <v>33.0</v>
      </c>
      <c r="T46" s="19">
        <v>36.0</v>
      </c>
      <c r="U46" s="19">
        <v>46.0</v>
      </c>
      <c r="V46" s="19">
        <v>43.0</v>
      </c>
      <c r="W46" s="13">
        <f t="shared" si="15"/>
        <v>659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12.0</v>
      </c>
      <c r="F47" s="19">
        <v>12.0</v>
      </c>
      <c r="G47" s="19">
        <v>11.0</v>
      </c>
      <c r="H47" s="19">
        <v>15.0</v>
      </c>
      <c r="I47" s="19">
        <v>19.0</v>
      </c>
      <c r="J47" s="19">
        <v>23.0</v>
      </c>
      <c r="K47" s="19">
        <v>13.0</v>
      </c>
      <c r="L47" s="19">
        <v>14.0</v>
      </c>
      <c r="M47" s="19">
        <v>9.0</v>
      </c>
      <c r="N47" s="19">
        <v>22.0</v>
      </c>
      <c r="O47" s="19">
        <v>12.0</v>
      </c>
      <c r="P47" s="19">
        <v>8.0</v>
      </c>
      <c r="Q47" s="19">
        <v>13.0</v>
      </c>
      <c r="R47" s="19">
        <v>16.0</v>
      </c>
      <c r="S47" s="19">
        <v>17.0</v>
      </c>
      <c r="T47" s="19">
        <v>20.0</v>
      </c>
      <c r="U47" s="19">
        <v>13.0</v>
      </c>
      <c r="V47" s="19">
        <v>21.0</v>
      </c>
      <c r="W47" s="13">
        <f t="shared" si="15"/>
        <v>270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41.0</v>
      </c>
      <c r="F48" s="19">
        <v>14.0</v>
      </c>
      <c r="G48" s="19">
        <v>15.0</v>
      </c>
      <c r="H48" s="19">
        <v>20.0</v>
      </c>
      <c r="I48" s="19">
        <v>15.0</v>
      </c>
      <c r="J48" s="19">
        <v>28.0</v>
      </c>
      <c r="K48" s="19">
        <v>21.0</v>
      </c>
      <c r="L48" s="19">
        <v>22.0</v>
      </c>
      <c r="M48" s="19">
        <v>17.0</v>
      </c>
      <c r="N48" s="19">
        <v>22.0</v>
      </c>
      <c r="O48" s="19">
        <v>10.0</v>
      </c>
      <c r="P48" s="19">
        <v>13.0</v>
      </c>
      <c r="Q48" s="19">
        <v>26.0</v>
      </c>
      <c r="R48" s="19">
        <v>20.0</v>
      </c>
      <c r="S48" s="19">
        <v>23.0</v>
      </c>
      <c r="T48" s="19">
        <v>26.0</v>
      </c>
      <c r="U48" s="19">
        <v>20.0</v>
      </c>
      <c r="V48" s="19">
        <v>27.0</v>
      </c>
      <c r="W48" s="13">
        <f t="shared" si="15"/>
        <v>380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5.0</v>
      </c>
      <c r="F49" s="19">
        <v>8.0</v>
      </c>
      <c r="G49" s="19">
        <v>22.0</v>
      </c>
      <c r="H49" s="19">
        <v>16.0</v>
      </c>
      <c r="I49" s="19">
        <v>7.0</v>
      </c>
      <c r="J49" s="19">
        <v>12.0</v>
      </c>
      <c r="K49" s="19">
        <v>23.0</v>
      </c>
      <c r="L49" s="19">
        <v>9.0</v>
      </c>
      <c r="M49" s="19">
        <v>13.0</v>
      </c>
      <c r="N49" s="19">
        <v>15.0</v>
      </c>
      <c r="O49" s="19">
        <v>10.0</v>
      </c>
      <c r="P49" s="19">
        <v>17.0</v>
      </c>
      <c r="Q49" s="19">
        <v>21.0</v>
      </c>
      <c r="R49" s="19">
        <v>16.0</v>
      </c>
      <c r="S49" s="19">
        <v>17.0</v>
      </c>
      <c r="T49" s="19">
        <v>8.0</v>
      </c>
      <c r="U49" s="19">
        <v>15.0</v>
      </c>
      <c r="V49" s="19">
        <v>16.0</v>
      </c>
      <c r="W49" s="13">
        <f t="shared" si="15"/>
        <v>250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3.0</v>
      </c>
      <c r="F50" s="19">
        <v>3.0</v>
      </c>
      <c r="G50" s="19">
        <v>21.0</v>
      </c>
      <c r="H50" s="19">
        <v>17.0</v>
      </c>
      <c r="I50" s="19">
        <v>12.0</v>
      </c>
      <c r="J50" s="19">
        <v>5.0</v>
      </c>
      <c r="K50" s="19">
        <v>19.0</v>
      </c>
      <c r="L50" s="19">
        <v>15.0</v>
      </c>
      <c r="M50" s="19">
        <v>17.0</v>
      </c>
      <c r="N50" s="19">
        <v>14.0</v>
      </c>
      <c r="O50" s="19">
        <v>20.0</v>
      </c>
      <c r="P50" s="19">
        <v>11.0</v>
      </c>
      <c r="Q50" s="19">
        <v>18.0</v>
      </c>
      <c r="R50" s="19">
        <v>16.0</v>
      </c>
      <c r="S50" s="19">
        <v>17.0</v>
      </c>
      <c r="T50" s="19">
        <v>11.0</v>
      </c>
      <c r="U50" s="19">
        <v>13.0</v>
      </c>
      <c r="V50" s="19">
        <v>16.0</v>
      </c>
      <c r="W50" s="13">
        <f t="shared" si="15"/>
        <v>248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1.0</v>
      </c>
      <c r="F51" s="19">
        <v>1.0</v>
      </c>
      <c r="G51" s="19">
        <v>2.0</v>
      </c>
      <c r="H51" s="19">
        <v>2.0</v>
      </c>
      <c r="I51" s="19">
        <v>2.0</v>
      </c>
      <c r="J51" s="19">
        <v>3.0</v>
      </c>
      <c r="K51" s="19">
        <v>2.0</v>
      </c>
      <c r="L51" s="19">
        <v>3.0</v>
      </c>
      <c r="M51" s="19">
        <v>3.0</v>
      </c>
      <c r="N51" s="19">
        <v>4.0</v>
      </c>
      <c r="O51" s="19">
        <v>2.0</v>
      </c>
      <c r="P51" s="19">
        <v>1.0</v>
      </c>
      <c r="Q51" s="19">
        <v>3.0</v>
      </c>
      <c r="R51" s="19">
        <v>1.0</v>
      </c>
      <c r="S51" s="19">
        <v>1.0</v>
      </c>
      <c r="T51" s="19">
        <v>1.0</v>
      </c>
      <c r="U51" s="19">
        <v>1.0</v>
      </c>
      <c r="V51" s="19">
        <v>1.0</v>
      </c>
      <c r="W51" s="13">
        <f t="shared" si="15"/>
        <v>34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2.0</v>
      </c>
      <c r="F52" s="19">
        <v>1.0</v>
      </c>
      <c r="G52" s="19">
        <v>4.0</v>
      </c>
      <c r="H52" s="19">
        <v>4.0</v>
      </c>
      <c r="I52" s="19">
        <v>3.0</v>
      </c>
      <c r="J52" s="19">
        <v>3.0</v>
      </c>
      <c r="K52" s="19">
        <v>1.0</v>
      </c>
      <c r="L52" s="19">
        <v>3.0</v>
      </c>
      <c r="M52" s="19">
        <v>2.0</v>
      </c>
      <c r="N52" s="19">
        <v>2.0</v>
      </c>
      <c r="O52" s="19">
        <v>0.0</v>
      </c>
      <c r="P52" s="19">
        <v>1.0</v>
      </c>
      <c r="Q52" s="19">
        <v>2.0</v>
      </c>
      <c r="R52" s="19">
        <v>3.0</v>
      </c>
      <c r="S52" s="19">
        <v>4.0</v>
      </c>
      <c r="T52" s="19">
        <v>0.0</v>
      </c>
      <c r="U52" s="19">
        <v>5.0</v>
      </c>
      <c r="V52" s="19">
        <v>4.0</v>
      </c>
      <c r="W52" s="13">
        <f t="shared" si="15"/>
        <v>44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2.0</v>
      </c>
      <c r="F53" s="19">
        <v>0.0</v>
      </c>
      <c r="G53" s="19">
        <v>1.0</v>
      </c>
      <c r="H53" s="19">
        <v>0.0</v>
      </c>
      <c r="I53" s="19">
        <v>1.0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3.0</v>
      </c>
      <c r="P53" s="19">
        <v>0.0</v>
      </c>
      <c r="Q53" s="19">
        <v>0.0</v>
      </c>
      <c r="R53" s="19">
        <v>1.0</v>
      </c>
      <c r="S53" s="19">
        <v>3.0</v>
      </c>
      <c r="T53" s="19">
        <v>0.0</v>
      </c>
      <c r="U53" s="19">
        <v>1.0</v>
      </c>
      <c r="V53" s="19">
        <v>0.0</v>
      </c>
      <c r="W53" s="13">
        <f t="shared" si="15"/>
        <v>12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11.0</v>
      </c>
      <c r="F54" s="19">
        <v>16.0</v>
      </c>
      <c r="G54" s="19">
        <v>15.0</v>
      </c>
      <c r="H54" s="19">
        <v>17.0</v>
      </c>
      <c r="I54" s="19">
        <v>9.0</v>
      </c>
      <c r="J54" s="19">
        <v>22.0</v>
      </c>
      <c r="K54" s="19">
        <v>16.0</v>
      </c>
      <c r="L54" s="19">
        <v>16.0</v>
      </c>
      <c r="M54" s="19">
        <v>17.0</v>
      </c>
      <c r="N54" s="19">
        <v>28.0</v>
      </c>
      <c r="O54" s="19">
        <v>16.0</v>
      </c>
      <c r="P54" s="19">
        <v>18.0</v>
      </c>
      <c r="Q54" s="19">
        <v>21.0</v>
      </c>
      <c r="R54" s="19">
        <v>24.0</v>
      </c>
      <c r="S54" s="19">
        <v>39.0</v>
      </c>
      <c r="T54" s="19">
        <v>15.0</v>
      </c>
      <c r="U54" s="19">
        <v>22.0</v>
      </c>
      <c r="V54" s="19">
        <v>21.0</v>
      </c>
      <c r="W54" s="13">
        <f t="shared" si="15"/>
        <v>343</v>
      </c>
    </row>
    <row r="55" ht="15.0" customHeight="1">
      <c r="A55" s="18"/>
      <c r="B55" s="50" t="s">
        <v>54</v>
      </c>
      <c r="C55" s="63" t="s">
        <v>55</v>
      </c>
      <c r="D55" s="16"/>
      <c r="E55" s="19">
        <v>1.0</v>
      </c>
      <c r="F55" s="19">
        <v>1.0</v>
      </c>
      <c r="G55" s="19">
        <v>0.0</v>
      </c>
      <c r="H55" s="19">
        <v>2.0</v>
      </c>
      <c r="I55" s="19">
        <v>1.0</v>
      </c>
      <c r="J55" s="19">
        <v>0.0</v>
      </c>
      <c r="K55" s="19">
        <v>0.0</v>
      </c>
      <c r="L55" s="19">
        <v>0.0</v>
      </c>
      <c r="M55" s="19">
        <v>1.0</v>
      </c>
      <c r="N55" s="19">
        <v>1.0</v>
      </c>
      <c r="O55" s="19">
        <v>1.0</v>
      </c>
      <c r="P55" s="19">
        <v>2.0</v>
      </c>
      <c r="Q55" s="19">
        <v>0.0</v>
      </c>
      <c r="R55" s="19">
        <v>1.0</v>
      </c>
      <c r="S55" s="19">
        <v>0.0</v>
      </c>
      <c r="T55" s="19">
        <v>0.0</v>
      </c>
      <c r="U55" s="19">
        <v>1.0</v>
      </c>
      <c r="V55" s="19">
        <v>0.0</v>
      </c>
      <c r="W55" s="13">
        <f t="shared" si="15"/>
        <v>12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10.0</v>
      </c>
      <c r="F56" s="19">
        <v>8.0</v>
      </c>
      <c r="G56" s="19">
        <v>11.0</v>
      </c>
      <c r="H56" s="19">
        <v>26.0</v>
      </c>
      <c r="I56" s="19">
        <v>15.0</v>
      </c>
      <c r="J56" s="19">
        <v>11.0</v>
      </c>
      <c r="K56" s="19">
        <v>14.0</v>
      </c>
      <c r="L56" s="19">
        <v>9.0</v>
      </c>
      <c r="M56" s="19">
        <v>15.0</v>
      </c>
      <c r="N56" s="19">
        <v>26.0</v>
      </c>
      <c r="O56" s="19">
        <v>37.0</v>
      </c>
      <c r="P56" s="19">
        <v>24.0</v>
      </c>
      <c r="Q56" s="19">
        <v>24.0</v>
      </c>
      <c r="R56" s="19">
        <v>17.0</v>
      </c>
      <c r="S56" s="19">
        <v>23.0</v>
      </c>
      <c r="T56" s="19">
        <v>14.0</v>
      </c>
      <c r="U56" s="19">
        <v>18.0</v>
      </c>
      <c r="V56" s="19">
        <v>27.0</v>
      </c>
      <c r="W56" s="13">
        <f t="shared" si="15"/>
        <v>329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0.0</v>
      </c>
      <c r="F57" s="19">
        <v>0.0</v>
      </c>
      <c r="G57" s="19">
        <v>2.0</v>
      </c>
      <c r="H57" s="19">
        <v>1.0</v>
      </c>
      <c r="I57" s="19">
        <v>2.0</v>
      </c>
      <c r="J57" s="19">
        <v>0.0</v>
      </c>
      <c r="K57" s="19">
        <v>1.0</v>
      </c>
      <c r="L57" s="19">
        <v>1.0</v>
      </c>
      <c r="M57" s="19">
        <v>5.0</v>
      </c>
      <c r="N57" s="19">
        <v>1.0</v>
      </c>
      <c r="O57" s="19">
        <v>2.0</v>
      </c>
      <c r="P57" s="19">
        <v>0.0</v>
      </c>
      <c r="Q57" s="19">
        <v>3.0</v>
      </c>
      <c r="R57" s="19">
        <v>2.0</v>
      </c>
      <c r="S57" s="19">
        <v>2.0</v>
      </c>
      <c r="T57" s="19">
        <v>5.0</v>
      </c>
      <c r="U57" s="19">
        <v>1.0</v>
      </c>
      <c r="V57" s="19">
        <v>2.0</v>
      </c>
      <c r="W57" s="13">
        <f t="shared" si="15"/>
        <v>30</v>
      </c>
    </row>
    <row r="58" ht="12.75" customHeight="1">
      <c r="T58" s="1"/>
      <c r="U58" s="1"/>
      <c r="V58" s="1"/>
      <c r="W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V60" si="16">SUM(E45:E57)</f>
        <v>131</v>
      </c>
      <c r="F60" s="19">
        <f t="shared" si="16"/>
        <v>99</v>
      </c>
      <c r="G60" s="19">
        <f t="shared" si="16"/>
        <v>185</v>
      </c>
      <c r="H60" s="19">
        <f t="shared" si="16"/>
        <v>190</v>
      </c>
      <c r="I60" s="19">
        <f t="shared" si="16"/>
        <v>157</v>
      </c>
      <c r="J60" s="19">
        <f t="shared" si="16"/>
        <v>168</v>
      </c>
      <c r="K60" s="19">
        <f t="shared" si="16"/>
        <v>174</v>
      </c>
      <c r="L60" s="19">
        <f t="shared" si="16"/>
        <v>151</v>
      </c>
      <c r="M60" s="19">
        <f t="shared" si="16"/>
        <v>149</v>
      </c>
      <c r="N60" s="19">
        <f t="shared" si="16"/>
        <v>202</v>
      </c>
      <c r="O60" s="19">
        <f t="shared" si="16"/>
        <v>163</v>
      </c>
      <c r="P60" s="19">
        <f t="shared" si="16"/>
        <v>160</v>
      </c>
      <c r="Q60" s="19">
        <f t="shared" si="16"/>
        <v>190</v>
      </c>
      <c r="R60" s="19">
        <f t="shared" si="16"/>
        <v>185</v>
      </c>
      <c r="S60" s="19">
        <f t="shared" si="16"/>
        <v>197</v>
      </c>
      <c r="T60" s="19">
        <f t="shared" si="16"/>
        <v>161</v>
      </c>
      <c r="U60" s="19">
        <f t="shared" si="16"/>
        <v>185</v>
      </c>
      <c r="V60" s="19">
        <f t="shared" si="16"/>
        <v>202</v>
      </c>
      <c r="W60" s="13">
        <f t="shared" ref="W60:W62" si="17">SUM(E60:V60)</f>
        <v>3049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10.0</v>
      </c>
      <c r="F61" s="19">
        <v>5.0</v>
      </c>
      <c r="G61" s="19">
        <v>29.0</v>
      </c>
      <c r="H61" s="19">
        <v>18.0</v>
      </c>
      <c r="I61" s="19">
        <v>25.0</v>
      </c>
      <c r="J61" s="19">
        <v>38.0</v>
      </c>
      <c r="K61" s="19">
        <v>23.0</v>
      </c>
      <c r="L61" s="19">
        <v>40.0</v>
      </c>
      <c r="M61" s="19">
        <v>11.0</v>
      </c>
      <c r="N61" s="19">
        <v>24.0</v>
      </c>
      <c r="O61" s="19">
        <v>24.0</v>
      </c>
      <c r="P61" s="19">
        <v>21.0</v>
      </c>
      <c r="Q61" s="19">
        <v>27.0</v>
      </c>
      <c r="R61" s="19">
        <v>31.0</v>
      </c>
      <c r="S61" s="19">
        <v>21.0</v>
      </c>
      <c r="T61" s="19">
        <v>10.0</v>
      </c>
      <c r="U61" s="19">
        <v>25.0</v>
      </c>
      <c r="V61" s="19">
        <v>16.0</v>
      </c>
      <c r="W61" s="13">
        <f t="shared" si="17"/>
        <v>398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V62" si="18">SUM(E60:E61)</f>
        <v>141</v>
      </c>
      <c r="F62" s="13">
        <f t="shared" si="18"/>
        <v>104</v>
      </c>
      <c r="G62" s="13">
        <f t="shared" si="18"/>
        <v>214</v>
      </c>
      <c r="H62" s="13">
        <f t="shared" si="18"/>
        <v>208</v>
      </c>
      <c r="I62" s="13">
        <f t="shared" si="18"/>
        <v>182</v>
      </c>
      <c r="J62" s="13">
        <f t="shared" si="18"/>
        <v>206</v>
      </c>
      <c r="K62" s="13">
        <f t="shared" si="18"/>
        <v>197</v>
      </c>
      <c r="L62" s="13">
        <f t="shared" si="18"/>
        <v>191</v>
      </c>
      <c r="M62" s="13">
        <f t="shared" si="18"/>
        <v>160</v>
      </c>
      <c r="N62" s="13">
        <f t="shared" si="18"/>
        <v>226</v>
      </c>
      <c r="O62" s="13">
        <f t="shared" si="18"/>
        <v>187</v>
      </c>
      <c r="P62" s="13">
        <f t="shared" si="18"/>
        <v>181</v>
      </c>
      <c r="Q62" s="13">
        <f t="shared" si="18"/>
        <v>217</v>
      </c>
      <c r="R62" s="13">
        <f t="shared" si="18"/>
        <v>216</v>
      </c>
      <c r="S62" s="13">
        <f t="shared" si="18"/>
        <v>218</v>
      </c>
      <c r="T62" s="13">
        <f t="shared" si="18"/>
        <v>171</v>
      </c>
      <c r="U62" s="13">
        <f t="shared" si="18"/>
        <v>210</v>
      </c>
      <c r="V62" s="13">
        <f t="shared" si="18"/>
        <v>218</v>
      </c>
      <c r="W62" s="13">
        <f t="shared" si="17"/>
        <v>3447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X117" s="5"/>
      <c r="Y117" s="5"/>
    </row>
    <row r="118" ht="12.75" customHeight="1">
      <c r="X118" s="5"/>
      <c r="Y118" s="5"/>
    </row>
    <row r="119" ht="12.75" customHeight="1">
      <c r="X119" s="5"/>
      <c r="Y119" s="5"/>
    </row>
    <row r="120" ht="12.75" customHeight="1">
      <c r="X120" s="5"/>
      <c r="Y120" s="5"/>
    </row>
    <row r="121" ht="12.75" customHeight="1">
      <c r="X121" s="5"/>
      <c r="Y121" s="5"/>
    </row>
    <row r="122" ht="12.75" customHeight="1">
      <c r="X122" s="5"/>
      <c r="Y122" s="5"/>
    </row>
    <row r="123" ht="12.75" customHeight="1">
      <c r="X123" s="5"/>
      <c r="Y123" s="5"/>
    </row>
    <row r="124" ht="12.75" customHeight="1">
      <c r="X124" s="5"/>
      <c r="Y124" s="5"/>
    </row>
    <row r="125" ht="12.75" customHeight="1">
      <c r="X125" s="5"/>
      <c r="Y125" s="5"/>
    </row>
    <row r="126" ht="12.75" customHeight="1">
      <c r="X126" s="5"/>
      <c r="Y126" s="5"/>
    </row>
    <row r="127" ht="12.75" customHeight="1">
      <c r="X127" s="5"/>
      <c r="Y127" s="5"/>
    </row>
    <row r="128" ht="12.75" customHeight="1">
      <c r="X128" s="5"/>
      <c r="Y128" s="5"/>
    </row>
    <row r="129" ht="12.75" customHeight="1">
      <c r="X129" s="5"/>
      <c r="Y129" s="5"/>
    </row>
    <row r="130" ht="12.75" customHeight="1">
      <c r="X130" s="1"/>
      <c r="Y130" s="1"/>
    </row>
    <row r="131" ht="12.75" customHeight="1">
      <c r="X131" s="53"/>
      <c r="Y131" s="53"/>
    </row>
    <row r="132" ht="12.75" customHeight="1">
      <c r="X132" s="5"/>
      <c r="Y132" s="5"/>
    </row>
    <row r="133" ht="12.75" customHeight="1">
      <c r="X133" s="5"/>
      <c r="Y133" s="5"/>
    </row>
    <row r="134" ht="12.75" customHeight="1">
      <c r="X134" s="5"/>
      <c r="Y134" s="5"/>
    </row>
    <row r="135" ht="12.75" customHeight="1">
      <c r="X135" s="5"/>
      <c r="Y135" s="5"/>
    </row>
    <row r="136" ht="12.75" customHeight="1">
      <c r="X136" s="5"/>
      <c r="Y136" s="5"/>
    </row>
    <row r="137" ht="12.75" customHeight="1">
      <c r="X137" s="5"/>
      <c r="Y137" s="5"/>
    </row>
    <row r="138" ht="12.75" customHeight="1">
      <c r="X138" s="5"/>
      <c r="Y138" s="5"/>
    </row>
    <row r="139" ht="12.75" customHeight="1">
      <c r="X139" s="5"/>
      <c r="Y139" s="5"/>
    </row>
    <row r="140" ht="12.75" customHeight="1">
      <c r="X140" s="5"/>
      <c r="Y140" s="5"/>
    </row>
    <row r="141" ht="12.75" customHeight="1">
      <c r="X141" s="1"/>
      <c r="Y141" s="1"/>
    </row>
    <row r="142" ht="12.75" customHeight="1">
      <c r="X142" s="53"/>
      <c r="Y142" s="53"/>
    </row>
    <row r="143" ht="12.75" customHeight="1">
      <c r="X143" s="5"/>
      <c r="Y143" s="5"/>
    </row>
    <row r="144" ht="12.75" customHeight="1">
      <c r="X144" s="5"/>
      <c r="Y144" s="5"/>
    </row>
    <row r="145" ht="12.75" customHeight="1">
      <c r="X145" s="5"/>
      <c r="Y145" s="5"/>
    </row>
    <row r="146" ht="12.75" customHeight="1">
      <c r="X146" s="5"/>
      <c r="Y146" s="5"/>
    </row>
    <row r="147" ht="12.75" customHeight="1">
      <c r="X147" s="5"/>
      <c r="Y147" s="5"/>
    </row>
    <row r="148" ht="12.75" customHeight="1">
      <c r="X148" s="5"/>
      <c r="Y148" s="5"/>
    </row>
    <row r="149" ht="12.75" customHeight="1">
      <c r="X149" s="5"/>
      <c r="Y149" s="5"/>
    </row>
    <row r="150" ht="12.75" customHeight="1">
      <c r="X150" s="5"/>
      <c r="Y150" s="5"/>
    </row>
    <row r="151" ht="12.75" customHeight="1">
      <c r="X151" s="1"/>
      <c r="Y151" s="1"/>
    </row>
    <row r="152" ht="12.75" customHeight="1">
      <c r="X152" s="53"/>
      <c r="Y152" s="53"/>
    </row>
    <row r="153" ht="12.75" customHeight="1">
      <c r="X153" s="5"/>
      <c r="Y153" s="5"/>
    </row>
    <row r="154" ht="12.75" customHeight="1">
      <c r="X154" s="5"/>
      <c r="Y154" s="5"/>
    </row>
    <row r="155" ht="12.75" customHeight="1">
      <c r="X155" s="5"/>
      <c r="Y155" s="5"/>
    </row>
    <row r="156" ht="12.75" customHeight="1">
      <c r="X156" s="5"/>
      <c r="Y156" s="5"/>
    </row>
    <row r="157" ht="12.75" customHeight="1">
      <c r="X157" s="5"/>
      <c r="Y157" s="5"/>
    </row>
    <row r="158" ht="12.75" customHeight="1">
      <c r="X158" s="5"/>
      <c r="Y158" s="5"/>
    </row>
    <row r="159" ht="12.75" customHeight="1">
      <c r="X159" s="5"/>
      <c r="Y159" s="5"/>
    </row>
    <row r="160" ht="12.75" customHeight="1">
      <c r="X160" s="5"/>
      <c r="Y160" s="5"/>
    </row>
    <row r="161" ht="12.75" customHeight="1">
      <c r="X161" s="5"/>
      <c r="Y161" s="5"/>
    </row>
    <row r="162" ht="12.75" customHeight="1">
      <c r="X162" s="5"/>
      <c r="Y162" s="5"/>
    </row>
    <row r="163" ht="12.75" customHeight="1">
      <c r="X163" s="5"/>
      <c r="Y163" s="5"/>
    </row>
    <row r="164" ht="12.75" customHeight="1">
      <c r="X164" s="5"/>
      <c r="Y164" s="5"/>
    </row>
    <row r="165" ht="12.75" customHeight="1">
      <c r="X165" s="1"/>
      <c r="Y165" s="1"/>
    </row>
    <row r="166" ht="12.75" customHeight="1">
      <c r="X166" s="53"/>
      <c r="Y166" s="53"/>
    </row>
    <row r="167" ht="12.75" customHeight="1">
      <c r="X167" s="5"/>
      <c r="Y167" s="5"/>
    </row>
    <row r="168" ht="12.75" customHeight="1">
      <c r="X168" s="5"/>
      <c r="Y168" s="5"/>
    </row>
    <row r="169" ht="12.75" customHeight="1">
      <c r="X169" s="5"/>
      <c r="Y169" s="5"/>
    </row>
    <row r="170" ht="12.75" customHeight="1">
      <c r="X170" s="5"/>
      <c r="Y170" s="5"/>
    </row>
    <row r="171" ht="12.75" customHeight="1">
      <c r="X171" s="5"/>
      <c r="Y171" s="5"/>
    </row>
    <row r="172" ht="12.75" customHeight="1">
      <c r="X172" s="5"/>
      <c r="Y172" s="5"/>
    </row>
    <row r="173" ht="12.75" customHeight="1">
      <c r="X173" s="5"/>
      <c r="Y173" s="5"/>
    </row>
    <row r="174" ht="12.75" customHeight="1">
      <c r="X174" s="5"/>
      <c r="Y174" s="5"/>
    </row>
    <row r="175" ht="12.75" customHeight="1">
      <c r="X175" s="5"/>
      <c r="Y175" s="5"/>
    </row>
    <row r="176" ht="12.75" customHeight="1">
      <c r="X176" s="1"/>
      <c r="Y176" s="1"/>
    </row>
    <row r="177" ht="12.75" customHeight="1"/>
    <row r="178" ht="12.75" customHeight="1">
      <c r="X178" s="5"/>
      <c r="Y178" s="5"/>
    </row>
    <row r="179" ht="12.75" customHeight="1">
      <c r="X179" s="5"/>
      <c r="Y179" s="5"/>
    </row>
    <row r="180" ht="12.75" customHeight="1">
      <c r="X180" s="5"/>
      <c r="Y180" s="5"/>
    </row>
    <row r="181" ht="12.75" customHeight="1">
      <c r="X181" s="5"/>
      <c r="Y181" s="5"/>
    </row>
    <row r="182" ht="12.75" customHeight="1">
      <c r="X182" s="5"/>
      <c r="Y182" s="5"/>
    </row>
    <row r="183" ht="12.75" customHeight="1">
      <c r="X183" s="5"/>
      <c r="Y183" s="5"/>
    </row>
    <row r="184" ht="12.75" customHeight="1">
      <c r="X184" s="5"/>
      <c r="Y184" s="5"/>
    </row>
    <row r="185" ht="12.75" customHeight="1">
      <c r="X185" s="5"/>
      <c r="Y185" s="5"/>
    </row>
    <row r="186" ht="12.75" customHeight="1">
      <c r="X186" s="5"/>
      <c r="Y186" s="5"/>
    </row>
    <row r="187" ht="12.75" customHeight="1">
      <c r="X187" s="1"/>
      <c r="Y187" s="1"/>
    </row>
    <row r="188" ht="12.75" customHeight="1"/>
    <row r="189" ht="12.75" customHeight="1">
      <c r="X189" s="5"/>
      <c r="Y189" s="5"/>
    </row>
    <row r="190" ht="12.75" customHeight="1">
      <c r="X190" s="5"/>
      <c r="Y190" s="5"/>
    </row>
    <row r="191" ht="12.75" customHeight="1">
      <c r="X191" s="5"/>
      <c r="Y191" s="5"/>
    </row>
    <row r="192" ht="12.75" customHeight="1">
      <c r="X192" s="5"/>
      <c r="Y192" s="5"/>
    </row>
    <row r="193" ht="12.75" customHeight="1">
      <c r="X193" s="5"/>
      <c r="Y193" s="5"/>
    </row>
    <row r="194" ht="12.75" customHeight="1">
      <c r="X194" s="5"/>
      <c r="Y194" s="5"/>
    </row>
    <row r="195" ht="12.75" customHeight="1">
      <c r="X195" s="5"/>
      <c r="Y195" s="5"/>
    </row>
    <row r="196" ht="12.75" customHeight="1">
      <c r="X196" s="1"/>
      <c r="Y196" s="1"/>
    </row>
    <row r="197" ht="12.75" customHeight="1">
      <c r="X197" s="1"/>
      <c r="Y197" s="1"/>
    </row>
    <row r="198" ht="12.75" customHeight="1">
      <c r="X198" s="1"/>
      <c r="Y198" s="1"/>
    </row>
    <row r="199" ht="12.75" customHeight="1">
      <c r="X199" s="53"/>
      <c r="Y199" s="53"/>
    </row>
    <row r="200" ht="12.75" customHeight="1">
      <c r="X200" s="5"/>
      <c r="Y200" s="5"/>
    </row>
    <row r="201" ht="12.75" customHeight="1">
      <c r="X201" s="5"/>
      <c r="Y201" s="5"/>
    </row>
    <row r="202" ht="12.75" customHeight="1">
      <c r="X202" s="5"/>
      <c r="Y202" s="5"/>
    </row>
    <row r="203" ht="12.75" customHeight="1">
      <c r="X203" s="5"/>
      <c r="Y203" s="5"/>
    </row>
    <row r="204" ht="12.75" customHeight="1">
      <c r="X204" s="5"/>
      <c r="Y204" s="5"/>
    </row>
    <row r="205" ht="12.75" customHeight="1">
      <c r="X205" s="5"/>
      <c r="Y205" s="5"/>
    </row>
    <row r="206" ht="12.75" customHeight="1">
      <c r="X206" s="5"/>
      <c r="Y206" s="5"/>
    </row>
    <row r="207" ht="12.75" customHeight="1">
      <c r="X207" s="1"/>
      <c r="Y207" s="1"/>
    </row>
    <row r="208" ht="12.75" customHeight="1">
      <c r="X208" s="53"/>
      <c r="Y208" s="53"/>
    </row>
    <row r="209" ht="12.75" customHeight="1">
      <c r="X209" s="53"/>
      <c r="Y209" s="53"/>
    </row>
    <row r="210" ht="12.75" customHeight="1">
      <c r="X210" s="53"/>
      <c r="Y210" s="53"/>
    </row>
    <row r="211" ht="12.75" customHeight="1">
      <c r="X211" s="5"/>
      <c r="Y211" s="5"/>
    </row>
    <row r="212" ht="12.75" customHeight="1">
      <c r="X212" s="5"/>
      <c r="Y212" s="5"/>
    </row>
    <row r="213" ht="12.75" customHeight="1">
      <c r="X213" s="5"/>
      <c r="Y213" s="5"/>
    </row>
    <row r="214" ht="12.75" customHeight="1">
      <c r="X214" s="5"/>
      <c r="Y214" s="5"/>
    </row>
    <row r="215" ht="12.75" customHeight="1">
      <c r="X215" s="5"/>
      <c r="Y215" s="5"/>
    </row>
    <row r="216" ht="12.75" customHeight="1">
      <c r="X216" s="5"/>
      <c r="Y216" s="5"/>
    </row>
    <row r="217" ht="12.75" customHeight="1">
      <c r="X217" s="5"/>
      <c r="Y217" s="5"/>
    </row>
    <row r="218" ht="12.75" customHeight="1">
      <c r="X218" s="1"/>
      <c r="Y218" s="1"/>
    </row>
    <row r="219" ht="12.75" customHeight="1">
      <c r="X219" s="53"/>
      <c r="Y219" s="53"/>
    </row>
    <row r="220" ht="12.75" customHeight="1">
      <c r="X220" s="5"/>
      <c r="Y220" s="5"/>
    </row>
    <row r="221" ht="12.75" customHeight="1">
      <c r="X221" s="5"/>
      <c r="Y221" s="5"/>
    </row>
    <row r="222" ht="12.75" customHeight="1">
      <c r="X222" s="5"/>
      <c r="Y222" s="5"/>
    </row>
    <row r="223" ht="12.75" customHeight="1">
      <c r="X223" s="5"/>
      <c r="Y223" s="5"/>
    </row>
    <row r="224" ht="12.75" customHeight="1">
      <c r="X224" s="5"/>
      <c r="Y224" s="5"/>
    </row>
    <row r="225" ht="12.75" customHeight="1">
      <c r="X225" s="5"/>
      <c r="Y225" s="5"/>
    </row>
    <row r="226" ht="12.75" customHeight="1">
      <c r="X226" s="5"/>
      <c r="Y226" s="5"/>
    </row>
    <row r="227" ht="12.75" customHeight="1">
      <c r="X227" s="5"/>
      <c r="Y227" s="5"/>
    </row>
    <row r="228" ht="12.75" customHeight="1">
      <c r="X228" s="5"/>
      <c r="Y228" s="5"/>
    </row>
    <row r="229" ht="12.75" customHeight="1">
      <c r="X229" s="1"/>
      <c r="Y229" s="1"/>
    </row>
    <row r="230" ht="12.75" customHeight="1">
      <c r="X230" s="53"/>
      <c r="Y230" s="53"/>
    </row>
    <row r="231" ht="12.75" customHeight="1">
      <c r="X231" s="5"/>
      <c r="Y231" s="5"/>
    </row>
    <row r="232" ht="12.75" customHeight="1">
      <c r="X232" s="5"/>
      <c r="Y232" s="5"/>
    </row>
    <row r="233" ht="12.75" customHeight="1">
      <c r="X233" s="5"/>
      <c r="Y233" s="5"/>
    </row>
    <row r="234" ht="12.75" customHeight="1">
      <c r="X234" s="5"/>
      <c r="Y234" s="5"/>
    </row>
    <row r="235" ht="12.75" customHeight="1">
      <c r="X235" s="5"/>
      <c r="Y235" s="5"/>
    </row>
    <row r="236" ht="12.75" customHeight="1">
      <c r="X236" s="5"/>
      <c r="Y236" s="5"/>
    </row>
    <row r="237" ht="12.75" customHeight="1">
      <c r="X237" s="5"/>
      <c r="Y237" s="5"/>
    </row>
    <row r="238" ht="12.75" customHeight="1">
      <c r="X238" s="5"/>
      <c r="Y238" s="5"/>
    </row>
    <row r="239" ht="12.75" customHeight="1">
      <c r="X239" s="5"/>
      <c r="Y239" s="5"/>
    </row>
    <row r="240" ht="12.75" customHeight="1">
      <c r="X240" s="1"/>
      <c r="Y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45:S57">
    <cfRule type="containsBlanks" dxfId="1" priority="9">
      <formula>LEN(TRIM(E45))=0</formula>
    </cfRule>
  </conditionalFormatting>
  <conditionalFormatting sqref="E60:S61 T60:V60">
    <cfRule type="containsBlanks" dxfId="1" priority="10">
      <formula>LEN(TRIM(E60))=0</formula>
    </cfRule>
  </conditionalFormatting>
  <conditionalFormatting sqref="E34:S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10.71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1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82</v>
      </c>
      <c r="O13" s="13" t="s">
        <v>83</v>
      </c>
      <c r="P13" s="13" t="s">
        <v>84</v>
      </c>
      <c r="Q13" s="13" t="s">
        <v>85</v>
      </c>
      <c r="R13" s="13" t="s">
        <v>86</v>
      </c>
      <c r="S13" s="13" t="s">
        <v>87</v>
      </c>
      <c r="T13" s="13" t="s">
        <v>90</v>
      </c>
      <c r="U13" s="13" t="s">
        <v>91</v>
      </c>
      <c r="V13" s="13" t="s">
        <v>92</v>
      </c>
      <c r="W13" s="13" t="s">
        <v>94</v>
      </c>
      <c r="X13" s="13" t="s">
        <v>95</v>
      </c>
      <c r="Y13" s="13" t="s">
        <v>96</v>
      </c>
      <c r="Z13" s="13" t="s">
        <v>97</v>
      </c>
      <c r="AA13" s="13" t="s">
        <v>98</v>
      </c>
      <c r="AB13" s="13" t="s">
        <v>99</v>
      </c>
      <c r="AC13" s="13" t="s">
        <v>100</v>
      </c>
      <c r="AD13" s="37"/>
    </row>
    <row r="14" ht="12.75" customHeight="1">
      <c r="A14" s="18"/>
      <c r="B14" s="22" t="s">
        <v>11</v>
      </c>
      <c r="C14" s="23"/>
      <c r="D14" s="19" t="s">
        <v>12</v>
      </c>
      <c r="E14" s="19">
        <v>102.0</v>
      </c>
      <c r="F14" s="19">
        <v>102.0</v>
      </c>
      <c r="G14" s="19">
        <v>105.0</v>
      </c>
      <c r="H14" s="19">
        <v>102.0</v>
      </c>
      <c r="I14" s="19">
        <v>98.0</v>
      </c>
      <c r="J14" s="19">
        <v>96.0</v>
      </c>
      <c r="K14" s="19">
        <v>86.0</v>
      </c>
      <c r="L14" s="19">
        <v>99.0</v>
      </c>
      <c r="M14" s="19">
        <v>106.0</v>
      </c>
      <c r="N14" s="19">
        <v>147.0</v>
      </c>
      <c r="O14" s="19">
        <v>106.0</v>
      </c>
      <c r="P14" s="19">
        <v>96.0</v>
      </c>
      <c r="Q14" s="19">
        <v>129.0</v>
      </c>
      <c r="R14" s="19">
        <v>110.0</v>
      </c>
      <c r="S14" s="19">
        <v>88.0</v>
      </c>
      <c r="T14" s="19">
        <v>88.0</v>
      </c>
      <c r="U14" s="19">
        <v>101.0</v>
      </c>
      <c r="V14" s="19">
        <v>140.0</v>
      </c>
      <c r="W14" s="19">
        <v>124.0</v>
      </c>
      <c r="X14" s="19">
        <v>130.0</v>
      </c>
      <c r="Y14" s="19">
        <v>92.0</v>
      </c>
      <c r="Z14" s="19">
        <v>115.0</v>
      </c>
      <c r="AA14" s="19">
        <v>121.0</v>
      </c>
      <c r="AB14" s="19">
        <v>73.0</v>
      </c>
      <c r="AC14" s="19">
        <v>89.0</v>
      </c>
      <c r="AD14" s="13">
        <f t="shared" ref="AD14:AD16" si="1">SUM(E14:AC14)</f>
        <v>2645</v>
      </c>
    </row>
    <row r="15" ht="12.75" customHeight="1">
      <c r="A15" s="18"/>
      <c r="B15" s="26"/>
      <c r="C15" s="27"/>
      <c r="D15" s="19" t="s">
        <v>13</v>
      </c>
      <c r="E15" s="19">
        <v>103.0</v>
      </c>
      <c r="F15" s="19">
        <v>105.0</v>
      </c>
      <c r="G15" s="19">
        <v>114.0</v>
      </c>
      <c r="H15" s="19">
        <v>104.0</v>
      </c>
      <c r="I15" s="19">
        <v>102.0</v>
      </c>
      <c r="J15" s="19">
        <v>98.0</v>
      </c>
      <c r="K15" s="19">
        <v>90.0</v>
      </c>
      <c r="L15" s="19">
        <v>102.0</v>
      </c>
      <c r="M15" s="19">
        <v>98.0</v>
      </c>
      <c r="N15" s="19">
        <v>138.0</v>
      </c>
      <c r="O15" s="19">
        <v>105.0</v>
      </c>
      <c r="P15" s="19">
        <v>108.0</v>
      </c>
      <c r="Q15" s="19">
        <v>124.0</v>
      </c>
      <c r="R15" s="19">
        <v>106.0</v>
      </c>
      <c r="S15" s="19">
        <v>100.0</v>
      </c>
      <c r="T15" s="19">
        <v>83.0</v>
      </c>
      <c r="U15" s="19">
        <v>92.0</v>
      </c>
      <c r="V15" s="19">
        <v>138.0</v>
      </c>
      <c r="W15" s="19">
        <v>138.0</v>
      </c>
      <c r="X15" s="19">
        <v>135.0</v>
      </c>
      <c r="Y15" s="19">
        <v>92.0</v>
      </c>
      <c r="Z15" s="19">
        <v>115.0</v>
      </c>
      <c r="AA15" s="19">
        <v>126.0</v>
      </c>
      <c r="AB15" s="19">
        <v>79.0</v>
      </c>
      <c r="AC15" s="19">
        <v>96.0</v>
      </c>
      <c r="AD15" s="13">
        <f t="shared" si="1"/>
        <v>2691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205</v>
      </c>
      <c r="F16" s="13">
        <f t="shared" si="2"/>
        <v>207</v>
      </c>
      <c r="G16" s="13">
        <f t="shared" si="2"/>
        <v>219</v>
      </c>
      <c r="H16" s="13">
        <f t="shared" si="2"/>
        <v>206</v>
      </c>
      <c r="I16" s="13">
        <f t="shared" si="2"/>
        <v>200</v>
      </c>
      <c r="J16" s="13">
        <f t="shared" si="2"/>
        <v>194</v>
      </c>
      <c r="K16" s="13">
        <f t="shared" si="2"/>
        <v>176</v>
      </c>
      <c r="L16" s="13">
        <f t="shared" si="2"/>
        <v>201</v>
      </c>
      <c r="M16" s="13">
        <f t="shared" si="2"/>
        <v>204</v>
      </c>
      <c r="N16" s="13">
        <f t="shared" si="2"/>
        <v>285</v>
      </c>
      <c r="O16" s="13">
        <f t="shared" si="2"/>
        <v>211</v>
      </c>
      <c r="P16" s="13">
        <f t="shared" si="2"/>
        <v>204</v>
      </c>
      <c r="Q16" s="13">
        <f t="shared" si="2"/>
        <v>253</v>
      </c>
      <c r="R16" s="13">
        <f t="shared" si="2"/>
        <v>216</v>
      </c>
      <c r="S16" s="13">
        <f t="shared" si="2"/>
        <v>188</v>
      </c>
      <c r="T16" s="13">
        <f t="shared" si="2"/>
        <v>171</v>
      </c>
      <c r="U16" s="13">
        <f t="shared" si="2"/>
        <v>193</v>
      </c>
      <c r="V16" s="13">
        <f t="shared" si="2"/>
        <v>278</v>
      </c>
      <c r="W16" s="13">
        <f t="shared" si="2"/>
        <v>262</v>
      </c>
      <c r="X16" s="13">
        <f t="shared" si="2"/>
        <v>265</v>
      </c>
      <c r="Y16" s="13">
        <f t="shared" si="2"/>
        <v>184</v>
      </c>
      <c r="Z16" s="13">
        <f t="shared" si="2"/>
        <v>230</v>
      </c>
      <c r="AA16" s="13">
        <f t="shared" si="2"/>
        <v>247</v>
      </c>
      <c r="AB16" s="13">
        <f t="shared" si="2"/>
        <v>152</v>
      </c>
      <c r="AC16" s="13">
        <f t="shared" si="2"/>
        <v>185</v>
      </c>
      <c r="AD16" s="13">
        <f t="shared" si="1"/>
        <v>5336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19"/>
      <c r="P17" s="19"/>
      <c r="Q17" s="19"/>
      <c r="R17" s="19"/>
      <c r="S17" s="65"/>
      <c r="T17" s="19"/>
      <c r="U17" s="19"/>
      <c r="V17" s="19"/>
      <c r="W17" s="19"/>
      <c r="X17" s="65"/>
      <c r="Y17" s="19"/>
      <c r="Z17" s="19"/>
      <c r="AA17" s="19"/>
      <c r="AB17" s="19"/>
      <c r="AC17" s="65"/>
      <c r="AD17" s="62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19"/>
      <c r="P18" s="19"/>
      <c r="Q18" s="19"/>
      <c r="R18" s="19"/>
      <c r="S18" s="65"/>
      <c r="T18" s="19"/>
      <c r="U18" s="19"/>
      <c r="V18" s="19"/>
      <c r="W18" s="19"/>
      <c r="X18" s="65"/>
      <c r="Y18" s="19"/>
      <c r="Z18" s="19"/>
      <c r="AA18" s="19"/>
      <c r="AB18" s="19"/>
      <c r="AC18" s="65"/>
      <c r="AD18" s="62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70.0</v>
      </c>
      <c r="G19" s="19">
        <v>73.0</v>
      </c>
      <c r="H19" s="19">
        <v>81.0</v>
      </c>
      <c r="I19" s="19">
        <v>73.0</v>
      </c>
      <c r="J19" s="19">
        <v>72.0</v>
      </c>
      <c r="K19" s="19">
        <v>62.0</v>
      </c>
      <c r="L19" s="19">
        <v>78.0</v>
      </c>
      <c r="M19" s="19">
        <v>86.0</v>
      </c>
      <c r="N19" s="19">
        <v>108.0</v>
      </c>
      <c r="O19" s="19">
        <v>85.0</v>
      </c>
      <c r="P19" s="19">
        <v>75.0</v>
      </c>
      <c r="Q19" s="19">
        <v>117.0</v>
      </c>
      <c r="R19" s="19">
        <v>89.0</v>
      </c>
      <c r="S19" s="19">
        <v>71.0</v>
      </c>
      <c r="T19" s="19">
        <v>77.0</v>
      </c>
      <c r="U19" s="19">
        <v>84.0</v>
      </c>
      <c r="V19" s="19">
        <v>110.0</v>
      </c>
      <c r="W19" s="19">
        <v>94.0</v>
      </c>
      <c r="X19" s="19">
        <v>101.0</v>
      </c>
      <c r="Y19" s="19">
        <v>74.0</v>
      </c>
      <c r="Z19" s="19">
        <v>92.0</v>
      </c>
      <c r="AA19" s="19">
        <v>104.0</v>
      </c>
      <c r="AB19" s="19">
        <v>71.0</v>
      </c>
      <c r="AC19" s="19">
        <v>68.0</v>
      </c>
      <c r="AD19" s="13">
        <f t="shared" ref="AD19:AD30" si="3">SUM(E19:AC19)</f>
        <v>2095</v>
      </c>
    </row>
    <row r="20" ht="12.75" customHeight="1">
      <c r="A20" s="34"/>
      <c r="B20" s="27"/>
      <c r="C20" s="35"/>
      <c r="D20" s="19" t="s">
        <v>13</v>
      </c>
      <c r="E20" s="19">
        <v>82.0</v>
      </c>
      <c r="F20" s="19">
        <v>74.0</v>
      </c>
      <c r="G20" s="19">
        <v>92.0</v>
      </c>
      <c r="H20" s="19">
        <v>85.0</v>
      </c>
      <c r="I20" s="19">
        <v>79.0</v>
      </c>
      <c r="J20" s="19">
        <v>78.0</v>
      </c>
      <c r="K20" s="19">
        <v>73.0</v>
      </c>
      <c r="L20" s="19">
        <v>91.0</v>
      </c>
      <c r="M20" s="19">
        <v>80.0</v>
      </c>
      <c r="N20" s="19">
        <v>110.0</v>
      </c>
      <c r="O20" s="19">
        <v>85.0</v>
      </c>
      <c r="P20" s="19">
        <v>88.0</v>
      </c>
      <c r="Q20" s="19">
        <v>113.0</v>
      </c>
      <c r="R20" s="19">
        <v>89.0</v>
      </c>
      <c r="S20" s="19">
        <v>86.0</v>
      </c>
      <c r="T20" s="19">
        <v>76.0</v>
      </c>
      <c r="U20" s="19">
        <v>83.0</v>
      </c>
      <c r="V20" s="19">
        <v>114.0</v>
      </c>
      <c r="W20" s="19">
        <v>111.0</v>
      </c>
      <c r="X20" s="19">
        <v>122.0</v>
      </c>
      <c r="Y20" s="19">
        <v>78.0</v>
      </c>
      <c r="Z20" s="19">
        <v>92.0</v>
      </c>
      <c r="AA20" s="19">
        <v>102.0</v>
      </c>
      <c r="AB20" s="19">
        <v>61.0</v>
      </c>
      <c r="AC20" s="19">
        <v>76.0</v>
      </c>
      <c r="AD20" s="13">
        <f t="shared" si="3"/>
        <v>2220</v>
      </c>
    </row>
    <row r="21" ht="12.75" customHeight="1">
      <c r="A21" s="36"/>
      <c r="B21" s="28"/>
      <c r="C21" s="37"/>
      <c r="D21" s="13" t="s">
        <v>14</v>
      </c>
      <c r="E21" s="13">
        <f t="shared" ref="E21:AC21" si="4">SUM(E19:E20)</f>
        <v>162</v>
      </c>
      <c r="F21" s="13">
        <f t="shared" si="4"/>
        <v>144</v>
      </c>
      <c r="G21" s="13">
        <f t="shared" si="4"/>
        <v>165</v>
      </c>
      <c r="H21" s="13">
        <f t="shared" si="4"/>
        <v>166</v>
      </c>
      <c r="I21" s="13">
        <f t="shared" si="4"/>
        <v>152</v>
      </c>
      <c r="J21" s="13">
        <f t="shared" si="4"/>
        <v>150</v>
      </c>
      <c r="K21" s="13">
        <f t="shared" si="4"/>
        <v>135</v>
      </c>
      <c r="L21" s="13">
        <f t="shared" si="4"/>
        <v>169</v>
      </c>
      <c r="M21" s="13">
        <f t="shared" si="4"/>
        <v>166</v>
      </c>
      <c r="N21" s="13">
        <f t="shared" si="4"/>
        <v>218</v>
      </c>
      <c r="O21" s="13">
        <f t="shared" si="4"/>
        <v>170</v>
      </c>
      <c r="P21" s="13">
        <f t="shared" si="4"/>
        <v>163</v>
      </c>
      <c r="Q21" s="13">
        <f t="shared" si="4"/>
        <v>230</v>
      </c>
      <c r="R21" s="13">
        <f t="shared" si="4"/>
        <v>178</v>
      </c>
      <c r="S21" s="13">
        <f t="shared" si="4"/>
        <v>157</v>
      </c>
      <c r="T21" s="13">
        <f t="shared" si="4"/>
        <v>153</v>
      </c>
      <c r="U21" s="13">
        <f t="shared" si="4"/>
        <v>167</v>
      </c>
      <c r="V21" s="13">
        <f t="shared" si="4"/>
        <v>224</v>
      </c>
      <c r="W21" s="13">
        <f t="shared" si="4"/>
        <v>205</v>
      </c>
      <c r="X21" s="13">
        <f t="shared" si="4"/>
        <v>223</v>
      </c>
      <c r="Y21" s="13">
        <f t="shared" si="4"/>
        <v>152</v>
      </c>
      <c r="Z21" s="13">
        <f t="shared" si="4"/>
        <v>184</v>
      </c>
      <c r="AA21" s="13">
        <f t="shared" si="4"/>
        <v>206</v>
      </c>
      <c r="AB21" s="13">
        <f t="shared" si="4"/>
        <v>132</v>
      </c>
      <c r="AC21" s="13">
        <f t="shared" si="4"/>
        <v>144</v>
      </c>
      <c r="AD21" s="13">
        <f t="shared" si="3"/>
        <v>4315</v>
      </c>
    </row>
    <row r="22" ht="12.75" customHeight="1">
      <c r="A22" s="34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3">
        <f t="shared" si="3"/>
        <v>2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3"/>
        <v>2</v>
      </c>
    </row>
    <row r="25" ht="12.75" customHeight="1">
      <c r="A25" s="34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1.0</v>
      </c>
      <c r="J25" s="19">
        <v>2.0</v>
      </c>
      <c r="K25" s="19">
        <v>0.0</v>
      </c>
      <c r="L25" s="19">
        <v>0.0</v>
      </c>
      <c r="M25" s="19">
        <v>0.0</v>
      </c>
      <c r="N25" s="19">
        <v>1.0</v>
      </c>
      <c r="O25" s="19">
        <v>1.0</v>
      </c>
      <c r="P25" s="19">
        <v>11.0</v>
      </c>
      <c r="Q25" s="19">
        <v>0.0</v>
      </c>
      <c r="R25" s="19">
        <v>5.0</v>
      </c>
      <c r="S25" s="19">
        <v>4.0</v>
      </c>
      <c r="T25" s="19">
        <v>3.0</v>
      </c>
      <c r="U25" s="19">
        <v>3.0</v>
      </c>
      <c r="V25" s="19">
        <v>1.0</v>
      </c>
      <c r="W25" s="19">
        <v>3.0</v>
      </c>
      <c r="X25" s="19">
        <v>0.0</v>
      </c>
      <c r="Y25" s="19">
        <v>3.0</v>
      </c>
      <c r="Z25" s="19">
        <v>3.0</v>
      </c>
      <c r="AA25" s="19">
        <v>1.0</v>
      </c>
      <c r="AB25" s="19">
        <v>2.0</v>
      </c>
      <c r="AC25" s="19">
        <v>1.0</v>
      </c>
      <c r="AD25" s="13">
        <f t="shared" si="3"/>
        <v>47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1.0</v>
      </c>
      <c r="N26" s="19">
        <v>0.0</v>
      </c>
      <c r="O26" s="19">
        <v>2.0</v>
      </c>
      <c r="P26" s="19">
        <v>11.0</v>
      </c>
      <c r="Q26" s="19">
        <v>0.0</v>
      </c>
      <c r="R26" s="19">
        <v>5.0</v>
      </c>
      <c r="S26" s="19">
        <v>2.0</v>
      </c>
      <c r="T26" s="19">
        <v>4.0</v>
      </c>
      <c r="U26" s="19">
        <v>2.0</v>
      </c>
      <c r="V26" s="19">
        <v>0.0</v>
      </c>
      <c r="W26" s="19">
        <v>4.0</v>
      </c>
      <c r="X26" s="19">
        <v>0.0</v>
      </c>
      <c r="Y26" s="19">
        <v>3.0</v>
      </c>
      <c r="Z26" s="19">
        <v>0.0</v>
      </c>
      <c r="AA26" s="19">
        <v>2.0</v>
      </c>
      <c r="AB26" s="19">
        <v>4.0</v>
      </c>
      <c r="AC26" s="19">
        <v>2.0</v>
      </c>
      <c r="AD26" s="13">
        <f t="shared" si="3"/>
        <v>50</v>
      </c>
    </row>
    <row r="27" ht="12.75" customHeight="1">
      <c r="A27" s="36"/>
      <c r="B27" s="28"/>
      <c r="C27" s="37"/>
      <c r="D27" s="13" t="s">
        <v>14</v>
      </c>
      <c r="E27" s="13">
        <f t="shared" ref="E27:AC27" si="6">SUM(E25:E26)</f>
        <v>2</v>
      </c>
      <c r="F27" s="13">
        <f t="shared" si="6"/>
        <v>1</v>
      </c>
      <c r="G27" s="13">
        <f t="shared" si="6"/>
        <v>3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22</v>
      </c>
      <c r="Q27" s="13">
        <f t="shared" si="6"/>
        <v>0</v>
      </c>
      <c r="R27" s="13">
        <f t="shared" si="6"/>
        <v>10</v>
      </c>
      <c r="S27" s="13">
        <f t="shared" si="6"/>
        <v>6</v>
      </c>
      <c r="T27" s="13">
        <f t="shared" si="6"/>
        <v>7</v>
      </c>
      <c r="U27" s="13">
        <f t="shared" si="6"/>
        <v>5</v>
      </c>
      <c r="V27" s="13">
        <f t="shared" si="6"/>
        <v>1</v>
      </c>
      <c r="W27" s="13">
        <f t="shared" si="6"/>
        <v>7</v>
      </c>
      <c r="X27" s="13">
        <f t="shared" si="6"/>
        <v>0</v>
      </c>
      <c r="Y27" s="13">
        <f t="shared" si="6"/>
        <v>6</v>
      </c>
      <c r="Z27" s="13">
        <f t="shared" si="6"/>
        <v>3</v>
      </c>
      <c r="AA27" s="13">
        <f t="shared" si="6"/>
        <v>3</v>
      </c>
      <c r="AB27" s="13">
        <f t="shared" si="6"/>
        <v>6</v>
      </c>
      <c r="AC27" s="13">
        <f t="shared" si="6"/>
        <v>3</v>
      </c>
      <c r="AD27" s="13">
        <f t="shared" si="3"/>
        <v>97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C28" si="7">SUM(E19,E22,E25)</f>
        <v>81</v>
      </c>
      <c r="F28" s="13">
        <f t="shared" si="7"/>
        <v>70</v>
      </c>
      <c r="G28" s="13">
        <f t="shared" si="7"/>
        <v>74</v>
      </c>
      <c r="H28" s="13">
        <f t="shared" si="7"/>
        <v>81</v>
      </c>
      <c r="I28" s="13">
        <f t="shared" si="7"/>
        <v>74</v>
      </c>
      <c r="J28" s="13">
        <f t="shared" si="7"/>
        <v>74</v>
      </c>
      <c r="K28" s="13">
        <f t="shared" si="7"/>
        <v>62</v>
      </c>
      <c r="L28" s="13">
        <f t="shared" si="7"/>
        <v>78</v>
      </c>
      <c r="M28" s="13">
        <f t="shared" si="7"/>
        <v>86</v>
      </c>
      <c r="N28" s="13">
        <f t="shared" si="7"/>
        <v>109</v>
      </c>
      <c r="O28" s="13">
        <f t="shared" si="7"/>
        <v>86</v>
      </c>
      <c r="P28" s="13">
        <f t="shared" si="7"/>
        <v>87</v>
      </c>
      <c r="Q28" s="13">
        <f t="shared" si="7"/>
        <v>117</v>
      </c>
      <c r="R28" s="13">
        <f t="shared" si="7"/>
        <v>94</v>
      </c>
      <c r="S28" s="13">
        <f t="shared" si="7"/>
        <v>75</v>
      </c>
      <c r="T28" s="13">
        <f t="shared" si="7"/>
        <v>80</v>
      </c>
      <c r="U28" s="13">
        <f t="shared" si="7"/>
        <v>87</v>
      </c>
      <c r="V28" s="13">
        <f t="shared" si="7"/>
        <v>111</v>
      </c>
      <c r="W28" s="13">
        <f t="shared" si="7"/>
        <v>97</v>
      </c>
      <c r="X28" s="13">
        <f t="shared" si="7"/>
        <v>101</v>
      </c>
      <c r="Y28" s="13">
        <f t="shared" si="7"/>
        <v>77</v>
      </c>
      <c r="Z28" s="13">
        <f t="shared" si="7"/>
        <v>95</v>
      </c>
      <c r="AA28" s="13">
        <f t="shared" si="7"/>
        <v>105</v>
      </c>
      <c r="AB28" s="13">
        <f t="shared" si="7"/>
        <v>74</v>
      </c>
      <c r="AC28" s="13">
        <f t="shared" si="7"/>
        <v>69</v>
      </c>
      <c r="AD28" s="13">
        <f t="shared" si="3"/>
        <v>2144</v>
      </c>
    </row>
    <row r="29" ht="12.75" customHeight="1">
      <c r="A29" s="36"/>
      <c r="B29" s="27"/>
      <c r="C29" s="35"/>
      <c r="D29" s="13" t="s">
        <v>13</v>
      </c>
      <c r="E29" s="13">
        <f t="shared" ref="E29:AC29" si="8">SUM(E20,E23,E26)</f>
        <v>83</v>
      </c>
      <c r="F29" s="13">
        <f t="shared" si="8"/>
        <v>75</v>
      </c>
      <c r="G29" s="13">
        <f t="shared" si="8"/>
        <v>94</v>
      </c>
      <c r="H29" s="13">
        <f t="shared" si="8"/>
        <v>85</v>
      </c>
      <c r="I29" s="13">
        <f t="shared" si="8"/>
        <v>79</v>
      </c>
      <c r="J29" s="13">
        <f t="shared" si="8"/>
        <v>80</v>
      </c>
      <c r="K29" s="13">
        <f t="shared" si="8"/>
        <v>73</v>
      </c>
      <c r="L29" s="13">
        <f t="shared" si="8"/>
        <v>93</v>
      </c>
      <c r="M29" s="13">
        <f t="shared" si="8"/>
        <v>81</v>
      </c>
      <c r="N29" s="13">
        <f t="shared" si="8"/>
        <v>110</v>
      </c>
      <c r="O29" s="13">
        <f t="shared" si="8"/>
        <v>87</v>
      </c>
      <c r="P29" s="13">
        <f t="shared" si="8"/>
        <v>99</v>
      </c>
      <c r="Q29" s="13">
        <f t="shared" si="8"/>
        <v>113</v>
      </c>
      <c r="R29" s="13">
        <f t="shared" si="8"/>
        <v>94</v>
      </c>
      <c r="S29" s="13">
        <f t="shared" si="8"/>
        <v>88</v>
      </c>
      <c r="T29" s="13">
        <f t="shared" si="8"/>
        <v>80</v>
      </c>
      <c r="U29" s="13">
        <f t="shared" si="8"/>
        <v>85</v>
      </c>
      <c r="V29" s="13">
        <f t="shared" si="8"/>
        <v>114</v>
      </c>
      <c r="W29" s="13">
        <f t="shared" si="8"/>
        <v>115</v>
      </c>
      <c r="X29" s="13">
        <f t="shared" si="8"/>
        <v>122</v>
      </c>
      <c r="Y29" s="13">
        <f t="shared" si="8"/>
        <v>81</v>
      </c>
      <c r="Z29" s="13">
        <f t="shared" si="8"/>
        <v>92</v>
      </c>
      <c r="AA29" s="13">
        <f t="shared" si="8"/>
        <v>104</v>
      </c>
      <c r="AB29" s="13">
        <f t="shared" si="8"/>
        <v>65</v>
      </c>
      <c r="AC29" s="13">
        <f t="shared" si="8"/>
        <v>78</v>
      </c>
      <c r="AD29" s="13">
        <f t="shared" si="3"/>
        <v>2270</v>
      </c>
    </row>
    <row r="30" ht="12.75" customHeight="1">
      <c r="A30" s="36"/>
      <c r="B30" s="28"/>
      <c r="C30" s="37"/>
      <c r="D30" s="13" t="s">
        <v>14</v>
      </c>
      <c r="E30" s="13">
        <f t="shared" ref="E30:AC30" si="9">SUM(E28:E29)</f>
        <v>164</v>
      </c>
      <c r="F30" s="13">
        <f t="shared" si="9"/>
        <v>145</v>
      </c>
      <c r="G30" s="13">
        <f t="shared" si="9"/>
        <v>168</v>
      </c>
      <c r="H30" s="13">
        <f t="shared" si="9"/>
        <v>166</v>
      </c>
      <c r="I30" s="13">
        <f t="shared" si="9"/>
        <v>153</v>
      </c>
      <c r="J30" s="13">
        <f t="shared" si="9"/>
        <v>154</v>
      </c>
      <c r="K30" s="13">
        <f t="shared" si="9"/>
        <v>135</v>
      </c>
      <c r="L30" s="13">
        <f t="shared" si="9"/>
        <v>171</v>
      </c>
      <c r="M30" s="13">
        <f t="shared" si="9"/>
        <v>167</v>
      </c>
      <c r="N30" s="13">
        <f t="shared" si="9"/>
        <v>219</v>
      </c>
      <c r="O30" s="13">
        <f t="shared" si="9"/>
        <v>173</v>
      </c>
      <c r="P30" s="13">
        <f t="shared" si="9"/>
        <v>186</v>
      </c>
      <c r="Q30" s="13">
        <f t="shared" si="9"/>
        <v>230</v>
      </c>
      <c r="R30" s="13">
        <f t="shared" si="9"/>
        <v>188</v>
      </c>
      <c r="S30" s="13">
        <f t="shared" si="9"/>
        <v>163</v>
      </c>
      <c r="T30" s="13">
        <f t="shared" si="9"/>
        <v>160</v>
      </c>
      <c r="U30" s="13">
        <f t="shared" si="9"/>
        <v>172</v>
      </c>
      <c r="V30" s="13">
        <f t="shared" si="9"/>
        <v>225</v>
      </c>
      <c r="W30" s="13">
        <f t="shared" si="9"/>
        <v>212</v>
      </c>
      <c r="X30" s="13">
        <f t="shared" si="9"/>
        <v>223</v>
      </c>
      <c r="Y30" s="13">
        <f t="shared" si="9"/>
        <v>158</v>
      </c>
      <c r="Z30" s="13">
        <f t="shared" si="9"/>
        <v>187</v>
      </c>
      <c r="AA30" s="13">
        <f t="shared" si="9"/>
        <v>209</v>
      </c>
      <c r="AB30" s="13">
        <f t="shared" si="9"/>
        <v>139</v>
      </c>
      <c r="AC30" s="13">
        <f t="shared" si="9"/>
        <v>147</v>
      </c>
      <c r="AD30" s="13">
        <f t="shared" si="3"/>
        <v>4414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19"/>
      <c r="P31" s="19"/>
      <c r="Q31" s="19"/>
      <c r="R31" s="19"/>
      <c r="S31" s="65"/>
      <c r="T31" s="19"/>
      <c r="U31" s="19"/>
      <c r="V31" s="19"/>
      <c r="W31" s="19"/>
      <c r="X31" s="65"/>
      <c r="Y31" s="19"/>
      <c r="Z31" s="19"/>
      <c r="AA31" s="19"/>
      <c r="AB31" s="19"/>
      <c r="AC31" s="65"/>
      <c r="AD31" s="62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6"/>
      <c r="O32" s="13"/>
      <c r="P32" s="13"/>
      <c r="Q32" s="13"/>
      <c r="R32" s="13"/>
      <c r="S32" s="66"/>
      <c r="T32" s="13"/>
      <c r="U32" s="13"/>
      <c r="V32" s="13"/>
      <c r="W32" s="13"/>
      <c r="X32" s="66"/>
      <c r="Y32" s="13"/>
      <c r="Z32" s="13"/>
      <c r="AA32" s="13"/>
      <c r="AB32" s="13"/>
      <c r="AC32" s="66"/>
      <c r="AD32" s="62"/>
    </row>
    <row r="33" ht="12.75" customHeight="1">
      <c r="A33" s="19">
        <v>1.0</v>
      </c>
      <c r="B33" s="20" t="s">
        <v>27</v>
      </c>
      <c r="C33" s="15"/>
      <c r="D33" s="16"/>
      <c r="E33" s="19">
        <v>210.0</v>
      </c>
      <c r="F33" s="19">
        <v>212.0</v>
      </c>
      <c r="G33" s="19">
        <v>224.0</v>
      </c>
      <c r="H33" s="19">
        <v>170.0</v>
      </c>
      <c r="I33" s="19">
        <v>205.0</v>
      </c>
      <c r="J33" s="19">
        <v>189.0</v>
      </c>
      <c r="K33" s="19">
        <v>181.0</v>
      </c>
      <c r="L33" s="19">
        <v>206.0</v>
      </c>
      <c r="M33" s="19">
        <v>209.0</v>
      </c>
      <c r="N33" s="19">
        <v>292.0</v>
      </c>
      <c r="O33" s="19">
        <v>207.0</v>
      </c>
      <c r="P33" s="19">
        <v>209.0</v>
      </c>
      <c r="Q33" s="19">
        <v>259.0</v>
      </c>
      <c r="R33" s="19">
        <v>221.0</v>
      </c>
      <c r="S33" s="19">
        <v>198.0</v>
      </c>
      <c r="T33" s="19">
        <v>175.0</v>
      </c>
      <c r="U33" s="19">
        <v>197.0</v>
      </c>
      <c r="V33" s="19">
        <v>284.0</v>
      </c>
      <c r="W33" s="19">
        <v>270.0</v>
      </c>
      <c r="X33" s="19">
        <v>270.0</v>
      </c>
      <c r="Y33" s="19">
        <v>188.0</v>
      </c>
      <c r="Z33" s="19">
        <v>235.0</v>
      </c>
      <c r="AA33" s="19">
        <v>252.0</v>
      </c>
      <c r="AB33" s="19">
        <v>156.0</v>
      </c>
      <c r="AC33" s="19">
        <v>190.0</v>
      </c>
      <c r="AD33" s="13">
        <f t="shared" ref="AD33:AD36" si="10">SUM(E33:AC33)</f>
        <v>5409</v>
      </c>
    </row>
    <row r="34" ht="12.75" customHeight="1">
      <c r="A34" s="19">
        <v>2.0</v>
      </c>
      <c r="B34" s="20" t="s">
        <v>28</v>
      </c>
      <c r="C34" s="15"/>
      <c r="D34" s="16"/>
      <c r="E34" s="13">
        <v>164.0</v>
      </c>
      <c r="F34" s="13">
        <v>145.0</v>
      </c>
      <c r="G34" s="13">
        <v>168.0</v>
      </c>
      <c r="H34" s="13">
        <v>166.0</v>
      </c>
      <c r="I34" s="13">
        <v>153.0</v>
      </c>
      <c r="J34" s="13">
        <v>154.0</v>
      </c>
      <c r="K34" s="13">
        <v>135.0</v>
      </c>
      <c r="L34" s="13">
        <v>171.0</v>
      </c>
      <c r="M34" s="13">
        <v>167.0</v>
      </c>
      <c r="N34" s="13">
        <v>219.0</v>
      </c>
      <c r="O34" s="13">
        <v>173.0</v>
      </c>
      <c r="P34" s="13">
        <v>186.0</v>
      </c>
      <c r="Q34" s="13">
        <v>230.0</v>
      </c>
      <c r="R34" s="13">
        <v>188.0</v>
      </c>
      <c r="S34" s="13">
        <v>163.0</v>
      </c>
      <c r="T34" s="13">
        <v>160.0</v>
      </c>
      <c r="U34" s="13">
        <v>172.0</v>
      </c>
      <c r="V34" s="13">
        <v>225.0</v>
      </c>
      <c r="W34" s="13">
        <v>212.0</v>
      </c>
      <c r="X34" s="13">
        <v>223.0</v>
      </c>
      <c r="Y34" s="13">
        <v>158.0</v>
      </c>
      <c r="Z34" s="13">
        <v>187.0</v>
      </c>
      <c r="AA34" s="13">
        <v>209.0</v>
      </c>
      <c r="AB34" s="13">
        <v>139.0</v>
      </c>
      <c r="AC34" s="13">
        <v>147.0</v>
      </c>
      <c r="AD34" s="13">
        <f t="shared" si="10"/>
        <v>4414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1.0</v>
      </c>
      <c r="AA35" s="19"/>
      <c r="AB35" s="19"/>
      <c r="AC35" s="19">
        <v>0.0</v>
      </c>
      <c r="AD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46</v>
      </c>
      <c r="F36" s="13">
        <f t="shared" si="11"/>
        <v>67</v>
      </c>
      <c r="G36" s="13">
        <f t="shared" si="11"/>
        <v>56</v>
      </c>
      <c r="H36" s="13">
        <f t="shared" si="11"/>
        <v>3</v>
      </c>
      <c r="I36" s="13">
        <f t="shared" si="11"/>
        <v>52</v>
      </c>
      <c r="J36" s="13">
        <f t="shared" si="11"/>
        <v>35</v>
      </c>
      <c r="K36" s="13">
        <f t="shared" si="11"/>
        <v>46</v>
      </c>
      <c r="L36" s="13">
        <f t="shared" si="11"/>
        <v>35</v>
      </c>
      <c r="M36" s="13">
        <f t="shared" si="11"/>
        <v>42</v>
      </c>
      <c r="N36" s="13">
        <f t="shared" si="11"/>
        <v>73</v>
      </c>
      <c r="O36" s="13">
        <f t="shared" si="11"/>
        <v>34</v>
      </c>
      <c r="P36" s="13">
        <f t="shared" si="11"/>
        <v>23</v>
      </c>
      <c r="Q36" s="13">
        <f t="shared" si="11"/>
        <v>29</v>
      </c>
      <c r="R36" s="13">
        <f t="shared" si="11"/>
        <v>33</v>
      </c>
      <c r="S36" s="13">
        <f t="shared" si="11"/>
        <v>35</v>
      </c>
      <c r="T36" s="13">
        <f t="shared" si="11"/>
        <v>15</v>
      </c>
      <c r="U36" s="13">
        <f t="shared" si="11"/>
        <v>25</v>
      </c>
      <c r="V36" s="13">
        <f t="shared" si="11"/>
        <v>59</v>
      </c>
      <c r="W36" s="13">
        <f t="shared" si="11"/>
        <v>57</v>
      </c>
      <c r="X36" s="13">
        <f t="shared" si="11"/>
        <v>47</v>
      </c>
      <c r="Y36" s="13">
        <f t="shared" si="11"/>
        <v>30</v>
      </c>
      <c r="Z36" s="13">
        <f t="shared" si="11"/>
        <v>47</v>
      </c>
      <c r="AA36" s="13">
        <f t="shared" si="11"/>
        <v>43</v>
      </c>
      <c r="AB36" s="13">
        <f t="shared" si="11"/>
        <v>17</v>
      </c>
      <c r="AC36" s="13">
        <f t="shared" si="11"/>
        <v>43</v>
      </c>
      <c r="AD36" s="13">
        <f t="shared" si="10"/>
        <v>992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19"/>
      <c r="P37" s="19"/>
      <c r="Q37" s="19"/>
      <c r="R37" s="19"/>
      <c r="S37" s="65"/>
      <c r="T37" s="19"/>
      <c r="U37" s="19"/>
      <c r="V37" s="19"/>
      <c r="W37" s="19"/>
      <c r="X37" s="65"/>
      <c r="Y37" s="19"/>
      <c r="Z37" s="19"/>
      <c r="AA37" s="19"/>
      <c r="AB37" s="19"/>
      <c r="AC37" s="65"/>
      <c r="AD37" s="62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6"/>
      <c r="O38" s="13"/>
      <c r="P38" s="13"/>
      <c r="Q38" s="13"/>
      <c r="R38" s="13"/>
      <c r="S38" s="66"/>
      <c r="T38" s="13"/>
      <c r="U38" s="13"/>
      <c r="V38" s="13"/>
      <c r="W38" s="13"/>
      <c r="X38" s="66"/>
      <c r="Y38" s="13"/>
      <c r="Z38" s="13"/>
      <c r="AA38" s="13"/>
      <c r="AB38" s="13"/>
      <c r="AC38" s="66"/>
      <c r="AD38" s="62"/>
    </row>
    <row r="39" ht="12.75" customHeight="1">
      <c r="A39" s="30"/>
      <c r="B39" s="46" t="s">
        <v>33</v>
      </c>
      <c r="C39" s="23"/>
      <c r="D39" s="19" t="s">
        <v>12</v>
      </c>
      <c r="E39" s="19">
        <v>1.0</v>
      </c>
      <c r="F39" s="19">
        <v>2.0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7</v>
      </c>
    </row>
    <row r="40" ht="12.75" customHeight="1">
      <c r="A40" s="34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3</v>
      </c>
    </row>
    <row r="41" ht="12.75" customHeight="1">
      <c r="A41" s="44"/>
      <c r="B41" s="47"/>
      <c r="C41" s="28"/>
      <c r="D41" s="13" t="s">
        <v>14</v>
      </c>
      <c r="E41" s="13">
        <f t="shared" ref="E41:AC41" si="13">SUM(E39:E40)</f>
        <v>1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3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10</v>
      </c>
    </row>
    <row r="42" ht="12.75" customHeight="1">
      <c r="A42" s="48"/>
      <c r="B42" s="47"/>
      <c r="C42" s="47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19"/>
      <c r="Q42" s="19"/>
      <c r="R42" s="19"/>
      <c r="S42" s="65"/>
      <c r="T42" s="19"/>
      <c r="U42" s="19"/>
      <c r="V42" s="19"/>
      <c r="W42" s="19"/>
      <c r="X42" s="65"/>
      <c r="Y42" s="19"/>
      <c r="Z42" s="19"/>
      <c r="AA42" s="19"/>
      <c r="AB42" s="19"/>
      <c r="AC42" s="65"/>
      <c r="AD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66"/>
      <c r="O43" s="13"/>
      <c r="P43" s="13"/>
      <c r="Q43" s="13"/>
      <c r="R43" s="13"/>
      <c r="S43" s="66"/>
      <c r="T43" s="13"/>
      <c r="U43" s="13"/>
      <c r="V43" s="13"/>
      <c r="W43" s="13"/>
      <c r="X43" s="66"/>
      <c r="Y43" s="13"/>
      <c r="Z43" s="13"/>
      <c r="AA43" s="13"/>
      <c r="AB43" s="13"/>
      <c r="AC43" s="66"/>
      <c r="AD43" s="13"/>
    </row>
    <row r="44" ht="12.75" customHeight="1">
      <c r="A44" s="46" t="s">
        <v>36</v>
      </c>
      <c r="B44" s="49"/>
      <c r="C44" s="49"/>
      <c r="D44" s="23"/>
      <c r="E44" s="24"/>
      <c r="F44" s="19"/>
      <c r="H44" s="19"/>
      <c r="I44" s="19"/>
      <c r="J44" s="19"/>
      <c r="K44" s="19"/>
      <c r="L44" s="19"/>
      <c r="M44" s="19"/>
      <c r="N44" s="65"/>
      <c r="O44" s="19"/>
      <c r="P44" s="19"/>
      <c r="Q44" s="19"/>
      <c r="R44" s="19"/>
      <c r="S44" s="65"/>
      <c r="T44" s="19"/>
      <c r="U44" s="19"/>
      <c r="V44" s="19"/>
      <c r="W44" s="19"/>
      <c r="X44" s="65"/>
      <c r="Y44" s="19"/>
      <c r="Z44" s="19"/>
      <c r="AA44" s="19"/>
      <c r="AB44" s="19"/>
      <c r="AC44" s="65"/>
      <c r="AD44" s="13"/>
    </row>
    <row r="45" ht="12.75" customHeight="1">
      <c r="A45" s="30"/>
      <c r="B45" s="50" t="s">
        <v>17</v>
      </c>
      <c r="C45" s="63" t="s">
        <v>38</v>
      </c>
      <c r="D45" s="16"/>
      <c r="E45" s="19">
        <v>9.0</v>
      </c>
      <c r="F45" s="19">
        <v>10.0</v>
      </c>
      <c r="G45" s="19">
        <v>18.0</v>
      </c>
      <c r="H45" s="19">
        <v>18.0</v>
      </c>
      <c r="I45" s="19">
        <v>17.0</v>
      </c>
      <c r="J45" s="19">
        <v>19.0</v>
      </c>
      <c r="K45" s="19">
        <v>12.0</v>
      </c>
      <c r="L45" s="19">
        <v>18.0</v>
      </c>
      <c r="M45" s="19">
        <v>27.0</v>
      </c>
      <c r="N45" s="19">
        <v>32.0</v>
      </c>
      <c r="O45" s="19">
        <v>22.0</v>
      </c>
      <c r="P45" s="19">
        <v>17.0</v>
      </c>
      <c r="Q45" s="19">
        <v>33.0</v>
      </c>
      <c r="R45" s="19">
        <v>13.0</v>
      </c>
      <c r="S45" s="19">
        <v>24.0</v>
      </c>
      <c r="T45" s="19">
        <v>19.0</v>
      </c>
      <c r="U45" s="19">
        <v>25.0</v>
      </c>
      <c r="V45" s="19">
        <v>32.0</v>
      </c>
      <c r="W45" s="19">
        <v>28.0</v>
      </c>
      <c r="X45" s="19">
        <v>20.0</v>
      </c>
      <c r="Y45" s="19">
        <v>17.0</v>
      </c>
      <c r="Z45" s="19">
        <v>23.0</v>
      </c>
      <c r="AA45" s="19">
        <v>27.0</v>
      </c>
      <c r="AB45" s="19">
        <v>25.0</v>
      </c>
      <c r="AC45" s="19">
        <v>17.0</v>
      </c>
      <c r="AD45" s="13">
        <f t="shared" ref="AD45:AD57" si="14">SUM(E45:AC45)</f>
        <v>522</v>
      </c>
    </row>
    <row r="46" ht="12.75" customHeight="1">
      <c r="A46" s="18"/>
      <c r="B46" s="50" t="s">
        <v>19</v>
      </c>
      <c r="C46" s="63" t="s">
        <v>39</v>
      </c>
      <c r="D46" s="16"/>
      <c r="E46" s="19">
        <v>17.0</v>
      </c>
      <c r="F46" s="19">
        <v>25.0</v>
      </c>
      <c r="G46" s="19">
        <v>20.0</v>
      </c>
      <c r="H46" s="19">
        <v>27.0</v>
      </c>
      <c r="I46" s="19">
        <v>27.0</v>
      </c>
      <c r="J46" s="19">
        <v>30.0</v>
      </c>
      <c r="K46" s="19">
        <v>23.0</v>
      </c>
      <c r="L46" s="19">
        <v>26.0</v>
      </c>
      <c r="M46" s="19">
        <v>30.0</v>
      </c>
      <c r="N46" s="19">
        <v>33.0</v>
      </c>
      <c r="O46" s="19">
        <v>28.0</v>
      </c>
      <c r="P46" s="19">
        <v>48.0</v>
      </c>
      <c r="Q46" s="19">
        <v>69.0</v>
      </c>
      <c r="R46" s="19">
        <v>42.0</v>
      </c>
      <c r="S46" s="19">
        <v>41.0</v>
      </c>
      <c r="T46" s="19">
        <v>30.0</v>
      </c>
      <c r="U46" s="19">
        <v>25.0</v>
      </c>
      <c r="V46" s="19">
        <v>41.0</v>
      </c>
      <c r="W46" s="19">
        <v>41.0</v>
      </c>
      <c r="X46" s="19">
        <v>46.0</v>
      </c>
      <c r="Y46" s="19">
        <v>36.0</v>
      </c>
      <c r="Z46" s="19">
        <v>45.0</v>
      </c>
      <c r="AA46" s="19">
        <v>63.0</v>
      </c>
      <c r="AB46" s="19">
        <v>42.0</v>
      </c>
      <c r="AC46" s="19">
        <v>27.0</v>
      </c>
      <c r="AD46" s="13">
        <f t="shared" si="14"/>
        <v>882</v>
      </c>
    </row>
    <row r="47" ht="12.75" customHeight="1">
      <c r="A47" s="18"/>
      <c r="B47" s="50" t="s">
        <v>21</v>
      </c>
      <c r="C47" s="63" t="s">
        <v>40</v>
      </c>
      <c r="D47" s="16"/>
      <c r="E47" s="19">
        <v>6.0</v>
      </c>
      <c r="F47" s="19">
        <v>8.0</v>
      </c>
      <c r="G47" s="19">
        <v>6.0</v>
      </c>
      <c r="H47" s="19">
        <v>6.0</v>
      </c>
      <c r="I47" s="19">
        <v>3.0</v>
      </c>
      <c r="J47" s="19">
        <v>3.0</v>
      </c>
      <c r="K47" s="19">
        <v>1.0</v>
      </c>
      <c r="L47" s="19">
        <v>10.0</v>
      </c>
      <c r="M47" s="19">
        <v>13.0</v>
      </c>
      <c r="N47" s="19">
        <v>8.0</v>
      </c>
      <c r="O47" s="19">
        <v>11.0</v>
      </c>
      <c r="P47" s="19">
        <v>7.0</v>
      </c>
      <c r="Q47" s="19">
        <v>13.0</v>
      </c>
      <c r="R47" s="19">
        <v>15.0</v>
      </c>
      <c r="S47" s="19">
        <v>8.0</v>
      </c>
      <c r="T47" s="19">
        <v>7.0</v>
      </c>
      <c r="U47" s="19">
        <v>10.0</v>
      </c>
      <c r="V47" s="19">
        <v>14.0</v>
      </c>
      <c r="W47" s="19">
        <v>15.0</v>
      </c>
      <c r="X47" s="19">
        <v>12.0</v>
      </c>
      <c r="Y47" s="19">
        <v>7.0</v>
      </c>
      <c r="Z47" s="19">
        <v>13.0</v>
      </c>
      <c r="AA47" s="19">
        <v>12.0</v>
      </c>
      <c r="AB47" s="19">
        <v>4.0</v>
      </c>
      <c r="AC47" s="19">
        <v>14.0</v>
      </c>
      <c r="AD47" s="13">
        <f t="shared" si="14"/>
        <v>226</v>
      </c>
    </row>
    <row r="48" ht="12.75" customHeight="1">
      <c r="A48" s="18"/>
      <c r="B48" s="50" t="s">
        <v>23</v>
      </c>
      <c r="C48" s="63" t="s">
        <v>41</v>
      </c>
      <c r="D48" s="16"/>
      <c r="E48" s="19">
        <v>9.0</v>
      </c>
      <c r="F48" s="19">
        <v>8.0</v>
      </c>
      <c r="G48" s="19">
        <v>18.0</v>
      </c>
      <c r="H48" s="19">
        <v>13.0</v>
      </c>
      <c r="I48" s="19">
        <v>12.0</v>
      </c>
      <c r="J48" s="19">
        <v>13.0</v>
      </c>
      <c r="K48" s="19">
        <v>11.0</v>
      </c>
      <c r="L48" s="19">
        <v>10.0</v>
      </c>
      <c r="M48" s="19">
        <v>8.0</v>
      </c>
      <c r="N48" s="19">
        <v>29.0</v>
      </c>
      <c r="O48" s="19">
        <v>18.0</v>
      </c>
      <c r="P48" s="19">
        <v>12.0</v>
      </c>
      <c r="Q48" s="19">
        <v>27.0</v>
      </c>
      <c r="R48" s="19">
        <v>28.0</v>
      </c>
      <c r="S48" s="19">
        <v>9.0</v>
      </c>
      <c r="T48" s="19">
        <v>18.0</v>
      </c>
      <c r="U48" s="19">
        <v>24.0</v>
      </c>
      <c r="V48" s="19">
        <v>22.0</v>
      </c>
      <c r="W48" s="19">
        <v>20.0</v>
      </c>
      <c r="X48" s="19">
        <v>20.0</v>
      </c>
      <c r="Y48" s="19">
        <v>13.0</v>
      </c>
      <c r="Z48" s="19">
        <v>15.0</v>
      </c>
      <c r="AA48" s="19">
        <v>16.0</v>
      </c>
      <c r="AB48" s="19">
        <v>13.0</v>
      </c>
      <c r="AC48" s="19">
        <v>10.0</v>
      </c>
      <c r="AD48" s="13">
        <f t="shared" si="14"/>
        <v>396</v>
      </c>
    </row>
    <row r="49" ht="12.75" customHeight="1">
      <c r="A49" s="18"/>
      <c r="B49" s="50" t="s">
        <v>42</v>
      </c>
      <c r="C49" s="63" t="s">
        <v>43</v>
      </c>
      <c r="D49" s="16"/>
      <c r="E49" s="19">
        <v>14.0</v>
      </c>
      <c r="F49" s="19">
        <v>11.0</v>
      </c>
      <c r="G49" s="19">
        <v>11.0</v>
      </c>
      <c r="H49" s="19">
        <v>13.0</v>
      </c>
      <c r="I49" s="19">
        <v>11.0</v>
      </c>
      <c r="J49" s="19">
        <v>14.0</v>
      </c>
      <c r="K49" s="19">
        <v>16.0</v>
      </c>
      <c r="L49" s="19">
        <v>14.0</v>
      </c>
      <c r="M49" s="19">
        <v>15.0</v>
      </c>
      <c r="N49" s="19">
        <v>23.0</v>
      </c>
      <c r="O49" s="19">
        <v>10.0</v>
      </c>
      <c r="P49" s="19">
        <v>15.0</v>
      </c>
      <c r="Q49" s="19">
        <v>7.0</v>
      </c>
      <c r="R49" s="19">
        <v>10.0</v>
      </c>
      <c r="S49" s="19">
        <v>14.0</v>
      </c>
      <c r="T49" s="19">
        <v>21.0</v>
      </c>
      <c r="U49" s="19">
        <v>14.0</v>
      </c>
      <c r="V49" s="19">
        <v>17.0</v>
      </c>
      <c r="W49" s="19">
        <v>17.0</v>
      </c>
      <c r="X49" s="19">
        <v>27.0</v>
      </c>
      <c r="Y49" s="19">
        <v>23.0</v>
      </c>
      <c r="Z49" s="19">
        <v>17.0</v>
      </c>
      <c r="AA49" s="19">
        <v>8.0</v>
      </c>
      <c r="AB49" s="19">
        <v>1.0</v>
      </c>
      <c r="AC49" s="19">
        <v>11.0</v>
      </c>
      <c r="AD49" s="13">
        <f t="shared" si="14"/>
        <v>354</v>
      </c>
    </row>
    <row r="50" ht="12.75" customHeight="1">
      <c r="A50" s="18"/>
      <c r="B50" s="50" t="s">
        <v>44</v>
      </c>
      <c r="C50" s="63" t="s">
        <v>45</v>
      </c>
      <c r="D50" s="16"/>
      <c r="E50" s="19">
        <v>9.0</v>
      </c>
      <c r="F50" s="19">
        <v>4.0</v>
      </c>
      <c r="G50" s="19">
        <v>17.0</v>
      </c>
      <c r="H50" s="19">
        <v>9.0</v>
      </c>
      <c r="I50" s="19">
        <v>6.0</v>
      </c>
      <c r="J50" s="19">
        <v>14.0</v>
      </c>
      <c r="K50" s="19">
        <v>13.0</v>
      </c>
      <c r="L50" s="19">
        <v>21.0</v>
      </c>
      <c r="M50" s="19">
        <v>18.0</v>
      </c>
      <c r="N50" s="19">
        <v>18.0</v>
      </c>
      <c r="O50" s="19">
        <v>12.0</v>
      </c>
      <c r="P50" s="19">
        <v>15.0</v>
      </c>
      <c r="Q50" s="19">
        <v>15.0</v>
      </c>
      <c r="R50" s="19">
        <v>9.0</v>
      </c>
      <c r="S50" s="19">
        <v>14.0</v>
      </c>
      <c r="T50" s="19">
        <v>12.0</v>
      </c>
      <c r="U50" s="19">
        <v>16.0</v>
      </c>
      <c r="V50" s="19">
        <v>13.0</v>
      </c>
      <c r="W50" s="19">
        <v>16.0</v>
      </c>
      <c r="X50" s="19">
        <v>10.0</v>
      </c>
      <c r="Y50" s="19">
        <v>13.0</v>
      </c>
      <c r="Z50" s="19">
        <v>11.0</v>
      </c>
      <c r="AA50" s="19">
        <v>16.0</v>
      </c>
      <c r="AB50" s="19">
        <v>17.0</v>
      </c>
      <c r="AC50" s="19">
        <v>14.0</v>
      </c>
      <c r="AD50" s="13">
        <f t="shared" si="14"/>
        <v>332</v>
      </c>
    </row>
    <row r="51" ht="12.75" customHeight="1">
      <c r="A51" s="18"/>
      <c r="B51" s="50" t="s">
        <v>46</v>
      </c>
      <c r="C51" s="63" t="s">
        <v>47</v>
      </c>
      <c r="D51" s="16"/>
      <c r="E51" s="19">
        <v>3.0</v>
      </c>
      <c r="F51" s="19">
        <v>1.0</v>
      </c>
      <c r="G51" s="19">
        <v>2.0</v>
      </c>
      <c r="H51" s="19">
        <v>1.0</v>
      </c>
      <c r="I51" s="19">
        <v>0.0</v>
      </c>
      <c r="J51" s="19">
        <v>0.0</v>
      </c>
      <c r="K51" s="19">
        <v>3.0</v>
      </c>
      <c r="L51" s="19">
        <v>1.0</v>
      </c>
      <c r="M51" s="19">
        <v>2.0</v>
      </c>
      <c r="N51" s="19">
        <v>3.0</v>
      </c>
      <c r="O51" s="19">
        <v>2.0</v>
      </c>
      <c r="P51" s="19">
        <v>2.0</v>
      </c>
      <c r="Q51" s="19">
        <v>2.0</v>
      </c>
      <c r="R51" s="19">
        <v>4.0</v>
      </c>
      <c r="S51" s="19">
        <v>1.0</v>
      </c>
      <c r="T51" s="19">
        <v>1.0</v>
      </c>
      <c r="U51" s="19">
        <v>2.0</v>
      </c>
      <c r="V51" s="19">
        <v>2.0</v>
      </c>
      <c r="W51" s="19">
        <v>1.0</v>
      </c>
      <c r="X51" s="19">
        <v>1.0</v>
      </c>
      <c r="Y51" s="19">
        <v>5.0</v>
      </c>
      <c r="Z51" s="19">
        <v>1.0</v>
      </c>
      <c r="AA51" s="19">
        <v>0.0</v>
      </c>
      <c r="AB51" s="19">
        <v>1.0</v>
      </c>
      <c r="AC51" s="19">
        <v>3.0</v>
      </c>
      <c r="AD51" s="13">
        <f t="shared" si="14"/>
        <v>44</v>
      </c>
    </row>
    <row r="52" ht="12.75" customHeight="1">
      <c r="A52" s="18"/>
      <c r="B52" s="50" t="s">
        <v>48</v>
      </c>
      <c r="C52" s="63" t="s">
        <v>49</v>
      </c>
      <c r="D52" s="16"/>
      <c r="E52" s="19">
        <v>1.0</v>
      </c>
      <c r="F52" s="19">
        <v>1.0</v>
      </c>
      <c r="G52" s="19">
        <v>4.0</v>
      </c>
      <c r="H52" s="19">
        <v>2.0</v>
      </c>
      <c r="I52" s="19">
        <v>0.0</v>
      </c>
      <c r="J52" s="19">
        <v>1.0</v>
      </c>
      <c r="K52" s="19">
        <v>0.0</v>
      </c>
      <c r="L52" s="19">
        <v>7.0</v>
      </c>
      <c r="M52" s="19">
        <v>4.0</v>
      </c>
      <c r="N52" s="19">
        <v>2.0</v>
      </c>
      <c r="O52" s="19">
        <v>2.0</v>
      </c>
      <c r="P52" s="19">
        <v>1.0</v>
      </c>
      <c r="Q52" s="19">
        <v>0.0</v>
      </c>
      <c r="R52" s="19">
        <v>3.0</v>
      </c>
      <c r="S52" s="19">
        <v>1.0</v>
      </c>
      <c r="T52" s="19">
        <v>1.0</v>
      </c>
      <c r="U52" s="19">
        <v>2.0</v>
      </c>
      <c r="V52" s="19">
        <v>1.0</v>
      </c>
      <c r="W52" s="19">
        <v>3.0</v>
      </c>
      <c r="X52" s="19">
        <v>0.0</v>
      </c>
      <c r="Y52" s="19">
        <v>1.0</v>
      </c>
      <c r="Z52" s="19">
        <v>2.0</v>
      </c>
      <c r="AA52" s="19">
        <v>3.0</v>
      </c>
      <c r="AB52" s="19">
        <v>1.0</v>
      </c>
      <c r="AC52" s="19">
        <v>1.0</v>
      </c>
      <c r="AD52" s="13">
        <f t="shared" si="14"/>
        <v>44</v>
      </c>
    </row>
    <row r="53" ht="12.75" customHeight="1">
      <c r="A53" s="18"/>
      <c r="B53" s="50" t="s">
        <v>50</v>
      </c>
      <c r="C53" s="63" t="s">
        <v>51</v>
      </c>
      <c r="D53" s="16"/>
      <c r="E53" s="19">
        <v>0.0</v>
      </c>
      <c r="F53" s="19">
        <v>0.0</v>
      </c>
      <c r="G53" s="19">
        <v>1.0</v>
      </c>
      <c r="H53" s="19">
        <v>2.0</v>
      </c>
      <c r="I53" s="19">
        <v>0.0</v>
      </c>
      <c r="J53" s="19">
        <v>0.0</v>
      </c>
      <c r="K53" s="19">
        <v>0.0</v>
      </c>
      <c r="L53" s="19">
        <v>1.0</v>
      </c>
      <c r="M53" s="19">
        <v>0.0</v>
      </c>
      <c r="N53" s="19">
        <v>0.0</v>
      </c>
      <c r="O53" s="19">
        <v>0.0</v>
      </c>
      <c r="P53" s="19">
        <v>3.0</v>
      </c>
      <c r="Q53" s="19">
        <v>5.0</v>
      </c>
      <c r="R53" s="19">
        <v>0.0</v>
      </c>
      <c r="S53" s="19">
        <v>0.0</v>
      </c>
      <c r="T53" s="19">
        <v>0.0</v>
      </c>
      <c r="U53" s="19">
        <v>2.0</v>
      </c>
      <c r="V53" s="19">
        <v>0.0</v>
      </c>
      <c r="W53" s="19">
        <v>0.0</v>
      </c>
      <c r="X53" s="19">
        <v>0.0</v>
      </c>
      <c r="Y53" s="19">
        <v>2.0</v>
      </c>
      <c r="Z53" s="19">
        <v>0.0</v>
      </c>
      <c r="AA53" s="19">
        <v>0.0</v>
      </c>
      <c r="AB53" s="19">
        <v>0.0</v>
      </c>
      <c r="AC53" s="19">
        <v>0.0</v>
      </c>
      <c r="AD53" s="13">
        <f t="shared" si="14"/>
        <v>16</v>
      </c>
    </row>
    <row r="54" ht="12.75" customHeight="1">
      <c r="A54" s="18"/>
      <c r="B54" s="50" t="s">
        <v>52</v>
      </c>
      <c r="C54" s="63" t="s">
        <v>53</v>
      </c>
      <c r="D54" s="16"/>
      <c r="E54" s="19">
        <v>19.0</v>
      </c>
      <c r="F54" s="19">
        <v>12.0</v>
      </c>
      <c r="G54" s="19">
        <v>23.0</v>
      </c>
      <c r="H54" s="19">
        <v>22.0</v>
      </c>
      <c r="I54" s="19">
        <v>20.0</v>
      </c>
      <c r="J54" s="19">
        <v>16.0</v>
      </c>
      <c r="K54" s="19">
        <v>19.0</v>
      </c>
      <c r="L54" s="19">
        <v>17.0</v>
      </c>
      <c r="M54" s="19">
        <v>10.0</v>
      </c>
      <c r="N54" s="19">
        <v>20.0</v>
      </c>
      <c r="O54" s="19">
        <v>23.0</v>
      </c>
      <c r="P54" s="19">
        <v>18.0</v>
      </c>
      <c r="Q54" s="19">
        <v>18.0</v>
      </c>
      <c r="R54" s="19">
        <v>19.0</v>
      </c>
      <c r="S54" s="19">
        <v>12.0</v>
      </c>
      <c r="T54" s="19">
        <v>9.0</v>
      </c>
      <c r="U54" s="19">
        <v>18.0</v>
      </c>
      <c r="V54" s="19">
        <v>19.0</v>
      </c>
      <c r="W54" s="19">
        <v>17.0</v>
      </c>
      <c r="X54" s="19">
        <v>26.0</v>
      </c>
      <c r="Y54" s="19">
        <v>16.0</v>
      </c>
      <c r="Z54" s="19">
        <v>19.0</v>
      </c>
      <c r="AA54" s="19">
        <v>14.0</v>
      </c>
      <c r="AB54" s="19">
        <v>16.0</v>
      </c>
      <c r="AC54" s="19">
        <v>12.0</v>
      </c>
      <c r="AD54" s="13">
        <f t="shared" si="14"/>
        <v>434</v>
      </c>
    </row>
    <row r="55" ht="15.0" customHeight="1">
      <c r="A55" s="18"/>
      <c r="B55" s="50" t="s">
        <v>54</v>
      </c>
      <c r="C55" s="63" t="s">
        <v>55</v>
      </c>
      <c r="D55" s="16"/>
      <c r="E55" s="19">
        <v>0.0</v>
      </c>
      <c r="F55" s="19">
        <v>0.0</v>
      </c>
      <c r="G55" s="19">
        <v>2.0</v>
      </c>
      <c r="H55" s="19">
        <v>1.0</v>
      </c>
      <c r="I55" s="19">
        <v>1.0</v>
      </c>
      <c r="J55" s="19">
        <v>0.0</v>
      </c>
      <c r="K55" s="19">
        <v>1.0</v>
      </c>
      <c r="L55" s="19">
        <v>3.0</v>
      </c>
      <c r="M55" s="19">
        <v>0.0</v>
      </c>
      <c r="N55" s="19">
        <v>2.0</v>
      </c>
      <c r="O55" s="19">
        <v>1.0</v>
      </c>
      <c r="P55" s="19">
        <v>1.0</v>
      </c>
      <c r="Q55" s="19">
        <v>2.0</v>
      </c>
      <c r="R55" s="19">
        <v>1.0</v>
      </c>
      <c r="S55" s="19">
        <v>0.0</v>
      </c>
      <c r="T55" s="19">
        <v>2.0</v>
      </c>
      <c r="U55" s="19">
        <v>2.0</v>
      </c>
      <c r="V55" s="19">
        <v>1.0</v>
      </c>
      <c r="W55" s="19">
        <v>1.0</v>
      </c>
      <c r="X55" s="19">
        <v>3.0</v>
      </c>
      <c r="Y55" s="19">
        <v>0.0</v>
      </c>
      <c r="Z55" s="19">
        <v>0.0</v>
      </c>
      <c r="AA55" s="19">
        <v>0.0</v>
      </c>
      <c r="AB55" s="19">
        <v>0.0</v>
      </c>
      <c r="AC55" s="19">
        <v>0.0</v>
      </c>
      <c r="AD55" s="13">
        <f t="shared" si="14"/>
        <v>24</v>
      </c>
    </row>
    <row r="56" ht="12.75" customHeight="1">
      <c r="A56" s="18"/>
      <c r="B56" s="50" t="s">
        <v>56</v>
      </c>
      <c r="C56" s="63" t="s">
        <v>57</v>
      </c>
      <c r="D56" s="16"/>
      <c r="E56" s="19">
        <v>10.0</v>
      </c>
      <c r="F56" s="19">
        <v>14.0</v>
      </c>
      <c r="G56" s="19">
        <v>17.0</v>
      </c>
      <c r="H56" s="19">
        <v>13.0</v>
      </c>
      <c r="I56" s="19">
        <v>17.0</v>
      </c>
      <c r="J56" s="19">
        <v>14.0</v>
      </c>
      <c r="K56" s="19">
        <v>10.0</v>
      </c>
      <c r="L56" s="19">
        <v>17.0</v>
      </c>
      <c r="M56" s="19">
        <v>15.0</v>
      </c>
      <c r="N56" s="19">
        <v>15.0</v>
      </c>
      <c r="O56" s="19">
        <v>10.0</v>
      </c>
      <c r="P56" s="19">
        <v>14.0</v>
      </c>
      <c r="Q56" s="19">
        <v>16.0</v>
      </c>
      <c r="R56" s="19">
        <v>16.0</v>
      </c>
      <c r="S56" s="19">
        <v>22.0</v>
      </c>
      <c r="T56" s="19">
        <v>13.0</v>
      </c>
      <c r="U56" s="19">
        <v>13.0</v>
      </c>
      <c r="V56" s="19">
        <v>7.0</v>
      </c>
      <c r="W56" s="19">
        <v>14.0</v>
      </c>
      <c r="X56" s="19">
        <v>17.0</v>
      </c>
      <c r="Y56" s="19">
        <v>8.0</v>
      </c>
      <c r="Z56" s="19">
        <v>12.0</v>
      </c>
      <c r="AA56" s="19">
        <v>19.0</v>
      </c>
      <c r="AB56" s="19">
        <v>5.0</v>
      </c>
      <c r="AC56" s="19">
        <v>16.0</v>
      </c>
      <c r="AD56" s="13">
        <f t="shared" si="14"/>
        <v>344</v>
      </c>
    </row>
    <row r="57" ht="12.75" customHeight="1">
      <c r="A57" s="18"/>
      <c r="B57" s="50" t="s">
        <v>58</v>
      </c>
      <c r="C57" s="63" t="s">
        <v>59</v>
      </c>
      <c r="D57" s="16"/>
      <c r="E57" s="19">
        <v>3.0</v>
      </c>
      <c r="F57" s="19">
        <v>1.0</v>
      </c>
      <c r="G57" s="19">
        <v>0.0</v>
      </c>
      <c r="H57" s="19">
        <v>2.0</v>
      </c>
      <c r="I57" s="19">
        <v>0.0</v>
      </c>
      <c r="J57" s="19">
        <v>1.0</v>
      </c>
      <c r="K57" s="19">
        <v>0.0</v>
      </c>
      <c r="L57" s="19">
        <v>0.0</v>
      </c>
      <c r="M57" s="19">
        <v>0.0</v>
      </c>
      <c r="N57" s="19">
        <v>0.0</v>
      </c>
      <c r="O57" s="19">
        <v>1.0</v>
      </c>
      <c r="P57" s="19">
        <v>3.0</v>
      </c>
      <c r="Q57" s="19">
        <v>1.0</v>
      </c>
      <c r="R57" s="19">
        <v>3.0</v>
      </c>
      <c r="S57" s="19">
        <v>0.0</v>
      </c>
      <c r="T57" s="19">
        <v>0.0</v>
      </c>
      <c r="U57" s="19">
        <v>2.0</v>
      </c>
      <c r="V57" s="19">
        <v>2.0</v>
      </c>
      <c r="W57" s="19">
        <v>2.0</v>
      </c>
      <c r="X57" s="19">
        <v>4.0</v>
      </c>
      <c r="Y57" s="19">
        <v>1.0</v>
      </c>
      <c r="Z57" s="19">
        <v>3.0</v>
      </c>
      <c r="AA57" s="19">
        <v>1.0</v>
      </c>
      <c r="AB57" s="19">
        <v>1.0</v>
      </c>
      <c r="AC57" s="19">
        <v>0.0</v>
      </c>
      <c r="AD57" s="13">
        <f t="shared" si="14"/>
        <v>31</v>
      </c>
    </row>
    <row r="58" ht="12.75" customHeight="1">
      <c r="AD58" s="13"/>
    </row>
    <row r="59" ht="12.75" customHeight="1">
      <c r="A59" s="45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2.75" customHeight="1">
      <c r="A60" s="45"/>
      <c r="B60" s="56" t="s">
        <v>62</v>
      </c>
      <c r="C60" s="57" t="s">
        <v>63</v>
      </c>
      <c r="D60" s="16"/>
      <c r="E60" s="19">
        <f t="shared" ref="E60:AC60" si="15">SUM(E45:E57)</f>
        <v>100</v>
      </c>
      <c r="F60" s="19">
        <f t="shared" si="15"/>
        <v>95</v>
      </c>
      <c r="G60" s="19">
        <f t="shared" si="15"/>
        <v>139</v>
      </c>
      <c r="H60" s="19">
        <f t="shared" si="15"/>
        <v>129</v>
      </c>
      <c r="I60" s="19">
        <f t="shared" si="15"/>
        <v>114</v>
      </c>
      <c r="J60" s="19">
        <f t="shared" si="15"/>
        <v>125</v>
      </c>
      <c r="K60" s="19">
        <f t="shared" si="15"/>
        <v>109</v>
      </c>
      <c r="L60" s="19">
        <f t="shared" si="15"/>
        <v>145</v>
      </c>
      <c r="M60" s="19">
        <f t="shared" si="15"/>
        <v>142</v>
      </c>
      <c r="N60" s="19">
        <f t="shared" si="15"/>
        <v>185</v>
      </c>
      <c r="O60" s="19">
        <f t="shared" si="15"/>
        <v>140</v>
      </c>
      <c r="P60" s="19">
        <f t="shared" si="15"/>
        <v>156</v>
      </c>
      <c r="Q60" s="19">
        <f t="shared" si="15"/>
        <v>208</v>
      </c>
      <c r="R60" s="19">
        <f t="shared" si="15"/>
        <v>163</v>
      </c>
      <c r="S60" s="19">
        <f t="shared" si="15"/>
        <v>146</v>
      </c>
      <c r="T60" s="19">
        <f t="shared" si="15"/>
        <v>133</v>
      </c>
      <c r="U60" s="19">
        <f t="shared" si="15"/>
        <v>155</v>
      </c>
      <c r="V60" s="19">
        <f t="shared" si="15"/>
        <v>171</v>
      </c>
      <c r="W60" s="19">
        <f t="shared" si="15"/>
        <v>175</v>
      </c>
      <c r="X60" s="19">
        <f t="shared" si="15"/>
        <v>186</v>
      </c>
      <c r="Y60" s="19">
        <f t="shared" si="15"/>
        <v>142</v>
      </c>
      <c r="Z60" s="19">
        <f t="shared" si="15"/>
        <v>161</v>
      </c>
      <c r="AA60" s="19">
        <f t="shared" si="15"/>
        <v>179</v>
      </c>
      <c r="AB60" s="19">
        <f t="shared" si="15"/>
        <v>126</v>
      </c>
      <c r="AC60" s="19">
        <f t="shared" si="15"/>
        <v>125</v>
      </c>
      <c r="AD60" s="13">
        <f t="shared" ref="AD60:AD62" si="16">SUM(E60:AC60)</f>
        <v>3649</v>
      </c>
    </row>
    <row r="61" ht="12.75" customHeight="1">
      <c r="A61" s="36"/>
      <c r="B61" s="56" t="s">
        <v>64</v>
      </c>
      <c r="C61" s="57" t="s">
        <v>65</v>
      </c>
      <c r="D61" s="16"/>
      <c r="E61" s="19">
        <v>64.0</v>
      </c>
      <c r="F61" s="19">
        <v>50.0</v>
      </c>
      <c r="G61" s="19">
        <v>29.0</v>
      </c>
      <c r="H61" s="19">
        <v>37.0</v>
      </c>
      <c r="I61" s="19">
        <v>39.0</v>
      </c>
      <c r="J61" s="19">
        <v>29.0</v>
      </c>
      <c r="K61" s="19">
        <v>26.0</v>
      </c>
      <c r="L61" s="19">
        <v>26.0</v>
      </c>
      <c r="M61" s="19">
        <v>25.0</v>
      </c>
      <c r="N61" s="19">
        <v>34.0</v>
      </c>
      <c r="O61" s="19">
        <v>33.0</v>
      </c>
      <c r="P61" s="19">
        <v>30.0</v>
      </c>
      <c r="Q61" s="19">
        <v>22.0</v>
      </c>
      <c r="R61" s="19">
        <v>25.0</v>
      </c>
      <c r="S61" s="19">
        <v>17.0</v>
      </c>
      <c r="T61" s="19">
        <v>27.0</v>
      </c>
      <c r="U61" s="19">
        <v>17.0</v>
      </c>
      <c r="V61" s="19">
        <v>54.0</v>
      </c>
      <c r="W61" s="19">
        <v>37.0</v>
      </c>
      <c r="X61" s="19">
        <v>37.0</v>
      </c>
      <c r="Y61" s="19">
        <v>16.0</v>
      </c>
      <c r="Z61" s="19">
        <v>26.0</v>
      </c>
      <c r="AA61" s="19">
        <v>30.0</v>
      </c>
      <c r="AB61" s="19">
        <v>13.0</v>
      </c>
      <c r="AC61" s="19">
        <v>22.0</v>
      </c>
      <c r="AD61" s="13">
        <f t="shared" si="16"/>
        <v>765</v>
      </c>
    </row>
    <row r="62" ht="12.75" customHeight="1">
      <c r="A62" s="44"/>
      <c r="B62" s="56" t="s">
        <v>66</v>
      </c>
      <c r="C62" s="57" t="s">
        <v>67</v>
      </c>
      <c r="D62" s="16"/>
      <c r="E62" s="13">
        <f t="shared" ref="E62:AC62" si="17">SUM(E60:E61)</f>
        <v>164</v>
      </c>
      <c r="F62" s="13">
        <f t="shared" si="17"/>
        <v>145</v>
      </c>
      <c r="G62" s="13">
        <f t="shared" si="17"/>
        <v>168</v>
      </c>
      <c r="H62" s="13">
        <f t="shared" si="17"/>
        <v>166</v>
      </c>
      <c r="I62" s="13">
        <f t="shared" si="17"/>
        <v>153</v>
      </c>
      <c r="J62" s="13">
        <f t="shared" si="17"/>
        <v>154</v>
      </c>
      <c r="K62" s="13">
        <f t="shared" si="17"/>
        <v>135</v>
      </c>
      <c r="L62" s="13">
        <f t="shared" si="17"/>
        <v>171</v>
      </c>
      <c r="M62" s="13">
        <f t="shared" si="17"/>
        <v>167</v>
      </c>
      <c r="N62" s="13">
        <f t="shared" si="17"/>
        <v>219</v>
      </c>
      <c r="O62" s="13">
        <f t="shared" si="17"/>
        <v>173</v>
      </c>
      <c r="P62" s="13">
        <f t="shared" si="17"/>
        <v>186</v>
      </c>
      <c r="Q62" s="13">
        <f t="shared" si="17"/>
        <v>230</v>
      </c>
      <c r="R62" s="13">
        <f t="shared" si="17"/>
        <v>188</v>
      </c>
      <c r="S62" s="13">
        <f t="shared" si="17"/>
        <v>163</v>
      </c>
      <c r="T62" s="13">
        <f t="shared" si="17"/>
        <v>160</v>
      </c>
      <c r="U62" s="13">
        <f t="shared" si="17"/>
        <v>172</v>
      </c>
      <c r="V62" s="13">
        <f t="shared" si="17"/>
        <v>225</v>
      </c>
      <c r="W62" s="13">
        <f t="shared" si="17"/>
        <v>212</v>
      </c>
      <c r="X62" s="13">
        <f t="shared" si="17"/>
        <v>223</v>
      </c>
      <c r="Y62" s="13">
        <f t="shared" si="17"/>
        <v>158</v>
      </c>
      <c r="Z62" s="13">
        <f t="shared" si="17"/>
        <v>187</v>
      </c>
      <c r="AA62" s="13">
        <f t="shared" si="17"/>
        <v>209</v>
      </c>
      <c r="AB62" s="13">
        <f t="shared" si="17"/>
        <v>139</v>
      </c>
      <c r="AC62" s="13">
        <f t="shared" si="17"/>
        <v>147</v>
      </c>
      <c r="AD62" s="13">
        <f t="shared" si="16"/>
        <v>4414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E117" s="5"/>
      <c r="AF117" s="5"/>
    </row>
    <row r="118" ht="12.75" customHeight="1">
      <c r="AE118" s="5"/>
      <c r="AF118" s="5"/>
    </row>
    <row r="119" ht="12.75" customHeight="1">
      <c r="AE119" s="5"/>
      <c r="AF119" s="5"/>
    </row>
    <row r="120" ht="12.75" customHeight="1">
      <c r="AE120" s="5"/>
      <c r="AF120" s="5"/>
    </row>
    <row r="121" ht="12.75" customHeight="1">
      <c r="AE121" s="5"/>
      <c r="AF121" s="5"/>
    </row>
    <row r="122" ht="12.75" customHeight="1">
      <c r="AE122" s="5"/>
      <c r="AF122" s="5"/>
    </row>
    <row r="123" ht="12.75" customHeight="1">
      <c r="AE123" s="5"/>
      <c r="AF123" s="5"/>
    </row>
    <row r="124" ht="12.75" customHeight="1">
      <c r="AE124" s="5"/>
      <c r="AF124" s="5"/>
    </row>
    <row r="125" ht="12.75" customHeight="1">
      <c r="AE125" s="5"/>
      <c r="AF125" s="5"/>
    </row>
    <row r="126" ht="12.75" customHeight="1">
      <c r="AE126" s="5"/>
      <c r="AF126" s="5"/>
    </row>
    <row r="127" ht="12.75" customHeight="1">
      <c r="AE127" s="5"/>
      <c r="AF127" s="5"/>
    </row>
    <row r="128" ht="12.75" customHeight="1">
      <c r="AE128" s="5"/>
      <c r="AF128" s="5"/>
    </row>
    <row r="129" ht="12.75" customHeight="1">
      <c r="AE129" s="5"/>
      <c r="AF129" s="5"/>
    </row>
    <row r="130" ht="12.75" customHeight="1">
      <c r="AE130" s="1"/>
      <c r="AF130" s="1"/>
    </row>
    <row r="131" ht="12.75" customHeight="1">
      <c r="AE131" s="53"/>
      <c r="AF131" s="53"/>
    </row>
    <row r="132" ht="12.75" customHeight="1">
      <c r="AE132" s="5"/>
      <c r="AF132" s="5"/>
    </row>
    <row r="133" ht="12.75" customHeight="1">
      <c r="AE133" s="5"/>
      <c r="AF133" s="5"/>
    </row>
    <row r="134" ht="12.75" customHeight="1">
      <c r="AE134" s="5"/>
      <c r="AF134" s="5"/>
    </row>
    <row r="135" ht="12.75" customHeight="1">
      <c r="AE135" s="5"/>
      <c r="AF135" s="5"/>
    </row>
    <row r="136" ht="12.75" customHeight="1">
      <c r="AE136" s="5"/>
      <c r="AF136" s="5"/>
    </row>
    <row r="137" ht="12.75" customHeight="1">
      <c r="AE137" s="5"/>
      <c r="AF137" s="5"/>
    </row>
    <row r="138" ht="12.75" customHeight="1">
      <c r="AE138" s="5"/>
      <c r="AF138" s="5"/>
    </row>
    <row r="139" ht="12.75" customHeight="1">
      <c r="AE139" s="5"/>
      <c r="AF139" s="5"/>
    </row>
    <row r="140" ht="12.75" customHeight="1">
      <c r="AE140" s="5"/>
      <c r="AF140" s="5"/>
    </row>
    <row r="141" ht="12.75" customHeight="1">
      <c r="AE141" s="1"/>
      <c r="AF141" s="1"/>
    </row>
    <row r="142" ht="12.75" customHeight="1">
      <c r="AE142" s="53"/>
      <c r="AF142" s="53"/>
    </row>
    <row r="143" ht="12.75" customHeight="1">
      <c r="AE143" s="5"/>
      <c r="AF143" s="5"/>
    </row>
    <row r="144" ht="12.75" customHeight="1">
      <c r="AE144" s="5"/>
      <c r="AF144" s="5"/>
    </row>
    <row r="145" ht="12.75" customHeight="1">
      <c r="AE145" s="5"/>
      <c r="AF145" s="5"/>
    </row>
    <row r="146" ht="12.75" customHeight="1">
      <c r="AE146" s="5"/>
      <c r="AF146" s="5"/>
    </row>
    <row r="147" ht="12.75" customHeight="1">
      <c r="AE147" s="5"/>
      <c r="AF147" s="5"/>
    </row>
    <row r="148" ht="12.75" customHeight="1">
      <c r="AE148" s="5"/>
      <c r="AF148" s="5"/>
    </row>
    <row r="149" ht="12.75" customHeight="1">
      <c r="AE149" s="5"/>
      <c r="AF149" s="5"/>
    </row>
    <row r="150" ht="12.75" customHeight="1">
      <c r="AE150" s="5"/>
      <c r="AF150" s="5"/>
    </row>
    <row r="151" ht="12.75" customHeight="1">
      <c r="AE151" s="1"/>
      <c r="AF151" s="1"/>
    </row>
    <row r="152" ht="12.75" customHeight="1">
      <c r="AE152" s="53"/>
      <c r="AF152" s="53"/>
    </row>
    <row r="153" ht="12.75" customHeight="1">
      <c r="AE153" s="5"/>
      <c r="AF153" s="5"/>
    </row>
    <row r="154" ht="12.75" customHeight="1">
      <c r="AE154" s="5"/>
      <c r="AF154" s="5"/>
    </row>
    <row r="155" ht="12.75" customHeight="1">
      <c r="AE155" s="5"/>
      <c r="AF155" s="5"/>
    </row>
    <row r="156" ht="12.75" customHeight="1">
      <c r="AE156" s="5"/>
      <c r="AF156" s="5"/>
    </row>
    <row r="157" ht="12.75" customHeight="1">
      <c r="AE157" s="5"/>
      <c r="AF157" s="5"/>
    </row>
    <row r="158" ht="12.75" customHeight="1">
      <c r="AE158" s="5"/>
      <c r="AF158" s="5"/>
    </row>
    <row r="159" ht="12.75" customHeight="1">
      <c r="AE159" s="5"/>
      <c r="AF159" s="5"/>
    </row>
    <row r="160" ht="12.75" customHeight="1">
      <c r="AE160" s="5"/>
      <c r="AF160" s="5"/>
    </row>
    <row r="161" ht="12.75" customHeight="1">
      <c r="AE161" s="5"/>
      <c r="AF161" s="5"/>
    </row>
    <row r="162" ht="12.75" customHeight="1">
      <c r="AE162" s="5"/>
      <c r="AF162" s="5"/>
    </row>
    <row r="163" ht="12.75" customHeight="1">
      <c r="AE163" s="5"/>
      <c r="AF163" s="5"/>
    </row>
    <row r="164" ht="12.75" customHeight="1">
      <c r="AE164" s="5"/>
      <c r="AF164" s="5"/>
    </row>
    <row r="165" ht="12.75" customHeight="1">
      <c r="AE165" s="1"/>
      <c r="AF165" s="1"/>
    </row>
    <row r="166" ht="12.75" customHeight="1">
      <c r="AE166" s="53"/>
      <c r="AF166" s="53"/>
    </row>
    <row r="167" ht="12.75" customHeight="1">
      <c r="AE167" s="5"/>
      <c r="AF167" s="5"/>
    </row>
    <row r="168" ht="12.75" customHeight="1">
      <c r="AE168" s="5"/>
      <c r="AF168" s="5"/>
    </row>
    <row r="169" ht="12.75" customHeight="1">
      <c r="AE169" s="5"/>
      <c r="AF169" s="5"/>
    </row>
    <row r="170" ht="12.75" customHeight="1">
      <c r="AE170" s="5"/>
      <c r="AF170" s="5"/>
    </row>
    <row r="171" ht="12.75" customHeight="1">
      <c r="AE171" s="5"/>
      <c r="AF171" s="5"/>
    </row>
    <row r="172" ht="12.75" customHeight="1">
      <c r="AE172" s="5"/>
      <c r="AF172" s="5"/>
    </row>
    <row r="173" ht="12.75" customHeight="1">
      <c r="AE173" s="5"/>
      <c r="AF173" s="5"/>
    </row>
    <row r="174" ht="12.75" customHeight="1">
      <c r="AE174" s="5"/>
      <c r="AF174" s="5"/>
    </row>
    <row r="175" ht="12.75" customHeight="1">
      <c r="AE175" s="5"/>
      <c r="AF175" s="5"/>
    </row>
    <row r="176" ht="12.75" customHeight="1">
      <c r="AE176" s="1"/>
      <c r="AF176" s="1"/>
    </row>
    <row r="177" ht="12.75" customHeight="1"/>
    <row r="178" ht="12.75" customHeight="1">
      <c r="AE178" s="5"/>
      <c r="AF178" s="5"/>
    </row>
    <row r="179" ht="12.75" customHeight="1">
      <c r="AE179" s="5"/>
      <c r="AF179" s="5"/>
    </row>
    <row r="180" ht="12.75" customHeight="1">
      <c r="AE180" s="5"/>
      <c r="AF180" s="5"/>
    </row>
    <row r="181" ht="12.75" customHeight="1">
      <c r="AE181" s="5"/>
      <c r="AF181" s="5"/>
    </row>
    <row r="182" ht="12.75" customHeight="1">
      <c r="AE182" s="5"/>
      <c r="AF182" s="5"/>
    </row>
    <row r="183" ht="12.75" customHeight="1">
      <c r="AE183" s="5"/>
      <c r="AF183" s="5"/>
    </row>
    <row r="184" ht="12.75" customHeight="1">
      <c r="AE184" s="5"/>
      <c r="AF184" s="5"/>
    </row>
    <row r="185" ht="12.75" customHeight="1">
      <c r="AE185" s="5"/>
      <c r="AF185" s="5"/>
    </row>
    <row r="186" ht="12.75" customHeight="1">
      <c r="AE186" s="5"/>
      <c r="AF186" s="5"/>
    </row>
    <row r="187" ht="12.75" customHeight="1">
      <c r="AE187" s="1"/>
      <c r="AF187" s="1"/>
    </row>
    <row r="188" ht="12.75" customHeight="1"/>
    <row r="189" ht="12.75" customHeight="1">
      <c r="AE189" s="5"/>
      <c r="AF189" s="5"/>
    </row>
    <row r="190" ht="12.75" customHeight="1">
      <c r="AE190" s="5"/>
      <c r="AF190" s="5"/>
    </row>
    <row r="191" ht="12.75" customHeight="1">
      <c r="AE191" s="5"/>
      <c r="AF191" s="5"/>
    </row>
    <row r="192" ht="12.75" customHeight="1">
      <c r="AE192" s="5"/>
      <c r="AF192" s="5"/>
    </row>
    <row r="193" ht="12.75" customHeight="1">
      <c r="AE193" s="5"/>
      <c r="AF193" s="5"/>
    </row>
    <row r="194" ht="12.75" customHeight="1">
      <c r="AE194" s="5"/>
      <c r="AF194" s="5"/>
    </row>
    <row r="195" ht="12.75" customHeight="1">
      <c r="AE195" s="5"/>
      <c r="AF195" s="5"/>
    </row>
    <row r="196" ht="12.75" customHeight="1">
      <c r="AE196" s="1"/>
      <c r="AF196" s="1"/>
    </row>
    <row r="197" ht="12.75" customHeight="1">
      <c r="AE197" s="1"/>
      <c r="AF197" s="1"/>
    </row>
    <row r="198" ht="12.75" customHeight="1">
      <c r="AE198" s="1"/>
      <c r="AF198" s="1"/>
    </row>
    <row r="199" ht="12.75" customHeight="1">
      <c r="AE199" s="53"/>
      <c r="AF199" s="53"/>
    </row>
    <row r="200" ht="12.75" customHeight="1">
      <c r="AE200" s="5"/>
      <c r="AF200" s="5"/>
    </row>
    <row r="201" ht="12.75" customHeight="1">
      <c r="AE201" s="5"/>
      <c r="AF201" s="5"/>
    </row>
    <row r="202" ht="12.75" customHeight="1">
      <c r="AE202" s="5"/>
      <c r="AF202" s="5"/>
    </row>
    <row r="203" ht="12.75" customHeight="1">
      <c r="AE203" s="5"/>
      <c r="AF203" s="5"/>
    </row>
    <row r="204" ht="12.75" customHeight="1">
      <c r="AE204" s="5"/>
      <c r="AF204" s="5"/>
    </row>
    <row r="205" ht="12.75" customHeight="1">
      <c r="AE205" s="5"/>
      <c r="AF205" s="5"/>
    </row>
    <row r="206" ht="12.75" customHeight="1">
      <c r="AE206" s="5"/>
      <c r="AF206" s="5"/>
    </row>
    <row r="207" ht="12.75" customHeight="1">
      <c r="AE207" s="1"/>
      <c r="AF207" s="1"/>
    </row>
    <row r="208" ht="12.75" customHeight="1">
      <c r="AE208" s="53"/>
      <c r="AF208" s="53"/>
    </row>
    <row r="209" ht="12.75" customHeight="1">
      <c r="AE209" s="53"/>
      <c r="AF209" s="53"/>
    </row>
    <row r="210" ht="12.75" customHeight="1">
      <c r="AE210" s="53"/>
      <c r="AF210" s="53"/>
    </row>
    <row r="211" ht="12.75" customHeight="1">
      <c r="AE211" s="5"/>
      <c r="AF211" s="5"/>
    </row>
    <row r="212" ht="12.75" customHeight="1">
      <c r="AE212" s="5"/>
      <c r="AF212" s="5"/>
    </row>
    <row r="213" ht="12.75" customHeight="1">
      <c r="AE213" s="5"/>
      <c r="AF213" s="5"/>
    </row>
    <row r="214" ht="12.75" customHeight="1">
      <c r="AE214" s="5"/>
      <c r="AF214" s="5"/>
    </row>
    <row r="215" ht="12.75" customHeight="1">
      <c r="AE215" s="5"/>
      <c r="AF215" s="5"/>
    </row>
    <row r="216" ht="12.75" customHeight="1">
      <c r="AE216" s="5"/>
      <c r="AF216" s="5"/>
    </row>
    <row r="217" ht="12.75" customHeight="1">
      <c r="AE217" s="5"/>
      <c r="AF217" s="5"/>
    </row>
    <row r="218" ht="12.75" customHeight="1">
      <c r="AE218" s="1"/>
      <c r="AF218" s="1"/>
    </row>
    <row r="219" ht="12.75" customHeight="1">
      <c r="AE219" s="53"/>
      <c r="AF219" s="53"/>
    </row>
    <row r="220" ht="12.75" customHeight="1">
      <c r="AE220" s="5"/>
      <c r="AF220" s="5"/>
    </row>
    <row r="221" ht="12.75" customHeight="1">
      <c r="AE221" s="5"/>
      <c r="AF221" s="5"/>
    </row>
    <row r="222" ht="12.75" customHeight="1">
      <c r="AE222" s="5"/>
      <c r="AF222" s="5"/>
    </row>
    <row r="223" ht="12.75" customHeight="1">
      <c r="AE223" s="5"/>
      <c r="AF223" s="5"/>
    </row>
    <row r="224" ht="12.75" customHeight="1">
      <c r="AE224" s="5"/>
      <c r="AF224" s="5"/>
    </row>
    <row r="225" ht="12.75" customHeight="1">
      <c r="AE225" s="5"/>
      <c r="AF225" s="5"/>
    </row>
    <row r="226" ht="12.75" customHeight="1">
      <c r="AE226" s="5"/>
      <c r="AF226" s="5"/>
    </row>
    <row r="227" ht="12.75" customHeight="1">
      <c r="AE227" s="5"/>
      <c r="AF227" s="5"/>
    </row>
    <row r="228" ht="12.75" customHeight="1">
      <c r="AE228" s="5"/>
      <c r="AF228" s="5"/>
    </row>
    <row r="229" ht="12.75" customHeight="1">
      <c r="AE229" s="1"/>
      <c r="AF229" s="1"/>
    </row>
    <row r="230" ht="12.75" customHeight="1">
      <c r="AE230" s="53"/>
      <c r="AF230" s="53"/>
    </row>
    <row r="231" ht="12.75" customHeight="1">
      <c r="AE231" s="5"/>
      <c r="AF231" s="5"/>
    </row>
    <row r="232" ht="12.75" customHeight="1">
      <c r="AE232" s="5"/>
      <c r="AF232" s="5"/>
    </row>
    <row r="233" ht="12.75" customHeight="1">
      <c r="AE233" s="5"/>
      <c r="AF233" s="5"/>
    </row>
    <row r="234" ht="12.75" customHeight="1">
      <c r="AE234" s="5"/>
      <c r="AF234" s="5"/>
    </row>
    <row r="235" ht="12.75" customHeight="1">
      <c r="AE235" s="5"/>
      <c r="AF235" s="5"/>
    </row>
    <row r="236" ht="12.75" customHeight="1">
      <c r="AE236" s="5"/>
      <c r="AF236" s="5"/>
    </row>
    <row r="237" ht="12.75" customHeight="1">
      <c r="AE237" s="5"/>
      <c r="AF237" s="5"/>
    </row>
    <row r="238" ht="12.75" customHeight="1">
      <c r="AE238" s="5"/>
      <c r="AF238" s="5"/>
    </row>
    <row r="239" ht="12.75" customHeight="1">
      <c r="AE239" s="5"/>
      <c r="AF239" s="5"/>
    </row>
    <row r="240" ht="12.75" customHeight="1">
      <c r="AE240" s="1"/>
      <c r="AF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45:AC57">
    <cfRule type="containsBlanks" dxfId="1" priority="9">
      <formula>LEN(TRIM(E45))=0</formula>
    </cfRule>
  </conditionalFormatting>
  <conditionalFormatting sqref="E60:AC61">
    <cfRule type="containsBlanks" dxfId="1" priority="10">
      <formula>LEN(TRIM(E60))=0</formula>
    </cfRule>
  </conditionalFormatting>
  <conditionalFormatting sqref="E34:AC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