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PAKIS" sheetId="2" r:id="rId5"/>
    <sheet state="visible" name="SOBO" sheetId="3" r:id="rId6"/>
    <sheet state="visible" name="KEBALENAN" sheetId="4" r:id="rId7"/>
    <sheet state="visible" name="PENGANJURAN" sheetId="5" r:id="rId8"/>
    <sheet state="visible" name="TUKANGKAYU" sheetId="6" r:id="rId9"/>
    <sheet state="visible" name="KERTOSARI" sheetId="7" r:id="rId10"/>
    <sheet state="visible" name="KARANGREJO" sheetId="8" r:id="rId11"/>
    <sheet state="visible" name="KEPATIHAN" sheetId="9" r:id="rId12"/>
    <sheet state="visible" name="PANDEREJO" sheetId="10" r:id="rId13"/>
    <sheet state="visible" name="SINGONEGARAN" sheetId="11" r:id="rId14"/>
    <sheet state="visible" name="TEMENGGUNGAN" sheetId="12" r:id="rId15"/>
    <sheet state="visible" name="KAMPUNGMELAYU" sheetId="13" r:id="rId16"/>
    <sheet state="visible" name="KAMPUNGMANDAR" sheetId="14" r:id="rId17"/>
    <sheet state="visible" name="LATENG" sheetId="15" r:id="rId18"/>
    <sheet state="visible" name="SINGOTRUNAN" sheetId="16" r:id="rId19"/>
    <sheet state="visible" name="PENGANTIGAN" sheetId="17" r:id="rId20"/>
    <sheet state="visible" name="TAMANBARU" sheetId="18" r:id="rId21"/>
    <sheet state="visible" name="SUMBERREJO" sheetId="19" r:id="rId22"/>
  </sheets>
  <definedNames/>
  <calcPr/>
  <extLst>
    <ext uri="GoogleSheetsCustomDataVersion2">
      <go:sheetsCustomData xmlns:go="http://customooxmlschemas.google.com/" r:id="rId23" roundtripDataChecksum="uEeRf5EPNTIdKUq0C5U8VduzEQJAcH4Pe4EJKXK3OkI="/>
    </ext>
  </extLst>
</workbook>
</file>

<file path=xl/sharedStrings.xml><?xml version="1.0" encoding="utf-8"?>
<sst xmlns="http://schemas.openxmlformats.org/spreadsheetml/2006/main" count="2007" uniqueCount="117">
  <si>
    <t>Kecamatan</t>
  </si>
  <si>
    <t>BANGOREJO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</si>
  <si>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</si>
  <si>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</si>
  <si>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</si>
  <si>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</si>
  <si>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</si>
  <si>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</si>
  <si>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</si>
  <si>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</si>
  <si>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</si>
  <si>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</si>
  <si>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</si>
  <si>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</si>
  <si>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</si>
  <si>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</si>
  <si>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</si>
  <si>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</si>
  <si>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</si>
  <si>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</si>
  <si>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</si>
  <si>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</si>
  <si>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</si>
  <si>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</si>
  <si>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</si>
  <si>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</si>
  <si>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</si>
  <si>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</si>
  <si>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</si>
  <si>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</si>
  <si>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</si>
  <si>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</si>
  <si>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</si>
  <si>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</si>
  <si>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</si>
  <si>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</si>
  <si>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</si>
  <si>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</si>
  <si>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</si>
  <si>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</si>
  <si>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</si>
  <si>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</si>
  <si>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</si>
  <si>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</si>
  <si>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</si>
  <si>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</si>
  <si>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</si>
  <si>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</si>
  <si>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</si>
  <si>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</si>
  <si>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</si>
  <si>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</si>
  <si>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</si>
  <si>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</si>
  <si>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</si>
  <si>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</si>
  <si>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</si>
  <si>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</si>
  <si>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</si>
  <si>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</si>
  <si>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</si>
  <si>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</si>
  <si>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</si>
  <si>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</si>
  <si>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</si>
  <si>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</si>
  <si>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</si>
  <si>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</si>
  <si>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</si>
  <si>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PAKIS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</si>
  <si>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</si>
  <si>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</si>
  <si>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</si>
  <si>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</si>
  <si>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</si>
  <si>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</si>
  <si>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</si>
  <si>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</si>
  <si>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</si>
  <si>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</si>
  <si>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</si>
  <si>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</si>
  <si>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</si>
  <si>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</si>
  <si>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</si>
  <si>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Jumlah surat suara yang diterima, termasuk surat suara cadangan 2% dari DPT</t>
  </si>
  <si>
    <t>SOBO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</si>
  <si>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</si>
  <si>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</si>
  <si>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</si>
  <si>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</si>
  <si>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</si>
  <si>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</si>
  <si>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</si>
  <si>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</si>
  <si>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KEBALENAN</t>
  </si>
  <si>
    <t>TPS 024</t>
  </si>
  <si>
    <t>TPS 025</t>
  </si>
  <si>
    <t>TPS 026</t>
  </si>
  <si>
    <t>TPS 027</t>
  </si>
  <si>
    <t>TPS 028</t>
  </si>
  <si>
    <t>TPS 029</t>
  </si>
  <si>
    <t>PENGANJURAN</t>
  </si>
  <si>
    <t>TUKANGKAYU</t>
  </si>
  <si>
    <t>KERTOSARI</t>
  </si>
  <si>
    <t>KARANGREJO</t>
  </si>
  <si>
    <t>TPS 030</t>
  </si>
  <si>
    <t>KEPATIHAN</t>
  </si>
  <si>
    <t>PANDEREJO</t>
  </si>
  <si>
    <t>SINGONEGARAN</t>
  </si>
  <si>
    <t>TEMENGGUNGAN</t>
  </si>
  <si>
    <t>KAMPUNGMELAYU</t>
  </si>
  <si>
    <t>KAMPUNGMANDAR</t>
  </si>
  <si>
    <t>LATENG</t>
  </si>
  <si>
    <t>SINGOTRUNAN</t>
  </si>
  <si>
    <t>PENGANTIGAN</t>
  </si>
  <si>
    <t>TAMANBARU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</si>
</sst>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PAKIS!T14+SOBO!AB14+KEBALENAN!AH14+PENGANJURAN!T14+TUKANGKAYU!AD14+KERTOSARI!AB14+KARANGREJO!AI14+KEPATIHAN!S14+PANDEREJO!R14+SINGONEGARAN!U14+TEMENGGUNGAN!L14+KAMPUNGMELAYU!M14+KAMPUNGMANDAR!P14+LATENG!AD14+SINGOTRUNAN!AE14+PENGANTIGAN!X14+TAMANBARU!Z14+SUMBERREJO!U14</f>
        <v>43114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PAKIS!T15+SOBO!AB15+KEBALENAN!AH15+PENGANJURAN!T15+TUKANGKAYU!AD15+KERTOSARI!AB15+KARANGREJO!AI15+KEPATIHAN!S15+PANDEREJO!R15+SINGONEGARAN!U15+TEMENGGUNGAN!L15+KAMPUNGMELAYU!M15+KAMPUNGMANDAR!P15+LATENG!AD15+SINGOTRUNAN!AE15+PENGANTIGAN!X15+TAMANBARU!Z15+SUMBERREJO!U15</f>
        <v>45912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89026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PAKIS!T19+SOBO!AB19+KEBALENAN!AH19+PENGANJURAN!T19+TUKANGKAYU!AD19+KERTOSARI!AB19+KARANGREJO!AI19+KEPATIHAN!S19+PANDEREJO!R19+SINGONEGARAN!U19+TEMENGGUNGAN!L19+KAMPUNGMELAYU!M19+KAMPUNGMANDAR!P19+LATENG!AD19+SINGOTRUNAN!AE19+PENGANTIGAN!X19+TAMANBARU!Z19+SUMBERREJO!U19</f>
        <v>31081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PAKIS!T20+SOBO!AB20+KEBALENAN!AH20+PENGANJURAN!T20+TUKANGKAYU!AD20+KERTOSARI!AB20+KARANGREJO!AI20+KEPATIHAN!S20+PANDEREJO!R20+SINGONEGARAN!U20+TEMENGGUNGAN!L20+KAMPUNGMELAYU!M20+KAMPUNGMANDAR!P20+LATENG!AD20+SINGOTRUNAN!AE20+PENGANTIGAN!X20+TAMANBARU!Z20+SUMBERREJO!U20</f>
        <v>36200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67281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PAKIS!T22+SOBO!AB22+KEBALENAN!AH22+PENGANJURAN!T22+TUKANGKAYU!AD22+KERTOSARI!AB22+KARANGREJO!AI22+KEPATIHAN!S22+PANDEREJO!R22+SINGONEGARAN!U22+TEMENGGUNGAN!L22+KAMPUNGMELAYU!M22+KAMPUNGMANDAR!P22+LATENG!AD22+SINGOTRUNAN!AE22+PENGANTIGAN!X22+TAMANBARU!Z22+SUMBERREJO!U22</f>
        <v>154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PAKIS!T23+SOBO!AB23+KEBALENAN!AH23+PENGANJURAN!T23+TUKANGKAYU!AD23+KERTOSARI!AB23+KARANGREJO!AI23+KEPATIHAN!S23+PANDEREJO!R23+SINGONEGARAN!U23+TEMENGGUNGAN!L23+KAMPUNGMELAYU!M23+KAMPUNGMANDAR!P23+LATENG!AD23+SINGOTRUNAN!AE23+PENGANTIGAN!X23+TAMANBARU!Z23+SUMBERREJO!U23</f>
        <v>146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300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PAKIS!T25+SOBO!AB25+KEBALENAN!AH25+PENGANJURAN!T25+TUKANGKAYU!AD25+KERTOSARI!AB25+KARANGREJO!AI25+KEPATIHAN!S25+PANDEREJO!R25+SINGONEGARAN!U25+TEMENGGUNGAN!L25+KAMPUNGMELAYU!M25+KAMPUNGMANDAR!P25+LATENG!AD25+SINGOTRUNAN!AE25+PENGANTIGAN!X25+TAMANBARU!Z25+SUMBERREJO!U25</f>
        <v>533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PAKIS!T26+SOBO!AB26+KEBALENAN!AH26+PENGANJURAN!T26+TUKANGKAYU!AD26+KERTOSARI!AB26+KARANGREJO!AI26+KEPATIHAN!S26+PANDEREJO!R26+SINGONEGARAN!U26+TEMENGGUNGAN!L26+KAMPUNGMELAYU!M26+KAMPUNGMANDAR!P26+LATENG!AD26+SINGOTRUNAN!AE26+PENGANTIGAN!X26+TAMANBARU!Z26+SUMBERREJO!U26</f>
        <v>703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1236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31768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37049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68817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PAKIS!T33+SOBO!AB33+KEBALENAN!AH33+PENGANJURAN!T33+TUKANGKAYU!AD33+KERTOSARI!AB33+KARANGREJO!AI33+KEPATIHAN!S33+PANDEREJO!R33+SINGONEGARAN!U33+TEMENGGUNGAN!L33+KAMPUNGMELAYU!M33+KAMPUNGMANDAR!P33+LATENG!AD33+SINGOTRUNAN!AE33+PENGANTIGAN!X33+TAMANBARU!Z33+SUMBERREJO!U33</f>
        <v>91208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PAKIS!T34+SOBO!AB34+KEBALENAN!AH34+PENGANJURAN!T34+TUKANGKAYU!AD34+KERTOSARI!AB34+KARANGREJO!AI34+KEPATIHAN!S34+PANDEREJO!R34+SINGONEGARAN!U34+TEMENGGUNGAN!L34+KAMPUNGMELAYU!M34+KAMPUNGMANDAR!P34+LATENG!AD34+SINGOTRUNAN!AE34+PENGANTIGAN!X34+TAMANBARU!Z34+SUMBERREJO!U34</f>
        <v>68817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PAKIS!T35+SOBO!AB35+KEBALENAN!AH35+PENGANJURAN!T35+TUKANGKAYU!AD35+KERTOSARI!AB35+KARANGREJO!AI35+KEPATIHAN!S35+PANDEREJO!R35+SINGONEGARAN!U35+TEMENGGUNGAN!L35+KAMPUNGMELAYU!M35+KAMPUNGMANDAR!P35+LATENG!AD35+SINGOTRUNAN!AE35+PENGANTIGAN!X35+TAMANBARU!Z35+SUMBERREJO!U35</f>
        <v>135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22256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PAKIS!T39+SOBO!AB39+KEBALENAN!AH39+PENGANJURAN!T39+TUKANGKAYU!AD39+KERTOSARI!AB39+KARANGREJO!AI39+KEPATIHAN!S39+PANDEREJO!R39+SINGONEGARAN!U39+TEMENGGUNGAN!L39+KAMPUNGMELAYU!M39+KAMPUNGMANDAR!P39+LATENG!AD39+SINGOTRUNAN!AE39+PENGANTIGAN!X39+TAMANBARU!Z39+SUMBERREJO!U39</f>
        <v>88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PAKIS!T40+SOBO!AB40+KEBALENAN!AH40+PENGANJURAN!T40+TUKANGKAYU!AD40+KERTOSARI!AB40+KARANGREJO!AI40+KEPATIHAN!S40+PANDEREJO!R40+SINGONEGARAN!U40+TEMENGGUNGAN!L40+KAMPUNGMELAYU!M40+KAMPUNGMANDAR!P40+LATENG!AD40+SINGOTRUNAN!AE40+PENGANTIGAN!X40+TAMANBARU!Z40+SUMBERREJO!U40</f>
        <v>77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165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PAKIS!T45+SOBO!AB45+KEBALENAN!AH45+PENGANJURAN!T45+TUKANGKAYU!AD45+KERTOSARI!AB45+KARANGREJO!AI45+KEPATIHAN!S45+PANDEREJO!R45+SINGONEGARAN!U45+TEMENGGUNGAN!L45+KAMPUNGMELAYU!M45+KAMPUNGMANDAR!P45+LATENG!AD45+SINGOTRUNAN!AE45+PENGANTIGAN!X45+TAMANBARU!Z45+SUMBERREJO!U45</f>
        <v>4038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PAKIS!T46+SOBO!AB46+KEBALENAN!AH46+PENGANJURAN!T46+TUKANGKAYU!AD46+KERTOSARI!AB46+KARANGREJO!AI46+KEPATIHAN!S46+PANDEREJO!R46+SINGONEGARAN!U46+TEMENGGUNGAN!L46+KAMPUNGMELAYU!M46+KAMPUNGMANDAR!P46+LATENG!AD46+SINGOTRUNAN!AE46+PENGANTIGAN!X46+TAMANBARU!Z46+SUMBERREJO!U46</f>
        <v>9710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PAKIS!T47+SOBO!AB47+KEBALENAN!AH47+PENGANJURAN!T47+TUKANGKAYU!AD47+KERTOSARI!AB47+KARANGREJO!AI47+KEPATIHAN!S47+PANDEREJO!R47+SINGONEGARAN!U47+TEMENGGUNGAN!L47+KAMPUNGMELAYU!M47+KAMPUNGMANDAR!P47+LATENG!AD47+SINGOTRUNAN!AE47+PENGANTIGAN!X47+TAMANBARU!Z47+SUMBERREJO!U47</f>
        <v>3966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PAKIS!T48+SOBO!AB48+KEBALENAN!AH48+PENGANJURAN!T48+TUKANGKAYU!AD48+KERTOSARI!AB48+KARANGREJO!AI48+KEPATIHAN!S48+PANDEREJO!R48+SINGONEGARAN!U48+TEMENGGUNGAN!L48+KAMPUNGMELAYU!M48+KAMPUNGMANDAR!P48+LATENG!AD48+SINGOTRUNAN!AE48+PENGANTIGAN!X48+TAMANBARU!Z48+SUMBERREJO!U48</f>
        <v>6802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PAKIS!T49+SOBO!AB49+KEBALENAN!AH49+PENGANJURAN!T49+TUKANGKAYU!AD49+KERTOSARI!AB49+KARANGREJO!AI49+KEPATIHAN!S49+PANDEREJO!R49+SINGONEGARAN!U49+TEMENGGUNGAN!L49+KAMPUNGMELAYU!M49+KAMPUNGMANDAR!P49+LATENG!AD49+SINGOTRUNAN!AE49+PENGANTIGAN!X49+TAMANBARU!Z49+SUMBERREJO!U49</f>
        <v>8277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PAKIS!T50+SOBO!AB50+KEBALENAN!AH50+PENGANJURAN!T50+TUKANGKAYU!AD50+KERTOSARI!AB50+KARANGREJO!AI50+KEPATIHAN!S50+PANDEREJO!R50+SINGONEGARAN!U50+TEMENGGUNGAN!L50+KAMPUNGMELAYU!M50+KAMPUNGMANDAR!P50+LATENG!AD50+SINGOTRUNAN!AE50+PENGANTIGAN!X50+TAMANBARU!Z50+SUMBERREJO!U50</f>
        <v>3882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PAKIS!T51+SOBO!AB51+KEBALENAN!AH51+PENGANJURAN!T51+TUKANGKAYU!AD51+KERTOSARI!AB51+KARANGREJO!AI51+KEPATIHAN!S51+PANDEREJO!R51+SINGONEGARAN!U51+TEMENGGUNGAN!L51+KAMPUNGMELAYU!M51+KAMPUNGMANDAR!P51+LATENG!AD51+SINGOTRUNAN!AE51+PENGANTIGAN!X51+TAMANBARU!Z51+SUMBERREJO!U51</f>
        <v>777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PAKIS!T52+SOBO!AB52+KEBALENAN!AH52+PENGANJURAN!T52+TUKANGKAYU!AD52+KERTOSARI!AB52+KARANGREJO!AI52+KEPATIHAN!S52+PANDEREJO!R52+SINGONEGARAN!U52+TEMENGGUNGAN!L52+KAMPUNGMELAYU!M52+KAMPUNGMANDAR!P52+LATENG!AD52+SINGOTRUNAN!AE52+PENGANTIGAN!X52+TAMANBARU!Z52+SUMBERREJO!U52</f>
        <v>1339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PAKIS!T53+SOBO!AB53+KEBALENAN!AH53+PENGANJURAN!T53+TUKANGKAYU!AD53+KERTOSARI!AB53+KARANGREJO!AI53+KEPATIHAN!S53+PANDEREJO!R53+SINGONEGARAN!U53+TEMENGGUNGAN!L53+KAMPUNGMELAYU!M53+KAMPUNGMANDAR!P53+LATENG!AD53+SINGOTRUNAN!AE53+PENGANTIGAN!X53+TAMANBARU!Z53+SUMBERREJO!U53</f>
        <v>417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PAKIS!T54+SOBO!AB54+KEBALENAN!AH54+PENGANJURAN!T54+TUKANGKAYU!AD54+KERTOSARI!AB54+KARANGREJO!AI54+KEPATIHAN!S54+PANDEREJO!R54+SINGONEGARAN!U54+TEMENGGUNGAN!L54+KAMPUNGMELAYU!M54+KAMPUNGMANDAR!P54+LATENG!AD54+SINGOTRUNAN!AE54+PENGANTIGAN!X54+TAMANBARU!Z54+SUMBERREJO!U54</f>
        <v>8022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PAKIS!T55+SOBO!AB55+KEBALENAN!AH55+PENGANJURAN!T55+TUKANGKAYU!AD55+KERTOSARI!AB55+KARANGREJO!AI55+KEPATIHAN!S55+PANDEREJO!R55+SINGONEGARAN!U55+TEMENGGUNGAN!L55+KAMPUNGMELAYU!M55+KAMPUNGMANDAR!P55+LATENG!AD55+SINGOTRUNAN!AE55+PENGANTIGAN!X55+TAMANBARU!Z55+SUMBERREJO!U55</f>
        <v>659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PAKIS!T56+SOBO!AB56+KEBALENAN!AH56+PENGANJURAN!T56+TUKANGKAYU!AD56+KERTOSARI!AB56+KARANGREJO!AI56+KEPATIHAN!S56+PANDEREJO!R56+SINGONEGARAN!U56+TEMENGGUNGAN!L56+KAMPUNGMELAYU!M56+KAMPUNGMANDAR!P56+LATENG!AD56+SINGOTRUNAN!AE56+PENGANTIGAN!X56+TAMANBARU!Z56+SUMBERREJO!U56</f>
        <v>5986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PAKIS!T57+SOBO!AB57+KEBALENAN!AH57+PENGANJURAN!T57+TUKANGKAYU!AD57+KERTOSARI!AB57+KARANGREJO!AI57+KEPATIHAN!S57+PANDEREJO!R57+SINGONEGARAN!U57+TEMENGGUNGAN!L57+KAMPUNGMELAYU!M57+KAMPUNGMANDAR!P57+LATENG!AD57+SINGOTRUNAN!AE57+PENGANTIGAN!X57+TAMANBARU!Z57+SUMBERREJO!U57</f>
        <v>930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PAKIS!T60+SOBO!AB60+KEBALENAN!AH60+PENGANJURAN!T60+TUKANGKAYU!AD60+KERTOSARI!AB60+KARANGREJO!AI60+KEPATIHAN!S60+PANDEREJO!R60+SINGONEGARAN!U60+TEMENGGUNGAN!L60+KAMPUNGMELAYU!M60+KAMPUNGMANDAR!P60+LATENG!AD60+SINGOTRUNAN!AE60+PENGANTIGAN!X60+TAMANBARU!Z60+SUMBERREJO!U60</f>
        <v>54805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PAKIS!T61+SOBO!AB61+KEBALENAN!AH61+PENGANJURAN!T61+TUKANGKAYU!AD61+KERTOSARI!AB61+KARANGREJO!AI61+KEPATIHAN!S61+PANDEREJO!R61+SINGONEGARAN!U61+TEMENGGUNGAN!L61+KAMPUNGMELAYU!M61+KAMPUNGMANDAR!P61+LATENG!AD61+SINGOTRUNAN!AE61+PENGANTIGAN!X61+TAMANBARU!Z61+SUMBERREJO!U61</f>
        <v>14012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68817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123.0</v>
      </c>
      <c r="G14" s="19">
        <v>107.0</v>
      </c>
      <c r="H14" s="19">
        <v>122.0</v>
      </c>
      <c r="I14" s="19">
        <v>121.0</v>
      </c>
      <c r="J14" s="19">
        <v>131.0</v>
      </c>
      <c r="K14" s="19">
        <v>124.0</v>
      </c>
      <c r="L14" s="19">
        <v>137.0</v>
      </c>
      <c r="M14" s="19">
        <v>122.0</v>
      </c>
      <c r="N14" s="19">
        <v>115.0</v>
      </c>
      <c r="O14" s="19">
        <v>134.0</v>
      </c>
      <c r="P14" s="19">
        <v>127.0</v>
      </c>
      <c r="Q14" s="19">
        <v>116.0</v>
      </c>
      <c r="R14" s="19">
        <v>131.0</v>
      </c>
      <c r="S14" s="19">
        <v>125.0</v>
      </c>
      <c r="T14" s="13">
        <f t="shared" ref="T14:T16" si="1">SUM(E14:S14)</f>
        <v>1864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135.0</v>
      </c>
      <c r="G15" s="19">
        <v>138.0</v>
      </c>
      <c r="H15" s="19">
        <v>132.0</v>
      </c>
      <c r="I15" s="19">
        <v>137.0</v>
      </c>
      <c r="J15" s="19">
        <v>128.0</v>
      </c>
      <c r="K15" s="19">
        <v>129.0</v>
      </c>
      <c r="L15" s="19">
        <v>125.0</v>
      </c>
      <c r="M15" s="19">
        <v>128.0</v>
      </c>
      <c r="N15" s="19">
        <v>130.0</v>
      </c>
      <c r="O15" s="19">
        <v>119.0</v>
      </c>
      <c r="P15" s="19">
        <v>127.0</v>
      </c>
      <c r="Q15" s="19">
        <v>133.0</v>
      </c>
      <c r="R15" s="19">
        <v>124.0</v>
      </c>
      <c r="S15" s="19">
        <v>129.0</v>
      </c>
      <c r="T15" s="13">
        <f t="shared" si="1"/>
        <v>1948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263</v>
      </c>
      <c r="F16" s="13">
        <f t="shared" si="2"/>
        <v>258</v>
      </c>
      <c r="G16" s="13">
        <f t="shared" si="2"/>
        <v>245</v>
      </c>
      <c r="H16" s="13">
        <f t="shared" si="2"/>
        <v>254</v>
      </c>
      <c r="I16" s="13">
        <f t="shared" si="2"/>
        <v>258</v>
      </c>
      <c r="J16" s="13">
        <f t="shared" si="2"/>
        <v>259</v>
      </c>
      <c r="K16" s="13">
        <f t="shared" si="2"/>
        <v>253</v>
      </c>
      <c r="L16" s="13">
        <f t="shared" si="2"/>
        <v>262</v>
      </c>
      <c r="M16" s="13">
        <f t="shared" si="2"/>
        <v>250</v>
      </c>
      <c r="N16" s="13">
        <f t="shared" si="2"/>
        <v>245</v>
      </c>
      <c r="O16" s="13">
        <f t="shared" si="2"/>
        <v>253</v>
      </c>
      <c r="P16" s="13">
        <f t="shared" si="2"/>
        <v>254</v>
      </c>
      <c r="Q16" s="13">
        <f t="shared" si="2"/>
        <v>249</v>
      </c>
      <c r="R16" s="13">
        <f t="shared" si="2"/>
        <v>255</v>
      </c>
      <c r="S16" s="13">
        <f t="shared" si="2"/>
        <v>254</v>
      </c>
      <c r="T16" s="13">
        <f t="shared" si="1"/>
        <v>3812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96.0</v>
      </c>
      <c r="G19" s="19">
        <v>85.0</v>
      </c>
      <c r="H19" s="19">
        <v>95.0</v>
      </c>
      <c r="I19" s="19">
        <v>87.0</v>
      </c>
      <c r="J19" s="19">
        <v>101.0</v>
      </c>
      <c r="K19" s="19">
        <v>92.0</v>
      </c>
      <c r="L19" s="19">
        <v>109.0</v>
      </c>
      <c r="M19" s="19">
        <v>97.0</v>
      </c>
      <c r="N19" s="19">
        <v>88.0</v>
      </c>
      <c r="O19" s="19">
        <v>93.0</v>
      </c>
      <c r="P19" s="19">
        <v>80.0</v>
      </c>
      <c r="Q19" s="19">
        <v>83.0</v>
      </c>
      <c r="R19" s="19">
        <v>105.0</v>
      </c>
      <c r="S19" s="19">
        <v>92.0</v>
      </c>
      <c r="T19" s="13">
        <f t="shared" ref="T19:T30" si="3">SUM(E19:S19)</f>
        <v>1401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108.0</v>
      </c>
      <c r="G20" s="19">
        <v>105.0</v>
      </c>
      <c r="H20" s="19">
        <v>104.0</v>
      </c>
      <c r="I20" s="19">
        <v>115.0</v>
      </c>
      <c r="J20" s="19">
        <v>101.0</v>
      </c>
      <c r="K20" s="19">
        <v>116.0</v>
      </c>
      <c r="L20" s="19">
        <v>109.0</v>
      </c>
      <c r="M20" s="19">
        <v>115.0</v>
      </c>
      <c r="N20" s="19">
        <v>113.0</v>
      </c>
      <c r="O20" s="19">
        <v>97.0</v>
      </c>
      <c r="P20" s="19">
        <v>96.0</v>
      </c>
      <c r="Q20" s="19">
        <v>106.0</v>
      </c>
      <c r="R20" s="19">
        <v>111.0</v>
      </c>
      <c r="S20" s="19">
        <v>101.0</v>
      </c>
      <c r="T20" s="13">
        <f t="shared" si="3"/>
        <v>1603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204</v>
      </c>
      <c r="F21" s="13">
        <f t="shared" si="4"/>
        <v>204</v>
      </c>
      <c r="G21" s="13">
        <f t="shared" si="4"/>
        <v>190</v>
      </c>
      <c r="H21" s="13">
        <f t="shared" si="4"/>
        <v>199</v>
      </c>
      <c r="I21" s="13">
        <f t="shared" si="4"/>
        <v>202</v>
      </c>
      <c r="J21" s="13">
        <f t="shared" si="4"/>
        <v>202</v>
      </c>
      <c r="K21" s="13">
        <f t="shared" si="4"/>
        <v>208</v>
      </c>
      <c r="L21" s="13">
        <f t="shared" si="4"/>
        <v>218</v>
      </c>
      <c r="M21" s="13">
        <f t="shared" si="4"/>
        <v>212</v>
      </c>
      <c r="N21" s="13">
        <f t="shared" si="4"/>
        <v>201</v>
      </c>
      <c r="O21" s="13">
        <f t="shared" si="4"/>
        <v>190</v>
      </c>
      <c r="P21" s="13">
        <f t="shared" si="4"/>
        <v>176</v>
      </c>
      <c r="Q21" s="13">
        <f t="shared" si="4"/>
        <v>189</v>
      </c>
      <c r="R21" s="13">
        <f t="shared" si="4"/>
        <v>216</v>
      </c>
      <c r="S21" s="13">
        <f t="shared" si="4"/>
        <v>193</v>
      </c>
      <c r="T21" s="13">
        <f t="shared" si="3"/>
        <v>3004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2.0</v>
      </c>
      <c r="H22" s="19">
        <v>0.0</v>
      </c>
      <c r="I22" s="19">
        <v>2.0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2.0</v>
      </c>
      <c r="T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2.0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3.0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3.0</v>
      </c>
      <c r="T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2</v>
      </c>
      <c r="F24" s="13">
        <f t="shared" si="5"/>
        <v>0</v>
      </c>
      <c r="G24" s="13">
        <f t="shared" si="5"/>
        <v>4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5</v>
      </c>
      <c r="T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2.0</v>
      </c>
      <c r="H25" s="19">
        <v>2.0</v>
      </c>
      <c r="I25" s="19">
        <v>0.0</v>
      </c>
      <c r="J25" s="19">
        <v>0.0</v>
      </c>
      <c r="K25" s="19">
        <v>3.0</v>
      </c>
      <c r="L25" s="19">
        <v>2.0</v>
      </c>
      <c r="M25" s="19">
        <v>2.0</v>
      </c>
      <c r="N25" s="19">
        <v>0.0</v>
      </c>
      <c r="O25" s="19">
        <v>2.0</v>
      </c>
      <c r="P25" s="19">
        <v>3.0</v>
      </c>
      <c r="Q25" s="19">
        <v>2.0</v>
      </c>
      <c r="R25" s="19">
        <v>0.0</v>
      </c>
      <c r="S25" s="19">
        <v>1.0</v>
      </c>
      <c r="T25" s="13">
        <f t="shared" si="3"/>
        <v>21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2.0</v>
      </c>
      <c r="I26" s="19">
        <v>5.0</v>
      </c>
      <c r="J26" s="19">
        <v>1.0</v>
      </c>
      <c r="K26" s="19">
        <v>1.0</v>
      </c>
      <c r="L26" s="19">
        <v>0.0</v>
      </c>
      <c r="M26" s="19">
        <v>1.0</v>
      </c>
      <c r="N26" s="19">
        <v>0.0</v>
      </c>
      <c r="O26" s="19">
        <v>7.0</v>
      </c>
      <c r="P26" s="19">
        <v>3.0</v>
      </c>
      <c r="Q26" s="19">
        <v>0.0</v>
      </c>
      <c r="R26" s="19">
        <v>0.0</v>
      </c>
      <c r="S26" s="19">
        <v>1.0</v>
      </c>
      <c r="T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9</v>
      </c>
      <c r="P27" s="13">
        <f t="shared" si="6"/>
        <v>6</v>
      </c>
      <c r="Q27" s="13">
        <f t="shared" si="6"/>
        <v>2</v>
      </c>
      <c r="R27" s="13">
        <f t="shared" si="6"/>
        <v>0</v>
      </c>
      <c r="S27" s="13">
        <f t="shared" si="6"/>
        <v>2</v>
      </c>
      <c r="T27" s="13">
        <f t="shared" si="3"/>
        <v>44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101</v>
      </c>
      <c r="F28" s="13">
        <f t="shared" si="7"/>
        <v>96</v>
      </c>
      <c r="G28" s="13">
        <f t="shared" si="7"/>
        <v>89</v>
      </c>
      <c r="H28" s="13">
        <f t="shared" si="7"/>
        <v>97</v>
      </c>
      <c r="I28" s="13">
        <f t="shared" si="7"/>
        <v>89</v>
      </c>
      <c r="J28" s="13">
        <f t="shared" si="7"/>
        <v>101</v>
      </c>
      <c r="K28" s="13">
        <f t="shared" si="7"/>
        <v>95</v>
      </c>
      <c r="L28" s="13">
        <f t="shared" si="7"/>
        <v>111</v>
      </c>
      <c r="M28" s="13">
        <f t="shared" si="7"/>
        <v>99</v>
      </c>
      <c r="N28" s="13">
        <f t="shared" si="7"/>
        <v>88</v>
      </c>
      <c r="O28" s="13">
        <f t="shared" si="7"/>
        <v>95</v>
      </c>
      <c r="P28" s="13">
        <f t="shared" si="7"/>
        <v>83</v>
      </c>
      <c r="Q28" s="13">
        <f t="shared" si="7"/>
        <v>85</v>
      </c>
      <c r="R28" s="13">
        <f t="shared" si="7"/>
        <v>105</v>
      </c>
      <c r="S28" s="13">
        <f t="shared" si="7"/>
        <v>95</v>
      </c>
      <c r="T28" s="13">
        <f t="shared" si="3"/>
        <v>1429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109</v>
      </c>
      <c r="F29" s="13">
        <f t="shared" si="8"/>
        <v>108</v>
      </c>
      <c r="G29" s="13">
        <f t="shared" si="8"/>
        <v>107</v>
      </c>
      <c r="H29" s="13">
        <f t="shared" si="8"/>
        <v>106</v>
      </c>
      <c r="I29" s="13">
        <f t="shared" si="8"/>
        <v>120</v>
      </c>
      <c r="J29" s="13">
        <f t="shared" si="8"/>
        <v>102</v>
      </c>
      <c r="K29" s="13">
        <f t="shared" si="8"/>
        <v>117</v>
      </c>
      <c r="L29" s="13">
        <f t="shared" si="8"/>
        <v>109</v>
      </c>
      <c r="M29" s="13">
        <f t="shared" si="8"/>
        <v>119</v>
      </c>
      <c r="N29" s="13">
        <f t="shared" si="8"/>
        <v>114</v>
      </c>
      <c r="O29" s="13">
        <f t="shared" si="8"/>
        <v>104</v>
      </c>
      <c r="P29" s="13">
        <f t="shared" si="8"/>
        <v>99</v>
      </c>
      <c r="Q29" s="13">
        <f t="shared" si="8"/>
        <v>106</v>
      </c>
      <c r="R29" s="13">
        <f t="shared" si="8"/>
        <v>111</v>
      </c>
      <c r="S29" s="13">
        <f t="shared" si="8"/>
        <v>105</v>
      </c>
      <c r="T29" s="13">
        <f t="shared" si="3"/>
        <v>1636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210</v>
      </c>
      <c r="F30" s="13">
        <f t="shared" si="9"/>
        <v>204</v>
      </c>
      <c r="G30" s="13">
        <f t="shared" si="9"/>
        <v>196</v>
      </c>
      <c r="H30" s="13">
        <f t="shared" si="9"/>
        <v>203</v>
      </c>
      <c r="I30" s="13">
        <f t="shared" si="9"/>
        <v>209</v>
      </c>
      <c r="J30" s="13">
        <f t="shared" si="9"/>
        <v>203</v>
      </c>
      <c r="K30" s="13">
        <f t="shared" si="9"/>
        <v>212</v>
      </c>
      <c r="L30" s="13">
        <f t="shared" si="9"/>
        <v>220</v>
      </c>
      <c r="M30" s="13">
        <f t="shared" si="9"/>
        <v>218</v>
      </c>
      <c r="N30" s="13">
        <f t="shared" si="9"/>
        <v>202</v>
      </c>
      <c r="O30" s="13">
        <f t="shared" si="9"/>
        <v>199</v>
      </c>
      <c r="P30" s="13">
        <f t="shared" si="9"/>
        <v>182</v>
      </c>
      <c r="Q30" s="13">
        <f t="shared" si="9"/>
        <v>191</v>
      </c>
      <c r="R30" s="13">
        <f t="shared" si="9"/>
        <v>216</v>
      </c>
      <c r="S30" s="13">
        <f t="shared" si="9"/>
        <v>200</v>
      </c>
      <c r="T30" s="13">
        <f t="shared" si="3"/>
        <v>3065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85</v>
      </c>
      <c r="C33" s="15"/>
      <c r="D33" s="16"/>
      <c r="E33" s="19">
        <v>269.0</v>
      </c>
      <c r="F33" s="19">
        <v>263.0</v>
      </c>
      <c r="G33" s="19">
        <v>250.0</v>
      </c>
      <c r="H33" s="19">
        <v>260.0</v>
      </c>
      <c r="I33" s="19">
        <v>263.0</v>
      </c>
      <c r="J33" s="19">
        <v>265.0</v>
      </c>
      <c r="K33" s="19">
        <v>259.0</v>
      </c>
      <c r="L33" s="19">
        <v>268.0</v>
      </c>
      <c r="M33" s="19">
        <v>255.0</v>
      </c>
      <c r="N33" s="19">
        <v>250.0</v>
      </c>
      <c r="O33" s="19">
        <v>257.0</v>
      </c>
      <c r="P33" s="19">
        <v>260.0</v>
      </c>
      <c r="Q33" s="19">
        <v>244.0</v>
      </c>
      <c r="R33" s="19">
        <v>259.0</v>
      </c>
      <c r="S33" s="19">
        <v>260.0</v>
      </c>
      <c r="T33" s="13">
        <f t="shared" ref="T33:T36" si="10">SUM(E33:S33)</f>
        <v>3882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204.0</v>
      </c>
      <c r="G34" s="13">
        <v>196.0</v>
      </c>
      <c r="H34" s="13">
        <v>203.0</v>
      </c>
      <c r="I34" s="13">
        <v>209.0</v>
      </c>
      <c r="J34" s="13">
        <v>203.0</v>
      </c>
      <c r="K34" s="13">
        <v>212.0</v>
      </c>
      <c r="L34" s="13">
        <v>220.0</v>
      </c>
      <c r="M34" s="13">
        <v>218.0</v>
      </c>
      <c r="N34" s="13">
        <v>202.0</v>
      </c>
      <c r="O34" s="13">
        <v>199.0</v>
      </c>
      <c r="P34" s="13">
        <v>182.0</v>
      </c>
      <c r="Q34" s="13">
        <v>191.0</v>
      </c>
      <c r="R34" s="13">
        <v>216.0</v>
      </c>
      <c r="S34" s="13">
        <v>200.0</v>
      </c>
      <c r="T34" s="13">
        <f t="shared" si="10"/>
        <v>3065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1.0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1.0</v>
      </c>
      <c r="S35" s="19">
        <v>0.0</v>
      </c>
      <c r="T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59</v>
      </c>
      <c r="F36" s="13">
        <f t="shared" si="11"/>
        <v>59</v>
      </c>
      <c r="G36" s="13">
        <f t="shared" si="11"/>
        <v>54</v>
      </c>
      <c r="H36" s="13">
        <f t="shared" si="11"/>
        <v>57</v>
      </c>
      <c r="I36" s="13">
        <f t="shared" si="11"/>
        <v>54</v>
      </c>
      <c r="J36" s="13">
        <f t="shared" si="11"/>
        <v>61</v>
      </c>
      <c r="K36" s="13">
        <f t="shared" si="11"/>
        <v>46</v>
      </c>
      <c r="L36" s="13">
        <f t="shared" si="11"/>
        <v>48</v>
      </c>
      <c r="M36" s="13">
        <f t="shared" si="11"/>
        <v>37</v>
      </c>
      <c r="N36" s="13">
        <f t="shared" si="11"/>
        <v>48</v>
      </c>
      <c r="O36" s="13">
        <f t="shared" si="11"/>
        <v>57</v>
      </c>
      <c r="P36" s="13">
        <f t="shared" si="11"/>
        <v>78</v>
      </c>
      <c r="Q36" s="13">
        <f t="shared" si="11"/>
        <v>53</v>
      </c>
      <c r="R36" s="13">
        <f t="shared" si="11"/>
        <v>42</v>
      </c>
      <c r="S36" s="13">
        <f t="shared" si="11"/>
        <v>60</v>
      </c>
      <c r="T36" s="13">
        <f t="shared" si="10"/>
        <v>813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/>
      <c r="G39" s="19">
        <v>1.0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4.0</v>
      </c>
      <c r="T39" s="13">
        <f t="shared" ref="T39:T41" si="12">SUM(E39:S39)</f>
        <v>7</v>
      </c>
    </row>
    <row r="40" ht="12.75" customHeight="1">
      <c r="A40" s="33"/>
      <c r="C40" s="27"/>
      <c r="D40" s="19" t="s">
        <v>13</v>
      </c>
      <c r="E40" s="19"/>
      <c r="F40" s="19"/>
      <c r="G40" s="19">
        <v>3.0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3.0</v>
      </c>
      <c r="T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2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7</v>
      </c>
      <c r="T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 t="s">
        <v>17</v>
      </c>
      <c r="C45" s="62" t="s">
        <v>38</v>
      </c>
      <c r="D45" s="16"/>
      <c r="E45" s="19">
        <v>17.0</v>
      </c>
      <c r="F45" s="19">
        <v>13.0</v>
      </c>
      <c r="G45" s="19">
        <v>13.0</v>
      </c>
      <c r="H45" s="19">
        <v>20.0</v>
      </c>
      <c r="I45" s="19">
        <v>19.0</v>
      </c>
      <c r="J45" s="19">
        <v>18.0</v>
      </c>
      <c r="K45" s="19">
        <v>20.0</v>
      </c>
      <c r="L45" s="19">
        <v>20.0</v>
      </c>
      <c r="M45" s="19">
        <v>22.0</v>
      </c>
      <c r="N45" s="19">
        <v>26.0</v>
      </c>
      <c r="O45" s="19">
        <v>20.0</v>
      </c>
      <c r="P45" s="19">
        <v>23.0</v>
      </c>
      <c r="Q45" s="19">
        <v>26.0</v>
      </c>
      <c r="R45" s="19">
        <v>12.0</v>
      </c>
      <c r="S45" s="19">
        <v>23.0</v>
      </c>
      <c r="T45" s="13">
        <f t="shared" ref="T45:T57" si="14">SUM(E45:S45)</f>
        <v>292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30.0</v>
      </c>
      <c r="F46" s="19">
        <v>34.0</v>
      </c>
      <c r="G46" s="19">
        <v>26.0</v>
      </c>
      <c r="H46" s="19">
        <v>21.0</v>
      </c>
      <c r="I46" s="19">
        <v>40.0</v>
      </c>
      <c r="J46" s="19">
        <v>41.0</v>
      </c>
      <c r="K46" s="19">
        <v>34.0</v>
      </c>
      <c r="L46" s="19">
        <v>34.0</v>
      </c>
      <c r="M46" s="19">
        <v>42.0</v>
      </c>
      <c r="N46" s="19">
        <v>33.0</v>
      </c>
      <c r="O46" s="19">
        <v>29.0</v>
      </c>
      <c r="P46" s="19">
        <v>31.0</v>
      </c>
      <c r="Q46" s="19">
        <v>28.0</v>
      </c>
      <c r="R46" s="19">
        <v>35.0</v>
      </c>
      <c r="S46" s="19">
        <v>22.0</v>
      </c>
      <c r="T46" s="13">
        <f t="shared" si="14"/>
        <v>480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15.0</v>
      </c>
      <c r="F47" s="19">
        <v>8.0</v>
      </c>
      <c r="G47" s="19">
        <v>7.0</v>
      </c>
      <c r="H47" s="19">
        <v>10.0</v>
      </c>
      <c r="I47" s="19">
        <v>7.0</v>
      </c>
      <c r="J47" s="19">
        <v>13.0</v>
      </c>
      <c r="K47" s="19">
        <v>17.0</v>
      </c>
      <c r="L47" s="19">
        <v>27.0</v>
      </c>
      <c r="M47" s="19">
        <v>12.0</v>
      </c>
      <c r="N47" s="19">
        <v>13.0</v>
      </c>
      <c r="O47" s="19">
        <v>20.0</v>
      </c>
      <c r="P47" s="19">
        <v>13.0</v>
      </c>
      <c r="Q47" s="19">
        <v>17.0</v>
      </c>
      <c r="R47" s="19">
        <v>12.0</v>
      </c>
      <c r="S47" s="19">
        <v>13.0</v>
      </c>
      <c r="T47" s="13">
        <f t="shared" si="14"/>
        <v>204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23.0</v>
      </c>
      <c r="F48" s="19">
        <v>23.0</v>
      </c>
      <c r="G48" s="19">
        <v>26.0</v>
      </c>
      <c r="H48" s="19">
        <v>21.0</v>
      </c>
      <c r="I48" s="19">
        <v>20.0</v>
      </c>
      <c r="J48" s="19">
        <v>14.0</v>
      </c>
      <c r="K48" s="19">
        <v>13.0</v>
      </c>
      <c r="L48" s="19">
        <v>19.0</v>
      </c>
      <c r="M48" s="19">
        <v>17.0</v>
      </c>
      <c r="N48" s="19">
        <v>7.0</v>
      </c>
      <c r="O48" s="19">
        <v>18.0</v>
      </c>
      <c r="P48" s="19">
        <v>11.0</v>
      </c>
      <c r="Q48" s="19">
        <v>15.0</v>
      </c>
      <c r="R48" s="19">
        <v>33.0</v>
      </c>
      <c r="S48" s="19">
        <v>18.0</v>
      </c>
      <c r="T48" s="13">
        <f t="shared" si="14"/>
        <v>278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29.0</v>
      </c>
      <c r="F49" s="19">
        <v>21.0</v>
      </c>
      <c r="G49" s="19">
        <v>22.0</v>
      </c>
      <c r="H49" s="19">
        <v>22.0</v>
      </c>
      <c r="I49" s="19">
        <v>29.0</v>
      </c>
      <c r="J49" s="19">
        <v>18.0</v>
      </c>
      <c r="K49" s="19">
        <v>43.0</v>
      </c>
      <c r="L49" s="19">
        <v>35.0</v>
      </c>
      <c r="M49" s="19">
        <v>42.0</v>
      </c>
      <c r="N49" s="19">
        <v>38.0</v>
      </c>
      <c r="O49" s="19">
        <v>34.0</v>
      </c>
      <c r="P49" s="19">
        <v>18.0</v>
      </c>
      <c r="Q49" s="19">
        <v>19.0</v>
      </c>
      <c r="R49" s="19">
        <v>14.0</v>
      </c>
      <c r="S49" s="19">
        <v>15.0</v>
      </c>
      <c r="T49" s="13">
        <f t="shared" si="14"/>
        <v>399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11.0</v>
      </c>
      <c r="F50" s="19">
        <v>9.0</v>
      </c>
      <c r="G50" s="19">
        <v>16.0</v>
      </c>
      <c r="H50" s="19">
        <v>19.0</v>
      </c>
      <c r="I50" s="19">
        <v>8.0</v>
      </c>
      <c r="J50" s="19">
        <v>4.0</v>
      </c>
      <c r="K50" s="19">
        <v>11.0</v>
      </c>
      <c r="L50" s="19">
        <v>10.0</v>
      </c>
      <c r="M50" s="19">
        <v>12.0</v>
      </c>
      <c r="N50" s="19">
        <v>12.0</v>
      </c>
      <c r="O50" s="19">
        <v>17.0</v>
      </c>
      <c r="P50" s="19">
        <v>6.0</v>
      </c>
      <c r="Q50" s="19">
        <v>16.0</v>
      </c>
      <c r="R50" s="19">
        <v>15.0</v>
      </c>
      <c r="S50" s="19">
        <v>8.0</v>
      </c>
      <c r="T50" s="13">
        <f t="shared" si="14"/>
        <v>174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0.0</v>
      </c>
      <c r="F51" s="19">
        <v>1.0</v>
      </c>
      <c r="G51" s="19">
        <v>0.0</v>
      </c>
      <c r="H51" s="19">
        <v>2.0</v>
      </c>
      <c r="I51" s="19">
        <v>4.0</v>
      </c>
      <c r="J51" s="19">
        <v>1.0</v>
      </c>
      <c r="K51" s="19">
        <v>3.0</v>
      </c>
      <c r="L51" s="19">
        <v>1.0</v>
      </c>
      <c r="M51" s="19">
        <v>2.0</v>
      </c>
      <c r="N51" s="19">
        <v>0.0</v>
      </c>
      <c r="O51" s="19">
        <v>2.0</v>
      </c>
      <c r="P51" s="19">
        <v>7.0</v>
      </c>
      <c r="Q51" s="19">
        <v>0.0</v>
      </c>
      <c r="R51" s="19">
        <v>0.0</v>
      </c>
      <c r="S51" s="19">
        <v>1.0</v>
      </c>
      <c r="T51" s="13">
        <f t="shared" si="14"/>
        <v>24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1.0</v>
      </c>
      <c r="G52" s="19">
        <v>2.0</v>
      </c>
      <c r="H52" s="19">
        <v>1.0</v>
      </c>
      <c r="I52" s="19">
        <v>7.0</v>
      </c>
      <c r="J52" s="19">
        <v>4.0</v>
      </c>
      <c r="K52" s="19">
        <v>2.0</v>
      </c>
      <c r="L52" s="19">
        <v>1.0</v>
      </c>
      <c r="M52" s="19">
        <v>3.0</v>
      </c>
      <c r="N52" s="19">
        <v>1.0</v>
      </c>
      <c r="O52" s="19">
        <v>3.0</v>
      </c>
      <c r="P52" s="19">
        <v>4.0</v>
      </c>
      <c r="Q52" s="19">
        <v>2.0</v>
      </c>
      <c r="R52" s="19">
        <v>1.0</v>
      </c>
      <c r="S52" s="19">
        <v>3.0</v>
      </c>
      <c r="T52" s="13">
        <f t="shared" si="14"/>
        <v>39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3.0</v>
      </c>
      <c r="G53" s="19">
        <v>3.0</v>
      </c>
      <c r="H53" s="19">
        <v>0.0</v>
      </c>
      <c r="I53" s="19">
        <v>1.0</v>
      </c>
      <c r="J53" s="19">
        <v>1.0</v>
      </c>
      <c r="K53" s="19">
        <v>1.0</v>
      </c>
      <c r="L53" s="19">
        <v>1.0</v>
      </c>
      <c r="M53" s="19">
        <v>1.0</v>
      </c>
      <c r="N53" s="19">
        <v>1.0</v>
      </c>
      <c r="O53" s="19">
        <v>0.0</v>
      </c>
      <c r="P53" s="19">
        <v>1.0</v>
      </c>
      <c r="Q53" s="19">
        <v>2.0</v>
      </c>
      <c r="R53" s="19">
        <v>0.0</v>
      </c>
      <c r="S53" s="19">
        <v>0.0</v>
      </c>
      <c r="T53" s="13">
        <f t="shared" si="14"/>
        <v>15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25.0</v>
      </c>
      <c r="F54" s="19">
        <v>22.0</v>
      </c>
      <c r="G54" s="19">
        <v>21.0</v>
      </c>
      <c r="H54" s="19">
        <v>24.0</v>
      </c>
      <c r="I54" s="19">
        <v>17.0</v>
      </c>
      <c r="J54" s="19">
        <v>15.0</v>
      </c>
      <c r="K54" s="19">
        <v>11.0</v>
      </c>
      <c r="L54" s="19">
        <v>15.0</v>
      </c>
      <c r="M54" s="19">
        <v>21.0</v>
      </c>
      <c r="N54" s="19">
        <v>20.0</v>
      </c>
      <c r="O54" s="19">
        <v>15.0</v>
      </c>
      <c r="P54" s="19">
        <v>16.0</v>
      </c>
      <c r="Q54" s="19">
        <v>20.0</v>
      </c>
      <c r="R54" s="19">
        <v>25.0</v>
      </c>
      <c r="S54" s="19">
        <v>34.0</v>
      </c>
      <c r="T54" s="13">
        <f t="shared" si="14"/>
        <v>301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0.0</v>
      </c>
      <c r="G55" s="19">
        <v>2.0</v>
      </c>
      <c r="H55" s="19">
        <v>3.0</v>
      </c>
      <c r="I55" s="19">
        <v>3.0</v>
      </c>
      <c r="J55" s="19">
        <v>1.0</v>
      </c>
      <c r="K55" s="19">
        <v>1.0</v>
      </c>
      <c r="L55" s="19">
        <v>2.0</v>
      </c>
      <c r="M55" s="19">
        <v>3.0</v>
      </c>
      <c r="N55" s="19">
        <v>2.0</v>
      </c>
      <c r="O55" s="19">
        <v>0.0</v>
      </c>
      <c r="P55" s="19">
        <v>0.0</v>
      </c>
      <c r="Q55" s="19">
        <v>1.0</v>
      </c>
      <c r="R55" s="19">
        <v>2.0</v>
      </c>
      <c r="S55" s="19">
        <v>0.0</v>
      </c>
      <c r="T55" s="13">
        <f t="shared" si="14"/>
        <v>21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10.0</v>
      </c>
      <c r="F56" s="19">
        <v>15.0</v>
      </c>
      <c r="G56" s="19">
        <v>16.0</v>
      </c>
      <c r="H56" s="19">
        <v>19.0</v>
      </c>
      <c r="I56" s="19">
        <v>9.0</v>
      </c>
      <c r="J56" s="19">
        <v>17.0</v>
      </c>
      <c r="K56" s="19">
        <v>21.0</v>
      </c>
      <c r="L56" s="19">
        <v>13.0</v>
      </c>
      <c r="M56" s="19">
        <v>13.0</v>
      </c>
      <c r="N56" s="19">
        <v>9.0</v>
      </c>
      <c r="O56" s="19">
        <v>12.0</v>
      </c>
      <c r="P56" s="19">
        <v>14.0</v>
      </c>
      <c r="Q56" s="19">
        <v>10.0</v>
      </c>
      <c r="R56" s="19">
        <v>21.0</v>
      </c>
      <c r="S56" s="19">
        <v>15.0</v>
      </c>
      <c r="T56" s="13">
        <f t="shared" si="14"/>
        <v>214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2.0</v>
      </c>
      <c r="F57" s="19">
        <v>1.0</v>
      </c>
      <c r="G57" s="19">
        <v>5.0</v>
      </c>
      <c r="H57" s="19">
        <v>3.0</v>
      </c>
      <c r="I57" s="19">
        <v>1.0</v>
      </c>
      <c r="J57" s="19">
        <v>2.0</v>
      </c>
      <c r="K57" s="19">
        <v>1.0</v>
      </c>
      <c r="L57" s="19">
        <v>0.0</v>
      </c>
      <c r="M57" s="19">
        <v>0.0</v>
      </c>
      <c r="N57" s="19">
        <v>2.0</v>
      </c>
      <c r="O57" s="19">
        <v>0.0</v>
      </c>
      <c r="P57" s="19">
        <v>0.0</v>
      </c>
      <c r="Q57" s="19">
        <v>0.0</v>
      </c>
      <c r="R57" s="19">
        <v>2.0</v>
      </c>
      <c r="S57" s="19">
        <v>3.0</v>
      </c>
      <c r="T57" s="13">
        <f t="shared" si="14"/>
        <v>22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S60" si="15">SUM(E45:E57)</f>
        <v>167</v>
      </c>
      <c r="F60" s="19">
        <f t="shared" si="15"/>
        <v>151</v>
      </c>
      <c r="G60" s="19">
        <f t="shared" si="15"/>
        <v>159</v>
      </c>
      <c r="H60" s="19">
        <f t="shared" si="15"/>
        <v>165</v>
      </c>
      <c r="I60" s="19">
        <f t="shared" si="15"/>
        <v>165</v>
      </c>
      <c r="J60" s="19">
        <f t="shared" si="15"/>
        <v>149</v>
      </c>
      <c r="K60" s="19">
        <f t="shared" si="15"/>
        <v>178</v>
      </c>
      <c r="L60" s="19">
        <f t="shared" si="15"/>
        <v>178</v>
      </c>
      <c r="M60" s="19">
        <f t="shared" si="15"/>
        <v>190</v>
      </c>
      <c r="N60" s="19">
        <f t="shared" si="15"/>
        <v>164</v>
      </c>
      <c r="O60" s="19">
        <f t="shared" si="15"/>
        <v>170</v>
      </c>
      <c r="P60" s="19">
        <f t="shared" si="15"/>
        <v>144</v>
      </c>
      <c r="Q60" s="19">
        <f t="shared" si="15"/>
        <v>156</v>
      </c>
      <c r="R60" s="19">
        <f t="shared" si="15"/>
        <v>172</v>
      </c>
      <c r="S60" s="19">
        <f t="shared" si="15"/>
        <v>155</v>
      </c>
      <c r="T60" s="13">
        <f t="shared" ref="T60:T62" si="16">SUM(E60:S60)</f>
        <v>2463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43.0</v>
      </c>
      <c r="F61" s="19">
        <v>53.0</v>
      </c>
      <c r="G61" s="19">
        <v>37.0</v>
      </c>
      <c r="H61" s="19">
        <v>38.0</v>
      </c>
      <c r="I61" s="19">
        <v>44.0</v>
      </c>
      <c r="J61" s="19">
        <v>54.0</v>
      </c>
      <c r="K61" s="19">
        <v>34.0</v>
      </c>
      <c r="L61" s="19">
        <v>42.0</v>
      </c>
      <c r="M61" s="19">
        <v>28.0</v>
      </c>
      <c r="N61" s="19">
        <v>38.0</v>
      </c>
      <c r="O61" s="19">
        <v>29.0</v>
      </c>
      <c r="P61" s="19">
        <v>38.0</v>
      </c>
      <c r="Q61" s="19">
        <v>35.0</v>
      </c>
      <c r="R61" s="19">
        <v>44.0</v>
      </c>
      <c r="S61" s="19">
        <v>45.0</v>
      </c>
      <c r="T61" s="13">
        <f t="shared" si="16"/>
        <v>602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S62" si="17">SUM(E60:E61)</f>
        <v>210</v>
      </c>
      <c r="F62" s="13">
        <f t="shared" si="17"/>
        <v>204</v>
      </c>
      <c r="G62" s="13">
        <f t="shared" si="17"/>
        <v>196</v>
      </c>
      <c r="H62" s="13">
        <f t="shared" si="17"/>
        <v>203</v>
      </c>
      <c r="I62" s="13">
        <f t="shared" si="17"/>
        <v>209</v>
      </c>
      <c r="J62" s="13">
        <f t="shared" si="17"/>
        <v>203</v>
      </c>
      <c r="K62" s="13">
        <f t="shared" si="17"/>
        <v>212</v>
      </c>
      <c r="L62" s="13">
        <f t="shared" si="17"/>
        <v>220</v>
      </c>
      <c r="M62" s="13">
        <f t="shared" si="17"/>
        <v>218</v>
      </c>
      <c r="N62" s="13">
        <f t="shared" si="17"/>
        <v>202</v>
      </c>
      <c r="O62" s="13">
        <f t="shared" si="17"/>
        <v>199</v>
      </c>
      <c r="P62" s="13">
        <f t="shared" si="17"/>
        <v>182</v>
      </c>
      <c r="Q62" s="13">
        <f t="shared" si="17"/>
        <v>191</v>
      </c>
      <c r="R62" s="13">
        <f t="shared" si="17"/>
        <v>216</v>
      </c>
      <c r="S62" s="13">
        <f t="shared" si="17"/>
        <v>200</v>
      </c>
      <c r="T62" s="13">
        <f t="shared" si="16"/>
        <v>3065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S34">
    <cfRule type="expression" dxfId="0" priority="1">
      <formula>E34&lt;&gt;#REF!</formula>
    </cfRule>
  </conditionalFormatting>
  <conditionalFormatting sqref="E14:S15 E45:S57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E30&lt;&gt;E46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13" t="s">
        <v>93</v>
      </c>
      <c r="AA13" s="13" t="s">
        <v>94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144.0</v>
      </c>
      <c r="F14" s="19">
        <v>127.0</v>
      </c>
      <c r="G14" s="19">
        <v>126.0</v>
      </c>
      <c r="H14" s="19">
        <v>136.0</v>
      </c>
      <c r="I14" s="19">
        <v>127.0</v>
      </c>
      <c r="J14" s="19">
        <v>137.0</v>
      </c>
      <c r="K14" s="19">
        <v>143.0</v>
      </c>
      <c r="L14" s="19">
        <v>135.0</v>
      </c>
      <c r="M14" s="19">
        <v>139.0</v>
      </c>
      <c r="N14" s="19">
        <v>141.0</v>
      </c>
      <c r="O14" s="19">
        <v>125.0</v>
      </c>
      <c r="P14" s="19">
        <v>134.0</v>
      </c>
      <c r="Q14" s="19">
        <v>148.0</v>
      </c>
      <c r="R14" s="19">
        <v>127.0</v>
      </c>
      <c r="S14" s="19">
        <v>138.0</v>
      </c>
      <c r="T14" s="19">
        <v>131.0</v>
      </c>
      <c r="U14" s="19">
        <v>123.0</v>
      </c>
      <c r="V14" s="19">
        <v>132.0</v>
      </c>
      <c r="W14" s="19">
        <v>142.0</v>
      </c>
      <c r="X14" s="19">
        <v>140.0</v>
      </c>
      <c r="Y14" s="19">
        <v>142.0</v>
      </c>
      <c r="Z14" s="19">
        <v>142.0</v>
      </c>
      <c r="AA14" s="19">
        <v>131.0</v>
      </c>
      <c r="AB14" s="13">
        <f t="shared" ref="AB14:AB16" si="1">SUM(E14:AA14)</f>
        <v>3110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159.0</v>
      </c>
      <c r="G15" s="19">
        <v>162.0</v>
      </c>
      <c r="H15" s="19">
        <v>147.0</v>
      </c>
      <c r="I15" s="19">
        <v>147.0</v>
      </c>
      <c r="J15" s="19">
        <v>145.0</v>
      </c>
      <c r="K15" s="19">
        <v>142.0</v>
      </c>
      <c r="L15" s="19">
        <v>146.0</v>
      </c>
      <c r="M15" s="19">
        <v>156.0</v>
      </c>
      <c r="N15" s="19">
        <v>149.0</v>
      </c>
      <c r="O15" s="19">
        <v>162.0</v>
      </c>
      <c r="P15" s="19">
        <v>164.0</v>
      </c>
      <c r="Q15" s="19">
        <v>142.0</v>
      </c>
      <c r="R15" s="19">
        <v>147.0</v>
      </c>
      <c r="S15" s="19">
        <v>156.0</v>
      </c>
      <c r="T15" s="19">
        <v>147.0</v>
      </c>
      <c r="U15" s="19">
        <v>155.0</v>
      </c>
      <c r="V15" s="19">
        <v>149.0</v>
      </c>
      <c r="W15" s="19">
        <v>147.0</v>
      </c>
      <c r="X15" s="19">
        <v>147.0</v>
      </c>
      <c r="Y15" s="19">
        <v>144.0</v>
      </c>
      <c r="Z15" s="19">
        <v>152.0</v>
      </c>
      <c r="AA15" s="19">
        <v>152.0</v>
      </c>
      <c r="AB15" s="13">
        <f t="shared" si="1"/>
        <v>3463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290</v>
      </c>
      <c r="F16" s="13">
        <f t="shared" si="2"/>
        <v>286</v>
      </c>
      <c r="G16" s="13">
        <f t="shared" si="2"/>
        <v>288</v>
      </c>
      <c r="H16" s="13">
        <f t="shared" si="2"/>
        <v>283</v>
      </c>
      <c r="I16" s="13">
        <f t="shared" si="2"/>
        <v>274</v>
      </c>
      <c r="J16" s="13">
        <f t="shared" si="2"/>
        <v>282</v>
      </c>
      <c r="K16" s="13">
        <f t="shared" si="2"/>
        <v>285</v>
      </c>
      <c r="L16" s="13">
        <f t="shared" si="2"/>
        <v>281</v>
      </c>
      <c r="M16" s="13">
        <f t="shared" si="2"/>
        <v>295</v>
      </c>
      <c r="N16" s="13">
        <f t="shared" si="2"/>
        <v>290</v>
      </c>
      <c r="O16" s="13">
        <f t="shared" si="2"/>
        <v>287</v>
      </c>
      <c r="P16" s="13">
        <f t="shared" si="2"/>
        <v>298</v>
      </c>
      <c r="Q16" s="13">
        <f t="shared" si="2"/>
        <v>290</v>
      </c>
      <c r="R16" s="13">
        <f t="shared" si="2"/>
        <v>274</v>
      </c>
      <c r="S16" s="13">
        <f t="shared" si="2"/>
        <v>294</v>
      </c>
      <c r="T16" s="13">
        <f t="shared" si="2"/>
        <v>278</v>
      </c>
      <c r="U16" s="13">
        <f t="shared" si="2"/>
        <v>278</v>
      </c>
      <c r="V16" s="13">
        <f t="shared" si="2"/>
        <v>281</v>
      </c>
      <c r="W16" s="13">
        <f t="shared" si="2"/>
        <v>289</v>
      </c>
      <c r="X16" s="13">
        <f t="shared" si="2"/>
        <v>287</v>
      </c>
      <c r="Y16" s="13">
        <f t="shared" si="2"/>
        <v>286</v>
      </c>
      <c r="Z16" s="13">
        <f t="shared" si="2"/>
        <v>294</v>
      </c>
      <c r="AA16" s="13">
        <f t="shared" si="2"/>
        <v>283</v>
      </c>
      <c r="AB16" s="13">
        <f t="shared" si="1"/>
        <v>6573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93.0</v>
      </c>
      <c r="G19" s="19">
        <v>89.0</v>
      </c>
      <c r="H19" s="19">
        <v>85.0</v>
      </c>
      <c r="I19" s="19">
        <v>87.0</v>
      </c>
      <c r="J19" s="19">
        <v>102.0</v>
      </c>
      <c r="K19" s="19">
        <v>109.0</v>
      </c>
      <c r="L19" s="19">
        <v>108.0</v>
      </c>
      <c r="M19" s="19">
        <v>97.0</v>
      </c>
      <c r="N19" s="19">
        <v>100.0</v>
      </c>
      <c r="O19" s="19">
        <v>90.0</v>
      </c>
      <c r="P19" s="19">
        <v>104.0</v>
      </c>
      <c r="Q19" s="19">
        <v>116.0</v>
      </c>
      <c r="R19" s="19">
        <v>95.0</v>
      </c>
      <c r="S19" s="19">
        <v>95.0</v>
      </c>
      <c r="T19" s="19">
        <v>84.0</v>
      </c>
      <c r="U19" s="19">
        <v>99.0</v>
      </c>
      <c r="V19" s="19">
        <v>91.0</v>
      </c>
      <c r="W19" s="19">
        <v>104.0</v>
      </c>
      <c r="X19" s="19">
        <v>101.0</v>
      </c>
      <c r="Y19" s="19">
        <v>91.0</v>
      </c>
      <c r="Z19" s="19">
        <v>95.0</v>
      </c>
      <c r="AA19" s="19">
        <v>87.0</v>
      </c>
      <c r="AB19" s="13">
        <f t="shared" ref="AB19:AB30" si="3">SUM(E19:AA19)</f>
        <v>2224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132.0</v>
      </c>
      <c r="G20" s="19">
        <v>117.0</v>
      </c>
      <c r="H20" s="19">
        <v>104.0</v>
      </c>
      <c r="I20" s="19">
        <v>100.0</v>
      </c>
      <c r="J20" s="19">
        <v>117.0</v>
      </c>
      <c r="K20" s="19">
        <v>105.0</v>
      </c>
      <c r="L20" s="19">
        <v>121.0</v>
      </c>
      <c r="M20" s="19">
        <v>129.0</v>
      </c>
      <c r="N20" s="19">
        <v>118.0</v>
      </c>
      <c r="O20" s="19">
        <v>129.0</v>
      </c>
      <c r="P20" s="19">
        <v>119.0</v>
      </c>
      <c r="Q20" s="19">
        <v>110.0</v>
      </c>
      <c r="R20" s="19">
        <v>115.0</v>
      </c>
      <c r="S20" s="19">
        <v>123.0</v>
      </c>
      <c r="T20" s="19">
        <v>112.0</v>
      </c>
      <c r="U20" s="19">
        <v>129.0</v>
      </c>
      <c r="V20" s="19">
        <v>120.0</v>
      </c>
      <c r="W20" s="19">
        <v>128.0</v>
      </c>
      <c r="X20" s="19">
        <v>122.0</v>
      </c>
      <c r="Y20" s="19">
        <v>107.0</v>
      </c>
      <c r="Z20" s="19">
        <v>123.0</v>
      </c>
      <c r="AA20" s="19">
        <v>124.0</v>
      </c>
      <c r="AB20" s="13">
        <f t="shared" si="3"/>
        <v>2708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206</v>
      </c>
      <c r="F21" s="13">
        <f t="shared" si="4"/>
        <v>225</v>
      </c>
      <c r="G21" s="13">
        <f t="shared" si="4"/>
        <v>206</v>
      </c>
      <c r="H21" s="13">
        <f t="shared" si="4"/>
        <v>189</v>
      </c>
      <c r="I21" s="13">
        <f t="shared" si="4"/>
        <v>187</v>
      </c>
      <c r="J21" s="13">
        <f t="shared" si="4"/>
        <v>219</v>
      </c>
      <c r="K21" s="13">
        <f t="shared" si="4"/>
        <v>214</v>
      </c>
      <c r="L21" s="13">
        <f t="shared" si="4"/>
        <v>229</v>
      </c>
      <c r="M21" s="13">
        <f t="shared" si="4"/>
        <v>226</v>
      </c>
      <c r="N21" s="13">
        <f t="shared" si="4"/>
        <v>218</v>
      </c>
      <c r="O21" s="13">
        <f t="shared" si="4"/>
        <v>219</v>
      </c>
      <c r="P21" s="13">
        <f t="shared" si="4"/>
        <v>223</v>
      </c>
      <c r="Q21" s="13">
        <f t="shared" si="4"/>
        <v>226</v>
      </c>
      <c r="R21" s="13">
        <f t="shared" si="4"/>
        <v>210</v>
      </c>
      <c r="S21" s="13">
        <f t="shared" si="4"/>
        <v>218</v>
      </c>
      <c r="T21" s="13">
        <f t="shared" si="4"/>
        <v>196</v>
      </c>
      <c r="U21" s="13">
        <f t="shared" si="4"/>
        <v>228</v>
      </c>
      <c r="V21" s="13">
        <f t="shared" si="4"/>
        <v>211</v>
      </c>
      <c r="W21" s="13">
        <f t="shared" si="4"/>
        <v>232</v>
      </c>
      <c r="X21" s="13">
        <f t="shared" si="4"/>
        <v>223</v>
      </c>
      <c r="Y21" s="13">
        <f t="shared" si="4"/>
        <v>198</v>
      </c>
      <c r="Z21" s="13">
        <f t="shared" si="4"/>
        <v>218</v>
      </c>
      <c r="AA21" s="13">
        <f t="shared" si="4"/>
        <v>211</v>
      </c>
      <c r="AB21" s="13">
        <f t="shared" si="3"/>
        <v>4932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1.0</v>
      </c>
      <c r="G22" s="19">
        <v>0.0</v>
      </c>
      <c r="H22" s="19">
        <v>1.0</v>
      </c>
      <c r="I22" s="19">
        <v>4.0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3.0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2.0</v>
      </c>
      <c r="Z22" s="19">
        <v>0.0</v>
      </c>
      <c r="AA22" s="19">
        <v>0.0</v>
      </c>
      <c r="AB22" s="13">
        <f t="shared" si="3"/>
        <v>15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0.0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2.0</v>
      </c>
      <c r="M23" s="19">
        <v>0.0</v>
      </c>
      <c r="N23" s="19">
        <v>0.0</v>
      </c>
      <c r="O23" s="19">
        <v>2.0</v>
      </c>
      <c r="P23" s="19">
        <v>0.0</v>
      </c>
      <c r="Q23" s="19">
        <v>1.0</v>
      </c>
      <c r="R23" s="19">
        <v>0.0</v>
      </c>
      <c r="S23" s="19">
        <v>1.0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2.0</v>
      </c>
      <c r="Z23" s="19">
        <v>0.0</v>
      </c>
      <c r="AA23" s="19">
        <v>0.0</v>
      </c>
      <c r="AB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4</v>
      </c>
      <c r="F24" s="13">
        <f t="shared" si="5"/>
        <v>1</v>
      </c>
      <c r="G24" s="13">
        <f t="shared" si="5"/>
        <v>0</v>
      </c>
      <c r="H24" s="13">
        <f t="shared" si="5"/>
        <v>1</v>
      </c>
      <c r="I24" s="13">
        <f t="shared" si="5"/>
        <v>6</v>
      </c>
      <c r="J24" s="13">
        <f t="shared" si="5"/>
        <v>0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5"/>
        <v>5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4</v>
      </c>
      <c r="Z24" s="13">
        <f t="shared" si="5"/>
        <v>0</v>
      </c>
      <c r="AA24" s="13">
        <f t="shared" si="5"/>
        <v>0</v>
      </c>
      <c r="AB24" s="13">
        <f t="shared" si="3"/>
        <v>27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3.0</v>
      </c>
      <c r="O25" s="19">
        <v>0.0</v>
      </c>
      <c r="P25" s="19">
        <v>2.0</v>
      </c>
      <c r="Q25" s="19">
        <v>5.0</v>
      </c>
      <c r="R25" s="19">
        <v>1.0</v>
      </c>
      <c r="S25" s="19">
        <v>1.0</v>
      </c>
      <c r="T25" s="19">
        <v>2.0</v>
      </c>
      <c r="U25" s="19">
        <v>0.0</v>
      </c>
      <c r="V25" s="19">
        <v>3.0</v>
      </c>
      <c r="W25" s="19">
        <v>1.0</v>
      </c>
      <c r="X25" s="19">
        <v>1.0</v>
      </c>
      <c r="Y25" s="19">
        <v>2.0</v>
      </c>
      <c r="Z25" s="19">
        <v>1.0</v>
      </c>
      <c r="AA25" s="19">
        <v>2.0</v>
      </c>
      <c r="AB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0.0</v>
      </c>
      <c r="H26" s="19">
        <v>1.0</v>
      </c>
      <c r="I26" s="19">
        <v>1.0</v>
      </c>
      <c r="J26" s="19">
        <v>2.0</v>
      </c>
      <c r="K26" s="19">
        <v>3.0</v>
      </c>
      <c r="L26" s="19">
        <v>0.0</v>
      </c>
      <c r="M26" s="19">
        <v>0.0</v>
      </c>
      <c r="N26" s="19">
        <v>4.0</v>
      </c>
      <c r="O26" s="19">
        <v>1.0</v>
      </c>
      <c r="P26" s="19">
        <v>2.0</v>
      </c>
      <c r="Q26" s="19">
        <v>9.0</v>
      </c>
      <c r="R26" s="19">
        <v>0.0</v>
      </c>
      <c r="S26" s="19">
        <v>5.0</v>
      </c>
      <c r="T26" s="19">
        <v>3.0</v>
      </c>
      <c r="U26" s="19">
        <v>1.0</v>
      </c>
      <c r="V26" s="19">
        <v>3.0</v>
      </c>
      <c r="W26" s="19">
        <v>0.0</v>
      </c>
      <c r="X26" s="19">
        <v>0.0</v>
      </c>
      <c r="Y26" s="19">
        <v>2.0</v>
      </c>
      <c r="Z26" s="19">
        <v>0.0</v>
      </c>
      <c r="AA26" s="19">
        <v>0.0</v>
      </c>
      <c r="AB26" s="13">
        <f t="shared" si="3"/>
        <v>41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3</v>
      </c>
      <c r="K27" s="13">
        <f t="shared" si="6"/>
        <v>4</v>
      </c>
      <c r="L27" s="13">
        <f t="shared" si="6"/>
        <v>0</v>
      </c>
      <c r="M27" s="13">
        <f t="shared" si="6"/>
        <v>0</v>
      </c>
      <c r="N27" s="13">
        <f t="shared" si="6"/>
        <v>7</v>
      </c>
      <c r="O27" s="13">
        <f t="shared" si="6"/>
        <v>1</v>
      </c>
      <c r="P27" s="13">
        <f t="shared" si="6"/>
        <v>4</v>
      </c>
      <c r="Q27" s="13">
        <f t="shared" si="6"/>
        <v>14</v>
      </c>
      <c r="R27" s="13">
        <f t="shared" si="6"/>
        <v>1</v>
      </c>
      <c r="S27" s="13">
        <f t="shared" si="6"/>
        <v>6</v>
      </c>
      <c r="T27" s="13">
        <f t="shared" si="6"/>
        <v>5</v>
      </c>
      <c r="U27" s="13">
        <f t="shared" si="6"/>
        <v>1</v>
      </c>
      <c r="V27" s="13">
        <f t="shared" si="6"/>
        <v>6</v>
      </c>
      <c r="W27" s="13">
        <f t="shared" si="6"/>
        <v>1</v>
      </c>
      <c r="X27" s="13">
        <f t="shared" si="6"/>
        <v>1</v>
      </c>
      <c r="Y27" s="13">
        <f t="shared" si="6"/>
        <v>4</v>
      </c>
      <c r="Z27" s="13">
        <f t="shared" si="6"/>
        <v>1</v>
      </c>
      <c r="AA27" s="13">
        <f t="shared" si="6"/>
        <v>2</v>
      </c>
      <c r="AB27" s="13">
        <f t="shared" si="3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104</v>
      </c>
      <c r="F28" s="13">
        <f t="shared" si="7"/>
        <v>94</v>
      </c>
      <c r="G28" s="13">
        <f t="shared" si="7"/>
        <v>89</v>
      </c>
      <c r="H28" s="13">
        <f t="shared" si="7"/>
        <v>86</v>
      </c>
      <c r="I28" s="13">
        <f t="shared" si="7"/>
        <v>91</v>
      </c>
      <c r="J28" s="13">
        <f t="shared" si="7"/>
        <v>103</v>
      </c>
      <c r="K28" s="13">
        <f t="shared" si="7"/>
        <v>110</v>
      </c>
      <c r="L28" s="13">
        <f t="shared" si="7"/>
        <v>109</v>
      </c>
      <c r="M28" s="13">
        <f t="shared" si="7"/>
        <v>97</v>
      </c>
      <c r="N28" s="13">
        <f t="shared" si="7"/>
        <v>103</v>
      </c>
      <c r="O28" s="13">
        <f t="shared" si="7"/>
        <v>93</v>
      </c>
      <c r="P28" s="13">
        <f t="shared" si="7"/>
        <v>106</v>
      </c>
      <c r="Q28" s="13">
        <f t="shared" si="7"/>
        <v>122</v>
      </c>
      <c r="R28" s="13">
        <f t="shared" si="7"/>
        <v>96</v>
      </c>
      <c r="S28" s="13">
        <f t="shared" si="7"/>
        <v>96</v>
      </c>
      <c r="T28" s="13">
        <f t="shared" si="7"/>
        <v>86</v>
      </c>
      <c r="U28" s="13">
        <f t="shared" si="7"/>
        <v>99</v>
      </c>
      <c r="V28" s="13">
        <f t="shared" si="7"/>
        <v>94</v>
      </c>
      <c r="W28" s="13">
        <f t="shared" si="7"/>
        <v>105</v>
      </c>
      <c r="X28" s="13">
        <f t="shared" si="7"/>
        <v>102</v>
      </c>
      <c r="Y28" s="13">
        <f t="shared" si="7"/>
        <v>95</v>
      </c>
      <c r="Z28" s="13">
        <f t="shared" si="7"/>
        <v>96</v>
      </c>
      <c r="AA28" s="13">
        <f t="shared" si="7"/>
        <v>89</v>
      </c>
      <c r="AB28" s="13">
        <f t="shared" si="3"/>
        <v>2265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107</v>
      </c>
      <c r="F29" s="13">
        <f t="shared" si="8"/>
        <v>135</v>
      </c>
      <c r="G29" s="13">
        <f t="shared" si="8"/>
        <v>117</v>
      </c>
      <c r="H29" s="13">
        <f t="shared" si="8"/>
        <v>105</v>
      </c>
      <c r="I29" s="13">
        <f t="shared" si="8"/>
        <v>103</v>
      </c>
      <c r="J29" s="13">
        <f t="shared" si="8"/>
        <v>119</v>
      </c>
      <c r="K29" s="13">
        <f t="shared" si="8"/>
        <v>108</v>
      </c>
      <c r="L29" s="13">
        <f t="shared" si="8"/>
        <v>123</v>
      </c>
      <c r="M29" s="13">
        <f t="shared" si="8"/>
        <v>129</v>
      </c>
      <c r="N29" s="13">
        <f t="shared" si="8"/>
        <v>122</v>
      </c>
      <c r="O29" s="13">
        <f t="shared" si="8"/>
        <v>132</v>
      </c>
      <c r="P29" s="13">
        <f t="shared" si="8"/>
        <v>121</v>
      </c>
      <c r="Q29" s="13">
        <f t="shared" si="8"/>
        <v>120</v>
      </c>
      <c r="R29" s="13">
        <f t="shared" si="8"/>
        <v>115</v>
      </c>
      <c r="S29" s="13">
        <f t="shared" si="8"/>
        <v>129</v>
      </c>
      <c r="T29" s="13">
        <f t="shared" si="8"/>
        <v>115</v>
      </c>
      <c r="U29" s="13">
        <f t="shared" si="8"/>
        <v>130</v>
      </c>
      <c r="V29" s="13">
        <f t="shared" si="8"/>
        <v>123</v>
      </c>
      <c r="W29" s="13">
        <f t="shared" si="8"/>
        <v>128</v>
      </c>
      <c r="X29" s="13">
        <f t="shared" si="8"/>
        <v>122</v>
      </c>
      <c r="Y29" s="13">
        <f t="shared" si="8"/>
        <v>111</v>
      </c>
      <c r="Z29" s="13">
        <f t="shared" si="8"/>
        <v>123</v>
      </c>
      <c r="AA29" s="13">
        <f t="shared" si="8"/>
        <v>124</v>
      </c>
      <c r="AB29" s="13">
        <f t="shared" si="3"/>
        <v>2761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211</v>
      </c>
      <c r="F30" s="13">
        <f t="shared" si="9"/>
        <v>229</v>
      </c>
      <c r="G30" s="13">
        <f t="shared" si="9"/>
        <v>206</v>
      </c>
      <c r="H30" s="13">
        <f t="shared" si="9"/>
        <v>191</v>
      </c>
      <c r="I30" s="13">
        <f t="shared" si="9"/>
        <v>194</v>
      </c>
      <c r="J30" s="13">
        <f t="shared" si="9"/>
        <v>222</v>
      </c>
      <c r="K30" s="13">
        <f t="shared" si="9"/>
        <v>218</v>
      </c>
      <c r="L30" s="13">
        <f t="shared" si="9"/>
        <v>232</v>
      </c>
      <c r="M30" s="13">
        <f t="shared" si="9"/>
        <v>226</v>
      </c>
      <c r="N30" s="13">
        <f t="shared" si="9"/>
        <v>225</v>
      </c>
      <c r="O30" s="13">
        <f t="shared" si="9"/>
        <v>225</v>
      </c>
      <c r="P30" s="13">
        <f t="shared" si="9"/>
        <v>227</v>
      </c>
      <c r="Q30" s="13">
        <f t="shared" si="9"/>
        <v>242</v>
      </c>
      <c r="R30" s="13">
        <f t="shared" si="9"/>
        <v>211</v>
      </c>
      <c r="S30" s="13">
        <f t="shared" si="9"/>
        <v>225</v>
      </c>
      <c r="T30" s="13">
        <f t="shared" si="9"/>
        <v>201</v>
      </c>
      <c r="U30" s="13">
        <f t="shared" si="9"/>
        <v>229</v>
      </c>
      <c r="V30" s="13">
        <f t="shared" si="9"/>
        <v>217</v>
      </c>
      <c r="W30" s="13">
        <f t="shared" si="9"/>
        <v>233</v>
      </c>
      <c r="X30" s="13">
        <f t="shared" si="9"/>
        <v>224</v>
      </c>
      <c r="Y30" s="13">
        <f t="shared" si="9"/>
        <v>206</v>
      </c>
      <c r="Z30" s="13">
        <f t="shared" si="9"/>
        <v>219</v>
      </c>
      <c r="AA30" s="13">
        <f t="shared" si="9"/>
        <v>213</v>
      </c>
      <c r="AB30" s="13">
        <f t="shared" si="3"/>
        <v>5026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59"/>
    </row>
    <row r="33" ht="12.75" customHeight="1">
      <c r="A33" s="19">
        <v>1.0</v>
      </c>
      <c r="B33" s="20" t="s">
        <v>85</v>
      </c>
      <c r="C33" s="15"/>
      <c r="D33" s="16"/>
      <c r="E33" s="19">
        <v>296.0</v>
      </c>
      <c r="F33" s="19">
        <v>295.0</v>
      </c>
      <c r="G33" s="19">
        <v>294.0</v>
      </c>
      <c r="H33" s="19">
        <v>289.0</v>
      </c>
      <c r="I33" s="19">
        <v>280.0</v>
      </c>
      <c r="J33" s="19">
        <v>286.0</v>
      </c>
      <c r="K33" s="19">
        <v>291.0</v>
      </c>
      <c r="L33" s="19">
        <v>287.0</v>
      </c>
      <c r="M33" s="19">
        <v>300.0</v>
      </c>
      <c r="N33" s="19">
        <v>296.0</v>
      </c>
      <c r="O33" s="19">
        <v>293.0</v>
      </c>
      <c r="P33" s="19">
        <v>304.0</v>
      </c>
      <c r="Q33" s="19">
        <v>296.0</v>
      </c>
      <c r="R33" s="19">
        <v>280.0</v>
      </c>
      <c r="S33" s="19">
        <v>300.0</v>
      </c>
      <c r="T33" s="19">
        <v>284.0</v>
      </c>
      <c r="U33" s="19">
        <v>284.0</v>
      </c>
      <c r="V33" s="19">
        <v>287.0</v>
      </c>
      <c r="W33" s="19">
        <v>293.0</v>
      </c>
      <c r="X33" s="19">
        <v>293.0</v>
      </c>
      <c r="Y33" s="19">
        <v>292.0</v>
      </c>
      <c r="Z33" s="19">
        <v>320.0</v>
      </c>
      <c r="AA33" s="19">
        <v>279.0</v>
      </c>
      <c r="AB33" s="13">
        <f t="shared" ref="AB33:AB36" si="10">SUM(E33:AA33)</f>
        <v>6719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229.0</v>
      </c>
      <c r="G34" s="13">
        <v>206.0</v>
      </c>
      <c r="H34" s="13">
        <v>191.0</v>
      </c>
      <c r="I34" s="13">
        <v>194.0</v>
      </c>
      <c r="J34" s="13">
        <v>222.0</v>
      </c>
      <c r="K34" s="13">
        <v>218.0</v>
      </c>
      <c r="L34" s="13">
        <v>232.0</v>
      </c>
      <c r="M34" s="13">
        <v>226.0</v>
      </c>
      <c r="N34" s="13">
        <v>225.0</v>
      </c>
      <c r="O34" s="13">
        <v>225.0</v>
      </c>
      <c r="P34" s="13">
        <v>227.0</v>
      </c>
      <c r="Q34" s="13">
        <v>242.0</v>
      </c>
      <c r="R34" s="13">
        <v>211.0</v>
      </c>
      <c r="S34" s="13">
        <v>225.0</v>
      </c>
      <c r="T34" s="13">
        <v>201.0</v>
      </c>
      <c r="U34" s="13">
        <v>229.0</v>
      </c>
      <c r="V34" s="13">
        <v>217.0</v>
      </c>
      <c r="W34" s="13">
        <v>233.0</v>
      </c>
      <c r="X34" s="13">
        <v>224.0</v>
      </c>
      <c r="Y34" s="13">
        <v>206.0</v>
      </c>
      <c r="Z34" s="13">
        <v>219.0</v>
      </c>
      <c r="AA34" s="13">
        <v>213.0</v>
      </c>
      <c r="AB34" s="13">
        <f t="shared" si="10"/>
        <v>5026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0.0</v>
      </c>
      <c r="AB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85</v>
      </c>
      <c r="F36" s="13">
        <f t="shared" si="11"/>
        <v>66</v>
      </c>
      <c r="G36" s="13">
        <f t="shared" si="11"/>
        <v>88</v>
      </c>
      <c r="H36" s="13">
        <f t="shared" si="11"/>
        <v>98</v>
      </c>
      <c r="I36" s="13">
        <f t="shared" si="11"/>
        <v>86</v>
      </c>
      <c r="J36" s="13">
        <f t="shared" si="11"/>
        <v>64</v>
      </c>
      <c r="K36" s="13">
        <f t="shared" si="11"/>
        <v>73</v>
      </c>
      <c r="L36" s="13">
        <f t="shared" si="11"/>
        <v>55</v>
      </c>
      <c r="M36" s="13">
        <f t="shared" si="11"/>
        <v>74</v>
      </c>
      <c r="N36" s="13">
        <f t="shared" si="11"/>
        <v>71</v>
      </c>
      <c r="O36" s="13">
        <f t="shared" si="11"/>
        <v>68</v>
      </c>
      <c r="P36" s="13">
        <f t="shared" si="11"/>
        <v>77</v>
      </c>
      <c r="Q36" s="13">
        <f t="shared" si="11"/>
        <v>54</v>
      </c>
      <c r="R36" s="13">
        <f t="shared" si="11"/>
        <v>69</v>
      </c>
      <c r="S36" s="13">
        <f t="shared" si="11"/>
        <v>73</v>
      </c>
      <c r="T36" s="13">
        <f t="shared" si="11"/>
        <v>83</v>
      </c>
      <c r="U36" s="13">
        <f t="shared" si="11"/>
        <v>55</v>
      </c>
      <c r="V36" s="13">
        <f t="shared" si="11"/>
        <v>70</v>
      </c>
      <c r="W36" s="13">
        <f t="shared" si="11"/>
        <v>60</v>
      </c>
      <c r="X36" s="13">
        <f t="shared" si="11"/>
        <v>68</v>
      </c>
      <c r="Y36" s="13">
        <f t="shared" si="11"/>
        <v>86</v>
      </c>
      <c r="Z36" s="13">
        <f t="shared" si="11"/>
        <v>101</v>
      </c>
      <c r="AA36" s="13">
        <f t="shared" si="11"/>
        <v>66</v>
      </c>
      <c r="AB36" s="13">
        <f t="shared" si="10"/>
        <v>1690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>
        <v>1.0</v>
      </c>
      <c r="X39" s="19"/>
      <c r="Y39" s="19"/>
      <c r="Z39" s="19"/>
      <c r="AA39" s="19"/>
      <c r="AB39" s="13">
        <f t="shared" ref="AB39:AB41" si="12">SUM(E39:AA39)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>
        <v>1.0</v>
      </c>
      <c r="AA40" s="19"/>
      <c r="AB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13"/>
    </row>
    <row r="45" ht="12.75" customHeight="1">
      <c r="A45" s="30"/>
      <c r="B45" s="47" t="s">
        <v>17</v>
      </c>
      <c r="C45" s="62" t="s">
        <v>38</v>
      </c>
      <c r="D45" s="16"/>
      <c r="E45" s="19">
        <v>12.0</v>
      </c>
      <c r="F45" s="19">
        <v>12.0</v>
      </c>
      <c r="G45" s="19">
        <v>11.0</v>
      </c>
      <c r="H45" s="19">
        <v>17.0</v>
      </c>
      <c r="I45" s="19">
        <v>7.0</v>
      </c>
      <c r="J45" s="19">
        <v>31.0</v>
      </c>
      <c r="K45" s="19">
        <v>22.0</v>
      </c>
      <c r="L45" s="19">
        <v>6.0</v>
      </c>
      <c r="M45" s="19">
        <v>16.0</v>
      </c>
      <c r="N45" s="19">
        <v>18.0</v>
      </c>
      <c r="O45" s="19">
        <v>11.0</v>
      </c>
      <c r="P45" s="19">
        <v>16.0</v>
      </c>
      <c r="Q45" s="19">
        <v>14.0</v>
      </c>
      <c r="R45" s="19">
        <v>9.0</v>
      </c>
      <c r="S45" s="19">
        <v>6.0</v>
      </c>
      <c r="T45" s="19">
        <v>10.0</v>
      </c>
      <c r="U45" s="19">
        <v>11.0</v>
      </c>
      <c r="V45" s="19">
        <v>17.0</v>
      </c>
      <c r="W45" s="19">
        <v>6.0</v>
      </c>
      <c r="X45" s="19">
        <v>18.0</v>
      </c>
      <c r="Y45" s="19">
        <v>17.0</v>
      </c>
      <c r="Z45" s="19">
        <v>15.0</v>
      </c>
      <c r="AA45" s="19">
        <v>11.0</v>
      </c>
      <c r="AB45" s="13">
        <f t="shared" ref="AB45:AB57" si="14">SUM(E45:AA45)</f>
        <v>313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31.0</v>
      </c>
      <c r="F46" s="19">
        <v>30.0</v>
      </c>
      <c r="G46" s="19">
        <v>26.0</v>
      </c>
      <c r="H46" s="19">
        <v>41.0</v>
      </c>
      <c r="I46" s="19">
        <v>21.0</v>
      </c>
      <c r="J46" s="19">
        <v>30.0</v>
      </c>
      <c r="K46" s="19">
        <v>32.0</v>
      </c>
      <c r="L46" s="19">
        <v>23.0</v>
      </c>
      <c r="M46" s="19">
        <v>30.0</v>
      </c>
      <c r="N46" s="19">
        <v>34.0</v>
      </c>
      <c r="O46" s="19">
        <v>33.0</v>
      </c>
      <c r="P46" s="19">
        <v>25.0</v>
      </c>
      <c r="Q46" s="19">
        <v>36.0</v>
      </c>
      <c r="R46" s="19">
        <v>26.0</v>
      </c>
      <c r="S46" s="19">
        <v>31.0</v>
      </c>
      <c r="T46" s="19">
        <v>28.0</v>
      </c>
      <c r="U46" s="19">
        <v>35.0</v>
      </c>
      <c r="V46" s="19">
        <v>33.0</v>
      </c>
      <c r="W46" s="19">
        <v>29.0</v>
      </c>
      <c r="X46" s="19">
        <v>34.0</v>
      </c>
      <c r="Y46" s="19">
        <v>37.0</v>
      </c>
      <c r="Z46" s="19">
        <v>32.0</v>
      </c>
      <c r="AA46" s="19">
        <v>39.0</v>
      </c>
      <c r="AB46" s="13">
        <f t="shared" si="14"/>
        <v>716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11.0</v>
      </c>
      <c r="F47" s="19">
        <v>13.0</v>
      </c>
      <c r="G47" s="19">
        <v>13.0</v>
      </c>
      <c r="H47" s="19">
        <v>14.0</v>
      </c>
      <c r="I47" s="19">
        <v>21.0</v>
      </c>
      <c r="J47" s="19">
        <v>15.0</v>
      </c>
      <c r="K47" s="19">
        <v>13.0</v>
      </c>
      <c r="L47" s="19">
        <v>4.0</v>
      </c>
      <c r="M47" s="19">
        <v>15.0</v>
      </c>
      <c r="N47" s="19">
        <v>14.0</v>
      </c>
      <c r="O47" s="19">
        <v>11.0</v>
      </c>
      <c r="P47" s="19">
        <v>12.0</v>
      </c>
      <c r="Q47" s="19">
        <v>14.0</v>
      </c>
      <c r="R47" s="19">
        <v>15.0</v>
      </c>
      <c r="S47" s="19">
        <v>10.0</v>
      </c>
      <c r="T47" s="19">
        <v>10.0</v>
      </c>
      <c r="U47" s="19">
        <v>17.0</v>
      </c>
      <c r="V47" s="19">
        <v>12.0</v>
      </c>
      <c r="W47" s="19">
        <v>20.0</v>
      </c>
      <c r="X47" s="19">
        <v>11.0</v>
      </c>
      <c r="Y47" s="19">
        <v>14.0</v>
      </c>
      <c r="Z47" s="19">
        <v>13.0</v>
      </c>
      <c r="AA47" s="19">
        <v>7.0</v>
      </c>
      <c r="AB47" s="13">
        <f t="shared" si="14"/>
        <v>299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20.0</v>
      </c>
      <c r="F48" s="19">
        <v>25.0</v>
      </c>
      <c r="G48" s="19">
        <v>19.0</v>
      </c>
      <c r="H48" s="19">
        <v>19.0</v>
      </c>
      <c r="I48" s="19">
        <v>20.0</v>
      </c>
      <c r="J48" s="19">
        <v>11.0</v>
      </c>
      <c r="K48" s="19">
        <v>14.0</v>
      </c>
      <c r="L48" s="19">
        <v>15.0</v>
      </c>
      <c r="M48" s="19">
        <v>26.0</v>
      </c>
      <c r="N48" s="19">
        <v>14.0</v>
      </c>
      <c r="O48" s="19">
        <v>20.0</v>
      </c>
      <c r="P48" s="19">
        <v>18.0</v>
      </c>
      <c r="Q48" s="19">
        <v>18.0</v>
      </c>
      <c r="R48" s="19">
        <v>15.0</v>
      </c>
      <c r="S48" s="19">
        <v>26.0</v>
      </c>
      <c r="T48" s="19">
        <v>23.0</v>
      </c>
      <c r="U48" s="19">
        <v>23.0</v>
      </c>
      <c r="V48" s="19">
        <v>15.0</v>
      </c>
      <c r="W48" s="19">
        <v>25.0</v>
      </c>
      <c r="X48" s="19">
        <v>15.0</v>
      </c>
      <c r="Y48" s="19">
        <v>13.0</v>
      </c>
      <c r="Z48" s="19">
        <v>28.0</v>
      </c>
      <c r="AA48" s="19">
        <v>23.0</v>
      </c>
      <c r="AB48" s="13">
        <f t="shared" si="14"/>
        <v>445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31.0</v>
      </c>
      <c r="F49" s="19">
        <v>33.0</v>
      </c>
      <c r="G49" s="19">
        <v>33.0</v>
      </c>
      <c r="H49" s="19">
        <v>19.0</v>
      </c>
      <c r="I49" s="19">
        <v>26.0</v>
      </c>
      <c r="J49" s="19">
        <v>19.0</v>
      </c>
      <c r="K49" s="19">
        <v>33.0</v>
      </c>
      <c r="L49" s="19">
        <v>14.0</v>
      </c>
      <c r="M49" s="19">
        <v>15.0</v>
      </c>
      <c r="N49" s="19">
        <v>21.0</v>
      </c>
      <c r="O49" s="19">
        <v>27.0</v>
      </c>
      <c r="P49" s="19">
        <v>20.0</v>
      </c>
      <c r="Q49" s="19">
        <v>18.0</v>
      </c>
      <c r="R49" s="19">
        <v>35.0</v>
      </c>
      <c r="S49" s="19">
        <v>42.0</v>
      </c>
      <c r="T49" s="19">
        <v>20.0</v>
      </c>
      <c r="U49" s="19">
        <v>19.0</v>
      </c>
      <c r="V49" s="19">
        <v>18.0</v>
      </c>
      <c r="W49" s="19">
        <v>32.0</v>
      </c>
      <c r="X49" s="19">
        <v>29.0</v>
      </c>
      <c r="Y49" s="19">
        <v>17.0</v>
      </c>
      <c r="Z49" s="19">
        <v>23.0</v>
      </c>
      <c r="AA49" s="19">
        <v>26.0</v>
      </c>
      <c r="AB49" s="13">
        <f t="shared" si="14"/>
        <v>570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14.0</v>
      </c>
      <c r="F50" s="19">
        <v>17.0</v>
      </c>
      <c r="G50" s="19">
        <v>11.0</v>
      </c>
      <c r="H50" s="19">
        <v>15.0</v>
      </c>
      <c r="I50" s="19">
        <v>8.0</v>
      </c>
      <c r="J50" s="19">
        <v>14.0</v>
      </c>
      <c r="K50" s="19">
        <v>8.0</v>
      </c>
      <c r="L50" s="19">
        <v>5.0</v>
      </c>
      <c r="M50" s="19">
        <v>21.0</v>
      </c>
      <c r="N50" s="19">
        <v>16.0</v>
      </c>
      <c r="O50" s="19">
        <v>5.0</v>
      </c>
      <c r="P50" s="19">
        <v>14.0</v>
      </c>
      <c r="Q50" s="19">
        <v>12.0</v>
      </c>
      <c r="R50" s="19">
        <v>10.0</v>
      </c>
      <c r="S50" s="19">
        <v>15.0</v>
      </c>
      <c r="T50" s="19">
        <v>10.0</v>
      </c>
      <c r="U50" s="19">
        <v>22.0</v>
      </c>
      <c r="V50" s="19">
        <v>11.0</v>
      </c>
      <c r="W50" s="19">
        <v>16.0</v>
      </c>
      <c r="X50" s="19">
        <v>11.0</v>
      </c>
      <c r="Y50" s="19">
        <v>9.0</v>
      </c>
      <c r="Z50" s="19">
        <v>13.0</v>
      </c>
      <c r="AA50" s="19">
        <v>11.0</v>
      </c>
      <c r="AB50" s="13">
        <f t="shared" si="14"/>
        <v>288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5.0</v>
      </c>
      <c r="F51" s="19">
        <v>1.0</v>
      </c>
      <c r="G51" s="19">
        <v>3.0</v>
      </c>
      <c r="H51" s="19">
        <v>1.0</v>
      </c>
      <c r="I51" s="19">
        <v>2.0</v>
      </c>
      <c r="J51" s="19">
        <v>2.0</v>
      </c>
      <c r="K51" s="19">
        <v>1.0</v>
      </c>
      <c r="L51" s="19">
        <v>1.0</v>
      </c>
      <c r="M51" s="19">
        <v>1.0</v>
      </c>
      <c r="N51" s="19">
        <v>2.0</v>
      </c>
      <c r="O51" s="19">
        <v>5.0</v>
      </c>
      <c r="P51" s="19">
        <v>7.0</v>
      </c>
      <c r="Q51" s="19">
        <v>1.0</v>
      </c>
      <c r="R51" s="19">
        <v>4.0</v>
      </c>
      <c r="S51" s="19">
        <v>4.0</v>
      </c>
      <c r="T51" s="19">
        <v>1.0</v>
      </c>
      <c r="U51" s="19">
        <v>1.0</v>
      </c>
      <c r="V51" s="19">
        <v>3.0</v>
      </c>
      <c r="W51" s="19">
        <v>4.0</v>
      </c>
      <c r="X51" s="19">
        <v>2.0</v>
      </c>
      <c r="Y51" s="19">
        <v>1.0</v>
      </c>
      <c r="Z51" s="19">
        <v>4.0</v>
      </c>
      <c r="AA51" s="19">
        <v>2.0</v>
      </c>
      <c r="AB51" s="13">
        <f t="shared" si="14"/>
        <v>58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7.0</v>
      </c>
      <c r="F52" s="19">
        <v>4.0</v>
      </c>
      <c r="G52" s="19">
        <v>2.0</v>
      </c>
      <c r="H52" s="19">
        <v>2.0</v>
      </c>
      <c r="I52" s="19">
        <v>5.0</v>
      </c>
      <c r="J52" s="19">
        <v>1.0</v>
      </c>
      <c r="K52" s="19">
        <v>5.0</v>
      </c>
      <c r="L52" s="19">
        <v>1.0</v>
      </c>
      <c r="M52" s="19">
        <v>3.0</v>
      </c>
      <c r="N52" s="19">
        <v>5.0</v>
      </c>
      <c r="O52" s="19">
        <v>5.0</v>
      </c>
      <c r="P52" s="19">
        <v>6.0</v>
      </c>
      <c r="Q52" s="19">
        <v>2.0</v>
      </c>
      <c r="R52" s="19">
        <v>1.0</v>
      </c>
      <c r="S52" s="19">
        <v>1.0</v>
      </c>
      <c r="T52" s="19">
        <v>6.0</v>
      </c>
      <c r="U52" s="19">
        <v>3.0</v>
      </c>
      <c r="V52" s="19">
        <v>4.0</v>
      </c>
      <c r="W52" s="19">
        <v>0.0</v>
      </c>
      <c r="X52" s="19">
        <v>3.0</v>
      </c>
      <c r="Y52" s="19">
        <v>10.0</v>
      </c>
      <c r="Z52" s="19">
        <v>1.0</v>
      </c>
      <c r="AA52" s="19">
        <v>6.0</v>
      </c>
      <c r="AB52" s="13">
        <f t="shared" si="14"/>
        <v>83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1.0</v>
      </c>
      <c r="G53" s="19">
        <v>2.0</v>
      </c>
      <c r="H53" s="19">
        <v>0.0</v>
      </c>
      <c r="I53" s="19">
        <v>2.0</v>
      </c>
      <c r="J53" s="19">
        <v>1.0</v>
      </c>
      <c r="K53" s="19">
        <v>3.0</v>
      </c>
      <c r="L53" s="19">
        <v>1.0</v>
      </c>
      <c r="M53" s="19">
        <v>1.0</v>
      </c>
      <c r="N53" s="19">
        <v>2.0</v>
      </c>
      <c r="O53" s="19">
        <v>3.0</v>
      </c>
      <c r="P53" s="19">
        <v>0.0</v>
      </c>
      <c r="Q53" s="19">
        <v>1.0</v>
      </c>
      <c r="R53" s="19">
        <v>0.0</v>
      </c>
      <c r="S53" s="19">
        <v>1.0</v>
      </c>
      <c r="T53" s="19">
        <v>0.0</v>
      </c>
      <c r="U53" s="19">
        <v>2.0</v>
      </c>
      <c r="V53" s="19">
        <v>1.0</v>
      </c>
      <c r="W53" s="19">
        <v>2.0</v>
      </c>
      <c r="X53" s="19">
        <v>0.0</v>
      </c>
      <c r="Y53" s="19">
        <v>1.0</v>
      </c>
      <c r="Z53" s="19">
        <v>0.0</v>
      </c>
      <c r="AA53" s="19">
        <v>2.0</v>
      </c>
      <c r="AB53" s="13">
        <f t="shared" si="14"/>
        <v>27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28.0</v>
      </c>
      <c r="F54" s="19">
        <v>31.0</v>
      </c>
      <c r="G54" s="19">
        <v>21.0</v>
      </c>
      <c r="H54" s="19">
        <v>24.0</v>
      </c>
      <c r="I54" s="19">
        <v>15.0</v>
      </c>
      <c r="J54" s="19">
        <v>24.0</v>
      </c>
      <c r="K54" s="19">
        <v>28.0</v>
      </c>
      <c r="L54" s="19">
        <v>15.0</v>
      </c>
      <c r="M54" s="19">
        <v>26.0</v>
      </c>
      <c r="N54" s="19">
        <v>28.0</v>
      </c>
      <c r="O54" s="19">
        <v>44.0</v>
      </c>
      <c r="P54" s="19">
        <v>40.0</v>
      </c>
      <c r="Q54" s="19">
        <v>17.0</v>
      </c>
      <c r="R54" s="19">
        <v>33.0</v>
      </c>
      <c r="S54" s="19">
        <v>30.0</v>
      </c>
      <c r="T54" s="19">
        <v>37.0</v>
      </c>
      <c r="U54" s="19">
        <v>37.0</v>
      </c>
      <c r="V54" s="19">
        <v>25.0</v>
      </c>
      <c r="W54" s="19">
        <v>28.0</v>
      </c>
      <c r="X54" s="19">
        <v>29.0</v>
      </c>
      <c r="Y54" s="19">
        <v>19.0</v>
      </c>
      <c r="Z54" s="19">
        <v>28.0</v>
      </c>
      <c r="AA54" s="19">
        <v>35.0</v>
      </c>
      <c r="AB54" s="13">
        <f t="shared" si="14"/>
        <v>642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4.0</v>
      </c>
      <c r="F55" s="19">
        <v>1.0</v>
      </c>
      <c r="G55" s="19">
        <v>1.0</v>
      </c>
      <c r="H55" s="19">
        <v>1.0</v>
      </c>
      <c r="I55" s="19">
        <v>3.0</v>
      </c>
      <c r="J55" s="19">
        <v>2.0</v>
      </c>
      <c r="K55" s="19">
        <v>3.0</v>
      </c>
      <c r="L55" s="19">
        <v>1.0</v>
      </c>
      <c r="M55" s="19">
        <v>2.0</v>
      </c>
      <c r="N55" s="19">
        <v>0.0</v>
      </c>
      <c r="O55" s="19">
        <v>13.0</v>
      </c>
      <c r="P55" s="19">
        <v>3.0</v>
      </c>
      <c r="Q55" s="19">
        <v>3.0</v>
      </c>
      <c r="R55" s="19">
        <v>3.0</v>
      </c>
      <c r="S55" s="19">
        <v>2.0</v>
      </c>
      <c r="T55" s="19">
        <v>1.0</v>
      </c>
      <c r="U55" s="19">
        <v>1.0</v>
      </c>
      <c r="V55" s="19">
        <v>0.0</v>
      </c>
      <c r="W55" s="19">
        <v>1.0</v>
      </c>
      <c r="X55" s="19">
        <v>2.0</v>
      </c>
      <c r="Y55" s="19">
        <v>1.0</v>
      </c>
      <c r="Z55" s="19">
        <v>0.0</v>
      </c>
      <c r="AA55" s="19">
        <v>3.0</v>
      </c>
      <c r="AB55" s="13">
        <f t="shared" si="14"/>
        <v>51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22.0</v>
      </c>
      <c r="F56" s="19">
        <v>18.0</v>
      </c>
      <c r="G56" s="19">
        <v>30.0</v>
      </c>
      <c r="H56" s="19">
        <v>19.0</v>
      </c>
      <c r="I56" s="19">
        <v>21.0</v>
      </c>
      <c r="J56" s="19">
        <v>18.0</v>
      </c>
      <c r="K56" s="19">
        <v>15.0</v>
      </c>
      <c r="L56" s="19">
        <v>11.0</v>
      </c>
      <c r="M56" s="19">
        <v>18.0</v>
      </c>
      <c r="N56" s="19">
        <v>25.0</v>
      </c>
      <c r="O56" s="19">
        <v>11.0</v>
      </c>
      <c r="P56" s="19">
        <v>28.0</v>
      </c>
      <c r="Q56" s="19">
        <v>13.0</v>
      </c>
      <c r="R56" s="19">
        <v>20.0</v>
      </c>
      <c r="S56" s="19">
        <v>18.0</v>
      </c>
      <c r="T56" s="19">
        <v>17.0</v>
      </c>
      <c r="U56" s="19">
        <v>20.0</v>
      </c>
      <c r="V56" s="19">
        <v>20.0</v>
      </c>
      <c r="W56" s="19">
        <v>23.0</v>
      </c>
      <c r="X56" s="19">
        <v>15.0</v>
      </c>
      <c r="Y56" s="19">
        <v>17.0</v>
      </c>
      <c r="Z56" s="19">
        <v>19.0</v>
      </c>
      <c r="AA56" s="19">
        <v>17.0</v>
      </c>
      <c r="AB56" s="13">
        <f t="shared" si="14"/>
        <v>435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3.0</v>
      </c>
      <c r="G57" s="19">
        <v>4.0</v>
      </c>
      <c r="H57" s="19">
        <v>2.0</v>
      </c>
      <c r="I57" s="19">
        <v>5.0</v>
      </c>
      <c r="J57" s="19">
        <v>2.0</v>
      </c>
      <c r="K57" s="19">
        <v>1.0</v>
      </c>
      <c r="L57" s="19">
        <v>0.0</v>
      </c>
      <c r="M57" s="19">
        <v>4.0</v>
      </c>
      <c r="N57" s="19">
        <v>3.0</v>
      </c>
      <c r="O57" s="19">
        <v>5.0</v>
      </c>
      <c r="P57" s="19">
        <v>2.0</v>
      </c>
      <c r="Q57" s="19">
        <v>0.0</v>
      </c>
      <c r="R57" s="19">
        <v>1.0</v>
      </c>
      <c r="S57" s="19">
        <v>7.0</v>
      </c>
      <c r="T57" s="19">
        <v>3.0</v>
      </c>
      <c r="U57" s="19">
        <v>2.0</v>
      </c>
      <c r="V57" s="19">
        <v>2.0</v>
      </c>
      <c r="W57" s="19">
        <v>1.0</v>
      </c>
      <c r="X57" s="19">
        <v>2.0</v>
      </c>
      <c r="Y57" s="19">
        <v>2.0</v>
      </c>
      <c r="Z57" s="19">
        <v>3.0</v>
      </c>
      <c r="AA57" s="19">
        <v>3.0</v>
      </c>
      <c r="AB57" s="13">
        <f t="shared" si="14"/>
        <v>58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A60" si="15">SUM(E45:E57)</f>
        <v>187</v>
      </c>
      <c r="F60" s="19">
        <f t="shared" si="15"/>
        <v>189</v>
      </c>
      <c r="G60" s="19">
        <f t="shared" si="15"/>
        <v>176</v>
      </c>
      <c r="H60" s="19">
        <f t="shared" si="15"/>
        <v>174</v>
      </c>
      <c r="I60" s="19">
        <f t="shared" si="15"/>
        <v>156</v>
      </c>
      <c r="J60" s="19">
        <f t="shared" si="15"/>
        <v>170</v>
      </c>
      <c r="K60" s="19">
        <f t="shared" si="15"/>
        <v>178</v>
      </c>
      <c r="L60" s="19">
        <f t="shared" si="15"/>
        <v>97</v>
      </c>
      <c r="M60" s="19">
        <f t="shared" si="15"/>
        <v>178</v>
      </c>
      <c r="N60" s="19">
        <f t="shared" si="15"/>
        <v>182</v>
      </c>
      <c r="O60" s="19">
        <f t="shared" si="15"/>
        <v>193</v>
      </c>
      <c r="P60" s="19">
        <f t="shared" si="15"/>
        <v>191</v>
      </c>
      <c r="Q60" s="19">
        <f t="shared" si="15"/>
        <v>149</v>
      </c>
      <c r="R60" s="19">
        <f t="shared" si="15"/>
        <v>172</v>
      </c>
      <c r="S60" s="19">
        <f t="shared" si="15"/>
        <v>193</v>
      </c>
      <c r="T60" s="19">
        <f t="shared" si="15"/>
        <v>166</v>
      </c>
      <c r="U60" s="19">
        <f t="shared" si="15"/>
        <v>193</v>
      </c>
      <c r="V60" s="19">
        <f t="shared" si="15"/>
        <v>161</v>
      </c>
      <c r="W60" s="19">
        <f t="shared" si="15"/>
        <v>187</v>
      </c>
      <c r="X60" s="19">
        <f t="shared" si="15"/>
        <v>171</v>
      </c>
      <c r="Y60" s="19">
        <f t="shared" si="15"/>
        <v>158</v>
      </c>
      <c r="Z60" s="19">
        <f t="shared" si="15"/>
        <v>179</v>
      </c>
      <c r="AA60" s="19">
        <f t="shared" si="15"/>
        <v>185</v>
      </c>
      <c r="AB60" s="13">
        <f t="shared" ref="AB60:AB62" si="16">SUM(E60:AA60)</f>
        <v>3985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24.0</v>
      </c>
      <c r="F61" s="19">
        <v>40.0</v>
      </c>
      <c r="G61" s="19">
        <v>30.0</v>
      </c>
      <c r="H61" s="19">
        <v>17.0</v>
      </c>
      <c r="I61" s="19">
        <v>38.0</v>
      </c>
      <c r="J61" s="19">
        <v>52.0</v>
      </c>
      <c r="K61" s="19">
        <v>40.0</v>
      </c>
      <c r="L61" s="19">
        <v>135.0</v>
      </c>
      <c r="M61" s="19">
        <v>48.0</v>
      </c>
      <c r="N61" s="19">
        <v>43.0</v>
      </c>
      <c r="O61" s="19">
        <v>32.0</v>
      </c>
      <c r="P61" s="19">
        <v>36.0</v>
      </c>
      <c r="Q61" s="19">
        <v>93.0</v>
      </c>
      <c r="R61" s="19">
        <v>39.0</v>
      </c>
      <c r="S61" s="19">
        <v>32.0</v>
      </c>
      <c r="T61" s="19">
        <v>35.0</v>
      </c>
      <c r="U61" s="19">
        <v>36.0</v>
      </c>
      <c r="V61" s="19">
        <v>56.0</v>
      </c>
      <c r="W61" s="19">
        <v>46.0</v>
      </c>
      <c r="X61" s="19">
        <v>53.0</v>
      </c>
      <c r="Y61" s="19">
        <v>48.0</v>
      </c>
      <c r="Z61" s="19">
        <v>40.0</v>
      </c>
      <c r="AA61" s="19">
        <v>28.0</v>
      </c>
      <c r="AB61" s="13">
        <f t="shared" si="16"/>
        <v>1041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A62" si="17">SUM(E60:E61)</f>
        <v>211</v>
      </c>
      <c r="F62" s="13">
        <f t="shared" si="17"/>
        <v>229</v>
      </c>
      <c r="G62" s="13">
        <f t="shared" si="17"/>
        <v>206</v>
      </c>
      <c r="H62" s="13">
        <f t="shared" si="17"/>
        <v>191</v>
      </c>
      <c r="I62" s="13">
        <f t="shared" si="17"/>
        <v>194</v>
      </c>
      <c r="J62" s="13">
        <f t="shared" si="17"/>
        <v>222</v>
      </c>
      <c r="K62" s="13">
        <f t="shared" si="17"/>
        <v>218</v>
      </c>
      <c r="L62" s="13">
        <f t="shared" si="17"/>
        <v>232</v>
      </c>
      <c r="M62" s="13">
        <f t="shared" si="17"/>
        <v>226</v>
      </c>
      <c r="N62" s="13">
        <f t="shared" si="17"/>
        <v>225</v>
      </c>
      <c r="O62" s="13">
        <f t="shared" si="17"/>
        <v>225</v>
      </c>
      <c r="P62" s="13">
        <f t="shared" si="17"/>
        <v>227</v>
      </c>
      <c r="Q62" s="13">
        <f t="shared" si="17"/>
        <v>242</v>
      </c>
      <c r="R62" s="13">
        <f t="shared" si="17"/>
        <v>211</v>
      </c>
      <c r="S62" s="13">
        <f t="shared" si="17"/>
        <v>225</v>
      </c>
      <c r="T62" s="13">
        <f t="shared" si="17"/>
        <v>201</v>
      </c>
      <c r="U62" s="13">
        <f t="shared" si="17"/>
        <v>229</v>
      </c>
      <c r="V62" s="13">
        <f t="shared" si="17"/>
        <v>217</v>
      </c>
      <c r="W62" s="13">
        <f t="shared" si="17"/>
        <v>233</v>
      </c>
      <c r="X62" s="13">
        <f t="shared" si="17"/>
        <v>224</v>
      </c>
      <c r="Y62" s="13">
        <f t="shared" si="17"/>
        <v>206</v>
      </c>
      <c r="Z62" s="13">
        <f t="shared" si="17"/>
        <v>219</v>
      </c>
      <c r="AA62" s="13">
        <f t="shared" si="17"/>
        <v>213</v>
      </c>
      <c r="AB62" s="13">
        <f t="shared" si="16"/>
        <v>5026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A15 E45:AA5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60:AA61">
    <cfRule type="containsBlanks" dxfId="1" priority="10">
      <formula>LEN(TRIM(E60))=0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13" t="s">
        <v>93</v>
      </c>
      <c r="AA13" s="13" t="s">
        <v>94</v>
      </c>
      <c r="AB13" s="13" t="s">
        <v>96</v>
      </c>
      <c r="AC13" s="13" t="s">
        <v>97</v>
      </c>
      <c r="AD13" s="13" t="s">
        <v>98</v>
      </c>
      <c r="AE13" s="13" t="s">
        <v>99</v>
      </c>
      <c r="AF13" s="13" t="s">
        <v>100</v>
      </c>
      <c r="AG13" s="13" t="s">
        <v>101</v>
      </c>
      <c r="AH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150.0</v>
      </c>
      <c r="G14" s="19">
        <v>140.0</v>
      </c>
      <c r="H14" s="19">
        <v>130.0</v>
      </c>
      <c r="I14" s="19">
        <v>145.0</v>
      </c>
      <c r="J14" s="19">
        <v>139.0</v>
      </c>
      <c r="K14" s="19">
        <v>138.0</v>
      </c>
      <c r="L14" s="19">
        <v>138.0</v>
      </c>
      <c r="M14" s="19">
        <v>146.0</v>
      </c>
      <c r="N14" s="19">
        <v>141.0</v>
      </c>
      <c r="O14" s="19">
        <v>134.0</v>
      </c>
      <c r="P14" s="19">
        <v>136.0</v>
      </c>
      <c r="Q14" s="19">
        <v>135.0</v>
      </c>
      <c r="R14" s="19">
        <v>127.0</v>
      </c>
      <c r="S14" s="19">
        <v>124.0</v>
      </c>
      <c r="T14" s="19">
        <v>127.0</v>
      </c>
      <c r="U14" s="19">
        <v>138.0</v>
      </c>
      <c r="V14" s="19">
        <v>147.0</v>
      </c>
      <c r="W14" s="19">
        <v>129.0</v>
      </c>
      <c r="X14" s="19">
        <v>120.0</v>
      </c>
      <c r="Y14" s="19">
        <v>130.0</v>
      </c>
      <c r="Z14" s="19">
        <v>135.0</v>
      </c>
      <c r="AA14" s="19">
        <v>136.0</v>
      </c>
      <c r="AB14" s="19">
        <v>125.0</v>
      </c>
      <c r="AC14" s="19">
        <v>136.0</v>
      </c>
      <c r="AD14" s="19">
        <v>135.0</v>
      </c>
      <c r="AE14" s="19">
        <v>82.0</v>
      </c>
      <c r="AF14" s="19">
        <v>74.0</v>
      </c>
      <c r="AG14" s="19">
        <v>148.0</v>
      </c>
      <c r="AH14" s="13">
        <f t="shared" ref="AH14:AH16" si="1">SUM(E14:AG14)</f>
        <v>3820</v>
      </c>
    </row>
    <row r="15" ht="12.75" customHeight="1">
      <c r="A15" s="18"/>
      <c r="B15" s="26"/>
      <c r="C15" s="27"/>
      <c r="D15" s="19" t="s">
        <v>13</v>
      </c>
      <c r="E15" s="19">
        <v>155.0</v>
      </c>
      <c r="F15" s="19">
        <v>142.0</v>
      </c>
      <c r="G15" s="19">
        <v>154.0</v>
      </c>
      <c r="H15" s="19">
        <v>159.0</v>
      </c>
      <c r="I15" s="19">
        <v>146.0</v>
      </c>
      <c r="J15" s="19">
        <v>140.0</v>
      </c>
      <c r="K15" s="19">
        <v>149.0</v>
      </c>
      <c r="L15" s="19">
        <v>154.0</v>
      </c>
      <c r="M15" s="19">
        <v>144.0</v>
      </c>
      <c r="N15" s="19">
        <v>155.0</v>
      </c>
      <c r="O15" s="19">
        <v>162.0</v>
      </c>
      <c r="P15" s="19">
        <v>143.0</v>
      </c>
      <c r="Q15" s="19">
        <v>129.0</v>
      </c>
      <c r="R15" s="19">
        <v>147.0</v>
      </c>
      <c r="S15" s="19">
        <v>144.0</v>
      </c>
      <c r="T15" s="19">
        <v>143.0</v>
      </c>
      <c r="U15" s="19">
        <v>153.0</v>
      </c>
      <c r="V15" s="19">
        <v>146.0</v>
      </c>
      <c r="W15" s="19">
        <v>146.0</v>
      </c>
      <c r="X15" s="19">
        <v>150.0</v>
      </c>
      <c r="Y15" s="19">
        <v>153.0</v>
      </c>
      <c r="Z15" s="19">
        <v>149.0</v>
      </c>
      <c r="AA15" s="19">
        <v>154.0</v>
      </c>
      <c r="AB15" s="19">
        <v>152.0</v>
      </c>
      <c r="AC15" s="19">
        <v>160.0</v>
      </c>
      <c r="AD15" s="19">
        <v>148.0</v>
      </c>
      <c r="AE15" s="19">
        <v>96.0</v>
      </c>
      <c r="AF15" s="19">
        <v>83.0</v>
      </c>
      <c r="AG15" s="19">
        <v>150.0</v>
      </c>
      <c r="AH15" s="13">
        <f t="shared" si="1"/>
        <v>4206</v>
      </c>
    </row>
    <row r="16" ht="12.75" customHeight="1">
      <c r="A16" s="25"/>
      <c r="B16" s="21"/>
      <c r="C16" s="28"/>
      <c r="D16" s="13" t="s">
        <v>14</v>
      </c>
      <c r="E16" s="13">
        <f t="shared" ref="E16:AG16" si="2">SUM(E14:E15)</f>
        <v>290</v>
      </c>
      <c r="F16" s="13">
        <f t="shared" si="2"/>
        <v>292</v>
      </c>
      <c r="G16" s="13">
        <f t="shared" si="2"/>
        <v>294</v>
      </c>
      <c r="H16" s="13">
        <f t="shared" si="2"/>
        <v>289</v>
      </c>
      <c r="I16" s="13">
        <f t="shared" si="2"/>
        <v>291</v>
      </c>
      <c r="J16" s="13">
        <f t="shared" si="2"/>
        <v>279</v>
      </c>
      <c r="K16" s="13">
        <f t="shared" si="2"/>
        <v>287</v>
      </c>
      <c r="L16" s="13">
        <f t="shared" si="2"/>
        <v>292</v>
      </c>
      <c r="M16" s="13">
        <f t="shared" si="2"/>
        <v>290</v>
      </c>
      <c r="N16" s="13">
        <f t="shared" si="2"/>
        <v>296</v>
      </c>
      <c r="O16" s="13">
        <f t="shared" si="2"/>
        <v>296</v>
      </c>
      <c r="P16" s="13">
        <f t="shared" si="2"/>
        <v>279</v>
      </c>
      <c r="Q16" s="13">
        <f t="shared" si="2"/>
        <v>264</v>
      </c>
      <c r="R16" s="13">
        <f t="shared" si="2"/>
        <v>274</v>
      </c>
      <c r="S16" s="13">
        <f t="shared" si="2"/>
        <v>268</v>
      </c>
      <c r="T16" s="13">
        <f t="shared" si="2"/>
        <v>270</v>
      </c>
      <c r="U16" s="13">
        <f t="shared" si="2"/>
        <v>291</v>
      </c>
      <c r="V16" s="13">
        <f t="shared" si="2"/>
        <v>293</v>
      </c>
      <c r="W16" s="13">
        <f t="shared" si="2"/>
        <v>275</v>
      </c>
      <c r="X16" s="13">
        <f t="shared" si="2"/>
        <v>270</v>
      </c>
      <c r="Y16" s="13">
        <f t="shared" si="2"/>
        <v>283</v>
      </c>
      <c r="Z16" s="13">
        <f t="shared" si="2"/>
        <v>284</v>
      </c>
      <c r="AA16" s="13">
        <f t="shared" si="2"/>
        <v>290</v>
      </c>
      <c r="AB16" s="13">
        <f t="shared" si="2"/>
        <v>277</v>
      </c>
      <c r="AC16" s="13">
        <f t="shared" si="2"/>
        <v>296</v>
      </c>
      <c r="AD16" s="13">
        <f t="shared" si="2"/>
        <v>283</v>
      </c>
      <c r="AE16" s="13">
        <f t="shared" si="2"/>
        <v>178</v>
      </c>
      <c r="AF16" s="13">
        <f t="shared" si="2"/>
        <v>157</v>
      </c>
      <c r="AG16" s="13">
        <f t="shared" si="2"/>
        <v>298</v>
      </c>
      <c r="AH16" s="13">
        <f t="shared" si="1"/>
        <v>8026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94.0</v>
      </c>
      <c r="F19" s="19">
        <v>111.0</v>
      </c>
      <c r="G19" s="19">
        <v>95.0</v>
      </c>
      <c r="H19" s="19">
        <v>95.0</v>
      </c>
      <c r="I19" s="19">
        <v>112.0</v>
      </c>
      <c r="J19" s="19">
        <v>109.0</v>
      </c>
      <c r="K19" s="19">
        <v>103.0</v>
      </c>
      <c r="L19" s="19">
        <v>99.0</v>
      </c>
      <c r="M19" s="19">
        <v>113.0</v>
      </c>
      <c r="N19" s="19">
        <v>91.0</v>
      </c>
      <c r="O19" s="19">
        <v>101.0</v>
      </c>
      <c r="P19" s="19">
        <v>92.0</v>
      </c>
      <c r="Q19" s="19">
        <v>97.0</v>
      </c>
      <c r="R19" s="19">
        <v>92.0</v>
      </c>
      <c r="S19" s="19">
        <v>89.0</v>
      </c>
      <c r="T19" s="19">
        <v>92.0</v>
      </c>
      <c r="U19" s="19">
        <v>96.0</v>
      </c>
      <c r="V19" s="19">
        <v>118.0</v>
      </c>
      <c r="W19" s="19">
        <v>100.0</v>
      </c>
      <c r="X19" s="19">
        <v>88.0</v>
      </c>
      <c r="Y19" s="19">
        <v>93.0</v>
      </c>
      <c r="Z19" s="19">
        <v>94.0</v>
      </c>
      <c r="AA19" s="19">
        <v>101.0</v>
      </c>
      <c r="AB19" s="19">
        <v>87.0</v>
      </c>
      <c r="AC19" s="19">
        <v>102.0</v>
      </c>
      <c r="AD19" s="19">
        <v>96.0</v>
      </c>
      <c r="AE19" s="19">
        <v>56.0</v>
      </c>
      <c r="AF19" s="19">
        <v>53.0</v>
      </c>
      <c r="AG19" s="19">
        <v>123.0</v>
      </c>
      <c r="AH19" s="13">
        <f t="shared" ref="AH19:AH30" si="3">SUM(E19:AG19)</f>
        <v>2792</v>
      </c>
    </row>
    <row r="20" ht="12.75" customHeight="1">
      <c r="A20" s="33"/>
      <c r="B20" s="27"/>
      <c r="C20" s="34"/>
      <c r="D20" s="19" t="s">
        <v>13</v>
      </c>
      <c r="E20" s="19">
        <v>121.0</v>
      </c>
      <c r="F20" s="19">
        <v>112.0</v>
      </c>
      <c r="G20" s="19">
        <v>112.0</v>
      </c>
      <c r="H20" s="19">
        <v>127.0</v>
      </c>
      <c r="I20" s="19">
        <v>127.0</v>
      </c>
      <c r="J20" s="19">
        <v>104.0</v>
      </c>
      <c r="K20" s="19">
        <v>116.0</v>
      </c>
      <c r="L20" s="19">
        <v>126.0</v>
      </c>
      <c r="M20" s="19">
        <v>120.0</v>
      </c>
      <c r="N20" s="19">
        <v>111.0</v>
      </c>
      <c r="O20" s="19">
        <v>122.0</v>
      </c>
      <c r="P20" s="19">
        <v>116.0</v>
      </c>
      <c r="Q20" s="19">
        <v>112.0</v>
      </c>
      <c r="R20" s="19">
        <v>111.0</v>
      </c>
      <c r="S20" s="19">
        <v>117.0</v>
      </c>
      <c r="T20" s="19">
        <v>107.0</v>
      </c>
      <c r="U20" s="19">
        <v>124.0</v>
      </c>
      <c r="V20" s="19">
        <v>128.0</v>
      </c>
      <c r="W20" s="19">
        <v>120.0</v>
      </c>
      <c r="X20" s="19">
        <v>123.0</v>
      </c>
      <c r="Y20" s="19">
        <v>127.0</v>
      </c>
      <c r="Z20" s="19">
        <v>118.0</v>
      </c>
      <c r="AA20" s="19">
        <v>121.0</v>
      </c>
      <c r="AB20" s="19">
        <v>113.0</v>
      </c>
      <c r="AC20" s="19">
        <v>128.0</v>
      </c>
      <c r="AD20" s="19">
        <v>126.0</v>
      </c>
      <c r="AE20" s="19">
        <v>70.0</v>
      </c>
      <c r="AF20" s="19">
        <v>67.0</v>
      </c>
      <c r="AG20" s="19">
        <v>128.0</v>
      </c>
      <c r="AH20" s="13">
        <f t="shared" si="3"/>
        <v>3354</v>
      </c>
    </row>
    <row r="21" ht="12.75" customHeight="1">
      <c r="A21" s="35"/>
      <c r="B21" s="28"/>
      <c r="C21" s="36"/>
      <c r="D21" s="13" t="s">
        <v>14</v>
      </c>
      <c r="E21" s="13">
        <f t="shared" ref="E21:AG21" si="4">SUM(E19:E20)</f>
        <v>215</v>
      </c>
      <c r="F21" s="13">
        <f t="shared" si="4"/>
        <v>223</v>
      </c>
      <c r="G21" s="13">
        <f t="shared" si="4"/>
        <v>207</v>
      </c>
      <c r="H21" s="13">
        <f t="shared" si="4"/>
        <v>222</v>
      </c>
      <c r="I21" s="13">
        <f t="shared" si="4"/>
        <v>239</v>
      </c>
      <c r="J21" s="13">
        <f t="shared" si="4"/>
        <v>213</v>
      </c>
      <c r="K21" s="13">
        <f t="shared" si="4"/>
        <v>219</v>
      </c>
      <c r="L21" s="13">
        <f t="shared" si="4"/>
        <v>225</v>
      </c>
      <c r="M21" s="13">
        <f t="shared" si="4"/>
        <v>233</v>
      </c>
      <c r="N21" s="13">
        <f t="shared" si="4"/>
        <v>202</v>
      </c>
      <c r="O21" s="13">
        <f t="shared" si="4"/>
        <v>223</v>
      </c>
      <c r="P21" s="13">
        <f t="shared" si="4"/>
        <v>208</v>
      </c>
      <c r="Q21" s="13">
        <f t="shared" si="4"/>
        <v>209</v>
      </c>
      <c r="R21" s="13">
        <f t="shared" si="4"/>
        <v>203</v>
      </c>
      <c r="S21" s="13">
        <f t="shared" si="4"/>
        <v>206</v>
      </c>
      <c r="T21" s="13">
        <f t="shared" si="4"/>
        <v>199</v>
      </c>
      <c r="U21" s="13">
        <f t="shared" si="4"/>
        <v>220</v>
      </c>
      <c r="V21" s="13">
        <f t="shared" si="4"/>
        <v>246</v>
      </c>
      <c r="W21" s="13">
        <f t="shared" si="4"/>
        <v>220</v>
      </c>
      <c r="X21" s="13">
        <f t="shared" si="4"/>
        <v>211</v>
      </c>
      <c r="Y21" s="13">
        <f t="shared" si="4"/>
        <v>220</v>
      </c>
      <c r="Z21" s="13">
        <f t="shared" si="4"/>
        <v>212</v>
      </c>
      <c r="AA21" s="13">
        <f t="shared" si="4"/>
        <v>222</v>
      </c>
      <c r="AB21" s="13">
        <f t="shared" si="4"/>
        <v>200</v>
      </c>
      <c r="AC21" s="13">
        <f t="shared" si="4"/>
        <v>230</v>
      </c>
      <c r="AD21" s="13">
        <f t="shared" si="4"/>
        <v>222</v>
      </c>
      <c r="AE21" s="13">
        <f t="shared" si="4"/>
        <v>126</v>
      </c>
      <c r="AF21" s="13">
        <f t="shared" si="4"/>
        <v>120</v>
      </c>
      <c r="AG21" s="13">
        <f t="shared" si="4"/>
        <v>251</v>
      </c>
      <c r="AH21" s="13">
        <f t="shared" si="3"/>
        <v>6146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2.0</v>
      </c>
      <c r="H22" s="19">
        <v>0.0</v>
      </c>
      <c r="I22" s="19">
        <v>0.0</v>
      </c>
      <c r="J22" s="19">
        <v>0.0</v>
      </c>
      <c r="K22" s="19">
        <v>1.0</v>
      </c>
      <c r="L22" s="19">
        <v>2.0</v>
      </c>
      <c r="M22" s="19">
        <v>1.0</v>
      </c>
      <c r="N22" s="19">
        <v>0.0</v>
      </c>
      <c r="O22" s="19">
        <v>0.0</v>
      </c>
      <c r="P22" s="19">
        <v>4.0</v>
      </c>
      <c r="Q22" s="19">
        <v>0.0</v>
      </c>
      <c r="R22" s="19">
        <v>0.0</v>
      </c>
      <c r="S22" s="19">
        <v>3.0</v>
      </c>
      <c r="T22" s="19">
        <v>9.0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1.0</v>
      </c>
      <c r="AC22" s="19">
        <v>0.0</v>
      </c>
      <c r="AD22" s="19">
        <v>11.0</v>
      </c>
      <c r="AE22" s="19">
        <v>8.0</v>
      </c>
      <c r="AF22" s="19">
        <v>0.0</v>
      </c>
      <c r="AG22" s="19">
        <v>0.0</v>
      </c>
      <c r="AH22" s="13">
        <f t="shared" si="3"/>
        <v>46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3.0</v>
      </c>
      <c r="M23" s="19">
        <v>0.0</v>
      </c>
      <c r="N23" s="19">
        <v>0.0</v>
      </c>
      <c r="O23" s="19">
        <v>0.0</v>
      </c>
      <c r="P23" s="19">
        <v>4.0</v>
      </c>
      <c r="Q23" s="19">
        <v>0.0</v>
      </c>
      <c r="R23" s="19">
        <v>0.0</v>
      </c>
      <c r="S23" s="19">
        <v>3.0</v>
      </c>
      <c r="T23" s="19">
        <v>3.0</v>
      </c>
      <c r="U23" s="19">
        <v>3.0</v>
      </c>
      <c r="V23" s="19">
        <v>0.0</v>
      </c>
      <c r="W23" s="19">
        <v>0.0</v>
      </c>
      <c r="X23" s="19">
        <v>0.0</v>
      </c>
      <c r="Y23" s="19">
        <v>2.0</v>
      </c>
      <c r="Z23" s="19">
        <v>3.0</v>
      </c>
      <c r="AA23" s="19">
        <v>1.0</v>
      </c>
      <c r="AB23" s="19">
        <v>2.0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3">
        <f t="shared" si="3"/>
        <v>30</v>
      </c>
    </row>
    <row r="24" ht="12.75" customHeight="1">
      <c r="A24" s="35"/>
      <c r="B24" s="28"/>
      <c r="C24" s="36"/>
      <c r="D24" s="13" t="s">
        <v>14</v>
      </c>
      <c r="E24" s="13">
        <f t="shared" ref="E24:AG24" si="5">SUM(E22:E23)</f>
        <v>2</v>
      </c>
      <c r="F24" s="13">
        <f t="shared" si="5"/>
        <v>3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5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8</v>
      </c>
      <c r="Q24" s="13">
        <f t="shared" si="5"/>
        <v>0</v>
      </c>
      <c r="R24" s="13">
        <f t="shared" si="5"/>
        <v>0</v>
      </c>
      <c r="S24" s="13">
        <f t="shared" si="5"/>
        <v>6</v>
      </c>
      <c r="T24" s="13">
        <f t="shared" si="5"/>
        <v>12</v>
      </c>
      <c r="U24" s="13">
        <f t="shared" si="5"/>
        <v>5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2</v>
      </c>
      <c r="Z24" s="13">
        <f t="shared" si="5"/>
        <v>4</v>
      </c>
      <c r="AA24" s="13">
        <f t="shared" si="5"/>
        <v>1</v>
      </c>
      <c r="AB24" s="13">
        <f t="shared" si="5"/>
        <v>3</v>
      </c>
      <c r="AC24" s="13">
        <f t="shared" si="5"/>
        <v>0</v>
      </c>
      <c r="AD24" s="13">
        <f t="shared" si="5"/>
        <v>12</v>
      </c>
      <c r="AE24" s="13">
        <f t="shared" si="5"/>
        <v>8</v>
      </c>
      <c r="AF24" s="13">
        <f t="shared" si="5"/>
        <v>0</v>
      </c>
      <c r="AG24" s="13">
        <f t="shared" si="5"/>
        <v>0</v>
      </c>
      <c r="AH24" s="13">
        <f t="shared" si="3"/>
        <v>76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1.0</v>
      </c>
      <c r="I25" s="19">
        <v>0.0</v>
      </c>
      <c r="J25" s="19">
        <v>0.0</v>
      </c>
      <c r="K25" s="19">
        <v>3.0</v>
      </c>
      <c r="L25" s="19">
        <v>2.0</v>
      </c>
      <c r="M25" s="19">
        <v>1.0</v>
      </c>
      <c r="N25" s="19">
        <v>1.0</v>
      </c>
      <c r="O25" s="19">
        <v>1.0</v>
      </c>
      <c r="P25" s="19">
        <v>0.0</v>
      </c>
      <c r="Q25" s="19">
        <v>4.0</v>
      </c>
      <c r="R25" s="19">
        <v>4.0</v>
      </c>
      <c r="S25" s="19">
        <v>4.0</v>
      </c>
      <c r="T25" s="19">
        <v>0.0</v>
      </c>
      <c r="U25" s="19">
        <v>0.0</v>
      </c>
      <c r="V25" s="19">
        <v>1.0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2.0</v>
      </c>
      <c r="AD25" s="19">
        <v>1.0</v>
      </c>
      <c r="AE25" s="19">
        <v>2.0</v>
      </c>
      <c r="AF25" s="19">
        <v>2.0</v>
      </c>
      <c r="AG25" s="19">
        <v>0.0</v>
      </c>
      <c r="AH25" s="13">
        <f t="shared" si="3"/>
        <v>33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2.0</v>
      </c>
      <c r="I26" s="19">
        <v>0.0</v>
      </c>
      <c r="J26" s="19">
        <v>1.0</v>
      </c>
      <c r="K26" s="19">
        <v>4.0</v>
      </c>
      <c r="L26" s="19">
        <v>1.0</v>
      </c>
      <c r="M26" s="19">
        <v>5.0</v>
      </c>
      <c r="N26" s="19">
        <v>1.0</v>
      </c>
      <c r="O26" s="19">
        <v>1.0</v>
      </c>
      <c r="P26" s="19">
        <v>1.0</v>
      </c>
      <c r="Q26" s="19">
        <v>2.0</v>
      </c>
      <c r="R26" s="19">
        <v>2.0</v>
      </c>
      <c r="S26" s="19">
        <v>5.0</v>
      </c>
      <c r="T26" s="19">
        <v>2.0</v>
      </c>
      <c r="U26" s="19">
        <v>0.0</v>
      </c>
      <c r="V26" s="19">
        <v>1.0</v>
      </c>
      <c r="W26" s="19">
        <v>2.0</v>
      </c>
      <c r="X26" s="19">
        <v>4.0</v>
      </c>
      <c r="Y26" s="19">
        <v>2.0</v>
      </c>
      <c r="Z26" s="19">
        <v>2.0</v>
      </c>
      <c r="AA26" s="19">
        <v>0.0</v>
      </c>
      <c r="AB26" s="19">
        <v>0.0</v>
      </c>
      <c r="AC26" s="19">
        <v>0.0</v>
      </c>
      <c r="AD26" s="19">
        <v>2.0</v>
      </c>
      <c r="AE26" s="19">
        <v>3.0</v>
      </c>
      <c r="AF26" s="19">
        <v>5.0</v>
      </c>
      <c r="AG26" s="19">
        <v>0.0</v>
      </c>
      <c r="AH26" s="13">
        <f t="shared" si="3"/>
        <v>53</v>
      </c>
    </row>
    <row r="27" ht="12.75" customHeight="1">
      <c r="A27" s="35"/>
      <c r="B27" s="28"/>
      <c r="C27" s="36"/>
      <c r="D27" s="13" t="s">
        <v>14</v>
      </c>
      <c r="E27" s="13">
        <f t="shared" ref="E27:AG27" si="6">SUM(E25:E26)</f>
        <v>1</v>
      </c>
      <c r="F27" s="13">
        <f t="shared" si="6"/>
        <v>3</v>
      </c>
      <c r="G27" s="13">
        <f t="shared" si="6"/>
        <v>4</v>
      </c>
      <c r="H27" s="13">
        <f t="shared" si="6"/>
        <v>3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3</v>
      </c>
      <c r="M27" s="13">
        <f t="shared" si="6"/>
        <v>6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6</v>
      </c>
      <c r="R27" s="13">
        <f t="shared" si="6"/>
        <v>6</v>
      </c>
      <c r="S27" s="13">
        <f t="shared" si="6"/>
        <v>9</v>
      </c>
      <c r="T27" s="13">
        <f t="shared" si="6"/>
        <v>2</v>
      </c>
      <c r="U27" s="13">
        <f t="shared" si="6"/>
        <v>0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5</v>
      </c>
      <c r="AF27" s="13">
        <f t="shared" si="6"/>
        <v>7</v>
      </c>
      <c r="AG27" s="13">
        <f t="shared" si="6"/>
        <v>0</v>
      </c>
      <c r="AH27" s="13">
        <f t="shared" si="3"/>
        <v>86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G28" si="7">SUM(E19,E22,E25)</f>
        <v>95</v>
      </c>
      <c r="F28" s="13">
        <f t="shared" si="7"/>
        <v>112</v>
      </c>
      <c r="G28" s="13">
        <f t="shared" si="7"/>
        <v>99</v>
      </c>
      <c r="H28" s="13">
        <f t="shared" si="7"/>
        <v>96</v>
      </c>
      <c r="I28" s="13">
        <f t="shared" si="7"/>
        <v>112</v>
      </c>
      <c r="J28" s="13">
        <f t="shared" si="7"/>
        <v>109</v>
      </c>
      <c r="K28" s="13">
        <f t="shared" si="7"/>
        <v>107</v>
      </c>
      <c r="L28" s="13">
        <f t="shared" si="7"/>
        <v>103</v>
      </c>
      <c r="M28" s="13">
        <f t="shared" si="7"/>
        <v>115</v>
      </c>
      <c r="N28" s="13">
        <f t="shared" si="7"/>
        <v>92</v>
      </c>
      <c r="O28" s="13">
        <f t="shared" si="7"/>
        <v>102</v>
      </c>
      <c r="P28" s="13">
        <f t="shared" si="7"/>
        <v>96</v>
      </c>
      <c r="Q28" s="13">
        <f t="shared" si="7"/>
        <v>101</v>
      </c>
      <c r="R28" s="13">
        <f t="shared" si="7"/>
        <v>96</v>
      </c>
      <c r="S28" s="13">
        <f t="shared" si="7"/>
        <v>96</v>
      </c>
      <c r="T28" s="13">
        <f t="shared" si="7"/>
        <v>101</v>
      </c>
      <c r="U28" s="13">
        <f t="shared" si="7"/>
        <v>98</v>
      </c>
      <c r="V28" s="13">
        <f t="shared" si="7"/>
        <v>119</v>
      </c>
      <c r="W28" s="13">
        <f t="shared" si="7"/>
        <v>100</v>
      </c>
      <c r="X28" s="13">
        <f t="shared" si="7"/>
        <v>88</v>
      </c>
      <c r="Y28" s="13">
        <f t="shared" si="7"/>
        <v>94</v>
      </c>
      <c r="Z28" s="13">
        <f t="shared" si="7"/>
        <v>95</v>
      </c>
      <c r="AA28" s="13">
        <f t="shared" si="7"/>
        <v>101</v>
      </c>
      <c r="AB28" s="13">
        <f t="shared" si="7"/>
        <v>88</v>
      </c>
      <c r="AC28" s="13">
        <f t="shared" si="7"/>
        <v>104</v>
      </c>
      <c r="AD28" s="13">
        <f t="shared" si="7"/>
        <v>108</v>
      </c>
      <c r="AE28" s="13">
        <f t="shared" si="7"/>
        <v>66</v>
      </c>
      <c r="AF28" s="13">
        <f t="shared" si="7"/>
        <v>55</v>
      </c>
      <c r="AG28" s="13">
        <f t="shared" si="7"/>
        <v>123</v>
      </c>
      <c r="AH28" s="13">
        <f t="shared" si="3"/>
        <v>2871</v>
      </c>
    </row>
    <row r="29" ht="12.75" customHeight="1">
      <c r="A29" s="35"/>
      <c r="B29" s="27"/>
      <c r="C29" s="34"/>
      <c r="D29" s="13" t="s">
        <v>13</v>
      </c>
      <c r="E29" s="13">
        <f t="shared" ref="E29:AG29" si="8">SUM(E20,E23,E26)</f>
        <v>123</v>
      </c>
      <c r="F29" s="13">
        <f t="shared" si="8"/>
        <v>117</v>
      </c>
      <c r="G29" s="13">
        <f t="shared" si="8"/>
        <v>114</v>
      </c>
      <c r="H29" s="13">
        <f t="shared" si="8"/>
        <v>129</v>
      </c>
      <c r="I29" s="13">
        <f t="shared" si="8"/>
        <v>127</v>
      </c>
      <c r="J29" s="13">
        <f t="shared" si="8"/>
        <v>105</v>
      </c>
      <c r="K29" s="13">
        <f t="shared" si="8"/>
        <v>121</v>
      </c>
      <c r="L29" s="13">
        <f t="shared" si="8"/>
        <v>130</v>
      </c>
      <c r="M29" s="13">
        <f t="shared" si="8"/>
        <v>125</v>
      </c>
      <c r="N29" s="13">
        <f t="shared" si="8"/>
        <v>112</v>
      </c>
      <c r="O29" s="13">
        <f t="shared" si="8"/>
        <v>123</v>
      </c>
      <c r="P29" s="13">
        <f t="shared" si="8"/>
        <v>121</v>
      </c>
      <c r="Q29" s="13">
        <f t="shared" si="8"/>
        <v>114</v>
      </c>
      <c r="R29" s="13">
        <f t="shared" si="8"/>
        <v>113</v>
      </c>
      <c r="S29" s="13">
        <f t="shared" si="8"/>
        <v>125</v>
      </c>
      <c r="T29" s="13">
        <f t="shared" si="8"/>
        <v>112</v>
      </c>
      <c r="U29" s="13">
        <f t="shared" si="8"/>
        <v>127</v>
      </c>
      <c r="V29" s="13">
        <f t="shared" si="8"/>
        <v>129</v>
      </c>
      <c r="W29" s="13">
        <f t="shared" si="8"/>
        <v>122</v>
      </c>
      <c r="X29" s="13">
        <f t="shared" si="8"/>
        <v>127</v>
      </c>
      <c r="Y29" s="13">
        <f t="shared" si="8"/>
        <v>131</v>
      </c>
      <c r="Z29" s="13">
        <f t="shared" si="8"/>
        <v>123</v>
      </c>
      <c r="AA29" s="13">
        <f t="shared" si="8"/>
        <v>122</v>
      </c>
      <c r="AB29" s="13">
        <f t="shared" si="8"/>
        <v>115</v>
      </c>
      <c r="AC29" s="13">
        <f t="shared" si="8"/>
        <v>128</v>
      </c>
      <c r="AD29" s="13">
        <f t="shared" si="8"/>
        <v>129</v>
      </c>
      <c r="AE29" s="13">
        <f t="shared" si="8"/>
        <v>73</v>
      </c>
      <c r="AF29" s="13">
        <f t="shared" si="8"/>
        <v>72</v>
      </c>
      <c r="AG29" s="13">
        <f t="shared" si="8"/>
        <v>128</v>
      </c>
      <c r="AH29" s="13">
        <f t="shared" si="3"/>
        <v>3437</v>
      </c>
    </row>
    <row r="30" ht="12.75" customHeight="1">
      <c r="A30" s="35"/>
      <c r="B30" s="28"/>
      <c r="C30" s="36"/>
      <c r="D30" s="13" t="s">
        <v>14</v>
      </c>
      <c r="E30" s="13">
        <f t="shared" ref="E30:AG30" si="9">SUM(E28:E29)</f>
        <v>218</v>
      </c>
      <c r="F30" s="13">
        <f t="shared" si="9"/>
        <v>229</v>
      </c>
      <c r="G30" s="13">
        <f t="shared" si="9"/>
        <v>213</v>
      </c>
      <c r="H30" s="13">
        <f t="shared" si="9"/>
        <v>225</v>
      </c>
      <c r="I30" s="13">
        <f t="shared" si="9"/>
        <v>239</v>
      </c>
      <c r="J30" s="13">
        <f t="shared" si="9"/>
        <v>214</v>
      </c>
      <c r="K30" s="13">
        <f t="shared" si="9"/>
        <v>228</v>
      </c>
      <c r="L30" s="13">
        <f t="shared" si="9"/>
        <v>233</v>
      </c>
      <c r="M30" s="13">
        <f t="shared" si="9"/>
        <v>240</v>
      </c>
      <c r="N30" s="13">
        <f t="shared" si="9"/>
        <v>204</v>
      </c>
      <c r="O30" s="13">
        <f t="shared" si="9"/>
        <v>225</v>
      </c>
      <c r="P30" s="13">
        <f t="shared" si="9"/>
        <v>217</v>
      </c>
      <c r="Q30" s="13">
        <f t="shared" si="9"/>
        <v>215</v>
      </c>
      <c r="R30" s="13">
        <f t="shared" si="9"/>
        <v>209</v>
      </c>
      <c r="S30" s="13">
        <f t="shared" si="9"/>
        <v>221</v>
      </c>
      <c r="T30" s="13">
        <f t="shared" si="9"/>
        <v>213</v>
      </c>
      <c r="U30" s="13">
        <f t="shared" si="9"/>
        <v>225</v>
      </c>
      <c r="V30" s="13">
        <f t="shared" si="9"/>
        <v>248</v>
      </c>
      <c r="W30" s="13">
        <f t="shared" si="9"/>
        <v>222</v>
      </c>
      <c r="X30" s="13">
        <f t="shared" si="9"/>
        <v>215</v>
      </c>
      <c r="Y30" s="13">
        <f t="shared" si="9"/>
        <v>225</v>
      </c>
      <c r="Z30" s="13">
        <f t="shared" si="9"/>
        <v>218</v>
      </c>
      <c r="AA30" s="13">
        <f t="shared" si="9"/>
        <v>223</v>
      </c>
      <c r="AB30" s="13">
        <f t="shared" si="9"/>
        <v>203</v>
      </c>
      <c r="AC30" s="13">
        <f t="shared" si="9"/>
        <v>232</v>
      </c>
      <c r="AD30" s="13">
        <f t="shared" si="9"/>
        <v>237</v>
      </c>
      <c r="AE30" s="13">
        <f t="shared" si="9"/>
        <v>139</v>
      </c>
      <c r="AF30" s="13">
        <f t="shared" si="9"/>
        <v>127</v>
      </c>
      <c r="AG30" s="13">
        <f t="shared" si="9"/>
        <v>251</v>
      </c>
      <c r="AH30" s="13">
        <f t="shared" si="3"/>
        <v>6308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59"/>
    </row>
    <row r="33" ht="12.75" customHeight="1">
      <c r="A33" s="19">
        <v>1.0</v>
      </c>
      <c r="B33" s="20" t="s">
        <v>85</v>
      </c>
      <c r="C33" s="15"/>
      <c r="D33" s="16"/>
      <c r="E33" s="19">
        <v>296.0</v>
      </c>
      <c r="F33" s="19">
        <v>318.0</v>
      </c>
      <c r="G33" s="19">
        <v>301.0</v>
      </c>
      <c r="H33" s="19">
        <v>295.0</v>
      </c>
      <c r="I33" s="19">
        <v>297.0</v>
      </c>
      <c r="J33" s="19">
        <v>286.0</v>
      </c>
      <c r="K33" s="19">
        <v>293.0</v>
      </c>
      <c r="L33" s="19">
        <v>289.0</v>
      </c>
      <c r="M33" s="19">
        <v>297.0</v>
      </c>
      <c r="N33" s="19">
        <v>303.0</v>
      </c>
      <c r="O33" s="19">
        <v>302.0</v>
      </c>
      <c r="P33" s="19">
        <v>285.0</v>
      </c>
      <c r="Q33" s="19">
        <v>270.0</v>
      </c>
      <c r="R33" s="19">
        <v>280.0</v>
      </c>
      <c r="S33" s="19">
        <v>275.0</v>
      </c>
      <c r="T33" s="19">
        <v>276.0</v>
      </c>
      <c r="U33" s="19">
        <v>296.0</v>
      </c>
      <c r="V33" s="19">
        <v>299.0</v>
      </c>
      <c r="W33" s="19">
        <v>282.0</v>
      </c>
      <c r="X33" s="19">
        <v>274.0</v>
      </c>
      <c r="Y33" s="19">
        <v>289.0</v>
      </c>
      <c r="Z33" s="19">
        <v>290.0</v>
      </c>
      <c r="AA33" s="19">
        <v>296.0</v>
      </c>
      <c r="AB33" s="19">
        <v>283.0</v>
      </c>
      <c r="AC33" s="19">
        <v>302.0</v>
      </c>
      <c r="AD33" s="19">
        <v>291.0</v>
      </c>
      <c r="AE33" s="19">
        <v>272.0</v>
      </c>
      <c r="AF33" s="19">
        <v>161.0</v>
      </c>
      <c r="AG33" s="19">
        <v>306.0</v>
      </c>
      <c r="AH33" s="13">
        <f t="shared" ref="AH33:AH36" si="10">SUM(E33:AG33)</f>
        <v>8304</v>
      </c>
    </row>
    <row r="34" ht="12.75" customHeight="1">
      <c r="A34" s="19">
        <v>2.0</v>
      </c>
      <c r="B34" s="20" t="s">
        <v>28</v>
      </c>
      <c r="C34" s="15"/>
      <c r="D34" s="16"/>
      <c r="E34" s="13">
        <v>218.0</v>
      </c>
      <c r="F34" s="13">
        <v>229.0</v>
      </c>
      <c r="G34" s="13">
        <v>213.0</v>
      </c>
      <c r="H34" s="13">
        <v>225.0</v>
      </c>
      <c r="I34" s="13">
        <v>239.0</v>
      </c>
      <c r="J34" s="13">
        <v>214.0</v>
      </c>
      <c r="K34" s="13">
        <v>228.0</v>
      </c>
      <c r="L34" s="13">
        <v>233.0</v>
      </c>
      <c r="M34" s="13">
        <v>240.0</v>
      </c>
      <c r="N34" s="13">
        <v>204.0</v>
      </c>
      <c r="O34" s="13">
        <v>225.0</v>
      </c>
      <c r="P34" s="13">
        <v>217.0</v>
      </c>
      <c r="Q34" s="13">
        <v>215.0</v>
      </c>
      <c r="R34" s="13">
        <v>209.0</v>
      </c>
      <c r="S34" s="13">
        <v>221.0</v>
      </c>
      <c r="T34" s="13">
        <v>213.0</v>
      </c>
      <c r="U34" s="13">
        <v>225.0</v>
      </c>
      <c r="V34" s="13">
        <v>248.0</v>
      </c>
      <c r="W34" s="13">
        <v>222.0</v>
      </c>
      <c r="X34" s="13">
        <v>215.0</v>
      </c>
      <c r="Y34" s="13">
        <v>225.0</v>
      </c>
      <c r="Z34" s="13">
        <v>218.0</v>
      </c>
      <c r="AA34" s="13">
        <v>223.0</v>
      </c>
      <c r="AB34" s="13">
        <v>203.0</v>
      </c>
      <c r="AC34" s="13">
        <v>232.0</v>
      </c>
      <c r="AD34" s="13">
        <v>237.0</v>
      </c>
      <c r="AE34" s="13">
        <v>139.0</v>
      </c>
      <c r="AF34" s="13">
        <v>127.0</v>
      </c>
      <c r="AG34" s="13">
        <v>251.0</v>
      </c>
      <c r="AH34" s="13">
        <f t="shared" si="10"/>
        <v>6308</v>
      </c>
    </row>
    <row r="35" ht="12.75" customHeight="1">
      <c r="A35" s="19">
        <v>3.0</v>
      </c>
      <c r="B35" s="20" t="s">
        <v>29</v>
      </c>
      <c r="C35" s="15"/>
      <c r="D35" s="16"/>
      <c r="E35" s="19">
        <v>32.0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3">
        <f t="shared" si="10"/>
        <v>35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G36" si="11">E33-(E34+E35)</f>
        <v>46</v>
      </c>
      <c r="F36" s="13">
        <f t="shared" si="11"/>
        <v>89</v>
      </c>
      <c r="G36" s="13">
        <f t="shared" si="11"/>
        <v>88</v>
      </c>
      <c r="H36" s="13">
        <f t="shared" si="11"/>
        <v>70</v>
      </c>
      <c r="I36" s="13">
        <f t="shared" si="11"/>
        <v>58</v>
      </c>
      <c r="J36" s="13">
        <f t="shared" si="11"/>
        <v>72</v>
      </c>
      <c r="K36" s="13">
        <f t="shared" si="11"/>
        <v>64</v>
      </c>
      <c r="L36" s="13">
        <f t="shared" si="11"/>
        <v>56</v>
      </c>
      <c r="M36" s="13">
        <f t="shared" si="11"/>
        <v>57</v>
      </c>
      <c r="N36" s="13">
        <f t="shared" si="11"/>
        <v>99</v>
      </c>
      <c r="O36" s="13">
        <f t="shared" si="11"/>
        <v>77</v>
      </c>
      <c r="P36" s="13">
        <f t="shared" si="11"/>
        <v>67</v>
      </c>
      <c r="Q36" s="13">
        <f t="shared" si="11"/>
        <v>55</v>
      </c>
      <c r="R36" s="13">
        <f t="shared" si="11"/>
        <v>70</v>
      </c>
      <c r="S36" s="13">
        <f t="shared" si="11"/>
        <v>54</v>
      </c>
      <c r="T36" s="13">
        <f t="shared" si="11"/>
        <v>63</v>
      </c>
      <c r="U36" s="13">
        <f t="shared" si="11"/>
        <v>71</v>
      </c>
      <c r="V36" s="13">
        <f t="shared" si="11"/>
        <v>51</v>
      </c>
      <c r="W36" s="13">
        <f t="shared" si="11"/>
        <v>60</v>
      </c>
      <c r="X36" s="13">
        <f t="shared" si="11"/>
        <v>59</v>
      </c>
      <c r="Y36" s="13">
        <f t="shared" si="11"/>
        <v>64</v>
      </c>
      <c r="Z36" s="13">
        <f t="shared" si="11"/>
        <v>72</v>
      </c>
      <c r="AA36" s="13">
        <f t="shared" si="11"/>
        <v>73</v>
      </c>
      <c r="AB36" s="13">
        <f t="shared" si="11"/>
        <v>80</v>
      </c>
      <c r="AC36" s="13">
        <f t="shared" si="11"/>
        <v>70</v>
      </c>
      <c r="AD36" s="13">
        <f t="shared" si="11"/>
        <v>54</v>
      </c>
      <c r="AE36" s="13">
        <f t="shared" si="11"/>
        <v>133</v>
      </c>
      <c r="AF36" s="13">
        <f t="shared" si="11"/>
        <v>34</v>
      </c>
      <c r="AG36" s="13">
        <f t="shared" si="11"/>
        <v>55</v>
      </c>
      <c r="AH36" s="13">
        <f t="shared" si="10"/>
        <v>1961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>
        <v>1.0</v>
      </c>
      <c r="P39" s="19"/>
      <c r="Q39" s="19"/>
      <c r="R39" s="19">
        <v>2.0</v>
      </c>
      <c r="S39" s="19"/>
      <c r="T39" s="19"/>
      <c r="U39" s="19"/>
      <c r="V39" s="19"/>
      <c r="W39" s="19"/>
      <c r="X39" s="19">
        <v>1.0</v>
      </c>
      <c r="Y39" s="19"/>
      <c r="Z39" s="19"/>
      <c r="AA39" s="19"/>
      <c r="AB39" s="19"/>
      <c r="AC39" s="19">
        <v>1.0</v>
      </c>
      <c r="AD39" s="19"/>
      <c r="AE39" s="19">
        <v>1.0</v>
      </c>
      <c r="AF39" s="19"/>
      <c r="AG39" s="19"/>
      <c r="AH39" s="13">
        <f t="shared" ref="AH39:AH41" si="12">SUM(E39:AG39)</f>
        <v>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>
        <v>1.0</v>
      </c>
      <c r="M40" s="19"/>
      <c r="N40" s="19"/>
      <c r="O40" s="19"/>
      <c r="P40" s="19"/>
      <c r="Q40" s="19"/>
      <c r="R40" s="19">
        <v>1.0</v>
      </c>
      <c r="S40" s="19"/>
      <c r="T40" s="19"/>
      <c r="U40" s="19">
        <v>1.0</v>
      </c>
      <c r="V40" s="19"/>
      <c r="W40" s="19"/>
      <c r="X40" s="19">
        <v>1.0</v>
      </c>
      <c r="Y40" s="19"/>
      <c r="Z40" s="19">
        <v>1.0</v>
      </c>
      <c r="AA40" s="19"/>
      <c r="AB40" s="19"/>
      <c r="AC40" s="19"/>
      <c r="AD40" s="19"/>
      <c r="AE40" s="19"/>
      <c r="AF40" s="19"/>
      <c r="AG40" s="19"/>
      <c r="AH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1</v>
      </c>
      <c r="AF41" s="13">
        <f t="shared" si="13"/>
        <v>0</v>
      </c>
      <c r="AG41" s="13">
        <f t="shared" si="13"/>
        <v>0</v>
      </c>
      <c r="AH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58"/>
      <c r="AE42" s="19"/>
      <c r="AF42" s="58"/>
      <c r="AG42" s="19"/>
      <c r="AH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60"/>
      <c r="AE43" s="13"/>
      <c r="AF43" s="60"/>
      <c r="AG43" s="13"/>
      <c r="AH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58"/>
      <c r="AE44" s="19"/>
      <c r="AF44" s="58"/>
      <c r="AG44" s="19"/>
      <c r="AH44" s="13"/>
    </row>
    <row r="45" ht="12.75" customHeight="1">
      <c r="A45" s="30"/>
      <c r="B45" s="47" t="s">
        <v>17</v>
      </c>
      <c r="C45" s="62" t="s">
        <v>38</v>
      </c>
      <c r="D45" s="16"/>
      <c r="E45" s="19">
        <v>9.0</v>
      </c>
      <c r="F45" s="19">
        <v>18.0</v>
      </c>
      <c r="G45" s="19">
        <v>14.0</v>
      </c>
      <c r="H45" s="19">
        <v>17.0</v>
      </c>
      <c r="I45" s="19">
        <v>27.0</v>
      </c>
      <c r="J45" s="19">
        <v>16.0</v>
      </c>
      <c r="K45" s="19">
        <v>17.0</v>
      </c>
      <c r="L45" s="19">
        <v>10.0</v>
      </c>
      <c r="M45" s="19">
        <v>15.0</v>
      </c>
      <c r="N45" s="19">
        <v>13.0</v>
      </c>
      <c r="O45" s="19">
        <v>14.0</v>
      </c>
      <c r="P45" s="19">
        <v>6.0</v>
      </c>
      <c r="Q45" s="19">
        <v>8.0</v>
      </c>
      <c r="R45" s="19">
        <v>12.0</v>
      </c>
      <c r="S45" s="19">
        <v>8.0</v>
      </c>
      <c r="T45" s="19">
        <v>10.0</v>
      </c>
      <c r="U45" s="19">
        <v>16.0</v>
      </c>
      <c r="V45" s="19">
        <v>8.0</v>
      </c>
      <c r="W45" s="19">
        <v>17.0</v>
      </c>
      <c r="X45" s="19">
        <v>9.0</v>
      </c>
      <c r="Y45" s="19">
        <v>5.0</v>
      </c>
      <c r="Z45" s="19">
        <v>10.0</v>
      </c>
      <c r="AA45" s="19">
        <v>11.0</v>
      </c>
      <c r="AB45" s="19">
        <v>9.0</v>
      </c>
      <c r="AC45" s="19">
        <v>11.0</v>
      </c>
      <c r="AD45" s="19">
        <v>21.0</v>
      </c>
      <c r="AE45" s="19">
        <v>2.0</v>
      </c>
      <c r="AF45" s="19">
        <v>12.0</v>
      </c>
      <c r="AG45" s="19">
        <v>35.0</v>
      </c>
      <c r="AH45" s="13">
        <f t="shared" ref="AH45:AH57" si="14">SUM(E45:AG45)</f>
        <v>380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34.0</v>
      </c>
      <c r="F46" s="19">
        <v>26.0</v>
      </c>
      <c r="G46" s="19">
        <v>37.0</v>
      </c>
      <c r="H46" s="19">
        <v>39.0</v>
      </c>
      <c r="I46" s="19">
        <v>30.0</v>
      </c>
      <c r="J46" s="19">
        <v>25.0</v>
      </c>
      <c r="K46" s="19">
        <v>37.0</v>
      </c>
      <c r="L46" s="19">
        <v>30.0</v>
      </c>
      <c r="M46" s="19">
        <v>36.0</v>
      </c>
      <c r="N46" s="19">
        <v>29.0</v>
      </c>
      <c r="O46" s="19">
        <v>36.0</v>
      </c>
      <c r="P46" s="19">
        <v>27.0</v>
      </c>
      <c r="Q46" s="19">
        <v>25.0</v>
      </c>
      <c r="R46" s="19">
        <v>42.0</v>
      </c>
      <c r="S46" s="19">
        <v>36.0</v>
      </c>
      <c r="T46" s="19">
        <v>30.0</v>
      </c>
      <c r="U46" s="19">
        <v>26.0</v>
      </c>
      <c r="V46" s="19">
        <v>30.0</v>
      </c>
      <c r="W46" s="19">
        <v>33.0</v>
      </c>
      <c r="X46" s="19">
        <v>41.0</v>
      </c>
      <c r="Y46" s="19">
        <v>32.0</v>
      </c>
      <c r="Z46" s="19">
        <v>36.0</v>
      </c>
      <c r="AA46" s="19">
        <v>32.0</v>
      </c>
      <c r="AB46" s="19">
        <v>34.0</v>
      </c>
      <c r="AC46" s="19">
        <v>39.0</v>
      </c>
      <c r="AD46" s="19">
        <v>37.0</v>
      </c>
      <c r="AE46" s="19">
        <v>21.0</v>
      </c>
      <c r="AF46" s="19">
        <v>13.0</v>
      </c>
      <c r="AG46" s="19">
        <v>28.0</v>
      </c>
      <c r="AH46" s="13">
        <f t="shared" si="14"/>
        <v>921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7.0</v>
      </c>
      <c r="F47" s="19">
        <v>8.0</v>
      </c>
      <c r="G47" s="19">
        <v>9.0</v>
      </c>
      <c r="H47" s="19">
        <v>21.0</v>
      </c>
      <c r="I47" s="19">
        <v>18.0</v>
      </c>
      <c r="J47" s="19">
        <v>16.0</v>
      </c>
      <c r="K47" s="19">
        <v>15.0</v>
      </c>
      <c r="L47" s="19">
        <v>12.0</v>
      </c>
      <c r="M47" s="19">
        <v>9.0</v>
      </c>
      <c r="N47" s="19">
        <v>8.0</v>
      </c>
      <c r="O47" s="19">
        <v>8.0</v>
      </c>
      <c r="P47" s="19">
        <v>13.0</v>
      </c>
      <c r="Q47" s="19">
        <v>14.0</v>
      </c>
      <c r="R47" s="19">
        <v>8.0</v>
      </c>
      <c r="S47" s="19">
        <v>6.0</v>
      </c>
      <c r="T47" s="19">
        <v>9.0</v>
      </c>
      <c r="U47" s="19">
        <v>35.0</v>
      </c>
      <c r="V47" s="19">
        <v>12.0</v>
      </c>
      <c r="W47" s="19">
        <v>42.0</v>
      </c>
      <c r="X47" s="19">
        <v>12.0</v>
      </c>
      <c r="Y47" s="19">
        <v>5.0</v>
      </c>
      <c r="Z47" s="19">
        <v>7.0</v>
      </c>
      <c r="AA47" s="19">
        <v>27.0</v>
      </c>
      <c r="AB47" s="19">
        <v>6.0</v>
      </c>
      <c r="AC47" s="19">
        <v>12.0</v>
      </c>
      <c r="AD47" s="19">
        <v>10.0</v>
      </c>
      <c r="AE47" s="19">
        <v>6.0</v>
      </c>
      <c r="AF47" s="19">
        <v>5.0</v>
      </c>
      <c r="AG47" s="19">
        <v>9.0</v>
      </c>
      <c r="AH47" s="13">
        <f t="shared" si="14"/>
        <v>369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23.0</v>
      </c>
      <c r="F48" s="19">
        <v>30.0</v>
      </c>
      <c r="G48" s="19">
        <v>16.0</v>
      </c>
      <c r="H48" s="19">
        <v>18.0</v>
      </c>
      <c r="I48" s="19">
        <v>24.0</v>
      </c>
      <c r="J48" s="19">
        <v>26.0</v>
      </c>
      <c r="K48" s="19">
        <v>23.0</v>
      </c>
      <c r="L48" s="19">
        <v>34.0</v>
      </c>
      <c r="M48" s="19">
        <v>25.0</v>
      </c>
      <c r="N48" s="19">
        <v>19.0</v>
      </c>
      <c r="O48" s="19">
        <v>14.0</v>
      </c>
      <c r="P48" s="19">
        <v>26.0</v>
      </c>
      <c r="Q48" s="19">
        <v>17.0</v>
      </c>
      <c r="R48" s="19">
        <v>20.0</v>
      </c>
      <c r="S48" s="19">
        <v>37.0</v>
      </c>
      <c r="T48" s="19">
        <v>25.0</v>
      </c>
      <c r="U48" s="19">
        <v>19.0</v>
      </c>
      <c r="V48" s="19">
        <v>25.0</v>
      </c>
      <c r="W48" s="19">
        <v>13.0</v>
      </c>
      <c r="X48" s="19">
        <v>15.0</v>
      </c>
      <c r="Y48" s="19">
        <v>22.0</v>
      </c>
      <c r="Z48" s="19">
        <v>13.0</v>
      </c>
      <c r="AA48" s="19">
        <v>24.0</v>
      </c>
      <c r="AB48" s="19">
        <v>30.0</v>
      </c>
      <c r="AC48" s="19">
        <v>37.0</v>
      </c>
      <c r="AD48" s="19">
        <v>33.0</v>
      </c>
      <c r="AE48" s="19">
        <v>18.0</v>
      </c>
      <c r="AF48" s="19">
        <v>19.0</v>
      </c>
      <c r="AG48" s="19">
        <v>37.0</v>
      </c>
      <c r="AH48" s="13">
        <f t="shared" si="14"/>
        <v>682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35.0</v>
      </c>
      <c r="F49" s="19">
        <v>25.0</v>
      </c>
      <c r="G49" s="19">
        <v>36.0</v>
      </c>
      <c r="H49" s="19">
        <v>17.0</v>
      </c>
      <c r="I49" s="19">
        <v>29.0</v>
      </c>
      <c r="J49" s="19">
        <v>30.0</v>
      </c>
      <c r="K49" s="19">
        <v>26.0</v>
      </c>
      <c r="L49" s="19">
        <v>36.0</v>
      </c>
      <c r="M49" s="19">
        <v>31.0</v>
      </c>
      <c r="N49" s="19">
        <v>21.0</v>
      </c>
      <c r="O49" s="19">
        <v>27.0</v>
      </c>
      <c r="P49" s="19">
        <v>25.0</v>
      </c>
      <c r="Q49" s="19">
        <v>29.0</v>
      </c>
      <c r="R49" s="19">
        <v>19.0</v>
      </c>
      <c r="S49" s="19">
        <v>19.0</v>
      </c>
      <c r="T49" s="19">
        <v>31.0</v>
      </c>
      <c r="U49" s="19">
        <v>29.0</v>
      </c>
      <c r="V49" s="19">
        <v>44.0</v>
      </c>
      <c r="W49" s="19">
        <v>27.0</v>
      </c>
      <c r="X49" s="19">
        <v>15.0</v>
      </c>
      <c r="Y49" s="19">
        <v>30.0</v>
      </c>
      <c r="Z49" s="19">
        <v>29.0</v>
      </c>
      <c r="AA49" s="19">
        <v>23.0</v>
      </c>
      <c r="AB49" s="19">
        <v>30.0</v>
      </c>
      <c r="AC49" s="19">
        <v>32.0</v>
      </c>
      <c r="AD49" s="19">
        <v>31.0</v>
      </c>
      <c r="AE49" s="19">
        <v>21.0</v>
      </c>
      <c r="AF49" s="19">
        <v>17.0</v>
      </c>
      <c r="AG49" s="19">
        <v>39.0</v>
      </c>
      <c r="AH49" s="13">
        <f t="shared" si="14"/>
        <v>803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8.0</v>
      </c>
      <c r="F50" s="19">
        <v>11.0</v>
      </c>
      <c r="G50" s="19">
        <v>3.0</v>
      </c>
      <c r="H50" s="19">
        <v>11.0</v>
      </c>
      <c r="I50" s="19">
        <v>12.0</v>
      </c>
      <c r="J50" s="19">
        <v>10.0</v>
      </c>
      <c r="K50" s="19">
        <v>8.0</v>
      </c>
      <c r="L50" s="19">
        <v>18.0</v>
      </c>
      <c r="M50" s="19">
        <v>15.0</v>
      </c>
      <c r="N50" s="19">
        <v>10.0</v>
      </c>
      <c r="O50" s="19">
        <v>26.0</v>
      </c>
      <c r="P50" s="19">
        <v>11.0</v>
      </c>
      <c r="Q50" s="19">
        <v>11.0</v>
      </c>
      <c r="R50" s="19">
        <v>10.0</v>
      </c>
      <c r="S50" s="19">
        <v>12.0</v>
      </c>
      <c r="T50" s="19">
        <v>7.0</v>
      </c>
      <c r="U50" s="19">
        <v>11.0</v>
      </c>
      <c r="V50" s="19">
        <v>7.0</v>
      </c>
      <c r="W50" s="19">
        <v>10.0</v>
      </c>
      <c r="X50" s="19">
        <v>16.0</v>
      </c>
      <c r="Y50" s="19">
        <v>9.0</v>
      </c>
      <c r="Z50" s="19">
        <v>8.0</v>
      </c>
      <c r="AA50" s="19">
        <v>7.0</v>
      </c>
      <c r="AB50" s="19">
        <v>9.0</v>
      </c>
      <c r="AC50" s="19">
        <v>16.0</v>
      </c>
      <c r="AD50" s="19">
        <v>9.0</v>
      </c>
      <c r="AE50" s="19">
        <v>8.0</v>
      </c>
      <c r="AF50" s="19">
        <v>12.0</v>
      </c>
      <c r="AG50" s="19">
        <v>8.0</v>
      </c>
      <c r="AH50" s="13">
        <f t="shared" si="14"/>
        <v>313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5.0</v>
      </c>
      <c r="F51" s="19">
        <v>3.0</v>
      </c>
      <c r="G51" s="19">
        <v>4.0</v>
      </c>
      <c r="H51" s="19">
        <v>4.0</v>
      </c>
      <c r="I51" s="19">
        <v>0.0</v>
      </c>
      <c r="J51" s="19">
        <v>3.0</v>
      </c>
      <c r="K51" s="19">
        <v>2.0</v>
      </c>
      <c r="L51" s="19">
        <v>2.0</v>
      </c>
      <c r="M51" s="19">
        <v>1.0</v>
      </c>
      <c r="N51" s="19">
        <v>1.0</v>
      </c>
      <c r="O51" s="19">
        <v>4.0</v>
      </c>
      <c r="P51" s="19">
        <v>3.0</v>
      </c>
      <c r="Q51" s="19">
        <v>2.0</v>
      </c>
      <c r="R51" s="19">
        <v>1.0</v>
      </c>
      <c r="S51" s="19">
        <v>0.0</v>
      </c>
      <c r="T51" s="19">
        <v>2.0</v>
      </c>
      <c r="U51" s="19">
        <v>1.0</v>
      </c>
      <c r="V51" s="19">
        <v>3.0</v>
      </c>
      <c r="W51" s="19">
        <v>2.0</v>
      </c>
      <c r="X51" s="19">
        <v>4.0</v>
      </c>
      <c r="Y51" s="19">
        <v>3.0</v>
      </c>
      <c r="Z51" s="19">
        <v>7.0</v>
      </c>
      <c r="AA51" s="19">
        <v>3.0</v>
      </c>
      <c r="AB51" s="19">
        <v>0.0</v>
      </c>
      <c r="AC51" s="19">
        <v>2.0</v>
      </c>
      <c r="AD51" s="19">
        <v>0.0</v>
      </c>
      <c r="AE51" s="19">
        <v>1.0</v>
      </c>
      <c r="AF51" s="19">
        <v>2.0</v>
      </c>
      <c r="AG51" s="19">
        <v>5.0</v>
      </c>
      <c r="AH51" s="13">
        <f t="shared" si="14"/>
        <v>70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2.0</v>
      </c>
      <c r="F52" s="19">
        <v>3.0</v>
      </c>
      <c r="G52" s="19">
        <v>7.0</v>
      </c>
      <c r="H52" s="19">
        <v>4.0</v>
      </c>
      <c r="I52" s="19">
        <v>7.0</v>
      </c>
      <c r="J52" s="19">
        <v>2.0</v>
      </c>
      <c r="K52" s="19">
        <v>9.0</v>
      </c>
      <c r="L52" s="19">
        <v>6.0</v>
      </c>
      <c r="M52" s="19">
        <v>2.0</v>
      </c>
      <c r="N52" s="19">
        <v>3.0</v>
      </c>
      <c r="O52" s="19">
        <v>6.0</v>
      </c>
      <c r="P52" s="19">
        <v>7.0</v>
      </c>
      <c r="Q52" s="19">
        <v>8.0</v>
      </c>
      <c r="R52" s="19">
        <v>7.0</v>
      </c>
      <c r="S52" s="19">
        <v>6.0</v>
      </c>
      <c r="T52" s="19">
        <v>6.0</v>
      </c>
      <c r="U52" s="19">
        <v>3.0</v>
      </c>
      <c r="V52" s="19">
        <v>5.0</v>
      </c>
      <c r="W52" s="19">
        <v>2.0</v>
      </c>
      <c r="X52" s="19">
        <v>3.0</v>
      </c>
      <c r="Y52" s="19">
        <v>4.0</v>
      </c>
      <c r="Z52" s="19">
        <v>4.0</v>
      </c>
      <c r="AA52" s="19">
        <v>4.0</v>
      </c>
      <c r="AB52" s="19">
        <v>6.0</v>
      </c>
      <c r="AC52" s="19">
        <v>3.0</v>
      </c>
      <c r="AD52" s="19">
        <v>7.0</v>
      </c>
      <c r="AE52" s="19">
        <v>3.0</v>
      </c>
      <c r="AF52" s="19">
        <v>4.0</v>
      </c>
      <c r="AG52" s="19">
        <v>12.0</v>
      </c>
      <c r="AH52" s="13">
        <f t="shared" si="14"/>
        <v>145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4.0</v>
      </c>
      <c r="G53" s="19">
        <v>1.0</v>
      </c>
      <c r="H53" s="19">
        <v>2.0</v>
      </c>
      <c r="I53" s="19">
        <v>3.0</v>
      </c>
      <c r="J53" s="19">
        <v>0.0</v>
      </c>
      <c r="K53" s="19">
        <v>2.0</v>
      </c>
      <c r="L53" s="19">
        <v>2.0</v>
      </c>
      <c r="M53" s="19">
        <v>1.0</v>
      </c>
      <c r="N53" s="19">
        <v>1.0</v>
      </c>
      <c r="O53" s="19">
        <v>0.0</v>
      </c>
      <c r="P53" s="19">
        <v>6.0</v>
      </c>
      <c r="Q53" s="19">
        <v>0.0</v>
      </c>
      <c r="R53" s="19">
        <v>3.0</v>
      </c>
      <c r="S53" s="19">
        <v>1.0</v>
      </c>
      <c r="T53" s="19">
        <v>1.0</v>
      </c>
      <c r="U53" s="19">
        <v>0.0</v>
      </c>
      <c r="V53" s="19">
        <v>2.0</v>
      </c>
      <c r="W53" s="19">
        <v>0.0</v>
      </c>
      <c r="X53" s="19">
        <v>1.0</v>
      </c>
      <c r="Y53" s="19">
        <v>0.0</v>
      </c>
      <c r="Z53" s="19">
        <v>2.0</v>
      </c>
      <c r="AA53" s="19">
        <v>0.0</v>
      </c>
      <c r="AB53" s="19">
        <v>2.0</v>
      </c>
      <c r="AC53" s="19">
        <v>1.0</v>
      </c>
      <c r="AD53" s="19">
        <v>2.0</v>
      </c>
      <c r="AE53" s="19">
        <v>0.0</v>
      </c>
      <c r="AF53" s="19">
        <v>0.0</v>
      </c>
      <c r="AG53" s="19">
        <v>3.0</v>
      </c>
      <c r="AH53" s="13">
        <f t="shared" si="14"/>
        <v>42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32.0</v>
      </c>
      <c r="F54" s="19">
        <v>26.0</v>
      </c>
      <c r="G54" s="19">
        <v>21.0</v>
      </c>
      <c r="H54" s="19">
        <v>28.0</v>
      </c>
      <c r="I54" s="19">
        <v>24.0</v>
      </c>
      <c r="J54" s="19">
        <v>21.0</v>
      </c>
      <c r="K54" s="19">
        <v>30.0</v>
      </c>
      <c r="L54" s="19">
        <v>26.0</v>
      </c>
      <c r="M54" s="19">
        <v>30.0</v>
      </c>
      <c r="N54" s="19">
        <v>31.0</v>
      </c>
      <c r="O54" s="19">
        <v>21.0</v>
      </c>
      <c r="P54" s="19">
        <v>33.0</v>
      </c>
      <c r="Q54" s="19">
        <v>32.0</v>
      </c>
      <c r="R54" s="19">
        <v>27.0</v>
      </c>
      <c r="S54" s="19">
        <v>38.0</v>
      </c>
      <c r="T54" s="19">
        <v>18.0</v>
      </c>
      <c r="U54" s="19">
        <v>23.0</v>
      </c>
      <c r="V54" s="19">
        <v>35.0</v>
      </c>
      <c r="W54" s="19">
        <v>32.0</v>
      </c>
      <c r="X54" s="19">
        <v>23.0</v>
      </c>
      <c r="Y54" s="19">
        <v>43.0</v>
      </c>
      <c r="Z54" s="19">
        <v>21.0</v>
      </c>
      <c r="AA54" s="19">
        <v>30.0</v>
      </c>
      <c r="AB54" s="19">
        <v>27.0</v>
      </c>
      <c r="AC54" s="19">
        <v>24.0</v>
      </c>
      <c r="AD54" s="19">
        <v>22.0</v>
      </c>
      <c r="AE54" s="19">
        <v>22.0</v>
      </c>
      <c r="AF54" s="19">
        <v>16.0</v>
      </c>
      <c r="AG54" s="19">
        <v>25.0</v>
      </c>
      <c r="AH54" s="13">
        <f t="shared" si="14"/>
        <v>781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5.0</v>
      </c>
      <c r="F55" s="19">
        <v>1.0</v>
      </c>
      <c r="G55" s="19">
        <v>7.0</v>
      </c>
      <c r="H55" s="19">
        <v>5.0</v>
      </c>
      <c r="I55" s="19">
        <v>3.0</v>
      </c>
      <c r="J55" s="19">
        <v>7.0</v>
      </c>
      <c r="K55" s="19">
        <v>3.0</v>
      </c>
      <c r="L55" s="19">
        <v>5.0</v>
      </c>
      <c r="M55" s="19">
        <v>4.0</v>
      </c>
      <c r="N55" s="19">
        <v>5.0</v>
      </c>
      <c r="O55" s="19">
        <v>2.0</v>
      </c>
      <c r="P55" s="19">
        <v>6.0</v>
      </c>
      <c r="Q55" s="19">
        <v>2.0</v>
      </c>
      <c r="R55" s="19">
        <v>1.0</v>
      </c>
      <c r="S55" s="19">
        <v>2.0</v>
      </c>
      <c r="T55" s="19">
        <v>13.0</v>
      </c>
      <c r="U55" s="19">
        <v>8.0</v>
      </c>
      <c r="V55" s="19">
        <v>9.0</v>
      </c>
      <c r="W55" s="19">
        <v>3.0</v>
      </c>
      <c r="X55" s="19">
        <v>8.0</v>
      </c>
      <c r="Y55" s="19">
        <v>6.0</v>
      </c>
      <c r="Z55" s="19">
        <v>4.0</v>
      </c>
      <c r="AA55" s="19">
        <v>2.0</v>
      </c>
      <c r="AB55" s="19">
        <v>2.0</v>
      </c>
      <c r="AC55" s="19">
        <v>1.0</v>
      </c>
      <c r="AD55" s="19">
        <v>3.0</v>
      </c>
      <c r="AE55" s="19">
        <v>0.0</v>
      </c>
      <c r="AF55" s="19">
        <v>1.0</v>
      </c>
      <c r="AG55" s="19">
        <v>1.0</v>
      </c>
      <c r="AH55" s="13">
        <f t="shared" si="14"/>
        <v>119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18.0</v>
      </c>
      <c r="F56" s="19">
        <v>17.0</v>
      </c>
      <c r="G56" s="19">
        <v>18.0</v>
      </c>
      <c r="H56" s="19">
        <v>17.0</v>
      </c>
      <c r="I56" s="19">
        <v>21.0</v>
      </c>
      <c r="J56" s="19">
        <v>26.0</v>
      </c>
      <c r="K56" s="19">
        <v>17.0</v>
      </c>
      <c r="L56" s="19">
        <v>21.0</v>
      </c>
      <c r="M56" s="19">
        <v>16.0</v>
      </c>
      <c r="N56" s="19">
        <v>19.0</v>
      </c>
      <c r="O56" s="19">
        <v>23.0</v>
      </c>
      <c r="P56" s="19">
        <v>18.0</v>
      </c>
      <c r="Q56" s="19">
        <v>17.0</v>
      </c>
      <c r="R56" s="19">
        <v>16.0</v>
      </c>
      <c r="S56" s="19">
        <v>18.0</v>
      </c>
      <c r="T56" s="19">
        <v>24.0</v>
      </c>
      <c r="U56" s="19">
        <v>11.0</v>
      </c>
      <c r="V56" s="19">
        <v>17.0</v>
      </c>
      <c r="W56" s="19">
        <v>14.0</v>
      </c>
      <c r="X56" s="19">
        <v>31.0</v>
      </c>
      <c r="Y56" s="19">
        <v>14.0</v>
      </c>
      <c r="Z56" s="19">
        <v>16.0</v>
      </c>
      <c r="AA56" s="19">
        <v>17.0</v>
      </c>
      <c r="AB56" s="19">
        <v>11.0</v>
      </c>
      <c r="AC56" s="19">
        <v>21.0</v>
      </c>
      <c r="AD56" s="19">
        <v>23.0</v>
      </c>
      <c r="AE56" s="19">
        <v>16.0</v>
      </c>
      <c r="AF56" s="19">
        <v>8.0</v>
      </c>
      <c r="AG56" s="19">
        <v>24.0</v>
      </c>
      <c r="AH56" s="13">
        <f t="shared" si="14"/>
        <v>529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6.0</v>
      </c>
      <c r="F57" s="19">
        <v>1.0</v>
      </c>
      <c r="G57" s="19">
        <v>2.0</v>
      </c>
      <c r="H57" s="19">
        <v>2.0</v>
      </c>
      <c r="I57" s="19">
        <v>0.0</v>
      </c>
      <c r="J57" s="19">
        <v>0.0</v>
      </c>
      <c r="K57" s="19">
        <v>2.0</v>
      </c>
      <c r="L57" s="19">
        <v>3.0</v>
      </c>
      <c r="M57" s="19">
        <v>2.0</v>
      </c>
      <c r="N57" s="19">
        <v>0.0</v>
      </c>
      <c r="O57" s="19">
        <v>8.0</v>
      </c>
      <c r="P57" s="19">
        <v>3.0</v>
      </c>
      <c r="Q57" s="19">
        <v>3.0</v>
      </c>
      <c r="R57" s="19">
        <v>8.0</v>
      </c>
      <c r="S57" s="19">
        <v>2.0</v>
      </c>
      <c r="T57" s="19">
        <v>3.0</v>
      </c>
      <c r="U57" s="19">
        <v>5.0</v>
      </c>
      <c r="V57" s="19">
        <v>4.0</v>
      </c>
      <c r="W57" s="19">
        <v>2.0</v>
      </c>
      <c r="X57" s="19">
        <v>3.0</v>
      </c>
      <c r="Y57" s="19">
        <v>8.0</v>
      </c>
      <c r="Z57" s="19">
        <v>3.0</v>
      </c>
      <c r="AA57" s="19">
        <v>2.0</v>
      </c>
      <c r="AB57" s="19">
        <v>3.0</v>
      </c>
      <c r="AC57" s="19">
        <v>2.0</v>
      </c>
      <c r="AD57" s="19">
        <v>3.0</v>
      </c>
      <c r="AE57" s="19">
        <v>2.0</v>
      </c>
      <c r="AF57" s="19">
        <v>2.0</v>
      </c>
      <c r="AG57" s="19">
        <v>1.0</v>
      </c>
      <c r="AH57" s="13">
        <f t="shared" si="14"/>
        <v>85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G60" si="15">SUM(E45:E57)</f>
        <v>186</v>
      </c>
      <c r="F60" s="19">
        <f t="shared" si="15"/>
        <v>173</v>
      </c>
      <c r="G60" s="19">
        <f t="shared" si="15"/>
        <v>175</v>
      </c>
      <c r="H60" s="19">
        <f t="shared" si="15"/>
        <v>185</v>
      </c>
      <c r="I60" s="19">
        <f t="shared" si="15"/>
        <v>198</v>
      </c>
      <c r="J60" s="19">
        <f t="shared" si="15"/>
        <v>182</v>
      </c>
      <c r="K60" s="19">
        <f t="shared" si="15"/>
        <v>191</v>
      </c>
      <c r="L60" s="19">
        <f t="shared" si="15"/>
        <v>205</v>
      </c>
      <c r="M60" s="19">
        <f t="shared" si="15"/>
        <v>187</v>
      </c>
      <c r="N60" s="19">
        <f t="shared" si="15"/>
        <v>160</v>
      </c>
      <c r="O60" s="19">
        <f t="shared" si="15"/>
        <v>189</v>
      </c>
      <c r="P60" s="19">
        <f t="shared" si="15"/>
        <v>184</v>
      </c>
      <c r="Q60" s="19">
        <f t="shared" si="15"/>
        <v>168</v>
      </c>
      <c r="R60" s="19">
        <f t="shared" si="15"/>
        <v>174</v>
      </c>
      <c r="S60" s="19">
        <f t="shared" si="15"/>
        <v>185</v>
      </c>
      <c r="T60" s="19">
        <f t="shared" si="15"/>
        <v>179</v>
      </c>
      <c r="U60" s="19">
        <f t="shared" si="15"/>
        <v>187</v>
      </c>
      <c r="V60" s="19">
        <f t="shared" si="15"/>
        <v>201</v>
      </c>
      <c r="W60" s="19">
        <f t="shared" si="15"/>
        <v>197</v>
      </c>
      <c r="X60" s="19">
        <f t="shared" si="15"/>
        <v>181</v>
      </c>
      <c r="Y60" s="19">
        <f t="shared" si="15"/>
        <v>181</v>
      </c>
      <c r="Z60" s="19">
        <f t="shared" si="15"/>
        <v>160</v>
      </c>
      <c r="AA60" s="19">
        <f t="shared" si="15"/>
        <v>182</v>
      </c>
      <c r="AB60" s="19">
        <f t="shared" si="15"/>
        <v>169</v>
      </c>
      <c r="AC60" s="19">
        <f t="shared" si="15"/>
        <v>201</v>
      </c>
      <c r="AD60" s="19">
        <f t="shared" si="15"/>
        <v>201</v>
      </c>
      <c r="AE60" s="19">
        <f t="shared" si="15"/>
        <v>120</v>
      </c>
      <c r="AF60" s="19">
        <f t="shared" si="15"/>
        <v>111</v>
      </c>
      <c r="AG60" s="19">
        <f t="shared" si="15"/>
        <v>227</v>
      </c>
      <c r="AH60" s="13">
        <f t="shared" ref="AH60:AH62" si="16">SUM(E60:AG60)</f>
        <v>5239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32.0</v>
      </c>
      <c r="F61" s="19">
        <v>56.0</v>
      </c>
      <c r="G61" s="19">
        <v>38.0</v>
      </c>
      <c r="H61" s="19">
        <v>40.0</v>
      </c>
      <c r="I61" s="19">
        <v>41.0</v>
      </c>
      <c r="J61" s="19">
        <v>32.0</v>
      </c>
      <c r="K61" s="19">
        <v>37.0</v>
      </c>
      <c r="L61" s="19">
        <v>28.0</v>
      </c>
      <c r="M61" s="19">
        <v>53.0</v>
      </c>
      <c r="N61" s="19">
        <v>44.0</v>
      </c>
      <c r="O61" s="19">
        <v>36.0</v>
      </c>
      <c r="P61" s="19">
        <v>33.0</v>
      </c>
      <c r="Q61" s="19">
        <v>47.0</v>
      </c>
      <c r="R61" s="19">
        <v>35.0</v>
      </c>
      <c r="S61" s="19">
        <v>36.0</v>
      </c>
      <c r="T61" s="19">
        <v>34.0</v>
      </c>
      <c r="U61" s="19">
        <v>38.0</v>
      </c>
      <c r="V61" s="19">
        <v>47.0</v>
      </c>
      <c r="W61" s="19">
        <v>25.0</v>
      </c>
      <c r="X61" s="19">
        <v>34.0</v>
      </c>
      <c r="Y61" s="19">
        <v>44.0</v>
      </c>
      <c r="Z61" s="19">
        <v>58.0</v>
      </c>
      <c r="AA61" s="19">
        <v>41.0</v>
      </c>
      <c r="AB61" s="19">
        <v>34.0</v>
      </c>
      <c r="AC61" s="19">
        <v>31.0</v>
      </c>
      <c r="AD61" s="19">
        <v>36.0</v>
      </c>
      <c r="AE61" s="19">
        <v>19.0</v>
      </c>
      <c r="AF61" s="19">
        <v>16.0</v>
      </c>
      <c r="AG61" s="19">
        <v>24.0</v>
      </c>
      <c r="AH61" s="13">
        <f t="shared" si="16"/>
        <v>1069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G62" si="17">SUM(E60:E61)</f>
        <v>218</v>
      </c>
      <c r="F62" s="13">
        <f t="shared" si="17"/>
        <v>229</v>
      </c>
      <c r="G62" s="13">
        <f t="shared" si="17"/>
        <v>213</v>
      </c>
      <c r="H62" s="13">
        <f t="shared" si="17"/>
        <v>225</v>
      </c>
      <c r="I62" s="13">
        <f t="shared" si="17"/>
        <v>239</v>
      </c>
      <c r="J62" s="13">
        <f t="shared" si="17"/>
        <v>214</v>
      </c>
      <c r="K62" s="13">
        <f t="shared" si="17"/>
        <v>228</v>
      </c>
      <c r="L62" s="13">
        <f t="shared" si="17"/>
        <v>233</v>
      </c>
      <c r="M62" s="13">
        <f t="shared" si="17"/>
        <v>240</v>
      </c>
      <c r="N62" s="13">
        <f t="shared" si="17"/>
        <v>204</v>
      </c>
      <c r="O62" s="13">
        <f t="shared" si="17"/>
        <v>225</v>
      </c>
      <c r="P62" s="13">
        <f t="shared" si="17"/>
        <v>217</v>
      </c>
      <c r="Q62" s="13">
        <f t="shared" si="17"/>
        <v>215</v>
      </c>
      <c r="R62" s="13">
        <f t="shared" si="17"/>
        <v>209</v>
      </c>
      <c r="S62" s="13">
        <f t="shared" si="17"/>
        <v>221</v>
      </c>
      <c r="T62" s="13">
        <f t="shared" si="17"/>
        <v>213</v>
      </c>
      <c r="U62" s="13">
        <f t="shared" si="17"/>
        <v>225</v>
      </c>
      <c r="V62" s="13">
        <f t="shared" si="17"/>
        <v>248</v>
      </c>
      <c r="W62" s="13">
        <f t="shared" si="17"/>
        <v>222</v>
      </c>
      <c r="X62" s="13">
        <f t="shared" si="17"/>
        <v>215</v>
      </c>
      <c r="Y62" s="13">
        <f t="shared" si="17"/>
        <v>225</v>
      </c>
      <c r="Z62" s="13">
        <f t="shared" si="17"/>
        <v>218</v>
      </c>
      <c r="AA62" s="13">
        <f t="shared" si="17"/>
        <v>223</v>
      </c>
      <c r="AB62" s="13">
        <f t="shared" si="17"/>
        <v>203</v>
      </c>
      <c r="AC62" s="13">
        <f t="shared" si="17"/>
        <v>232</v>
      </c>
      <c r="AD62" s="13">
        <f t="shared" si="17"/>
        <v>237</v>
      </c>
      <c r="AE62" s="13">
        <f t="shared" si="17"/>
        <v>139</v>
      </c>
      <c r="AF62" s="13">
        <f t="shared" si="17"/>
        <v>127</v>
      </c>
      <c r="AG62" s="13">
        <f t="shared" si="17"/>
        <v>251</v>
      </c>
      <c r="AH62" s="13">
        <f t="shared" si="16"/>
        <v>6308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G15 E45:AG57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E30&lt;&gt;E46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60:AG61">
    <cfRule type="containsBlanks" dxfId="1" priority="10">
      <formula>LEN(TRIM(E60))=0</formula>
    </cfRule>
  </conditionalFormatting>
  <conditionalFormatting sqref="U34:AG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/>
    </row>
    <row r="10" ht="12.75" customHeight="1">
      <c r="D10" s="63" t="s">
        <v>102</v>
      </c>
    </row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149.0</v>
      </c>
      <c r="G14" s="19">
        <v>144.0</v>
      </c>
      <c r="H14" s="19">
        <v>143.0</v>
      </c>
      <c r="I14" s="19">
        <v>141.0</v>
      </c>
      <c r="J14" s="19">
        <v>130.0</v>
      </c>
      <c r="K14" s="19">
        <v>140.0</v>
      </c>
      <c r="L14" s="19">
        <v>131.0</v>
      </c>
      <c r="M14" s="19">
        <v>129.0</v>
      </c>
      <c r="N14" s="19">
        <v>143.0</v>
      </c>
      <c r="O14" s="19">
        <v>148.0</v>
      </c>
      <c r="P14" s="19">
        <v>122.0</v>
      </c>
      <c r="Q14" s="19">
        <v>140.0</v>
      </c>
      <c r="R14" s="19">
        <v>140.0</v>
      </c>
      <c r="S14" s="19">
        <v>129.0</v>
      </c>
      <c r="T14" s="13">
        <f t="shared" ref="T14:T16" si="1">SUM(E14:S14)</f>
        <v>2065</v>
      </c>
    </row>
    <row r="15" ht="12.75" customHeight="1">
      <c r="A15" s="18"/>
      <c r="B15" s="26"/>
      <c r="C15" s="27"/>
      <c r="D15" s="19" t="s">
        <v>13</v>
      </c>
      <c r="E15" s="19">
        <v>157.0</v>
      </c>
      <c r="F15" s="19">
        <v>146.0</v>
      </c>
      <c r="G15" s="19">
        <v>131.0</v>
      </c>
      <c r="H15" s="19">
        <v>153.0</v>
      </c>
      <c r="I15" s="19">
        <v>147.0</v>
      </c>
      <c r="J15" s="19">
        <v>159.0</v>
      </c>
      <c r="K15" s="19">
        <v>147.0</v>
      </c>
      <c r="L15" s="19">
        <v>150.0</v>
      </c>
      <c r="M15" s="19">
        <v>159.0</v>
      </c>
      <c r="N15" s="19">
        <v>156.0</v>
      </c>
      <c r="O15" s="19">
        <v>140.0</v>
      </c>
      <c r="P15" s="19">
        <v>145.0</v>
      </c>
      <c r="Q15" s="19">
        <v>154.0</v>
      </c>
      <c r="R15" s="19">
        <v>140.0</v>
      </c>
      <c r="S15" s="19">
        <v>161.0</v>
      </c>
      <c r="T15" s="13">
        <f t="shared" si="1"/>
        <v>2245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293</v>
      </c>
      <c r="F16" s="13">
        <f t="shared" si="2"/>
        <v>295</v>
      </c>
      <c r="G16" s="13">
        <f t="shared" si="2"/>
        <v>275</v>
      </c>
      <c r="H16" s="13">
        <f t="shared" si="2"/>
        <v>296</v>
      </c>
      <c r="I16" s="13">
        <f t="shared" si="2"/>
        <v>288</v>
      </c>
      <c r="J16" s="13">
        <f t="shared" si="2"/>
        <v>289</v>
      </c>
      <c r="K16" s="13">
        <f t="shared" si="2"/>
        <v>287</v>
      </c>
      <c r="L16" s="13">
        <f t="shared" si="2"/>
        <v>281</v>
      </c>
      <c r="M16" s="13">
        <f t="shared" si="2"/>
        <v>288</v>
      </c>
      <c r="N16" s="13">
        <f t="shared" si="2"/>
        <v>299</v>
      </c>
      <c r="O16" s="13">
        <f t="shared" si="2"/>
        <v>288</v>
      </c>
      <c r="P16" s="13">
        <f t="shared" si="2"/>
        <v>267</v>
      </c>
      <c r="Q16" s="13">
        <f t="shared" si="2"/>
        <v>294</v>
      </c>
      <c r="R16" s="13">
        <f t="shared" si="2"/>
        <v>280</v>
      </c>
      <c r="S16" s="13">
        <f t="shared" si="2"/>
        <v>290</v>
      </c>
      <c r="T16" s="13">
        <f t="shared" si="1"/>
        <v>4310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96.0</v>
      </c>
      <c r="F19" s="19">
        <v>105.0</v>
      </c>
      <c r="G19" s="19">
        <v>100.0</v>
      </c>
      <c r="H19" s="19">
        <v>106.0</v>
      </c>
      <c r="I19" s="19">
        <v>95.0</v>
      </c>
      <c r="J19" s="19">
        <v>93.0</v>
      </c>
      <c r="K19" s="19">
        <v>106.0</v>
      </c>
      <c r="L19" s="19">
        <v>83.0</v>
      </c>
      <c r="M19" s="19">
        <v>98.0</v>
      </c>
      <c r="N19" s="19">
        <v>90.0</v>
      </c>
      <c r="O19" s="19">
        <v>110.0</v>
      </c>
      <c r="P19" s="19">
        <v>89.0</v>
      </c>
      <c r="Q19" s="19">
        <v>105.0</v>
      </c>
      <c r="R19" s="19">
        <v>92.0</v>
      </c>
      <c r="S19" s="19">
        <v>90.0</v>
      </c>
      <c r="T19" s="13">
        <f t="shared" ref="T19:T30" si="3">SUM(E19:S19)</f>
        <v>1458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114.0</v>
      </c>
      <c r="G20" s="19">
        <v>101.0</v>
      </c>
      <c r="H20" s="19">
        <v>131.0</v>
      </c>
      <c r="I20" s="19">
        <v>109.0</v>
      </c>
      <c r="J20" s="19">
        <v>126.0</v>
      </c>
      <c r="K20" s="19">
        <v>115.0</v>
      </c>
      <c r="L20" s="19">
        <v>114.0</v>
      </c>
      <c r="M20" s="19">
        <v>121.0</v>
      </c>
      <c r="N20" s="19">
        <v>115.0</v>
      </c>
      <c r="O20" s="19">
        <v>112.0</v>
      </c>
      <c r="P20" s="19">
        <v>116.0</v>
      </c>
      <c r="Q20" s="19">
        <v>126.0</v>
      </c>
      <c r="R20" s="19">
        <v>113.0</v>
      </c>
      <c r="S20" s="19">
        <v>123.0</v>
      </c>
      <c r="T20" s="13">
        <f t="shared" si="3"/>
        <v>1754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214</v>
      </c>
      <c r="F21" s="13">
        <f t="shared" si="4"/>
        <v>219</v>
      </c>
      <c r="G21" s="13">
        <f t="shared" si="4"/>
        <v>201</v>
      </c>
      <c r="H21" s="13">
        <f t="shared" si="4"/>
        <v>237</v>
      </c>
      <c r="I21" s="13">
        <f t="shared" si="4"/>
        <v>204</v>
      </c>
      <c r="J21" s="13">
        <f t="shared" si="4"/>
        <v>219</v>
      </c>
      <c r="K21" s="13">
        <f t="shared" si="4"/>
        <v>221</v>
      </c>
      <c r="L21" s="13">
        <f t="shared" si="4"/>
        <v>197</v>
      </c>
      <c r="M21" s="13">
        <f t="shared" si="4"/>
        <v>219</v>
      </c>
      <c r="N21" s="13">
        <f t="shared" si="4"/>
        <v>205</v>
      </c>
      <c r="O21" s="13">
        <f t="shared" si="4"/>
        <v>222</v>
      </c>
      <c r="P21" s="13">
        <f t="shared" si="4"/>
        <v>205</v>
      </c>
      <c r="Q21" s="13">
        <f t="shared" si="4"/>
        <v>231</v>
      </c>
      <c r="R21" s="13">
        <f t="shared" si="4"/>
        <v>205</v>
      </c>
      <c r="S21" s="13">
        <f t="shared" si="4"/>
        <v>213</v>
      </c>
      <c r="T21" s="13">
        <f t="shared" si="3"/>
        <v>3212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3.0</v>
      </c>
      <c r="J22" s="19">
        <v>1.0</v>
      </c>
      <c r="K22" s="19">
        <v>3.0</v>
      </c>
      <c r="L22" s="19">
        <v>0.0</v>
      </c>
      <c r="M22" s="19">
        <v>0.0</v>
      </c>
      <c r="N22" s="19">
        <v>8.0</v>
      </c>
      <c r="O22" s="19">
        <v>0.0</v>
      </c>
      <c r="P22" s="19">
        <v>0.0</v>
      </c>
      <c r="Q22" s="19">
        <v>1.0</v>
      </c>
      <c r="R22" s="19">
        <v>1.0</v>
      </c>
      <c r="S22" s="19">
        <v>2.0</v>
      </c>
      <c r="T22" s="13">
        <f t="shared" si="3"/>
        <v>19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5.0</v>
      </c>
      <c r="O23" s="19">
        <v>0.0</v>
      </c>
      <c r="P23" s="19">
        <v>1.0</v>
      </c>
      <c r="Q23" s="19">
        <v>1.0</v>
      </c>
      <c r="R23" s="19">
        <v>0.0</v>
      </c>
      <c r="S23" s="19">
        <v>0.0</v>
      </c>
      <c r="T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4</v>
      </c>
      <c r="J24" s="13">
        <f t="shared" si="5"/>
        <v>2</v>
      </c>
      <c r="K24" s="13">
        <f t="shared" si="5"/>
        <v>3</v>
      </c>
      <c r="L24" s="13">
        <f t="shared" si="5"/>
        <v>0</v>
      </c>
      <c r="M24" s="13">
        <f t="shared" si="5"/>
        <v>0</v>
      </c>
      <c r="N24" s="13">
        <f t="shared" si="5"/>
        <v>13</v>
      </c>
      <c r="O24" s="13">
        <f t="shared" si="5"/>
        <v>0</v>
      </c>
      <c r="P24" s="13">
        <f t="shared" si="5"/>
        <v>1</v>
      </c>
      <c r="Q24" s="13">
        <f t="shared" si="5"/>
        <v>2</v>
      </c>
      <c r="R24" s="13">
        <f t="shared" si="5"/>
        <v>1</v>
      </c>
      <c r="S24" s="13">
        <f t="shared" si="5"/>
        <v>2</v>
      </c>
      <c r="T24" s="13">
        <f t="shared" si="3"/>
        <v>29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1.0</v>
      </c>
      <c r="J25" s="19">
        <v>0.0</v>
      </c>
      <c r="K25" s="19">
        <v>0.0</v>
      </c>
      <c r="L25" s="19">
        <v>1.0</v>
      </c>
      <c r="M25" s="19">
        <v>1.0</v>
      </c>
      <c r="N25" s="19">
        <v>1.0</v>
      </c>
      <c r="O25" s="19">
        <v>4.0</v>
      </c>
      <c r="P25" s="19">
        <v>0.0</v>
      </c>
      <c r="Q25" s="19">
        <v>1.0</v>
      </c>
      <c r="R25" s="19">
        <v>3.0</v>
      </c>
      <c r="S25" s="19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1.0</v>
      </c>
      <c r="H26" s="19">
        <v>0.0</v>
      </c>
      <c r="I26" s="19">
        <v>3.0</v>
      </c>
      <c r="J26" s="19">
        <v>2.0</v>
      </c>
      <c r="K26" s="19">
        <v>1.0</v>
      </c>
      <c r="L26" s="19">
        <v>1.0</v>
      </c>
      <c r="M26" s="19">
        <v>1.0</v>
      </c>
      <c r="N26" s="19">
        <v>0.0</v>
      </c>
      <c r="O26" s="19">
        <v>6.0</v>
      </c>
      <c r="P26" s="19">
        <v>4.0</v>
      </c>
      <c r="Q26" s="19">
        <v>1.0</v>
      </c>
      <c r="R26" s="19">
        <v>2.0</v>
      </c>
      <c r="S26" s="19">
        <v>2.0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5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2</v>
      </c>
      <c r="M27" s="13">
        <f t="shared" si="6"/>
        <v>2</v>
      </c>
      <c r="N27" s="13">
        <f t="shared" si="6"/>
        <v>1</v>
      </c>
      <c r="O27" s="13">
        <f t="shared" si="6"/>
        <v>10</v>
      </c>
      <c r="P27" s="13">
        <f t="shared" si="6"/>
        <v>4</v>
      </c>
      <c r="Q27" s="13">
        <f t="shared" si="6"/>
        <v>2</v>
      </c>
      <c r="R27" s="13">
        <f t="shared" si="6"/>
        <v>5</v>
      </c>
      <c r="S27" s="13">
        <f t="shared" si="6"/>
        <v>4</v>
      </c>
      <c r="T27" s="13">
        <f t="shared" si="3"/>
        <v>45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99</v>
      </c>
      <c r="F28" s="13">
        <f t="shared" si="7"/>
        <v>105</v>
      </c>
      <c r="G28" s="13">
        <f t="shared" si="7"/>
        <v>101</v>
      </c>
      <c r="H28" s="13">
        <f t="shared" si="7"/>
        <v>106</v>
      </c>
      <c r="I28" s="13">
        <f t="shared" si="7"/>
        <v>99</v>
      </c>
      <c r="J28" s="13">
        <f t="shared" si="7"/>
        <v>94</v>
      </c>
      <c r="K28" s="13">
        <f t="shared" si="7"/>
        <v>109</v>
      </c>
      <c r="L28" s="13">
        <f t="shared" si="7"/>
        <v>84</v>
      </c>
      <c r="M28" s="13">
        <f t="shared" si="7"/>
        <v>99</v>
      </c>
      <c r="N28" s="13">
        <f t="shared" si="7"/>
        <v>99</v>
      </c>
      <c r="O28" s="13">
        <f t="shared" si="7"/>
        <v>114</v>
      </c>
      <c r="P28" s="13">
        <f t="shared" si="7"/>
        <v>89</v>
      </c>
      <c r="Q28" s="13">
        <f t="shared" si="7"/>
        <v>107</v>
      </c>
      <c r="R28" s="13">
        <f t="shared" si="7"/>
        <v>96</v>
      </c>
      <c r="S28" s="13">
        <f t="shared" si="7"/>
        <v>94</v>
      </c>
      <c r="T28" s="13">
        <f t="shared" si="3"/>
        <v>1495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120</v>
      </c>
      <c r="F29" s="13">
        <f t="shared" si="8"/>
        <v>116</v>
      </c>
      <c r="G29" s="13">
        <f t="shared" si="8"/>
        <v>102</v>
      </c>
      <c r="H29" s="13">
        <f t="shared" si="8"/>
        <v>131</v>
      </c>
      <c r="I29" s="13">
        <f t="shared" si="8"/>
        <v>113</v>
      </c>
      <c r="J29" s="13">
        <f t="shared" si="8"/>
        <v>129</v>
      </c>
      <c r="K29" s="13">
        <f t="shared" si="8"/>
        <v>116</v>
      </c>
      <c r="L29" s="13">
        <f t="shared" si="8"/>
        <v>115</v>
      </c>
      <c r="M29" s="13">
        <f t="shared" si="8"/>
        <v>122</v>
      </c>
      <c r="N29" s="13">
        <f t="shared" si="8"/>
        <v>120</v>
      </c>
      <c r="O29" s="13">
        <f t="shared" si="8"/>
        <v>118</v>
      </c>
      <c r="P29" s="13">
        <f t="shared" si="8"/>
        <v>121</v>
      </c>
      <c r="Q29" s="13">
        <f t="shared" si="8"/>
        <v>128</v>
      </c>
      <c r="R29" s="13">
        <f t="shared" si="8"/>
        <v>115</v>
      </c>
      <c r="S29" s="13">
        <f t="shared" si="8"/>
        <v>125</v>
      </c>
      <c r="T29" s="13">
        <f t="shared" si="3"/>
        <v>1791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219</v>
      </c>
      <c r="F30" s="13">
        <f t="shared" si="9"/>
        <v>221</v>
      </c>
      <c r="G30" s="13">
        <f t="shared" si="9"/>
        <v>203</v>
      </c>
      <c r="H30" s="13">
        <f t="shared" si="9"/>
        <v>237</v>
      </c>
      <c r="I30" s="13">
        <f t="shared" si="9"/>
        <v>212</v>
      </c>
      <c r="J30" s="13">
        <f t="shared" si="9"/>
        <v>223</v>
      </c>
      <c r="K30" s="13">
        <f t="shared" si="9"/>
        <v>225</v>
      </c>
      <c r="L30" s="13">
        <f t="shared" si="9"/>
        <v>199</v>
      </c>
      <c r="M30" s="13">
        <f t="shared" si="9"/>
        <v>221</v>
      </c>
      <c r="N30" s="13">
        <f t="shared" si="9"/>
        <v>219</v>
      </c>
      <c r="O30" s="13">
        <f t="shared" si="9"/>
        <v>232</v>
      </c>
      <c r="P30" s="13">
        <f t="shared" si="9"/>
        <v>210</v>
      </c>
      <c r="Q30" s="13">
        <f t="shared" si="9"/>
        <v>235</v>
      </c>
      <c r="R30" s="13">
        <f t="shared" si="9"/>
        <v>211</v>
      </c>
      <c r="S30" s="13">
        <f t="shared" si="9"/>
        <v>219</v>
      </c>
      <c r="T30" s="13">
        <f t="shared" si="3"/>
        <v>3286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59"/>
    </row>
    <row r="33" ht="12.75" customHeight="1">
      <c r="A33" s="19">
        <v>1.0</v>
      </c>
      <c r="B33" s="20" t="s">
        <v>85</v>
      </c>
      <c r="C33" s="15"/>
      <c r="D33" s="16"/>
      <c r="E33" s="19">
        <v>299.0</v>
      </c>
      <c r="F33" s="19">
        <v>301.0</v>
      </c>
      <c r="G33" s="19">
        <v>281.0</v>
      </c>
      <c r="H33" s="19">
        <v>292.0</v>
      </c>
      <c r="I33" s="19">
        <v>294.0</v>
      </c>
      <c r="J33" s="19">
        <v>296.0</v>
      </c>
      <c r="K33" s="19">
        <v>294.0</v>
      </c>
      <c r="L33" s="19">
        <v>277.0</v>
      </c>
      <c r="M33" s="19">
        <v>292.0</v>
      </c>
      <c r="N33" s="19">
        <v>305.0</v>
      </c>
      <c r="O33" s="19">
        <v>295.0</v>
      </c>
      <c r="P33" s="19">
        <v>271.0</v>
      </c>
      <c r="Q33" s="19">
        <v>300.0</v>
      </c>
      <c r="R33" s="19">
        <v>286.0</v>
      </c>
      <c r="S33" s="19">
        <v>294.0</v>
      </c>
      <c r="T33" s="13">
        <f t="shared" ref="T33:T36" si="10">SUM(E33:S33)</f>
        <v>4377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221.0</v>
      </c>
      <c r="G34" s="13">
        <v>203.0</v>
      </c>
      <c r="H34" s="13">
        <v>237.0</v>
      </c>
      <c r="I34" s="13">
        <v>212.0</v>
      </c>
      <c r="J34" s="13">
        <v>223.0</v>
      </c>
      <c r="K34" s="13">
        <v>225.0</v>
      </c>
      <c r="L34" s="13">
        <v>199.0</v>
      </c>
      <c r="M34" s="13">
        <v>221.0</v>
      </c>
      <c r="N34" s="13">
        <v>219.0</v>
      </c>
      <c r="O34" s="13">
        <v>232.0</v>
      </c>
      <c r="P34" s="13">
        <v>210.0</v>
      </c>
      <c r="Q34" s="13">
        <v>235.0</v>
      </c>
      <c r="R34" s="13">
        <v>211.0</v>
      </c>
      <c r="S34" s="13">
        <v>219.0</v>
      </c>
      <c r="T34" s="13">
        <f t="shared" si="10"/>
        <v>3286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3.0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80</v>
      </c>
      <c r="F36" s="13">
        <f t="shared" si="11"/>
        <v>80</v>
      </c>
      <c r="G36" s="13">
        <f t="shared" si="11"/>
        <v>78</v>
      </c>
      <c r="H36" s="13">
        <f t="shared" si="11"/>
        <v>55</v>
      </c>
      <c r="I36" s="13">
        <f t="shared" si="11"/>
        <v>79</v>
      </c>
      <c r="J36" s="13">
        <f t="shared" si="11"/>
        <v>73</v>
      </c>
      <c r="K36" s="13">
        <f t="shared" si="11"/>
        <v>69</v>
      </c>
      <c r="L36" s="13">
        <f t="shared" si="11"/>
        <v>78</v>
      </c>
      <c r="M36" s="13">
        <f t="shared" si="11"/>
        <v>71</v>
      </c>
      <c r="N36" s="13">
        <f t="shared" si="11"/>
        <v>86</v>
      </c>
      <c r="O36" s="13">
        <f t="shared" si="11"/>
        <v>63</v>
      </c>
      <c r="P36" s="13">
        <f t="shared" si="11"/>
        <v>61</v>
      </c>
      <c r="Q36" s="13">
        <f t="shared" si="11"/>
        <v>65</v>
      </c>
      <c r="R36" s="13">
        <f t="shared" si="11"/>
        <v>75</v>
      </c>
      <c r="S36" s="13">
        <f t="shared" si="11"/>
        <v>75</v>
      </c>
      <c r="T36" s="13">
        <f t="shared" si="10"/>
        <v>1088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>
        <v>1.0</v>
      </c>
      <c r="N39" s="19"/>
      <c r="O39" s="19"/>
      <c r="P39" s="19"/>
      <c r="Q39" s="19"/>
      <c r="R39" s="19"/>
      <c r="S39" s="19"/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3"/>
    </row>
    <row r="45" ht="12.75" customHeight="1">
      <c r="A45" s="30"/>
      <c r="B45" s="47" t="s">
        <v>17</v>
      </c>
      <c r="C45" s="62" t="s">
        <v>38</v>
      </c>
      <c r="D45" s="16"/>
      <c r="E45" s="19">
        <v>7.0</v>
      </c>
      <c r="F45" s="19">
        <v>15.0</v>
      </c>
      <c r="G45" s="19">
        <v>16.0</v>
      </c>
      <c r="H45" s="19">
        <v>12.0</v>
      </c>
      <c r="I45" s="19">
        <v>5.0</v>
      </c>
      <c r="J45" s="19">
        <v>14.0</v>
      </c>
      <c r="K45" s="19">
        <v>12.0</v>
      </c>
      <c r="L45" s="19">
        <v>7.0</v>
      </c>
      <c r="M45" s="19">
        <v>9.0</v>
      </c>
      <c r="N45" s="19">
        <v>8.0</v>
      </c>
      <c r="O45" s="19">
        <v>14.0</v>
      </c>
      <c r="P45" s="19">
        <v>5.0</v>
      </c>
      <c r="Q45" s="19">
        <v>6.0</v>
      </c>
      <c r="R45" s="19">
        <v>13.0</v>
      </c>
      <c r="S45" s="19">
        <v>4.0</v>
      </c>
      <c r="T45" s="13">
        <f t="shared" ref="T45:T57" si="14">SUM(E45:S45)</f>
        <v>147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28.0</v>
      </c>
      <c r="F46" s="19">
        <v>18.0</v>
      </c>
      <c r="G46" s="19">
        <v>24.0</v>
      </c>
      <c r="H46" s="19">
        <v>27.0</v>
      </c>
      <c r="I46" s="19">
        <v>32.0</v>
      </c>
      <c r="J46" s="19">
        <v>32.0</v>
      </c>
      <c r="K46" s="19">
        <v>31.0</v>
      </c>
      <c r="L46" s="19">
        <v>30.0</v>
      </c>
      <c r="M46" s="19">
        <v>35.0</v>
      </c>
      <c r="N46" s="19">
        <v>32.0</v>
      </c>
      <c r="O46" s="19">
        <v>31.0</v>
      </c>
      <c r="P46" s="19">
        <v>25.0</v>
      </c>
      <c r="Q46" s="19">
        <v>36.0</v>
      </c>
      <c r="R46" s="19">
        <v>38.0</v>
      </c>
      <c r="S46" s="19">
        <v>29.0</v>
      </c>
      <c r="T46" s="13">
        <f t="shared" si="14"/>
        <v>448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17.0</v>
      </c>
      <c r="F47" s="19">
        <v>11.0</v>
      </c>
      <c r="G47" s="19">
        <v>7.0</v>
      </c>
      <c r="H47" s="19">
        <v>19.0</v>
      </c>
      <c r="I47" s="19">
        <v>14.0</v>
      </c>
      <c r="J47" s="19">
        <v>8.0</v>
      </c>
      <c r="K47" s="19">
        <v>6.0</v>
      </c>
      <c r="L47" s="19">
        <v>10.0</v>
      </c>
      <c r="M47" s="19">
        <v>12.0</v>
      </c>
      <c r="N47" s="19">
        <v>13.0</v>
      </c>
      <c r="O47" s="19">
        <v>15.0</v>
      </c>
      <c r="P47" s="19">
        <v>17.0</v>
      </c>
      <c r="Q47" s="19">
        <v>13.0</v>
      </c>
      <c r="R47" s="19">
        <v>13.0</v>
      </c>
      <c r="S47" s="19">
        <v>14.0</v>
      </c>
      <c r="T47" s="13">
        <f t="shared" si="14"/>
        <v>189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17.0</v>
      </c>
      <c r="F48" s="19">
        <v>30.0</v>
      </c>
      <c r="G48" s="19">
        <v>15.0</v>
      </c>
      <c r="H48" s="19">
        <v>17.0</v>
      </c>
      <c r="I48" s="19">
        <v>18.0</v>
      </c>
      <c r="J48" s="19">
        <v>13.0</v>
      </c>
      <c r="K48" s="19">
        <v>17.0</v>
      </c>
      <c r="L48" s="19">
        <v>15.0</v>
      </c>
      <c r="M48" s="19">
        <v>13.0</v>
      </c>
      <c r="N48" s="19">
        <v>13.0</v>
      </c>
      <c r="O48" s="19">
        <v>17.0</v>
      </c>
      <c r="P48" s="19">
        <v>24.0</v>
      </c>
      <c r="Q48" s="19">
        <v>18.0</v>
      </c>
      <c r="R48" s="19">
        <v>15.0</v>
      </c>
      <c r="S48" s="19">
        <v>16.0</v>
      </c>
      <c r="T48" s="13">
        <f t="shared" si="14"/>
        <v>258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26.0</v>
      </c>
      <c r="F49" s="19">
        <v>25.0</v>
      </c>
      <c r="G49" s="19">
        <v>15.0</v>
      </c>
      <c r="H49" s="19">
        <v>28.0</v>
      </c>
      <c r="I49" s="19">
        <v>28.0</v>
      </c>
      <c r="J49" s="19">
        <v>34.0</v>
      </c>
      <c r="K49" s="19">
        <v>25.0</v>
      </c>
      <c r="L49" s="19">
        <v>26.0</v>
      </c>
      <c r="M49" s="19">
        <v>25.0</v>
      </c>
      <c r="N49" s="19">
        <v>39.0</v>
      </c>
      <c r="O49" s="19">
        <v>23.0</v>
      </c>
      <c r="P49" s="19">
        <v>26.0</v>
      </c>
      <c r="Q49" s="19">
        <v>21.0</v>
      </c>
      <c r="R49" s="19">
        <v>21.0</v>
      </c>
      <c r="S49" s="19">
        <v>29.0</v>
      </c>
      <c r="T49" s="13">
        <f t="shared" si="14"/>
        <v>391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7.0</v>
      </c>
      <c r="F50" s="19">
        <v>11.0</v>
      </c>
      <c r="G50" s="19">
        <v>8.0</v>
      </c>
      <c r="H50" s="19">
        <v>12.0</v>
      </c>
      <c r="I50" s="19">
        <v>10.0</v>
      </c>
      <c r="J50" s="19">
        <v>6.0</v>
      </c>
      <c r="K50" s="19">
        <v>7.0</v>
      </c>
      <c r="L50" s="19">
        <v>5.0</v>
      </c>
      <c r="M50" s="19">
        <v>10.0</v>
      </c>
      <c r="N50" s="19">
        <v>10.0</v>
      </c>
      <c r="O50" s="19">
        <v>23.0</v>
      </c>
      <c r="P50" s="19">
        <v>12.0</v>
      </c>
      <c r="Q50" s="19">
        <v>20.0</v>
      </c>
      <c r="R50" s="19">
        <v>11.0</v>
      </c>
      <c r="S50" s="19">
        <v>7.0</v>
      </c>
      <c r="T50" s="13">
        <f t="shared" si="14"/>
        <v>159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2.0</v>
      </c>
      <c r="G51" s="19">
        <v>2.0</v>
      </c>
      <c r="H51" s="19">
        <v>5.0</v>
      </c>
      <c r="I51" s="19">
        <v>2.0</v>
      </c>
      <c r="J51" s="19">
        <v>4.0</v>
      </c>
      <c r="K51" s="19">
        <v>4.0</v>
      </c>
      <c r="L51" s="19">
        <v>1.0</v>
      </c>
      <c r="M51" s="19">
        <v>6.0</v>
      </c>
      <c r="N51" s="19">
        <v>7.0</v>
      </c>
      <c r="O51" s="19">
        <v>4.0</v>
      </c>
      <c r="P51" s="19">
        <v>2.0</v>
      </c>
      <c r="Q51" s="19">
        <v>2.0</v>
      </c>
      <c r="R51" s="19">
        <v>0.0</v>
      </c>
      <c r="S51" s="19">
        <v>1.0</v>
      </c>
      <c r="T51" s="13">
        <f t="shared" si="14"/>
        <v>43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1.0</v>
      </c>
      <c r="G52" s="19">
        <v>8.0</v>
      </c>
      <c r="H52" s="19">
        <v>7.0</v>
      </c>
      <c r="I52" s="19">
        <v>4.0</v>
      </c>
      <c r="J52" s="19">
        <v>5.0</v>
      </c>
      <c r="K52" s="19">
        <v>10.0</v>
      </c>
      <c r="L52" s="19">
        <v>5.0</v>
      </c>
      <c r="M52" s="19">
        <v>9.0</v>
      </c>
      <c r="N52" s="19">
        <v>5.0</v>
      </c>
      <c r="O52" s="19">
        <v>3.0</v>
      </c>
      <c r="P52" s="19">
        <v>4.0</v>
      </c>
      <c r="Q52" s="19">
        <v>3.0</v>
      </c>
      <c r="R52" s="19">
        <v>6.0</v>
      </c>
      <c r="S52" s="19">
        <v>13.0</v>
      </c>
      <c r="T52" s="13">
        <f t="shared" si="14"/>
        <v>84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0.0</v>
      </c>
      <c r="G53" s="19">
        <v>1.0</v>
      </c>
      <c r="H53" s="19">
        <v>3.0</v>
      </c>
      <c r="I53" s="19">
        <v>1.0</v>
      </c>
      <c r="J53" s="19">
        <v>1.0</v>
      </c>
      <c r="K53" s="19">
        <v>1.0</v>
      </c>
      <c r="L53" s="19">
        <v>3.0</v>
      </c>
      <c r="M53" s="19">
        <v>3.0</v>
      </c>
      <c r="N53" s="19">
        <v>2.0</v>
      </c>
      <c r="O53" s="19">
        <v>3.0</v>
      </c>
      <c r="P53" s="19">
        <v>0.0</v>
      </c>
      <c r="Q53" s="19">
        <v>2.0</v>
      </c>
      <c r="R53" s="19">
        <v>2.0</v>
      </c>
      <c r="S53" s="19">
        <v>1.0</v>
      </c>
      <c r="T53" s="13">
        <f t="shared" si="14"/>
        <v>24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33.0</v>
      </c>
      <c r="F54" s="19">
        <v>31.0</v>
      </c>
      <c r="G54" s="19">
        <v>19.0</v>
      </c>
      <c r="H54" s="19">
        <v>27.0</v>
      </c>
      <c r="I54" s="19">
        <v>26.0</v>
      </c>
      <c r="J54" s="19">
        <v>31.0</v>
      </c>
      <c r="K54" s="19">
        <v>30.0</v>
      </c>
      <c r="L54" s="19">
        <v>34.0</v>
      </c>
      <c r="M54" s="19">
        <v>36.0</v>
      </c>
      <c r="N54" s="19">
        <v>27.0</v>
      </c>
      <c r="O54" s="19">
        <v>23.0</v>
      </c>
      <c r="P54" s="19">
        <v>32.0</v>
      </c>
      <c r="Q54" s="19">
        <v>25.0</v>
      </c>
      <c r="R54" s="19">
        <v>22.0</v>
      </c>
      <c r="S54" s="19">
        <v>24.0</v>
      </c>
      <c r="T54" s="13">
        <f t="shared" si="14"/>
        <v>420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2.0</v>
      </c>
      <c r="G55" s="19">
        <v>4.0</v>
      </c>
      <c r="H55" s="19">
        <v>6.0</v>
      </c>
      <c r="I55" s="19">
        <v>1.0</v>
      </c>
      <c r="J55" s="19">
        <v>2.0</v>
      </c>
      <c r="K55" s="19">
        <v>5.0</v>
      </c>
      <c r="L55" s="19">
        <v>6.0</v>
      </c>
      <c r="M55" s="19">
        <v>4.0</v>
      </c>
      <c r="N55" s="19">
        <v>1.0</v>
      </c>
      <c r="O55" s="19">
        <v>0.0</v>
      </c>
      <c r="P55" s="19">
        <v>0.0</v>
      </c>
      <c r="Q55" s="19">
        <v>5.0</v>
      </c>
      <c r="R55" s="19">
        <v>0.0</v>
      </c>
      <c r="S55" s="19">
        <v>3.0</v>
      </c>
      <c r="T55" s="13">
        <f t="shared" si="14"/>
        <v>40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21.0</v>
      </c>
      <c r="F56" s="19">
        <v>28.0</v>
      </c>
      <c r="G56" s="19">
        <v>25.0</v>
      </c>
      <c r="H56" s="19">
        <v>21.0</v>
      </c>
      <c r="I56" s="19">
        <v>18.0</v>
      </c>
      <c r="J56" s="19">
        <v>29.0</v>
      </c>
      <c r="K56" s="19">
        <v>21.0</v>
      </c>
      <c r="L56" s="19">
        <v>24.0</v>
      </c>
      <c r="M56" s="19">
        <v>21.0</v>
      </c>
      <c r="N56" s="19">
        <v>13.0</v>
      </c>
      <c r="O56" s="19">
        <v>20.0</v>
      </c>
      <c r="P56" s="19">
        <v>21.0</v>
      </c>
      <c r="Q56" s="19">
        <v>23.0</v>
      </c>
      <c r="R56" s="19">
        <v>14.0</v>
      </c>
      <c r="S56" s="19">
        <v>10.0</v>
      </c>
      <c r="T56" s="13">
        <f t="shared" si="14"/>
        <v>309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5.0</v>
      </c>
      <c r="F57" s="19">
        <v>3.0</v>
      </c>
      <c r="G57" s="19">
        <v>2.0</v>
      </c>
      <c r="H57" s="19">
        <v>2.0</v>
      </c>
      <c r="I57" s="19">
        <v>2.0</v>
      </c>
      <c r="J57" s="19">
        <v>3.0</v>
      </c>
      <c r="K57" s="19">
        <v>2.0</v>
      </c>
      <c r="L57" s="19">
        <v>3.0</v>
      </c>
      <c r="M57" s="19">
        <v>2.0</v>
      </c>
      <c r="N57" s="19">
        <v>3.0</v>
      </c>
      <c r="O57" s="19">
        <v>7.0</v>
      </c>
      <c r="P57" s="19">
        <v>5.0</v>
      </c>
      <c r="Q57" s="19">
        <v>6.0</v>
      </c>
      <c r="R57" s="19">
        <v>2.0</v>
      </c>
      <c r="S57" s="19">
        <v>3.0</v>
      </c>
      <c r="T57" s="13">
        <f t="shared" si="14"/>
        <v>50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S60" si="15">SUM(E45:E57)</f>
        <v>165</v>
      </c>
      <c r="F60" s="19">
        <f t="shared" si="15"/>
        <v>177</v>
      </c>
      <c r="G60" s="19">
        <f t="shared" si="15"/>
        <v>146</v>
      </c>
      <c r="H60" s="19">
        <f t="shared" si="15"/>
        <v>186</v>
      </c>
      <c r="I60" s="19">
        <f t="shared" si="15"/>
        <v>161</v>
      </c>
      <c r="J60" s="19">
        <f t="shared" si="15"/>
        <v>182</v>
      </c>
      <c r="K60" s="19">
        <f t="shared" si="15"/>
        <v>171</v>
      </c>
      <c r="L60" s="19">
        <f t="shared" si="15"/>
        <v>169</v>
      </c>
      <c r="M60" s="19">
        <f t="shared" si="15"/>
        <v>185</v>
      </c>
      <c r="N60" s="19">
        <f t="shared" si="15"/>
        <v>173</v>
      </c>
      <c r="O60" s="19">
        <f t="shared" si="15"/>
        <v>183</v>
      </c>
      <c r="P60" s="19">
        <f t="shared" si="15"/>
        <v>173</v>
      </c>
      <c r="Q60" s="19">
        <f t="shared" si="15"/>
        <v>180</v>
      </c>
      <c r="R60" s="19">
        <f t="shared" si="15"/>
        <v>157</v>
      </c>
      <c r="S60" s="19">
        <f t="shared" si="15"/>
        <v>154</v>
      </c>
      <c r="T60" s="13">
        <f t="shared" ref="T60:T62" si="16">SUM(E60:S60)</f>
        <v>2562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54.0</v>
      </c>
      <c r="F61" s="19">
        <v>44.0</v>
      </c>
      <c r="G61" s="19">
        <v>57.0</v>
      </c>
      <c r="H61" s="19">
        <v>51.0</v>
      </c>
      <c r="I61" s="19">
        <v>51.0</v>
      </c>
      <c r="J61" s="19">
        <v>41.0</v>
      </c>
      <c r="K61" s="19">
        <v>54.0</v>
      </c>
      <c r="L61" s="19">
        <v>30.0</v>
      </c>
      <c r="M61" s="19">
        <v>36.0</v>
      </c>
      <c r="N61" s="19">
        <v>46.0</v>
      </c>
      <c r="O61" s="19">
        <v>49.0</v>
      </c>
      <c r="P61" s="19">
        <v>37.0</v>
      </c>
      <c r="Q61" s="19">
        <v>55.0</v>
      </c>
      <c r="R61" s="19">
        <v>54.0</v>
      </c>
      <c r="S61" s="19">
        <v>65.0</v>
      </c>
      <c r="T61" s="13">
        <f t="shared" si="16"/>
        <v>724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S62" si="17">SUM(E60:E61)</f>
        <v>219</v>
      </c>
      <c r="F62" s="13">
        <f t="shared" si="17"/>
        <v>221</v>
      </c>
      <c r="G62" s="13">
        <f t="shared" si="17"/>
        <v>203</v>
      </c>
      <c r="H62" s="13">
        <f t="shared" si="17"/>
        <v>237</v>
      </c>
      <c r="I62" s="13">
        <f t="shared" si="17"/>
        <v>212</v>
      </c>
      <c r="J62" s="13">
        <f t="shared" si="17"/>
        <v>223</v>
      </c>
      <c r="K62" s="13">
        <f t="shared" si="17"/>
        <v>225</v>
      </c>
      <c r="L62" s="13">
        <f t="shared" si="17"/>
        <v>199</v>
      </c>
      <c r="M62" s="13">
        <f t="shared" si="17"/>
        <v>221</v>
      </c>
      <c r="N62" s="13">
        <f t="shared" si="17"/>
        <v>219</v>
      </c>
      <c r="O62" s="13">
        <f t="shared" si="17"/>
        <v>232</v>
      </c>
      <c r="P62" s="13">
        <f t="shared" si="17"/>
        <v>210</v>
      </c>
      <c r="Q62" s="13">
        <f t="shared" si="17"/>
        <v>235</v>
      </c>
      <c r="R62" s="13">
        <f t="shared" si="17"/>
        <v>211</v>
      </c>
      <c r="S62" s="13">
        <f t="shared" si="17"/>
        <v>219</v>
      </c>
      <c r="T62" s="13">
        <f t="shared" si="16"/>
        <v>3286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S34">
    <cfRule type="expression" dxfId="0" priority="1">
      <formula>E34&lt;&gt;#REF!</formula>
    </cfRule>
  </conditionalFormatting>
  <conditionalFormatting sqref="E14:S15 E45:S57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E30&lt;&gt;E46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60:S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13" t="s">
        <v>93</v>
      </c>
      <c r="AA13" s="13" t="s">
        <v>94</v>
      </c>
      <c r="AB13" s="13" t="s">
        <v>96</v>
      </c>
      <c r="AC13" s="13" t="s">
        <v>97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143.0</v>
      </c>
      <c r="G14" s="19">
        <v>115.0</v>
      </c>
      <c r="H14" s="19">
        <v>142.0</v>
      </c>
      <c r="I14" s="19">
        <v>126.0</v>
      </c>
      <c r="J14" s="19">
        <v>133.0</v>
      </c>
      <c r="K14" s="19">
        <v>129.0</v>
      </c>
      <c r="L14" s="19">
        <v>113.0</v>
      </c>
      <c r="M14" s="19">
        <v>130.0</v>
      </c>
      <c r="N14" s="19">
        <v>111.0</v>
      </c>
      <c r="O14" s="19">
        <v>120.0</v>
      </c>
      <c r="P14" s="19">
        <v>120.0</v>
      </c>
      <c r="Q14" s="19">
        <v>132.0</v>
      </c>
      <c r="R14" s="19">
        <v>129.0</v>
      </c>
      <c r="S14" s="19">
        <v>134.0</v>
      </c>
      <c r="T14" s="19">
        <v>136.0</v>
      </c>
      <c r="U14" s="19">
        <v>132.0</v>
      </c>
      <c r="V14" s="19">
        <v>133.0</v>
      </c>
      <c r="W14" s="19">
        <v>124.0</v>
      </c>
      <c r="X14" s="19">
        <v>135.0</v>
      </c>
      <c r="Y14" s="19">
        <v>127.0</v>
      </c>
      <c r="Z14" s="19">
        <v>142.0</v>
      </c>
      <c r="AA14" s="19">
        <v>120.0</v>
      </c>
      <c r="AB14" s="19">
        <v>148.0</v>
      </c>
      <c r="AC14" s="19">
        <v>126.0</v>
      </c>
      <c r="AD14" s="13">
        <f t="shared" ref="AD14:AD16" si="1">SUM(E14:AC14)</f>
        <v>3236</v>
      </c>
    </row>
    <row r="15" ht="12.75" customHeight="1">
      <c r="A15" s="18"/>
      <c r="B15" s="26"/>
      <c r="C15" s="27"/>
      <c r="D15" s="19" t="s">
        <v>13</v>
      </c>
      <c r="E15" s="19">
        <v>151.0</v>
      </c>
      <c r="F15" s="19">
        <v>147.0</v>
      </c>
      <c r="G15" s="19">
        <v>121.0</v>
      </c>
      <c r="H15" s="19">
        <v>138.0</v>
      </c>
      <c r="I15" s="19">
        <v>142.0</v>
      </c>
      <c r="J15" s="19">
        <v>138.0</v>
      </c>
      <c r="K15" s="19">
        <v>125.0</v>
      </c>
      <c r="L15" s="19">
        <v>127.0</v>
      </c>
      <c r="M15" s="19">
        <v>137.0</v>
      </c>
      <c r="N15" s="19">
        <v>125.0</v>
      </c>
      <c r="O15" s="19">
        <v>128.0</v>
      </c>
      <c r="P15" s="19">
        <v>147.0</v>
      </c>
      <c r="Q15" s="19">
        <v>129.0</v>
      </c>
      <c r="R15" s="19">
        <v>140.0</v>
      </c>
      <c r="S15" s="19">
        <v>149.0</v>
      </c>
      <c r="T15" s="19">
        <v>143.0</v>
      </c>
      <c r="U15" s="19">
        <v>148.0</v>
      </c>
      <c r="V15" s="19">
        <v>143.0</v>
      </c>
      <c r="W15" s="19">
        <v>144.0</v>
      </c>
      <c r="X15" s="19">
        <v>145.0</v>
      </c>
      <c r="Y15" s="19">
        <v>133.0</v>
      </c>
      <c r="Z15" s="19">
        <v>153.0</v>
      </c>
      <c r="AA15" s="19">
        <v>126.0</v>
      </c>
      <c r="AB15" s="19">
        <v>129.0</v>
      </c>
      <c r="AC15" s="19">
        <v>139.0</v>
      </c>
      <c r="AD15" s="13">
        <f t="shared" si="1"/>
        <v>3447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287</v>
      </c>
      <c r="F16" s="13">
        <f t="shared" si="2"/>
        <v>290</v>
      </c>
      <c r="G16" s="13">
        <f t="shared" si="2"/>
        <v>236</v>
      </c>
      <c r="H16" s="13">
        <f t="shared" si="2"/>
        <v>280</v>
      </c>
      <c r="I16" s="13">
        <f t="shared" si="2"/>
        <v>268</v>
      </c>
      <c r="J16" s="13">
        <f t="shared" si="2"/>
        <v>271</v>
      </c>
      <c r="K16" s="13">
        <f t="shared" si="2"/>
        <v>254</v>
      </c>
      <c r="L16" s="13">
        <f t="shared" si="2"/>
        <v>240</v>
      </c>
      <c r="M16" s="13">
        <f t="shared" si="2"/>
        <v>267</v>
      </c>
      <c r="N16" s="13">
        <f t="shared" si="2"/>
        <v>236</v>
      </c>
      <c r="O16" s="13">
        <f t="shared" si="2"/>
        <v>248</v>
      </c>
      <c r="P16" s="13">
        <f t="shared" si="2"/>
        <v>267</v>
      </c>
      <c r="Q16" s="13">
        <f t="shared" si="2"/>
        <v>261</v>
      </c>
      <c r="R16" s="13">
        <f t="shared" si="2"/>
        <v>269</v>
      </c>
      <c r="S16" s="13">
        <f t="shared" si="2"/>
        <v>283</v>
      </c>
      <c r="T16" s="13">
        <f t="shared" si="2"/>
        <v>279</v>
      </c>
      <c r="U16" s="13">
        <f t="shared" si="2"/>
        <v>280</v>
      </c>
      <c r="V16" s="13">
        <f t="shared" si="2"/>
        <v>276</v>
      </c>
      <c r="W16" s="13">
        <f t="shared" si="2"/>
        <v>268</v>
      </c>
      <c r="X16" s="13">
        <f t="shared" si="2"/>
        <v>280</v>
      </c>
      <c r="Y16" s="13">
        <f t="shared" si="2"/>
        <v>260</v>
      </c>
      <c r="Z16" s="13">
        <f t="shared" si="2"/>
        <v>295</v>
      </c>
      <c r="AA16" s="13">
        <f t="shared" si="2"/>
        <v>246</v>
      </c>
      <c r="AB16" s="13">
        <f t="shared" si="2"/>
        <v>277</v>
      </c>
      <c r="AC16" s="13">
        <f t="shared" si="2"/>
        <v>265</v>
      </c>
      <c r="AD16" s="13">
        <f t="shared" si="1"/>
        <v>6683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93.0</v>
      </c>
      <c r="G19" s="19">
        <v>78.0</v>
      </c>
      <c r="H19" s="19">
        <v>105.0</v>
      </c>
      <c r="I19" s="19">
        <v>97.0</v>
      </c>
      <c r="J19" s="19">
        <v>105.0</v>
      </c>
      <c r="K19" s="19">
        <v>107.0</v>
      </c>
      <c r="L19" s="19">
        <v>80.0</v>
      </c>
      <c r="M19" s="19">
        <v>95.0</v>
      </c>
      <c r="N19" s="19">
        <v>71.0</v>
      </c>
      <c r="O19" s="19">
        <v>95.0</v>
      </c>
      <c r="P19" s="19">
        <v>93.0</v>
      </c>
      <c r="Q19" s="19">
        <v>97.0</v>
      </c>
      <c r="R19" s="19">
        <v>100.0</v>
      </c>
      <c r="S19" s="19">
        <v>93.0</v>
      </c>
      <c r="T19" s="19">
        <v>106.0</v>
      </c>
      <c r="U19" s="19">
        <v>96.0</v>
      </c>
      <c r="V19" s="19">
        <v>98.0</v>
      </c>
      <c r="W19" s="19">
        <v>87.0</v>
      </c>
      <c r="X19" s="19">
        <v>94.0</v>
      </c>
      <c r="Y19" s="19">
        <v>86.0</v>
      </c>
      <c r="Z19" s="19">
        <v>100.0</v>
      </c>
      <c r="AA19" s="19">
        <v>86.0</v>
      </c>
      <c r="AB19" s="19">
        <v>111.0</v>
      </c>
      <c r="AC19" s="19">
        <v>94.0</v>
      </c>
      <c r="AD19" s="13">
        <f t="shared" ref="AD19:AD30" si="3">SUM(E19:AC19)</f>
        <v>2375</v>
      </c>
    </row>
    <row r="20" ht="12.75" customHeight="1">
      <c r="A20" s="33"/>
      <c r="B20" s="27"/>
      <c r="C20" s="34"/>
      <c r="D20" s="19" t="s">
        <v>13</v>
      </c>
      <c r="E20" s="19">
        <v>125.0</v>
      </c>
      <c r="F20" s="19">
        <v>118.0</v>
      </c>
      <c r="G20" s="19">
        <v>96.0</v>
      </c>
      <c r="H20" s="19">
        <v>113.0</v>
      </c>
      <c r="I20" s="19">
        <v>112.0</v>
      </c>
      <c r="J20" s="19">
        <v>116.0</v>
      </c>
      <c r="K20" s="19">
        <v>112.0</v>
      </c>
      <c r="L20" s="19">
        <v>102.0</v>
      </c>
      <c r="M20" s="19">
        <v>109.0</v>
      </c>
      <c r="N20" s="19">
        <v>94.0</v>
      </c>
      <c r="O20" s="19">
        <v>102.0</v>
      </c>
      <c r="P20" s="19">
        <v>109.0</v>
      </c>
      <c r="Q20" s="19">
        <v>107.0</v>
      </c>
      <c r="R20" s="19">
        <v>115.0</v>
      </c>
      <c r="S20" s="19">
        <v>107.0</v>
      </c>
      <c r="T20" s="19">
        <v>123.0</v>
      </c>
      <c r="U20" s="19">
        <v>121.0</v>
      </c>
      <c r="V20" s="19">
        <v>115.0</v>
      </c>
      <c r="W20" s="19">
        <v>108.0</v>
      </c>
      <c r="X20" s="19">
        <v>112.0</v>
      </c>
      <c r="Y20" s="19">
        <v>102.0</v>
      </c>
      <c r="Z20" s="19">
        <v>123.0</v>
      </c>
      <c r="AA20" s="19">
        <v>97.0</v>
      </c>
      <c r="AB20" s="19">
        <v>109.0</v>
      </c>
      <c r="AC20" s="19">
        <v>108.0</v>
      </c>
      <c r="AD20" s="13">
        <f t="shared" si="3"/>
        <v>2755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233</v>
      </c>
      <c r="F21" s="13">
        <f t="shared" si="4"/>
        <v>211</v>
      </c>
      <c r="G21" s="13">
        <f t="shared" si="4"/>
        <v>174</v>
      </c>
      <c r="H21" s="13">
        <f t="shared" si="4"/>
        <v>218</v>
      </c>
      <c r="I21" s="13">
        <f t="shared" si="4"/>
        <v>209</v>
      </c>
      <c r="J21" s="13">
        <f t="shared" si="4"/>
        <v>221</v>
      </c>
      <c r="K21" s="13">
        <f t="shared" si="4"/>
        <v>219</v>
      </c>
      <c r="L21" s="13">
        <f t="shared" si="4"/>
        <v>182</v>
      </c>
      <c r="M21" s="13">
        <f t="shared" si="4"/>
        <v>204</v>
      </c>
      <c r="N21" s="13">
        <f t="shared" si="4"/>
        <v>165</v>
      </c>
      <c r="O21" s="13">
        <f t="shared" si="4"/>
        <v>197</v>
      </c>
      <c r="P21" s="13">
        <f t="shared" si="4"/>
        <v>202</v>
      </c>
      <c r="Q21" s="13">
        <f t="shared" si="4"/>
        <v>204</v>
      </c>
      <c r="R21" s="13">
        <f t="shared" si="4"/>
        <v>215</v>
      </c>
      <c r="S21" s="13">
        <f t="shared" si="4"/>
        <v>200</v>
      </c>
      <c r="T21" s="13">
        <f t="shared" si="4"/>
        <v>229</v>
      </c>
      <c r="U21" s="13">
        <f t="shared" si="4"/>
        <v>217</v>
      </c>
      <c r="V21" s="13">
        <f t="shared" si="4"/>
        <v>213</v>
      </c>
      <c r="W21" s="13">
        <f t="shared" si="4"/>
        <v>195</v>
      </c>
      <c r="X21" s="13">
        <f t="shared" si="4"/>
        <v>206</v>
      </c>
      <c r="Y21" s="13">
        <f t="shared" si="4"/>
        <v>188</v>
      </c>
      <c r="Z21" s="13">
        <f t="shared" si="4"/>
        <v>223</v>
      </c>
      <c r="AA21" s="13">
        <f t="shared" si="4"/>
        <v>183</v>
      </c>
      <c r="AB21" s="13">
        <f t="shared" si="4"/>
        <v>220</v>
      </c>
      <c r="AC21" s="13">
        <f t="shared" si="4"/>
        <v>202</v>
      </c>
      <c r="AD21" s="13">
        <f t="shared" si="3"/>
        <v>5130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2.0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2.0</v>
      </c>
      <c r="U23" s="19">
        <v>0.0</v>
      </c>
      <c r="V23" s="19">
        <v>0.0</v>
      </c>
      <c r="W23" s="19">
        <v>6.0</v>
      </c>
      <c r="X23" s="19">
        <v>0.0</v>
      </c>
      <c r="Y23" s="19">
        <v>1.0</v>
      </c>
      <c r="Z23" s="19">
        <v>1.0</v>
      </c>
      <c r="AA23" s="19">
        <v>1.0</v>
      </c>
      <c r="AB23" s="19">
        <v>0.0</v>
      </c>
      <c r="AC23" s="19">
        <v>0.0</v>
      </c>
      <c r="AD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8</v>
      </c>
      <c r="X24" s="13">
        <f t="shared" si="5"/>
        <v>0</v>
      </c>
      <c r="Y24" s="13">
        <f t="shared" si="5"/>
        <v>2</v>
      </c>
      <c r="Z24" s="13">
        <f t="shared" si="5"/>
        <v>1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6.0</v>
      </c>
      <c r="H25" s="19">
        <v>1.0</v>
      </c>
      <c r="I25" s="19">
        <v>3.0</v>
      </c>
      <c r="J25" s="19">
        <v>0.0</v>
      </c>
      <c r="K25" s="19">
        <v>2.0</v>
      </c>
      <c r="L25" s="19">
        <v>0.0</v>
      </c>
      <c r="M25" s="19">
        <v>2.0</v>
      </c>
      <c r="N25" s="19">
        <v>0.0</v>
      </c>
      <c r="O25" s="19">
        <v>2.0</v>
      </c>
      <c r="P25" s="19">
        <v>6.0</v>
      </c>
      <c r="Q25" s="19">
        <v>1.0</v>
      </c>
      <c r="R25" s="19">
        <v>0.0</v>
      </c>
      <c r="S25" s="19">
        <v>0.0</v>
      </c>
      <c r="T25" s="19">
        <v>2.0</v>
      </c>
      <c r="U25" s="19">
        <v>3.0</v>
      </c>
      <c r="V25" s="19">
        <v>1.0</v>
      </c>
      <c r="W25" s="19">
        <v>4.0</v>
      </c>
      <c r="X25" s="19">
        <v>1.0</v>
      </c>
      <c r="Y25" s="19">
        <v>1.0</v>
      </c>
      <c r="Z25" s="19">
        <v>8.0</v>
      </c>
      <c r="AA25" s="19">
        <v>2.0</v>
      </c>
      <c r="AB25" s="19">
        <v>3.0</v>
      </c>
      <c r="AC25" s="19">
        <v>2.0</v>
      </c>
      <c r="AD25" s="13">
        <f t="shared" si="3"/>
        <v>53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3.0</v>
      </c>
      <c r="G26" s="19">
        <v>4.0</v>
      </c>
      <c r="H26" s="19">
        <v>0.0</v>
      </c>
      <c r="I26" s="19">
        <v>1.0</v>
      </c>
      <c r="J26" s="19">
        <v>1.0</v>
      </c>
      <c r="K26" s="19">
        <v>2.0</v>
      </c>
      <c r="L26" s="19">
        <v>2.0</v>
      </c>
      <c r="M26" s="19">
        <v>1.0</v>
      </c>
      <c r="N26" s="19">
        <v>0.0</v>
      </c>
      <c r="O26" s="19">
        <v>3.0</v>
      </c>
      <c r="P26" s="19">
        <v>4.0</v>
      </c>
      <c r="Q26" s="19">
        <v>2.0</v>
      </c>
      <c r="R26" s="19">
        <v>1.0</v>
      </c>
      <c r="S26" s="19">
        <v>2.0</v>
      </c>
      <c r="T26" s="19">
        <v>2.0</v>
      </c>
      <c r="U26" s="19">
        <v>7.0</v>
      </c>
      <c r="V26" s="19">
        <v>1.0</v>
      </c>
      <c r="W26" s="19">
        <v>6.0</v>
      </c>
      <c r="X26" s="19">
        <v>3.0</v>
      </c>
      <c r="Y26" s="19">
        <v>1.0</v>
      </c>
      <c r="Z26" s="19">
        <v>10.0</v>
      </c>
      <c r="AA26" s="19">
        <v>3.0</v>
      </c>
      <c r="AB26" s="19">
        <v>1.0</v>
      </c>
      <c r="AC26" s="19">
        <v>1.0</v>
      </c>
      <c r="AD26" s="13">
        <f t="shared" si="3"/>
        <v>66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6</v>
      </c>
      <c r="F27" s="13">
        <f t="shared" si="6"/>
        <v>5</v>
      </c>
      <c r="G27" s="13">
        <f t="shared" si="6"/>
        <v>10</v>
      </c>
      <c r="H27" s="13">
        <f t="shared" si="6"/>
        <v>1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5</v>
      </c>
      <c r="P27" s="13">
        <f t="shared" si="6"/>
        <v>10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4</v>
      </c>
      <c r="U27" s="13">
        <f t="shared" si="6"/>
        <v>10</v>
      </c>
      <c r="V27" s="13">
        <f t="shared" si="6"/>
        <v>2</v>
      </c>
      <c r="W27" s="13">
        <f t="shared" si="6"/>
        <v>10</v>
      </c>
      <c r="X27" s="13">
        <f t="shared" si="6"/>
        <v>4</v>
      </c>
      <c r="Y27" s="13">
        <f t="shared" si="6"/>
        <v>2</v>
      </c>
      <c r="Z27" s="13">
        <f t="shared" si="6"/>
        <v>18</v>
      </c>
      <c r="AA27" s="13">
        <f t="shared" si="6"/>
        <v>5</v>
      </c>
      <c r="AB27" s="13">
        <f t="shared" si="6"/>
        <v>4</v>
      </c>
      <c r="AC27" s="13">
        <f t="shared" si="6"/>
        <v>3</v>
      </c>
      <c r="AD27" s="13">
        <f t="shared" si="3"/>
        <v>119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109</v>
      </c>
      <c r="F28" s="13">
        <f t="shared" si="7"/>
        <v>95</v>
      </c>
      <c r="G28" s="13">
        <f t="shared" si="7"/>
        <v>85</v>
      </c>
      <c r="H28" s="13">
        <f t="shared" si="7"/>
        <v>106</v>
      </c>
      <c r="I28" s="13">
        <f t="shared" si="7"/>
        <v>101</v>
      </c>
      <c r="J28" s="13">
        <f t="shared" si="7"/>
        <v>105</v>
      </c>
      <c r="K28" s="13">
        <f t="shared" si="7"/>
        <v>109</v>
      </c>
      <c r="L28" s="13">
        <f t="shared" si="7"/>
        <v>80</v>
      </c>
      <c r="M28" s="13">
        <f t="shared" si="7"/>
        <v>97</v>
      </c>
      <c r="N28" s="13">
        <f t="shared" si="7"/>
        <v>72</v>
      </c>
      <c r="O28" s="13">
        <f t="shared" si="7"/>
        <v>97</v>
      </c>
      <c r="P28" s="13">
        <f t="shared" si="7"/>
        <v>99</v>
      </c>
      <c r="Q28" s="13">
        <f t="shared" si="7"/>
        <v>98</v>
      </c>
      <c r="R28" s="13">
        <f t="shared" si="7"/>
        <v>100</v>
      </c>
      <c r="S28" s="13">
        <f t="shared" si="7"/>
        <v>93</v>
      </c>
      <c r="T28" s="13">
        <f t="shared" si="7"/>
        <v>108</v>
      </c>
      <c r="U28" s="13">
        <f t="shared" si="7"/>
        <v>99</v>
      </c>
      <c r="V28" s="13">
        <f t="shared" si="7"/>
        <v>99</v>
      </c>
      <c r="W28" s="13">
        <f t="shared" si="7"/>
        <v>93</v>
      </c>
      <c r="X28" s="13">
        <f t="shared" si="7"/>
        <v>95</v>
      </c>
      <c r="Y28" s="13">
        <f t="shared" si="7"/>
        <v>88</v>
      </c>
      <c r="Z28" s="13">
        <f t="shared" si="7"/>
        <v>108</v>
      </c>
      <c r="AA28" s="13">
        <f t="shared" si="7"/>
        <v>88</v>
      </c>
      <c r="AB28" s="13">
        <f t="shared" si="7"/>
        <v>114</v>
      </c>
      <c r="AC28" s="13">
        <f t="shared" si="7"/>
        <v>96</v>
      </c>
      <c r="AD28" s="13">
        <f t="shared" si="3"/>
        <v>2434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130</v>
      </c>
      <c r="F29" s="13">
        <f t="shared" si="8"/>
        <v>121</v>
      </c>
      <c r="G29" s="13">
        <f t="shared" si="8"/>
        <v>100</v>
      </c>
      <c r="H29" s="13">
        <f t="shared" si="8"/>
        <v>113</v>
      </c>
      <c r="I29" s="13">
        <f t="shared" si="8"/>
        <v>114</v>
      </c>
      <c r="J29" s="13">
        <f t="shared" si="8"/>
        <v>117</v>
      </c>
      <c r="K29" s="13">
        <f t="shared" si="8"/>
        <v>114</v>
      </c>
      <c r="L29" s="13">
        <f t="shared" si="8"/>
        <v>104</v>
      </c>
      <c r="M29" s="13">
        <f t="shared" si="8"/>
        <v>110</v>
      </c>
      <c r="N29" s="13">
        <f t="shared" si="8"/>
        <v>94</v>
      </c>
      <c r="O29" s="13">
        <f t="shared" si="8"/>
        <v>105</v>
      </c>
      <c r="P29" s="13">
        <f t="shared" si="8"/>
        <v>113</v>
      </c>
      <c r="Q29" s="13">
        <f t="shared" si="8"/>
        <v>109</v>
      </c>
      <c r="R29" s="13">
        <f t="shared" si="8"/>
        <v>116</v>
      </c>
      <c r="S29" s="13">
        <f t="shared" si="8"/>
        <v>109</v>
      </c>
      <c r="T29" s="13">
        <f t="shared" si="8"/>
        <v>127</v>
      </c>
      <c r="U29" s="13">
        <f t="shared" si="8"/>
        <v>128</v>
      </c>
      <c r="V29" s="13">
        <f t="shared" si="8"/>
        <v>116</v>
      </c>
      <c r="W29" s="13">
        <f t="shared" si="8"/>
        <v>120</v>
      </c>
      <c r="X29" s="13">
        <f t="shared" si="8"/>
        <v>115</v>
      </c>
      <c r="Y29" s="13">
        <f t="shared" si="8"/>
        <v>104</v>
      </c>
      <c r="Z29" s="13">
        <f t="shared" si="8"/>
        <v>134</v>
      </c>
      <c r="AA29" s="13">
        <f t="shared" si="8"/>
        <v>101</v>
      </c>
      <c r="AB29" s="13">
        <f t="shared" si="8"/>
        <v>110</v>
      </c>
      <c r="AC29" s="13">
        <f t="shared" si="8"/>
        <v>109</v>
      </c>
      <c r="AD29" s="13">
        <f t="shared" si="3"/>
        <v>2833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239</v>
      </c>
      <c r="F30" s="13">
        <f t="shared" si="9"/>
        <v>216</v>
      </c>
      <c r="G30" s="13">
        <f t="shared" si="9"/>
        <v>185</v>
      </c>
      <c r="H30" s="13">
        <f t="shared" si="9"/>
        <v>219</v>
      </c>
      <c r="I30" s="13">
        <f t="shared" si="9"/>
        <v>215</v>
      </c>
      <c r="J30" s="13">
        <f t="shared" si="9"/>
        <v>222</v>
      </c>
      <c r="K30" s="13">
        <f t="shared" si="9"/>
        <v>223</v>
      </c>
      <c r="L30" s="13">
        <f t="shared" si="9"/>
        <v>184</v>
      </c>
      <c r="M30" s="13">
        <f t="shared" si="9"/>
        <v>207</v>
      </c>
      <c r="N30" s="13">
        <f t="shared" si="9"/>
        <v>166</v>
      </c>
      <c r="O30" s="13">
        <f t="shared" si="9"/>
        <v>202</v>
      </c>
      <c r="P30" s="13">
        <f t="shared" si="9"/>
        <v>212</v>
      </c>
      <c r="Q30" s="13">
        <f t="shared" si="9"/>
        <v>207</v>
      </c>
      <c r="R30" s="13">
        <f t="shared" si="9"/>
        <v>216</v>
      </c>
      <c r="S30" s="13">
        <f t="shared" si="9"/>
        <v>202</v>
      </c>
      <c r="T30" s="13">
        <f t="shared" si="9"/>
        <v>235</v>
      </c>
      <c r="U30" s="13">
        <f t="shared" si="9"/>
        <v>227</v>
      </c>
      <c r="V30" s="13">
        <f t="shared" si="9"/>
        <v>215</v>
      </c>
      <c r="W30" s="13">
        <f t="shared" si="9"/>
        <v>213</v>
      </c>
      <c r="X30" s="13">
        <f t="shared" si="9"/>
        <v>210</v>
      </c>
      <c r="Y30" s="13">
        <f t="shared" si="9"/>
        <v>192</v>
      </c>
      <c r="Z30" s="13">
        <f t="shared" si="9"/>
        <v>242</v>
      </c>
      <c r="AA30" s="13">
        <f t="shared" si="9"/>
        <v>189</v>
      </c>
      <c r="AB30" s="13">
        <f t="shared" si="9"/>
        <v>224</v>
      </c>
      <c r="AC30" s="13">
        <f t="shared" si="9"/>
        <v>205</v>
      </c>
      <c r="AD30" s="13">
        <f t="shared" si="3"/>
        <v>5267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59"/>
    </row>
    <row r="33" ht="12.75" customHeight="1">
      <c r="A33" s="19">
        <v>1.0</v>
      </c>
      <c r="B33" s="20" t="s">
        <v>85</v>
      </c>
      <c r="C33" s="15"/>
      <c r="D33" s="16"/>
      <c r="E33" s="19">
        <v>294.0</v>
      </c>
      <c r="F33" s="19">
        <v>296.0</v>
      </c>
      <c r="G33" s="19">
        <v>241.0</v>
      </c>
      <c r="H33" s="19">
        <v>286.0</v>
      </c>
      <c r="I33" s="19">
        <v>274.0</v>
      </c>
      <c r="J33" s="19">
        <v>277.0</v>
      </c>
      <c r="K33" s="19">
        <v>260.0</v>
      </c>
      <c r="L33" s="19">
        <v>245.0</v>
      </c>
      <c r="M33" s="19">
        <v>273.0</v>
      </c>
      <c r="N33" s="19">
        <v>241.0</v>
      </c>
      <c r="O33" s="19">
        <v>253.0</v>
      </c>
      <c r="P33" s="19">
        <v>273.0</v>
      </c>
      <c r="Q33" s="19">
        <v>267.0</v>
      </c>
      <c r="R33" s="19">
        <v>271.0</v>
      </c>
      <c r="S33" s="19">
        <v>289.0</v>
      </c>
      <c r="T33" s="19">
        <v>285.0</v>
      </c>
      <c r="U33" s="19">
        <v>286.0</v>
      </c>
      <c r="V33" s="19">
        <v>282.0</v>
      </c>
      <c r="W33" s="19">
        <v>274.0</v>
      </c>
      <c r="X33" s="19">
        <v>287.0</v>
      </c>
      <c r="Y33" s="19">
        <v>266.0</v>
      </c>
      <c r="Z33" s="19">
        <v>301.0</v>
      </c>
      <c r="AA33" s="19">
        <v>254.0</v>
      </c>
      <c r="AB33" s="19">
        <v>283.0</v>
      </c>
      <c r="AC33" s="19">
        <v>262.0</v>
      </c>
      <c r="AD33" s="13">
        <f t="shared" ref="AD33:AD36" si="10">SUM(E33:AC33)</f>
        <v>6820</v>
      </c>
    </row>
    <row r="34" ht="12.75" customHeight="1">
      <c r="A34" s="19">
        <v>2.0</v>
      </c>
      <c r="B34" s="20" t="s">
        <v>28</v>
      </c>
      <c r="C34" s="15"/>
      <c r="D34" s="16"/>
      <c r="E34" s="13">
        <v>239.0</v>
      </c>
      <c r="F34" s="13">
        <v>216.0</v>
      </c>
      <c r="G34" s="13">
        <v>185.0</v>
      </c>
      <c r="H34" s="13">
        <v>219.0</v>
      </c>
      <c r="I34" s="13">
        <v>215.0</v>
      </c>
      <c r="J34" s="13">
        <v>222.0</v>
      </c>
      <c r="K34" s="13">
        <v>223.0</v>
      </c>
      <c r="L34" s="13">
        <v>184.0</v>
      </c>
      <c r="M34" s="13">
        <v>207.0</v>
      </c>
      <c r="N34" s="13">
        <v>166.0</v>
      </c>
      <c r="O34" s="13">
        <v>202.0</v>
      </c>
      <c r="P34" s="13">
        <v>212.0</v>
      </c>
      <c r="Q34" s="13">
        <v>207.0</v>
      </c>
      <c r="R34" s="13">
        <v>216.0</v>
      </c>
      <c r="S34" s="13">
        <v>202.0</v>
      </c>
      <c r="T34" s="13">
        <v>235.0</v>
      </c>
      <c r="U34" s="13">
        <v>227.0</v>
      </c>
      <c r="V34" s="13">
        <v>215.0</v>
      </c>
      <c r="W34" s="13">
        <v>213.0</v>
      </c>
      <c r="X34" s="13">
        <v>210.0</v>
      </c>
      <c r="Y34" s="13">
        <v>192.0</v>
      </c>
      <c r="Z34" s="13">
        <v>242.0</v>
      </c>
      <c r="AA34" s="13">
        <v>189.0</v>
      </c>
      <c r="AB34" s="13">
        <v>224.0</v>
      </c>
      <c r="AC34" s="13">
        <v>205.0</v>
      </c>
      <c r="AD34" s="13">
        <f t="shared" si="10"/>
        <v>5267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1.0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2.0</v>
      </c>
      <c r="W35" s="19">
        <v>0.0</v>
      </c>
      <c r="X35" s="19">
        <v>1.0</v>
      </c>
      <c r="Y35" s="19">
        <v>0.0</v>
      </c>
      <c r="Z35" s="19">
        <v>0.0</v>
      </c>
      <c r="AA35" s="19">
        <v>0.0</v>
      </c>
      <c r="AB35" s="19">
        <v>6.0</v>
      </c>
      <c r="AC35" s="19">
        <v>0.0</v>
      </c>
      <c r="AD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55</v>
      </c>
      <c r="F36" s="13">
        <f t="shared" si="11"/>
        <v>80</v>
      </c>
      <c r="G36" s="13">
        <f t="shared" si="11"/>
        <v>55</v>
      </c>
      <c r="H36" s="13">
        <f t="shared" si="11"/>
        <v>67</v>
      </c>
      <c r="I36" s="13">
        <f t="shared" si="11"/>
        <v>59</v>
      </c>
      <c r="J36" s="13">
        <f t="shared" si="11"/>
        <v>54</v>
      </c>
      <c r="K36" s="13">
        <f t="shared" si="11"/>
        <v>35</v>
      </c>
      <c r="L36" s="13">
        <f t="shared" si="11"/>
        <v>61</v>
      </c>
      <c r="M36" s="13">
        <f t="shared" si="11"/>
        <v>66</v>
      </c>
      <c r="N36" s="13">
        <f t="shared" si="11"/>
        <v>75</v>
      </c>
      <c r="O36" s="13">
        <f t="shared" si="11"/>
        <v>51</v>
      </c>
      <c r="P36" s="13">
        <f t="shared" si="11"/>
        <v>61</v>
      </c>
      <c r="Q36" s="13">
        <f t="shared" si="11"/>
        <v>59</v>
      </c>
      <c r="R36" s="13">
        <f t="shared" si="11"/>
        <v>55</v>
      </c>
      <c r="S36" s="13">
        <f t="shared" si="11"/>
        <v>87</v>
      </c>
      <c r="T36" s="13">
        <f t="shared" si="11"/>
        <v>50</v>
      </c>
      <c r="U36" s="13">
        <f t="shared" si="11"/>
        <v>59</v>
      </c>
      <c r="V36" s="13">
        <f t="shared" si="11"/>
        <v>65</v>
      </c>
      <c r="W36" s="13">
        <f t="shared" si="11"/>
        <v>61</v>
      </c>
      <c r="X36" s="13">
        <f t="shared" si="11"/>
        <v>76</v>
      </c>
      <c r="Y36" s="13">
        <f t="shared" si="11"/>
        <v>74</v>
      </c>
      <c r="Z36" s="13">
        <f t="shared" si="11"/>
        <v>59</v>
      </c>
      <c r="AA36" s="13">
        <f t="shared" si="11"/>
        <v>65</v>
      </c>
      <c r="AB36" s="13">
        <f t="shared" si="11"/>
        <v>53</v>
      </c>
      <c r="AC36" s="13">
        <f t="shared" si="11"/>
        <v>57</v>
      </c>
      <c r="AD36" s="13">
        <f t="shared" si="10"/>
        <v>1539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>
        <v>1.0</v>
      </c>
      <c r="I39" s="19"/>
      <c r="J39" s="19">
        <v>1.0</v>
      </c>
      <c r="K39" s="19"/>
      <c r="L39" s="19"/>
      <c r="M39" s="19">
        <v>3.0</v>
      </c>
      <c r="N39" s="19"/>
      <c r="O39" s="19"/>
      <c r="P39" s="19">
        <v>1.0</v>
      </c>
      <c r="Q39" s="19">
        <v>5.0</v>
      </c>
      <c r="R39" s="19"/>
      <c r="S39" s="19"/>
      <c r="T39" s="19"/>
      <c r="U39" s="19"/>
      <c r="V39" s="19">
        <v>1.0</v>
      </c>
      <c r="W39" s="19">
        <v>1.0</v>
      </c>
      <c r="X39" s="19"/>
      <c r="Y39" s="19"/>
      <c r="Z39" s="19"/>
      <c r="AA39" s="19"/>
      <c r="AB39" s="19"/>
      <c r="AC39" s="19"/>
      <c r="AD39" s="13">
        <f t="shared" ref="AD39:AD41" si="12">SUM(E39:AC39)</f>
        <v>14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>
        <v>4.0</v>
      </c>
      <c r="N40" s="19"/>
      <c r="O40" s="19"/>
      <c r="P40" s="19">
        <v>1.0</v>
      </c>
      <c r="Q40" s="19">
        <v>2.0</v>
      </c>
      <c r="R40" s="19">
        <v>1.0</v>
      </c>
      <c r="S40" s="19"/>
      <c r="T40" s="19"/>
      <c r="U40" s="19"/>
      <c r="V40" s="19"/>
      <c r="W40" s="19">
        <v>4.0</v>
      </c>
      <c r="X40" s="19"/>
      <c r="Y40" s="19"/>
      <c r="Z40" s="19"/>
      <c r="AA40" s="19"/>
      <c r="AB40" s="19"/>
      <c r="AC40" s="19"/>
      <c r="AD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7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7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5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26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13"/>
    </row>
    <row r="45" ht="12.75" customHeight="1">
      <c r="A45" s="30"/>
      <c r="B45" s="47" t="s">
        <v>17</v>
      </c>
      <c r="C45" s="62" t="s">
        <v>38</v>
      </c>
      <c r="D45" s="16"/>
      <c r="E45" s="19">
        <v>16.0</v>
      </c>
      <c r="F45" s="19">
        <v>8.0</v>
      </c>
      <c r="G45" s="19">
        <v>24.0</v>
      </c>
      <c r="H45" s="19">
        <v>7.0</v>
      </c>
      <c r="I45" s="19">
        <v>15.0</v>
      </c>
      <c r="J45" s="19">
        <v>12.0</v>
      </c>
      <c r="K45" s="19">
        <v>23.0</v>
      </c>
      <c r="L45" s="19">
        <v>24.0</v>
      </c>
      <c r="M45" s="19">
        <v>30.0</v>
      </c>
      <c r="N45" s="19">
        <v>32.0</v>
      </c>
      <c r="O45" s="19">
        <v>10.0</v>
      </c>
      <c r="P45" s="19">
        <v>10.0</v>
      </c>
      <c r="Q45" s="19">
        <v>10.0</v>
      </c>
      <c r="R45" s="19">
        <v>6.0</v>
      </c>
      <c r="S45" s="19">
        <v>6.0</v>
      </c>
      <c r="T45" s="19">
        <v>10.0</v>
      </c>
      <c r="U45" s="19">
        <v>15.0</v>
      </c>
      <c r="V45" s="19">
        <v>6.0</v>
      </c>
      <c r="W45" s="19">
        <v>7.0</v>
      </c>
      <c r="X45" s="19">
        <v>10.0</v>
      </c>
      <c r="Y45" s="19">
        <v>4.0</v>
      </c>
      <c r="Z45" s="19">
        <v>10.0</v>
      </c>
      <c r="AA45" s="19">
        <v>14.0</v>
      </c>
      <c r="AB45" s="19">
        <v>17.0</v>
      </c>
      <c r="AC45" s="19">
        <v>4.0</v>
      </c>
      <c r="AD45" s="13">
        <f t="shared" ref="AD45:AD57" si="14">SUM(E45:AC45)</f>
        <v>330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18.0</v>
      </c>
      <c r="F46" s="19">
        <v>30.0</v>
      </c>
      <c r="G46" s="19">
        <v>28.0</v>
      </c>
      <c r="H46" s="19">
        <v>36.0</v>
      </c>
      <c r="I46" s="19">
        <v>37.0</v>
      </c>
      <c r="J46" s="19">
        <v>43.0</v>
      </c>
      <c r="K46" s="19">
        <v>32.0</v>
      </c>
      <c r="L46" s="19">
        <v>24.0</v>
      </c>
      <c r="M46" s="19">
        <v>26.0</v>
      </c>
      <c r="N46" s="19">
        <v>10.0</v>
      </c>
      <c r="O46" s="19">
        <v>29.0</v>
      </c>
      <c r="P46" s="19">
        <v>24.0</v>
      </c>
      <c r="Q46" s="19">
        <v>33.0</v>
      </c>
      <c r="R46" s="19">
        <v>28.0</v>
      </c>
      <c r="S46" s="19">
        <v>25.0</v>
      </c>
      <c r="T46" s="19">
        <v>24.0</v>
      </c>
      <c r="U46" s="19">
        <v>21.0</v>
      </c>
      <c r="V46" s="19">
        <v>34.0</v>
      </c>
      <c r="W46" s="19">
        <v>33.0</v>
      </c>
      <c r="X46" s="19">
        <v>30.0</v>
      </c>
      <c r="Y46" s="19">
        <v>25.0</v>
      </c>
      <c r="Z46" s="19">
        <v>28.0</v>
      </c>
      <c r="AA46" s="19">
        <v>26.0</v>
      </c>
      <c r="AB46" s="19">
        <v>27.0</v>
      </c>
      <c r="AC46" s="19">
        <v>21.0</v>
      </c>
      <c r="AD46" s="13">
        <f t="shared" si="14"/>
        <v>692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11.0</v>
      </c>
      <c r="F47" s="19">
        <v>14.0</v>
      </c>
      <c r="G47" s="19">
        <v>8.0</v>
      </c>
      <c r="H47" s="19">
        <v>8.0</v>
      </c>
      <c r="I47" s="19">
        <v>5.0</v>
      </c>
      <c r="J47" s="19">
        <v>10.0</v>
      </c>
      <c r="K47" s="19">
        <v>11.0</v>
      </c>
      <c r="L47" s="19">
        <v>5.0</v>
      </c>
      <c r="M47" s="19">
        <v>5.0</v>
      </c>
      <c r="N47" s="19">
        <v>12.0</v>
      </c>
      <c r="O47" s="19">
        <v>9.0</v>
      </c>
      <c r="P47" s="19">
        <v>11.0</v>
      </c>
      <c r="Q47" s="19">
        <v>15.0</v>
      </c>
      <c r="R47" s="19">
        <v>5.0</v>
      </c>
      <c r="S47" s="19">
        <v>15.0</v>
      </c>
      <c r="T47" s="19">
        <v>11.0</v>
      </c>
      <c r="U47" s="19">
        <v>11.0</v>
      </c>
      <c r="V47" s="19">
        <v>15.0</v>
      </c>
      <c r="W47" s="19">
        <v>4.0</v>
      </c>
      <c r="X47" s="19">
        <v>7.0</v>
      </c>
      <c r="Y47" s="19">
        <v>8.0</v>
      </c>
      <c r="Z47" s="19">
        <v>22.0</v>
      </c>
      <c r="AA47" s="19">
        <v>9.0</v>
      </c>
      <c r="AB47" s="19">
        <v>13.0</v>
      </c>
      <c r="AC47" s="19">
        <v>7.0</v>
      </c>
      <c r="AD47" s="13">
        <f t="shared" si="14"/>
        <v>251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23.0</v>
      </c>
      <c r="F48" s="19">
        <v>23.0</v>
      </c>
      <c r="G48" s="19">
        <v>15.0</v>
      </c>
      <c r="H48" s="19">
        <v>25.0</v>
      </c>
      <c r="I48" s="19">
        <v>23.0</v>
      </c>
      <c r="J48" s="19">
        <v>23.0</v>
      </c>
      <c r="K48" s="19">
        <v>25.0</v>
      </c>
      <c r="L48" s="19">
        <v>25.0</v>
      </c>
      <c r="M48" s="19">
        <v>25.0</v>
      </c>
      <c r="N48" s="19">
        <v>15.0</v>
      </c>
      <c r="O48" s="19">
        <v>10.0</v>
      </c>
      <c r="P48" s="19">
        <v>16.0</v>
      </c>
      <c r="Q48" s="19">
        <v>13.0</v>
      </c>
      <c r="R48" s="19">
        <v>22.0</v>
      </c>
      <c r="S48" s="19">
        <v>11.0</v>
      </c>
      <c r="T48" s="19">
        <v>25.0</v>
      </c>
      <c r="U48" s="19">
        <v>25.0</v>
      </c>
      <c r="V48" s="19">
        <v>19.0</v>
      </c>
      <c r="W48" s="19">
        <v>14.0</v>
      </c>
      <c r="X48" s="19">
        <v>11.0</v>
      </c>
      <c r="Y48" s="19">
        <v>16.0</v>
      </c>
      <c r="Z48" s="19">
        <v>24.0</v>
      </c>
      <c r="AA48" s="19">
        <v>17.0</v>
      </c>
      <c r="AB48" s="19">
        <v>24.0</v>
      </c>
      <c r="AC48" s="19">
        <v>18.0</v>
      </c>
      <c r="AD48" s="13">
        <f t="shared" si="14"/>
        <v>487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20.0</v>
      </c>
      <c r="F49" s="19">
        <v>21.0</v>
      </c>
      <c r="G49" s="19">
        <v>17.0</v>
      </c>
      <c r="H49" s="19">
        <v>24.0</v>
      </c>
      <c r="I49" s="19">
        <v>20.0</v>
      </c>
      <c r="J49" s="19">
        <v>25.0</v>
      </c>
      <c r="K49" s="19">
        <v>16.0</v>
      </c>
      <c r="L49" s="19">
        <v>19.0</v>
      </c>
      <c r="M49" s="19">
        <v>19.0</v>
      </c>
      <c r="N49" s="19">
        <v>13.0</v>
      </c>
      <c r="O49" s="19">
        <v>32.0</v>
      </c>
      <c r="P49" s="19">
        <v>36.0</v>
      </c>
      <c r="Q49" s="19">
        <v>33.0</v>
      </c>
      <c r="R49" s="19">
        <v>45.0</v>
      </c>
      <c r="S49" s="19">
        <v>28.0</v>
      </c>
      <c r="T49" s="19">
        <v>20.0</v>
      </c>
      <c r="U49" s="19">
        <v>36.0</v>
      </c>
      <c r="V49" s="19">
        <v>38.0</v>
      </c>
      <c r="W49" s="19">
        <v>50.0</v>
      </c>
      <c r="X49" s="19">
        <v>33.0</v>
      </c>
      <c r="Y49" s="19">
        <v>35.0</v>
      </c>
      <c r="Z49" s="19">
        <v>39.0</v>
      </c>
      <c r="AA49" s="19">
        <v>25.0</v>
      </c>
      <c r="AB49" s="19">
        <v>20.0</v>
      </c>
      <c r="AC49" s="19">
        <v>34.0</v>
      </c>
      <c r="AD49" s="13">
        <f t="shared" si="14"/>
        <v>698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14.0</v>
      </c>
      <c r="F50" s="19">
        <v>7.0</v>
      </c>
      <c r="G50" s="19">
        <v>11.0</v>
      </c>
      <c r="H50" s="19">
        <v>13.0</v>
      </c>
      <c r="I50" s="19">
        <v>8.0</v>
      </c>
      <c r="J50" s="19">
        <v>9.0</v>
      </c>
      <c r="K50" s="19">
        <v>5.0</v>
      </c>
      <c r="L50" s="19">
        <v>14.0</v>
      </c>
      <c r="M50" s="19">
        <v>8.0</v>
      </c>
      <c r="N50" s="19">
        <v>5.0</v>
      </c>
      <c r="O50" s="19">
        <v>14.0</v>
      </c>
      <c r="P50" s="19">
        <v>10.0</v>
      </c>
      <c r="Q50" s="19">
        <v>10.0</v>
      </c>
      <c r="R50" s="19">
        <v>3.0</v>
      </c>
      <c r="S50" s="19">
        <v>13.0</v>
      </c>
      <c r="T50" s="19">
        <v>15.0</v>
      </c>
      <c r="U50" s="19">
        <v>10.0</v>
      </c>
      <c r="V50" s="19">
        <v>14.0</v>
      </c>
      <c r="W50" s="19">
        <v>13.0</v>
      </c>
      <c r="X50" s="19">
        <v>10.0</v>
      </c>
      <c r="Y50" s="19">
        <v>14.0</v>
      </c>
      <c r="Z50" s="19">
        <v>14.0</v>
      </c>
      <c r="AA50" s="19">
        <v>12.0</v>
      </c>
      <c r="AB50" s="19">
        <v>11.0</v>
      </c>
      <c r="AC50" s="19">
        <v>13.0</v>
      </c>
      <c r="AD50" s="13">
        <f t="shared" si="14"/>
        <v>270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6.0</v>
      </c>
      <c r="G51" s="19">
        <v>2.0</v>
      </c>
      <c r="H51" s="19">
        <v>0.0</v>
      </c>
      <c r="I51" s="19">
        <v>3.0</v>
      </c>
      <c r="J51" s="19">
        <v>5.0</v>
      </c>
      <c r="K51" s="19">
        <v>1.0</v>
      </c>
      <c r="L51" s="19">
        <v>3.0</v>
      </c>
      <c r="M51" s="19">
        <v>0.0</v>
      </c>
      <c r="N51" s="19">
        <v>2.0</v>
      </c>
      <c r="O51" s="19">
        <v>2.0</v>
      </c>
      <c r="P51" s="19">
        <v>4.0</v>
      </c>
      <c r="Q51" s="19">
        <v>3.0</v>
      </c>
      <c r="R51" s="19">
        <v>6.0</v>
      </c>
      <c r="S51" s="19">
        <v>3.0</v>
      </c>
      <c r="T51" s="19">
        <v>1.0</v>
      </c>
      <c r="U51" s="19">
        <v>2.0</v>
      </c>
      <c r="V51" s="19">
        <v>2.0</v>
      </c>
      <c r="W51" s="19">
        <v>5.0</v>
      </c>
      <c r="X51" s="19">
        <v>3.0</v>
      </c>
      <c r="Y51" s="19">
        <v>1.0</v>
      </c>
      <c r="Z51" s="19">
        <v>3.0</v>
      </c>
      <c r="AA51" s="19">
        <v>3.0</v>
      </c>
      <c r="AB51" s="19">
        <v>3.0</v>
      </c>
      <c r="AC51" s="19">
        <v>5.0</v>
      </c>
      <c r="AD51" s="13">
        <f t="shared" si="14"/>
        <v>69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5.0</v>
      </c>
      <c r="F52" s="19">
        <v>2.0</v>
      </c>
      <c r="G52" s="19">
        <v>7.0</v>
      </c>
      <c r="H52" s="19">
        <v>5.0</v>
      </c>
      <c r="I52" s="19">
        <v>4.0</v>
      </c>
      <c r="J52" s="19">
        <v>3.0</v>
      </c>
      <c r="K52" s="19">
        <v>1.0</v>
      </c>
      <c r="L52" s="19">
        <v>2.0</v>
      </c>
      <c r="M52" s="19">
        <v>6.0</v>
      </c>
      <c r="N52" s="19">
        <v>3.0</v>
      </c>
      <c r="O52" s="19">
        <v>6.0</v>
      </c>
      <c r="P52" s="19">
        <v>4.0</v>
      </c>
      <c r="Q52" s="19">
        <v>4.0</v>
      </c>
      <c r="R52" s="19">
        <v>5.0</v>
      </c>
      <c r="S52" s="19">
        <v>7.0</v>
      </c>
      <c r="T52" s="19">
        <v>4.0</v>
      </c>
      <c r="U52" s="19">
        <v>7.0</v>
      </c>
      <c r="V52" s="19">
        <v>6.0</v>
      </c>
      <c r="W52" s="19">
        <v>5.0</v>
      </c>
      <c r="X52" s="19">
        <v>10.0</v>
      </c>
      <c r="Y52" s="19">
        <v>6.0</v>
      </c>
      <c r="Z52" s="19">
        <v>4.0</v>
      </c>
      <c r="AA52" s="19">
        <v>6.0</v>
      </c>
      <c r="AB52" s="19">
        <v>9.0</v>
      </c>
      <c r="AC52" s="19">
        <v>5.0</v>
      </c>
      <c r="AD52" s="13">
        <f t="shared" si="14"/>
        <v>126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3.0</v>
      </c>
      <c r="G53" s="19">
        <v>2.0</v>
      </c>
      <c r="H53" s="19">
        <v>2.0</v>
      </c>
      <c r="I53" s="19">
        <v>1.0</v>
      </c>
      <c r="J53" s="19">
        <v>2.0</v>
      </c>
      <c r="K53" s="19">
        <v>2.0</v>
      </c>
      <c r="L53" s="19">
        <v>0.0</v>
      </c>
      <c r="M53" s="19">
        <v>1.0</v>
      </c>
      <c r="N53" s="19">
        <v>2.0</v>
      </c>
      <c r="O53" s="19">
        <v>4.0</v>
      </c>
      <c r="P53" s="19">
        <v>4.0</v>
      </c>
      <c r="Q53" s="19">
        <v>2.0</v>
      </c>
      <c r="R53" s="19">
        <v>3.0</v>
      </c>
      <c r="S53" s="19">
        <v>1.0</v>
      </c>
      <c r="T53" s="19">
        <v>3.0</v>
      </c>
      <c r="U53" s="19">
        <v>3.0</v>
      </c>
      <c r="V53" s="19">
        <v>0.0</v>
      </c>
      <c r="W53" s="19">
        <v>1.0</v>
      </c>
      <c r="X53" s="19">
        <v>0.0</v>
      </c>
      <c r="Y53" s="19">
        <v>1.0</v>
      </c>
      <c r="Z53" s="19">
        <v>1.0</v>
      </c>
      <c r="AA53" s="19">
        <v>1.0</v>
      </c>
      <c r="AB53" s="19">
        <v>3.0</v>
      </c>
      <c r="AC53" s="19">
        <v>1.0</v>
      </c>
      <c r="AD53" s="13">
        <f t="shared" si="14"/>
        <v>43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47.0</v>
      </c>
      <c r="F54" s="19">
        <v>27.0</v>
      </c>
      <c r="G54" s="19">
        <v>19.0</v>
      </c>
      <c r="H54" s="19">
        <v>33.0</v>
      </c>
      <c r="I54" s="19">
        <v>22.0</v>
      </c>
      <c r="J54" s="19">
        <v>24.0</v>
      </c>
      <c r="K54" s="19">
        <v>17.0</v>
      </c>
      <c r="L54" s="19">
        <v>16.0</v>
      </c>
      <c r="M54" s="19">
        <v>11.0</v>
      </c>
      <c r="N54" s="19">
        <v>33.0</v>
      </c>
      <c r="O54" s="19">
        <v>26.0</v>
      </c>
      <c r="P54" s="19">
        <v>35.0</v>
      </c>
      <c r="Q54" s="19">
        <v>23.0</v>
      </c>
      <c r="R54" s="19">
        <v>28.0</v>
      </c>
      <c r="S54" s="19">
        <v>15.0</v>
      </c>
      <c r="T54" s="19">
        <v>35.0</v>
      </c>
      <c r="U54" s="19">
        <v>27.0</v>
      </c>
      <c r="V54" s="19">
        <v>19.0</v>
      </c>
      <c r="W54" s="19">
        <v>25.0</v>
      </c>
      <c r="X54" s="19">
        <v>25.0</v>
      </c>
      <c r="Y54" s="19">
        <v>27.0</v>
      </c>
      <c r="Z54" s="19">
        <v>31.0</v>
      </c>
      <c r="AA54" s="19">
        <v>16.0</v>
      </c>
      <c r="AB54" s="19">
        <v>21.0</v>
      </c>
      <c r="AC54" s="19">
        <v>27.0</v>
      </c>
      <c r="AD54" s="13">
        <f t="shared" si="14"/>
        <v>629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0.0</v>
      </c>
      <c r="G55" s="19">
        <v>0.0</v>
      </c>
      <c r="H55" s="19">
        <v>1.0</v>
      </c>
      <c r="I55" s="19">
        <v>1.0</v>
      </c>
      <c r="J55" s="19">
        <v>1.0</v>
      </c>
      <c r="K55" s="19">
        <v>1.0</v>
      </c>
      <c r="L55" s="19">
        <v>4.0</v>
      </c>
      <c r="M55" s="19">
        <v>0.0</v>
      </c>
      <c r="N55" s="19">
        <v>0.0</v>
      </c>
      <c r="O55" s="19">
        <v>1.0</v>
      </c>
      <c r="P55" s="19">
        <v>1.0</v>
      </c>
      <c r="Q55" s="19">
        <v>3.0</v>
      </c>
      <c r="R55" s="19">
        <v>2.0</v>
      </c>
      <c r="S55" s="19">
        <v>2.0</v>
      </c>
      <c r="T55" s="19">
        <v>2.0</v>
      </c>
      <c r="U55" s="19">
        <v>3.0</v>
      </c>
      <c r="V55" s="19">
        <v>0.0</v>
      </c>
      <c r="W55" s="19">
        <v>1.0</v>
      </c>
      <c r="X55" s="19">
        <v>1.0</v>
      </c>
      <c r="Y55" s="19">
        <v>3.0</v>
      </c>
      <c r="Z55" s="19">
        <v>1.0</v>
      </c>
      <c r="AA55" s="19">
        <v>1.0</v>
      </c>
      <c r="AB55" s="19">
        <v>2.0</v>
      </c>
      <c r="AC55" s="19">
        <v>3.0</v>
      </c>
      <c r="AD55" s="13">
        <f t="shared" si="14"/>
        <v>35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26.0</v>
      </c>
      <c r="F56" s="19">
        <v>24.0</v>
      </c>
      <c r="G56" s="19">
        <v>15.0</v>
      </c>
      <c r="H56" s="19">
        <v>19.0</v>
      </c>
      <c r="I56" s="19">
        <v>17.0</v>
      </c>
      <c r="J56" s="19">
        <v>25.0</v>
      </c>
      <c r="K56" s="19">
        <v>38.0</v>
      </c>
      <c r="L56" s="19">
        <v>12.0</v>
      </c>
      <c r="M56" s="19">
        <v>25.0</v>
      </c>
      <c r="N56" s="19">
        <v>13.0</v>
      </c>
      <c r="O56" s="19">
        <v>19.0</v>
      </c>
      <c r="P56" s="19">
        <v>19.0</v>
      </c>
      <c r="Q56" s="19">
        <v>11.0</v>
      </c>
      <c r="R56" s="19">
        <v>17.0</v>
      </c>
      <c r="S56" s="19">
        <v>23.0</v>
      </c>
      <c r="T56" s="19">
        <v>21.0</v>
      </c>
      <c r="U56" s="19">
        <v>15.0</v>
      </c>
      <c r="V56" s="19">
        <v>17.0</v>
      </c>
      <c r="W56" s="19">
        <v>18.0</v>
      </c>
      <c r="X56" s="19">
        <v>24.0</v>
      </c>
      <c r="Y56" s="19">
        <v>18.0</v>
      </c>
      <c r="Z56" s="19">
        <v>17.0</v>
      </c>
      <c r="AA56" s="19">
        <v>24.0</v>
      </c>
      <c r="AB56" s="19">
        <v>19.0</v>
      </c>
      <c r="AC56" s="19">
        <v>23.0</v>
      </c>
      <c r="AD56" s="13">
        <f t="shared" si="14"/>
        <v>499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3.0</v>
      </c>
      <c r="F57" s="19">
        <v>1.0</v>
      </c>
      <c r="G57" s="19">
        <v>1.0</v>
      </c>
      <c r="H57" s="19">
        <v>4.0</v>
      </c>
      <c r="I57" s="19">
        <v>3.0</v>
      </c>
      <c r="J57" s="19">
        <v>4.0</v>
      </c>
      <c r="K57" s="19">
        <v>1.0</v>
      </c>
      <c r="L57" s="19">
        <v>0.0</v>
      </c>
      <c r="M57" s="19">
        <v>3.0</v>
      </c>
      <c r="N57" s="19">
        <v>1.0</v>
      </c>
      <c r="O57" s="19">
        <v>2.0</v>
      </c>
      <c r="P57" s="19">
        <v>4.0</v>
      </c>
      <c r="Q57" s="19">
        <v>3.0</v>
      </c>
      <c r="R57" s="19">
        <v>3.0</v>
      </c>
      <c r="S57" s="19">
        <v>1.0</v>
      </c>
      <c r="T57" s="19">
        <v>1.0</v>
      </c>
      <c r="U57" s="19">
        <v>2.0</v>
      </c>
      <c r="V57" s="19">
        <v>3.0</v>
      </c>
      <c r="W57" s="19">
        <v>5.0</v>
      </c>
      <c r="X57" s="19">
        <v>3.0</v>
      </c>
      <c r="Y57" s="19">
        <v>5.0</v>
      </c>
      <c r="Z57" s="19">
        <v>6.0</v>
      </c>
      <c r="AA57" s="19">
        <v>3.0</v>
      </c>
      <c r="AB57" s="19">
        <v>3.0</v>
      </c>
      <c r="AC57" s="19">
        <v>3.0</v>
      </c>
      <c r="AD57" s="13">
        <f t="shared" si="14"/>
        <v>68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C60" si="15">SUM(E45:E57)</f>
        <v>185</v>
      </c>
      <c r="F60" s="19">
        <f t="shared" si="15"/>
        <v>166</v>
      </c>
      <c r="G60" s="19">
        <f t="shared" si="15"/>
        <v>149</v>
      </c>
      <c r="H60" s="19">
        <f t="shared" si="15"/>
        <v>177</v>
      </c>
      <c r="I60" s="19">
        <f t="shared" si="15"/>
        <v>159</v>
      </c>
      <c r="J60" s="19">
        <f t="shared" si="15"/>
        <v>186</v>
      </c>
      <c r="K60" s="19">
        <f t="shared" si="15"/>
        <v>173</v>
      </c>
      <c r="L60" s="19">
        <f t="shared" si="15"/>
        <v>148</v>
      </c>
      <c r="M60" s="19">
        <f t="shared" si="15"/>
        <v>159</v>
      </c>
      <c r="N60" s="19">
        <f t="shared" si="15"/>
        <v>141</v>
      </c>
      <c r="O60" s="19">
        <f t="shared" si="15"/>
        <v>164</v>
      </c>
      <c r="P60" s="19">
        <f t="shared" si="15"/>
        <v>178</v>
      </c>
      <c r="Q60" s="19">
        <f t="shared" si="15"/>
        <v>163</v>
      </c>
      <c r="R60" s="19">
        <f t="shared" si="15"/>
        <v>173</v>
      </c>
      <c r="S60" s="19">
        <f t="shared" si="15"/>
        <v>150</v>
      </c>
      <c r="T60" s="19">
        <f t="shared" si="15"/>
        <v>172</v>
      </c>
      <c r="U60" s="19">
        <f t="shared" si="15"/>
        <v>177</v>
      </c>
      <c r="V60" s="19">
        <f t="shared" si="15"/>
        <v>173</v>
      </c>
      <c r="W60" s="19">
        <f t="shared" si="15"/>
        <v>181</v>
      </c>
      <c r="X60" s="19">
        <f t="shared" si="15"/>
        <v>167</v>
      </c>
      <c r="Y60" s="19">
        <f t="shared" si="15"/>
        <v>163</v>
      </c>
      <c r="Z60" s="19">
        <f t="shared" si="15"/>
        <v>200</v>
      </c>
      <c r="AA60" s="19">
        <f t="shared" si="15"/>
        <v>157</v>
      </c>
      <c r="AB60" s="19">
        <f t="shared" si="15"/>
        <v>172</v>
      </c>
      <c r="AC60" s="19">
        <f t="shared" si="15"/>
        <v>164</v>
      </c>
      <c r="AD60" s="13">
        <f t="shared" ref="AD60:AD62" si="16">SUM(E60:AC60)</f>
        <v>4197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54.0</v>
      </c>
      <c r="F61" s="19">
        <v>50.0</v>
      </c>
      <c r="G61" s="19">
        <v>36.0</v>
      </c>
      <c r="H61" s="19">
        <v>42.0</v>
      </c>
      <c r="I61" s="19">
        <v>56.0</v>
      </c>
      <c r="J61" s="19">
        <v>36.0</v>
      </c>
      <c r="K61" s="19">
        <v>50.0</v>
      </c>
      <c r="L61" s="19">
        <v>36.0</v>
      </c>
      <c r="M61" s="19">
        <v>48.0</v>
      </c>
      <c r="N61" s="19">
        <v>25.0</v>
      </c>
      <c r="O61" s="19">
        <v>38.0</v>
      </c>
      <c r="P61" s="19">
        <v>34.0</v>
      </c>
      <c r="Q61" s="19">
        <v>44.0</v>
      </c>
      <c r="R61" s="19">
        <v>43.0</v>
      </c>
      <c r="S61" s="19">
        <v>52.0</v>
      </c>
      <c r="T61" s="19">
        <v>63.0</v>
      </c>
      <c r="U61" s="19">
        <v>50.0</v>
      </c>
      <c r="V61" s="19">
        <v>42.0</v>
      </c>
      <c r="W61" s="19">
        <v>32.0</v>
      </c>
      <c r="X61" s="19">
        <v>43.0</v>
      </c>
      <c r="Y61" s="19">
        <v>29.0</v>
      </c>
      <c r="Z61" s="19">
        <v>42.0</v>
      </c>
      <c r="AA61" s="19">
        <v>32.0</v>
      </c>
      <c r="AB61" s="19">
        <v>52.0</v>
      </c>
      <c r="AC61" s="19">
        <v>41.0</v>
      </c>
      <c r="AD61" s="13">
        <f t="shared" si="16"/>
        <v>1070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C62" si="17">SUM(E60:E61)</f>
        <v>239</v>
      </c>
      <c r="F62" s="13">
        <f t="shared" si="17"/>
        <v>216</v>
      </c>
      <c r="G62" s="13">
        <f t="shared" si="17"/>
        <v>185</v>
      </c>
      <c r="H62" s="13">
        <f t="shared" si="17"/>
        <v>219</v>
      </c>
      <c r="I62" s="13">
        <f t="shared" si="17"/>
        <v>215</v>
      </c>
      <c r="J62" s="13">
        <f t="shared" si="17"/>
        <v>222</v>
      </c>
      <c r="K62" s="13">
        <f t="shared" si="17"/>
        <v>223</v>
      </c>
      <c r="L62" s="13">
        <f t="shared" si="17"/>
        <v>184</v>
      </c>
      <c r="M62" s="13">
        <f t="shared" si="17"/>
        <v>207</v>
      </c>
      <c r="N62" s="13">
        <f t="shared" si="17"/>
        <v>166</v>
      </c>
      <c r="O62" s="13">
        <f t="shared" si="17"/>
        <v>202</v>
      </c>
      <c r="P62" s="13">
        <f t="shared" si="17"/>
        <v>212</v>
      </c>
      <c r="Q62" s="13">
        <f t="shared" si="17"/>
        <v>207</v>
      </c>
      <c r="R62" s="13">
        <f t="shared" si="17"/>
        <v>216</v>
      </c>
      <c r="S62" s="13">
        <f t="shared" si="17"/>
        <v>202</v>
      </c>
      <c r="T62" s="13">
        <f t="shared" si="17"/>
        <v>235</v>
      </c>
      <c r="U62" s="13">
        <f t="shared" si="17"/>
        <v>227</v>
      </c>
      <c r="V62" s="13">
        <f t="shared" si="17"/>
        <v>215</v>
      </c>
      <c r="W62" s="13">
        <f t="shared" si="17"/>
        <v>213</v>
      </c>
      <c r="X62" s="13">
        <f t="shared" si="17"/>
        <v>210</v>
      </c>
      <c r="Y62" s="13">
        <f t="shared" si="17"/>
        <v>192</v>
      </c>
      <c r="Z62" s="13">
        <f t="shared" si="17"/>
        <v>242</v>
      </c>
      <c r="AA62" s="13">
        <f t="shared" si="17"/>
        <v>189</v>
      </c>
      <c r="AB62" s="13">
        <f t="shared" si="17"/>
        <v>224</v>
      </c>
      <c r="AC62" s="13">
        <f t="shared" si="17"/>
        <v>205</v>
      </c>
      <c r="AD62" s="13">
        <f t="shared" si="16"/>
        <v>5267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C15 E45:AC57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E30&lt;&gt;E46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60:AC61">
    <cfRule type="containsBlanks" dxfId="1" priority="10">
      <formula>LEN(TRIM(E60))=0</formula>
    </cfRule>
  </conditionalFormatting>
  <conditionalFormatting sqref="U34:AC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13" t="s">
        <v>93</v>
      </c>
      <c r="AA13" s="13" t="s">
        <v>94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141.0</v>
      </c>
      <c r="G14" s="19">
        <v>138.0</v>
      </c>
      <c r="H14" s="19">
        <v>132.0</v>
      </c>
      <c r="I14" s="19">
        <v>126.0</v>
      </c>
      <c r="J14" s="19">
        <v>129.0</v>
      </c>
      <c r="K14" s="19">
        <v>113.0</v>
      </c>
      <c r="L14" s="19">
        <v>147.0</v>
      </c>
      <c r="M14" s="19">
        <v>142.0</v>
      </c>
      <c r="N14" s="19">
        <v>130.0</v>
      </c>
      <c r="O14" s="19">
        <v>120.0</v>
      </c>
      <c r="P14" s="19">
        <v>129.0</v>
      </c>
      <c r="Q14" s="19">
        <v>140.0</v>
      </c>
      <c r="R14" s="19">
        <v>142.0</v>
      </c>
      <c r="S14" s="19">
        <v>142.0</v>
      </c>
      <c r="T14" s="19">
        <v>142.0</v>
      </c>
      <c r="U14" s="19">
        <v>144.0</v>
      </c>
      <c r="V14" s="19">
        <v>125.0</v>
      </c>
      <c r="W14" s="19">
        <v>141.0</v>
      </c>
      <c r="X14" s="19">
        <v>135.0</v>
      </c>
      <c r="Y14" s="19">
        <v>138.0</v>
      </c>
      <c r="Z14" s="19">
        <v>130.0</v>
      </c>
      <c r="AA14" s="19">
        <v>101.0</v>
      </c>
      <c r="AB14" s="13">
        <f t="shared" ref="AB14:AB16" si="1">SUM(E14:AA14)</f>
        <v>3062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143.0</v>
      </c>
      <c r="G15" s="19">
        <v>145.0</v>
      </c>
      <c r="H15" s="19">
        <v>150.0</v>
      </c>
      <c r="I15" s="19">
        <v>142.0</v>
      </c>
      <c r="J15" s="19">
        <v>132.0</v>
      </c>
      <c r="K15" s="19">
        <v>117.0</v>
      </c>
      <c r="L15" s="19">
        <v>131.0</v>
      </c>
      <c r="M15" s="19">
        <v>136.0</v>
      </c>
      <c r="N15" s="19">
        <v>137.0</v>
      </c>
      <c r="O15" s="19">
        <v>134.0</v>
      </c>
      <c r="P15" s="19">
        <v>138.0</v>
      </c>
      <c r="Q15" s="19">
        <v>140.0</v>
      </c>
      <c r="R15" s="19">
        <v>148.0</v>
      </c>
      <c r="S15" s="19">
        <v>146.0</v>
      </c>
      <c r="T15" s="19">
        <v>144.0</v>
      </c>
      <c r="U15" s="19">
        <v>134.0</v>
      </c>
      <c r="V15" s="19">
        <v>115.0</v>
      </c>
      <c r="W15" s="19">
        <v>142.0</v>
      </c>
      <c r="X15" s="19">
        <v>124.0</v>
      </c>
      <c r="Y15" s="19">
        <v>136.0</v>
      </c>
      <c r="Z15" s="19">
        <v>140.0</v>
      </c>
      <c r="AA15" s="19">
        <v>106.0</v>
      </c>
      <c r="AB15" s="13">
        <f t="shared" si="1"/>
        <v>3126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281</v>
      </c>
      <c r="F16" s="13">
        <f t="shared" si="2"/>
        <v>284</v>
      </c>
      <c r="G16" s="13">
        <f t="shared" si="2"/>
        <v>283</v>
      </c>
      <c r="H16" s="13">
        <f t="shared" si="2"/>
        <v>282</v>
      </c>
      <c r="I16" s="13">
        <f t="shared" si="2"/>
        <v>268</v>
      </c>
      <c r="J16" s="13">
        <f t="shared" si="2"/>
        <v>261</v>
      </c>
      <c r="K16" s="13">
        <f t="shared" si="2"/>
        <v>230</v>
      </c>
      <c r="L16" s="13">
        <f t="shared" si="2"/>
        <v>278</v>
      </c>
      <c r="M16" s="13">
        <f t="shared" si="2"/>
        <v>278</v>
      </c>
      <c r="N16" s="13">
        <f t="shared" si="2"/>
        <v>267</v>
      </c>
      <c r="O16" s="13">
        <f t="shared" si="2"/>
        <v>254</v>
      </c>
      <c r="P16" s="13">
        <f t="shared" si="2"/>
        <v>267</v>
      </c>
      <c r="Q16" s="13">
        <f t="shared" si="2"/>
        <v>280</v>
      </c>
      <c r="R16" s="13">
        <f t="shared" si="2"/>
        <v>290</v>
      </c>
      <c r="S16" s="13">
        <f t="shared" si="2"/>
        <v>288</v>
      </c>
      <c r="T16" s="13">
        <f t="shared" si="2"/>
        <v>286</v>
      </c>
      <c r="U16" s="13">
        <f t="shared" si="2"/>
        <v>278</v>
      </c>
      <c r="V16" s="13">
        <f t="shared" si="2"/>
        <v>240</v>
      </c>
      <c r="W16" s="13">
        <f t="shared" si="2"/>
        <v>283</v>
      </c>
      <c r="X16" s="13">
        <f t="shared" si="2"/>
        <v>259</v>
      </c>
      <c r="Y16" s="13">
        <f t="shared" si="2"/>
        <v>274</v>
      </c>
      <c r="Z16" s="13">
        <f t="shared" si="2"/>
        <v>270</v>
      </c>
      <c r="AA16" s="13">
        <f t="shared" si="2"/>
        <v>207</v>
      </c>
      <c r="AB16" s="13">
        <f t="shared" si="1"/>
        <v>6188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118.0</v>
      </c>
      <c r="G19" s="19">
        <v>103.0</v>
      </c>
      <c r="H19" s="19">
        <v>100.0</v>
      </c>
      <c r="I19" s="19">
        <v>97.0</v>
      </c>
      <c r="J19" s="19">
        <v>96.0</v>
      </c>
      <c r="K19" s="19">
        <v>90.0</v>
      </c>
      <c r="L19" s="19">
        <v>86.0</v>
      </c>
      <c r="M19" s="19">
        <v>85.0</v>
      </c>
      <c r="N19" s="19">
        <v>98.0</v>
      </c>
      <c r="O19" s="19">
        <v>80.0</v>
      </c>
      <c r="P19" s="19">
        <v>79.0</v>
      </c>
      <c r="Q19" s="19">
        <v>96.0</v>
      </c>
      <c r="R19" s="19">
        <v>105.0</v>
      </c>
      <c r="S19" s="19">
        <v>97.0</v>
      </c>
      <c r="T19" s="19">
        <v>97.0</v>
      </c>
      <c r="U19" s="19">
        <v>99.0</v>
      </c>
      <c r="V19" s="19">
        <v>105.0</v>
      </c>
      <c r="W19" s="19">
        <v>97.0</v>
      </c>
      <c r="X19" s="19">
        <v>91.0</v>
      </c>
      <c r="Y19" s="19">
        <v>95.0</v>
      </c>
      <c r="Z19" s="19">
        <v>94.0</v>
      </c>
      <c r="AA19" s="19">
        <v>67.0</v>
      </c>
      <c r="AB19" s="13">
        <f t="shared" ref="AB19:AB30" si="3">SUM(E19:AA19)</f>
        <v>2170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122.0</v>
      </c>
      <c r="G20" s="19">
        <v>106.0</v>
      </c>
      <c r="H20" s="19">
        <v>122.0</v>
      </c>
      <c r="I20" s="19">
        <v>114.0</v>
      </c>
      <c r="J20" s="19">
        <v>113.0</v>
      </c>
      <c r="K20" s="19">
        <v>93.0</v>
      </c>
      <c r="L20" s="19">
        <v>124.0</v>
      </c>
      <c r="M20" s="19">
        <v>96.0</v>
      </c>
      <c r="N20" s="19">
        <v>102.0</v>
      </c>
      <c r="O20" s="19">
        <v>98.0</v>
      </c>
      <c r="P20" s="19">
        <v>108.0</v>
      </c>
      <c r="Q20" s="19">
        <v>114.0</v>
      </c>
      <c r="R20" s="19">
        <v>122.0</v>
      </c>
      <c r="S20" s="19">
        <v>116.0</v>
      </c>
      <c r="T20" s="19">
        <v>108.0</v>
      </c>
      <c r="U20" s="19">
        <v>98.0</v>
      </c>
      <c r="V20" s="19">
        <v>96.0</v>
      </c>
      <c r="W20" s="19">
        <v>117.0</v>
      </c>
      <c r="X20" s="19">
        <v>96.0</v>
      </c>
      <c r="Y20" s="19">
        <v>106.0</v>
      </c>
      <c r="Z20" s="19">
        <v>103.0</v>
      </c>
      <c r="AA20" s="19">
        <v>80.0</v>
      </c>
      <c r="AB20" s="13">
        <f t="shared" si="3"/>
        <v>2471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212</v>
      </c>
      <c r="F21" s="13">
        <f t="shared" si="4"/>
        <v>240</v>
      </c>
      <c r="G21" s="13">
        <f t="shared" si="4"/>
        <v>209</v>
      </c>
      <c r="H21" s="13">
        <f t="shared" si="4"/>
        <v>222</v>
      </c>
      <c r="I21" s="13">
        <f t="shared" si="4"/>
        <v>211</v>
      </c>
      <c r="J21" s="13">
        <f t="shared" si="4"/>
        <v>209</v>
      </c>
      <c r="K21" s="13">
        <f t="shared" si="4"/>
        <v>183</v>
      </c>
      <c r="L21" s="13">
        <f t="shared" si="4"/>
        <v>210</v>
      </c>
      <c r="M21" s="13">
        <f t="shared" si="4"/>
        <v>181</v>
      </c>
      <c r="N21" s="13">
        <f t="shared" si="4"/>
        <v>200</v>
      </c>
      <c r="O21" s="13">
        <f t="shared" si="4"/>
        <v>178</v>
      </c>
      <c r="P21" s="13">
        <f t="shared" si="4"/>
        <v>187</v>
      </c>
      <c r="Q21" s="13">
        <f t="shared" si="4"/>
        <v>210</v>
      </c>
      <c r="R21" s="13">
        <f t="shared" si="4"/>
        <v>227</v>
      </c>
      <c r="S21" s="13">
        <f t="shared" si="4"/>
        <v>213</v>
      </c>
      <c r="T21" s="13">
        <f t="shared" si="4"/>
        <v>205</v>
      </c>
      <c r="U21" s="13">
        <f t="shared" si="4"/>
        <v>197</v>
      </c>
      <c r="V21" s="13">
        <f t="shared" si="4"/>
        <v>201</v>
      </c>
      <c r="W21" s="13">
        <f t="shared" si="4"/>
        <v>214</v>
      </c>
      <c r="X21" s="13">
        <f t="shared" si="4"/>
        <v>187</v>
      </c>
      <c r="Y21" s="13">
        <f t="shared" si="4"/>
        <v>201</v>
      </c>
      <c r="Z21" s="13">
        <f t="shared" si="4"/>
        <v>197</v>
      </c>
      <c r="AA21" s="13">
        <f t="shared" si="4"/>
        <v>147</v>
      </c>
      <c r="AB21" s="13">
        <f t="shared" si="3"/>
        <v>4641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0.0</v>
      </c>
      <c r="P22" s="19">
        <v>1.0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1.0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2.0</v>
      </c>
      <c r="J23" s="19">
        <v>0.0</v>
      </c>
      <c r="K23" s="19">
        <v>0.0</v>
      </c>
      <c r="L23" s="19">
        <v>0.0</v>
      </c>
      <c r="M23" s="19">
        <v>6.0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8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1.0</v>
      </c>
      <c r="J25" s="19">
        <v>1.0</v>
      </c>
      <c r="K25" s="19">
        <v>0.0</v>
      </c>
      <c r="L25" s="19">
        <v>1.0</v>
      </c>
      <c r="M25" s="19">
        <v>0.0</v>
      </c>
      <c r="N25" s="19">
        <v>2.0</v>
      </c>
      <c r="O25" s="19">
        <v>6.0</v>
      </c>
      <c r="P25" s="19">
        <v>0.0</v>
      </c>
      <c r="Q25" s="19">
        <v>0.0</v>
      </c>
      <c r="R25" s="19">
        <v>7.0</v>
      </c>
      <c r="S25" s="19">
        <v>1.0</v>
      </c>
      <c r="T25" s="19">
        <v>1.0</v>
      </c>
      <c r="U25" s="19">
        <v>3.0</v>
      </c>
      <c r="V25" s="19">
        <v>3.0</v>
      </c>
      <c r="W25" s="19">
        <v>0.0</v>
      </c>
      <c r="X25" s="19">
        <v>3.0</v>
      </c>
      <c r="Y25" s="19">
        <v>0.0</v>
      </c>
      <c r="Z25" s="19">
        <v>4.0</v>
      </c>
      <c r="AA25" s="19">
        <v>0.0</v>
      </c>
      <c r="AB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1.0</v>
      </c>
      <c r="H26" s="19">
        <v>1.0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2.0</v>
      </c>
      <c r="O26" s="19">
        <v>3.0</v>
      </c>
      <c r="P26" s="19">
        <v>0.0</v>
      </c>
      <c r="Q26" s="19">
        <v>0.0</v>
      </c>
      <c r="R26" s="19">
        <v>6.0</v>
      </c>
      <c r="S26" s="19">
        <v>3.0</v>
      </c>
      <c r="T26" s="19">
        <v>1.0</v>
      </c>
      <c r="U26" s="19">
        <v>4.0</v>
      </c>
      <c r="V26" s="19">
        <v>6.0</v>
      </c>
      <c r="W26" s="19">
        <v>0.0</v>
      </c>
      <c r="X26" s="19">
        <v>2.0</v>
      </c>
      <c r="Y26" s="19">
        <v>0.0</v>
      </c>
      <c r="Z26" s="19">
        <v>5.0</v>
      </c>
      <c r="AA26" s="19">
        <v>1.0</v>
      </c>
      <c r="AB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1</v>
      </c>
      <c r="J27" s="13">
        <f t="shared" si="6"/>
        <v>3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4</v>
      </c>
      <c r="O27" s="13">
        <f t="shared" si="6"/>
        <v>9</v>
      </c>
      <c r="P27" s="13">
        <f t="shared" si="6"/>
        <v>0</v>
      </c>
      <c r="Q27" s="13">
        <f t="shared" si="6"/>
        <v>0</v>
      </c>
      <c r="R27" s="13">
        <f t="shared" si="6"/>
        <v>13</v>
      </c>
      <c r="S27" s="13">
        <f t="shared" si="6"/>
        <v>4</v>
      </c>
      <c r="T27" s="13">
        <f t="shared" si="6"/>
        <v>2</v>
      </c>
      <c r="U27" s="13">
        <f t="shared" si="6"/>
        <v>7</v>
      </c>
      <c r="V27" s="13">
        <f t="shared" si="6"/>
        <v>9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9</v>
      </c>
      <c r="AA27" s="13">
        <f t="shared" si="6"/>
        <v>1</v>
      </c>
      <c r="AB27" s="13">
        <f t="shared" si="3"/>
        <v>75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96</v>
      </c>
      <c r="F28" s="13">
        <f t="shared" si="7"/>
        <v>118</v>
      </c>
      <c r="G28" s="13">
        <f t="shared" si="7"/>
        <v>103</v>
      </c>
      <c r="H28" s="13">
        <f t="shared" si="7"/>
        <v>101</v>
      </c>
      <c r="I28" s="13">
        <f t="shared" si="7"/>
        <v>98</v>
      </c>
      <c r="J28" s="13">
        <f t="shared" si="7"/>
        <v>97</v>
      </c>
      <c r="K28" s="13">
        <f t="shared" si="7"/>
        <v>90</v>
      </c>
      <c r="L28" s="13">
        <f t="shared" si="7"/>
        <v>87</v>
      </c>
      <c r="M28" s="13">
        <f t="shared" si="7"/>
        <v>87</v>
      </c>
      <c r="N28" s="13">
        <f t="shared" si="7"/>
        <v>100</v>
      </c>
      <c r="O28" s="13">
        <f t="shared" si="7"/>
        <v>86</v>
      </c>
      <c r="P28" s="13">
        <f t="shared" si="7"/>
        <v>80</v>
      </c>
      <c r="Q28" s="13">
        <f t="shared" si="7"/>
        <v>96</v>
      </c>
      <c r="R28" s="13">
        <f t="shared" si="7"/>
        <v>113</v>
      </c>
      <c r="S28" s="13">
        <f t="shared" si="7"/>
        <v>98</v>
      </c>
      <c r="T28" s="13">
        <f t="shared" si="7"/>
        <v>98</v>
      </c>
      <c r="U28" s="13">
        <f t="shared" si="7"/>
        <v>102</v>
      </c>
      <c r="V28" s="13">
        <f t="shared" si="7"/>
        <v>109</v>
      </c>
      <c r="W28" s="13">
        <f t="shared" si="7"/>
        <v>97</v>
      </c>
      <c r="X28" s="13">
        <f t="shared" si="7"/>
        <v>94</v>
      </c>
      <c r="Y28" s="13">
        <f t="shared" si="7"/>
        <v>95</v>
      </c>
      <c r="Z28" s="13">
        <f t="shared" si="7"/>
        <v>98</v>
      </c>
      <c r="AA28" s="13">
        <f t="shared" si="7"/>
        <v>67</v>
      </c>
      <c r="AB28" s="13">
        <f t="shared" si="3"/>
        <v>2210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117</v>
      </c>
      <c r="F29" s="13">
        <f t="shared" si="8"/>
        <v>123</v>
      </c>
      <c r="G29" s="13">
        <f t="shared" si="8"/>
        <v>107</v>
      </c>
      <c r="H29" s="13">
        <f t="shared" si="8"/>
        <v>123</v>
      </c>
      <c r="I29" s="13">
        <f t="shared" si="8"/>
        <v>116</v>
      </c>
      <c r="J29" s="13">
        <f t="shared" si="8"/>
        <v>115</v>
      </c>
      <c r="K29" s="13">
        <f t="shared" si="8"/>
        <v>93</v>
      </c>
      <c r="L29" s="13">
        <f t="shared" si="8"/>
        <v>126</v>
      </c>
      <c r="M29" s="13">
        <f t="shared" si="8"/>
        <v>102</v>
      </c>
      <c r="N29" s="13">
        <f t="shared" si="8"/>
        <v>104</v>
      </c>
      <c r="O29" s="13">
        <f t="shared" si="8"/>
        <v>101</v>
      </c>
      <c r="P29" s="13">
        <f t="shared" si="8"/>
        <v>109</v>
      </c>
      <c r="Q29" s="13">
        <f t="shared" si="8"/>
        <v>114</v>
      </c>
      <c r="R29" s="13">
        <f t="shared" si="8"/>
        <v>128</v>
      </c>
      <c r="S29" s="13">
        <f t="shared" si="8"/>
        <v>119</v>
      </c>
      <c r="T29" s="13">
        <f t="shared" si="8"/>
        <v>109</v>
      </c>
      <c r="U29" s="13">
        <f t="shared" si="8"/>
        <v>102</v>
      </c>
      <c r="V29" s="13">
        <f t="shared" si="8"/>
        <v>103</v>
      </c>
      <c r="W29" s="13">
        <f t="shared" si="8"/>
        <v>117</v>
      </c>
      <c r="X29" s="13">
        <f t="shared" si="8"/>
        <v>98</v>
      </c>
      <c r="Y29" s="13">
        <f t="shared" si="8"/>
        <v>106</v>
      </c>
      <c r="Z29" s="13">
        <f t="shared" si="8"/>
        <v>108</v>
      </c>
      <c r="AA29" s="13">
        <f t="shared" si="8"/>
        <v>81</v>
      </c>
      <c r="AB29" s="13">
        <f t="shared" si="3"/>
        <v>2521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213</v>
      </c>
      <c r="F30" s="13">
        <f t="shared" si="9"/>
        <v>241</v>
      </c>
      <c r="G30" s="13">
        <f t="shared" si="9"/>
        <v>210</v>
      </c>
      <c r="H30" s="13">
        <f t="shared" si="9"/>
        <v>224</v>
      </c>
      <c r="I30" s="13">
        <f t="shared" si="9"/>
        <v>214</v>
      </c>
      <c r="J30" s="13">
        <f t="shared" si="9"/>
        <v>212</v>
      </c>
      <c r="K30" s="13">
        <f t="shared" si="9"/>
        <v>183</v>
      </c>
      <c r="L30" s="13">
        <f t="shared" si="9"/>
        <v>213</v>
      </c>
      <c r="M30" s="13">
        <f t="shared" si="9"/>
        <v>189</v>
      </c>
      <c r="N30" s="13">
        <f t="shared" si="9"/>
        <v>204</v>
      </c>
      <c r="O30" s="13">
        <f t="shared" si="9"/>
        <v>187</v>
      </c>
      <c r="P30" s="13">
        <f t="shared" si="9"/>
        <v>189</v>
      </c>
      <c r="Q30" s="13">
        <f t="shared" si="9"/>
        <v>210</v>
      </c>
      <c r="R30" s="13">
        <f t="shared" si="9"/>
        <v>241</v>
      </c>
      <c r="S30" s="13">
        <f t="shared" si="9"/>
        <v>217</v>
      </c>
      <c r="T30" s="13">
        <f t="shared" si="9"/>
        <v>207</v>
      </c>
      <c r="U30" s="13">
        <f t="shared" si="9"/>
        <v>204</v>
      </c>
      <c r="V30" s="13">
        <f t="shared" si="9"/>
        <v>212</v>
      </c>
      <c r="W30" s="13">
        <f t="shared" si="9"/>
        <v>214</v>
      </c>
      <c r="X30" s="13">
        <f t="shared" si="9"/>
        <v>192</v>
      </c>
      <c r="Y30" s="13">
        <f t="shared" si="9"/>
        <v>201</v>
      </c>
      <c r="Z30" s="13">
        <f t="shared" si="9"/>
        <v>206</v>
      </c>
      <c r="AA30" s="13">
        <f t="shared" si="9"/>
        <v>148</v>
      </c>
      <c r="AB30" s="13">
        <f t="shared" si="3"/>
        <v>4731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59"/>
    </row>
    <row r="33" ht="12.75" customHeight="1">
      <c r="A33" s="19">
        <v>1.0</v>
      </c>
      <c r="B33" s="20" t="s">
        <v>85</v>
      </c>
      <c r="C33" s="15"/>
      <c r="D33" s="16"/>
      <c r="E33" s="19">
        <v>287.0</v>
      </c>
      <c r="F33" s="19">
        <v>290.0</v>
      </c>
      <c r="G33" s="19">
        <v>282.0</v>
      </c>
      <c r="H33" s="19">
        <v>288.0</v>
      </c>
      <c r="I33" s="19">
        <v>263.0</v>
      </c>
      <c r="J33" s="19">
        <v>267.0</v>
      </c>
      <c r="K33" s="19">
        <v>234.0</v>
      </c>
      <c r="L33" s="19">
        <v>284.0</v>
      </c>
      <c r="M33" s="19">
        <v>284.0</v>
      </c>
      <c r="N33" s="19">
        <v>273.0</v>
      </c>
      <c r="O33" s="19">
        <v>258.0</v>
      </c>
      <c r="P33" s="19">
        <v>273.0</v>
      </c>
      <c r="Q33" s="19">
        <v>286.0</v>
      </c>
      <c r="R33" s="19">
        <v>297.0</v>
      </c>
      <c r="S33" s="19">
        <v>294.0</v>
      </c>
      <c r="T33" s="19">
        <v>292.0</v>
      </c>
      <c r="U33" s="19">
        <v>285.0</v>
      </c>
      <c r="V33" s="19">
        <v>245.0</v>
      </c>
      <c r="W33" s="19">
        <v>289.0</v>
      </c>
      <c r="X33" s="19">
        <v>265.0</v>
      </c>
      <c r="Y33" s="19">
        <v>290.0</v>
      </c>
      <c r="Z33" s="19">
        <v>276.0</v>
      </c>
      <c r="AA33" s="19">
        <v>212.0</v>
      </c>
      <c r="AB33" s="13">
        <f t="shared" ref="AB33:AB36" si="10">SUM(E33:AA33)</f>
        <v>6314</v>
      </c>
    </row>
    <row r="34" ht="12.75" customHeight="1">
      <c r="A34" s="19">
        <v>2.0</v>
      </c>
      <c r="B34" s="20" t="s">
        <v>28</v>
      </c>
      <c r="C34" s="15"/>
      <c r="D34" s="16"/>
      <c r="E34" s="13">
        <v>213.0</v>
      </c>
      <c r="F34" s="13">
        <v>241.0</v>
      </c>
      <c r="G34" s="13">
        <v>210.0</v>
      </c>
      <c r="H34" s="13">
        <v>224.0</v>
      </c>
      <c r="I34" s="13">
        <v>214.0</v>
      </c>
      <c r="J34" s="13">
        <v>212.0</v>
      </c>
      <c r="K34" s="13">
        <v>183.0</v>
      </c>
      <c r="L34" s="13">
        <v>213.0</v>
      </c>
      <c r="M34" s="13">
        <v>189.0</v>
      </c>
      <c r="N34" s="13">
        <v>204.0</v>
      </c>
      <c r="O34" s="13">
        <v>187.0</v>
      </c>
      <c r="P34" s="13">
        <v>189.0</v>
      </c>
      <c r="Q34" s="13">
        <v>210.0</v>
      </c>
      <c r="R34" s="13">
        <v>241.0</v>
      </c>
      <c r="S34" s="13">
        <v>217.0</v>
      </c>
      <c r="T34" s="13">
        <v>207.0</v>
      </c>
      <c r="U34" s="13">
        <v>204.0</v>
      </c>
      <c r="V34" s="13">
        <v>212.0</v>
      </c>
      <c r="W34" s="13">
        <v>214.0</v>
      </c>
      <c r="X34" s="13">
        <v>192.0</v>
      </c>
      <c r="Y34" s="13">
        <v>201.0</v>
      </c>
      <c r="Z34" s="13">
        <v>206.0</v>
      </c>
      <c r="AA34" s="13">
        <v>148.0</v>
      </c>
      <c r="AB34" s="13">
        <f t="shared" si="10"/>
        <v>4731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74</v>
      </c>
      <c r="F36" s="13">
        <f t="shared" si="11"/>
        <v>48</v>
      </c>
      <c r="G36" s="13">
        <f t="shared" si="11"/>
        <v>72</v>
      </c>
      <c r="H36" s="13">
        <f t="shared" si="11"/>
        <v>64</v>
      </c>
      <c r="I36" s="13">
        <f t="shared" si="11"/>
        <v>49</v>
      </c>
      <c r="J36" s="13">
        <f t="shared" si="11"/>
        <v>55</v>
      </c>
      <c r="K36" s="13">
        <f t="shared" si="11"/>
        <v>51</v>
      </c>
      <c r="L36" s="13">
        <f t="shared" si="11"/>
        <v>71</v>
      </c>
      <c r="M36" s="13">
        <f t="shared" si="11"/>
        <v>94</v>
      </c>
      <c r="N36" s="13">
        <f t="shared" si="11"/>
        <v>69</v>
      </c>
      <c r="O36" s="13">
        <f t="shared" si="11"/>
        <v>71</v>
      </c>
      <c r="P36" s="13">
        <f t="shared" si="11"/>
        <v>84</v>
      </c>
      <c r="Q36" s="13">
        <f t="shared" si="11"/>
        <v>76</v>
      </c>
      <c r="R36" s="13">
        <f t="shared" si="11"/>
        <v>56</v>
      </c>
      <c r="S36" s="13">
        <f t="shared" si="11"/>
        <v>77</v>
      </c>
      <c r="T36" s="13">
        <f t="shared" si="11"/>
        <v>85</v>
      </c>
      <c r="U36" s="13">
        <f t="shared" si="11"/>
        <v>81</v>
      </c>
      <c r="V36" s="13">
        <f t="shared" si="11"/>
        <v>33</v>
      </c>
      <c r="W36" s="13">
        <f t="shared" si="11"/>
        <v>75</v>
      </c>
      <c r="X36" s="13">
        <f t="shared" si="11"/>
        <v>73</v>
      </c>
      <c r="Y36" s="13">
        <f t="shared" si="11"/>
        <v>89</v>
      </c>
      <c r="Z36" s="13">
        <f t="shared" si="11"/>
        <v>70</v>
      </c>
      <c r="AA36" s="13">
        <f t="shared" si="11"/>
        <v>63</v>
      </c>
      <c r="AB36" s="13">
        <f t="shared" si="10"/>
        <v>1580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>
        <v>1.0</v>
      </c>
      <c r="R39" s="19"/>
      <c r="S39" s="19"/>
      <c r="T39" s="19"/>
      <c r="U39" s="19"/>
      <c r="V39" s="19">
        <v>2.0</v>
      </c>
      <c r="W39" s="19"/>
      <c r="X39" s="19"/>
      <c r="Y39" s="19"/>
      <c r="Z39" s="19"/>
      <c r="AA39" s="19"/>
      <c r="AB39" s="13">
        <f t="shared" ref="AB39:AB41" si="12">SUM(E39:AA39)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>
        <v>1.0</v>
      </c>
      <c r="W40" s="19"/>
      <c r="X40" s="19"/>
      <c r="Y40" s="19"/>
      <c r="Z40" s="19"/>
      <c r="AA40" s="19"/>
      <c r="AB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3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13"/>
    </row>
    <row r="45" ht="12.75" customHeight="1">
      <c r="A45" s="30"/>
      <c r="B45" s="47" t="s">
        <v>17</v>
      </c>
      <c r="C45" s="62" t="s">
        <v>38</v>
      </c>
      <c r="D45" s="16"/>
      <c r="E45" s="19">
        <v>11.0</v>
      </c>
      <c r="F45" s="19">
        <v>9.0</v>
      </c>
      <c r="G45" s="19">
        <v>13.0</v>
      </c>
      <c r="H45" s="19">
        <v>9.0</v>
      </c>
      <c r="I45" s="19">
        <v>16.0</v>
      </c>
      <c r="J45" s="19">
        <v>14.0</v>
      </c>
      <c r="K45" s="19">
        <v>13.0</v>
      </c>
      <c r="L45" s="19">
        <v>16.0</v>
      </c>
      <c r="M45" s="19">
        <v>16.0</v>
      </c>
      <c r="N45" s="19">
        <v>12.0</v>
      </c>
      <c r="O45" s="19">
        <v>7.0</v>
      </c>
      <c r="P45" s="19">
        <v>15.0</v>
      </c>
      <c r="Q45" s="19">
        <v>6.0</v>
      </c>
      <c r="R45" s="19">
        <v>10.0</v>
      </c>
      <c r="S45" s="19">
        <v>5.0</v>
      </c>
      <c r="T45" s="19">
        <v>13.0</v>
      </c>
      <c r="U45" s="19">
        <v>15.0</v>
      </c>
      <c r="V45" s="19">
        <v>9.0</v>
      </c>
      <c r="W45" s="19">
        <v>21.0</v>
      </c>
      <c r="X45" s="19">
        <v>14.0</v>
      </c>
      <c r="Y45" s="19">
        <v>26.0</v>
      </c>
      <c r="Z45" s="19">
        <v>29.0</v>
      </c>
      <c r="AA45" s="19">
        <v>8.0</v>
      </c>
      <c r="AB45" s="13">
        <f t="shared" ref="AB45:AB57" si="14">SUM(E45:AA45)</f>
        <v>307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28.0</v>
      </c>
      <c r="F46" s="19">
        <v>30.0</v>
      </c>
      <c r="G46" s="19">
        <v>41.0</v>
      </c>
      <c r="H46" s="19">
        <v>40.0</v>
      </c>
      <c r="I46" s="19">
        <v>39.0</v>
      </c>
      <c r="J46" s="19">
        <v>32.0</v>
      </c>
      <c r="K46" s="19">
        <v>21.0</v>
      </c>
      <c r="L46" s="19">
        <v>35.0</v>
      </c>
      <c r="M46" s="19">
        <v>32.0</v>
      </c>
      <c r="N46" s="19">
        <v>31.0</v>
      </c>
      <c r="O46" s="19">
        <v>32.0</v>
      </c>
      <c r="P46" s="19">
        <v>23.0</v>
      </c>
      <c r="Q46" s="19">
        <v>35.0</v>
      </c>
      <c r="R46" s="19">
        <v>28.0</v>
      </c>
      <c r="S46" s="19">
        <v>32.0</v>
      </c>
      <c r="T46" s="19">
        <v>35.0</v>
      </c>
      <c r="U46" s="19">
        <v>28.0</v>
      </c>
      <c r="V46" s="19">
        <v>43.0</v>
      </c>
      <c r="W46" s="19">
        <v>43.0</v>
      </c>
      <c r="X46" s="19">
        <v>25.0</v>
      </c>
      <c r="Y46" s="19">
        <v>28.0</v>
      </c>
      <c r="Z46" s="19">
        <v>43.0</v>
      </c>
      <c r="AA46" s="19">
        <v>25.0</v>
      </c>
      <c r="AB46" s="13">
        <f t="shared" si="14"/>
        <v>749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9.0</v>
      </c>
      <c r="F47" s="19">
        <v>8.0</v>
      </c>
      <c r="G47" s="19">
        <v>22.0</v>
      </c>
      <c r="H47" s="19">
        <v>5.0</v>
      </c>
      <c r="I47" s="19">
        <v>8.0</v>
      </c>
      <c r="J47" s="19">
        <v>13.0</v>
      </c>
      <c r="K47" s="19">
        <v>11.0</v>
      </c>
      <c r="L47" s="19">
        <v>9.0</v>
      </c>
      <c r="M47" s="19">
        <v>16.0</v>
      </c>
      <c r="N47" s="19">
        <v>9.0</v>
      </c>
      <c r="O47" s="19">
        <v>12.0</v>
      </c>
      <c r="P47" s="19">
        <v>12.0</v>
      </c>
      <c r="Q47" s="19">
        <v>12.0</v>
      </c>
      <c r="R47" s="19">
        <v>13.0</v>
      </c>
      <c r="S47" s="19">
        <v>13.0</v>
      </c>
      <c r="T47" s="19">
        <v>16.0</v>
      </c>
      <c r="U47" s="19">
        <v>10.0</v>
      </c>
      <c r="V47" s="19">
        <v>17.0</v>
      </c>
      <c r="W47" s="19">
        <v>8.0</v>
      </c>
      <c r="X47" s="19">
        <v>10.0</v>
      </c>
      <c r="Y47" s="19">
        <v>12.0</v>
      </c>
      <c r="Z47" s="19">
        <v>12.0</v>
      </c>
      <c r="AA47" s="19">
        <v>19.0</v>
      </c>
      <c r="AB47" s="13">
        <f t="shared" si="14"/>
        <v>276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23.0</v>
      </c>
      <c r="F48" s="19">
        <v>28.0</v>
      </c>
      <c r="G48" s="19">
        <v>14.0</v>
      </c>
      <c r="H48" s="19">
        <v>17.0</v>
      </c>
      <c r="I48" s="19">
        <v>16.0</v>
      </c>
      <c r="J48" s="19">
        <v>17.0</v>
      </c>
      <c r="K48" s="19">
        <v>14.0</v>
      </c>
      <c r="L48" s="19">
        <v>16.0</v>
      </c>
      <c r="M48" s="19">
        <v>12.0</v>
      </c>
      <c r="N48" s="19">
        <v>16.0</v>
      </c>
      <c r="O48" s="19">
        <v>16.0</v>
      </c>
      <c r="P48" s="19">
        <v>14.0</v>
      </c>
      <c r="Q48" s="19">
        <v>16.0</v>
      </c>
      <c r="R48" s="19">
        <v>26.0</v>
      </c>
      <c r="S48" s="19">
        <v>17.0</v>
      </c>
      <c r="T48" s="19">
        <v>22.0</v>
      </c>
      <c r="U48" s="19">
        <v>21.0</v>
      </c>
      <c r="V48" s="19">
        <v>22.0</v>
      </c>
      <c r="W48" s="19">
        <v>12.0</v>
      </c>
      <c r="X48" s="19">
        <v>13.0</v>
      </c>
      <c r="Y48" s="19">
        <v>11.0</v>
      </c>
      <c r="Z48" s="19">
        <v>16.0</v>
      </c>
      <c r="AA48" s="19">
        <v>16.0</v>
      </c>
      <c r="AB48" s="13">
        <f t="shared" si="14"/>
        <v>395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21.0</v>
      </c>
      <c r="F49" s="19">
        <v>26.0</v>
      </c>
      <c r="G49" s="19">
        <v>17.0</v>
      </c>
      <c r="H49" s="19">
        <v>32.0</v>
      </c>
      <c r="I49" s="19">
        <v>18.0</v>
      </c>
      <c r="J49" s="19">
        <v>24.0</v>
      </c>
      <c r="K49" s="19">
        <v>24.0</v>
      </c>
      <c r="L49" s="19">
        <v>27.0</v>
      </c>
      <c r="M49" s="19">
        <v>19.0</v>
      </c>
      <c r="N49" s="19">
        <v>21.0</v>
      </c>
      <c r="O49" s="19">
        <v>33.0</v>
      </c>
      <c r="P49" s="19">
        <v>22.0</v>
      </c>
      <c r="Q49" s="19">
        <v>30.0</v>
      </c>
      <c r="R49" s="19">
        <v>34.0</v>
      </c>
      <c r="S49" s="19">
        <v>22.0</v>
      </c>
      <c r="T49" s="19">
        <v>20.0</v>
      </c>
      <c r="U49" s="19">
        <v>26.0</v>
      </c>
      <c r="V49" s="19">
        <v>25.0</v>
      </c>
      <c r="W49" s="19">
        <v>27.0</v>
      </c>
      <c r="X49" s="19">
        <v>17.0</v>
      </c>
      <c r="Y49" s="19">
        <v>24.0</v>
      </c>
      <c r="Z49" s="19">
        <v>24.0</v>
      </c>
      <c r="AA49" s="19">
        <v>25.0</v>
      </c>
      <c r="AB49" s="13">
        <f t="shared" si="14"/>
        <v>558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16.0</v>
      </c>
      <c r="F50" s="19">
        <v>12.0</v>
      </c>
      <c r="G50" s="19">
        <v>9.0</v>
      </c>
      <c r="H50" s="19">
        <v>18.0</v>
      </c>
      <c r="I50" s="19">
        <v>7.0</v>
      </c>
      <c r="J50" s="19">
        <v>16.0</v>
      </c>
      <c r="K50" s="19">
        <v>12.0</v>
      </c>
      <c r="L50" s="19">
        <v>21.0</v>
      </c>
      <c r="M50" s="19">
        <v>9.0</v>
      </c>
      <c r="N50" s="19">
        <v>8.0</v>
      </c>
      <c r="O50" s="19">
        <v>10.0</v>
      </c>
      <c r="P50" s="19">
        <v>14.0</v>
      </c>
      <c r="Q50" s="19">
        <v>13.0</v>
      </c>
      <c r="R50" s="19">
        <v>8.0</v>
      </c>
      <c r="S50" s="19">
        <v>20.0</v>
      </c>
      <c r="T50" s="19">
        <v>12.0</v>
      </c>
      <c r="U50" s="19">
        <v>7.0</v>
      </c>
      <c r="V50" s="19">
        <v>10.0</v>
      </c>
      <c r="W50" s="19">
        <v>9.0</v>
      </c>
      <c r="X50" s="19">
        <v>13.0</v>
      </c>
      <c r="Y50" s="19">
        <v>9.0</v>
      </c>
      <c r="Z50" s="19">
        <v>10.0</v>
      </c>
      <c r="AA50" s="19">
        <v>9.0</v>
      </c>
      <c r="AB50" s="13">
        <f t="shared" si="14"/>
        <v>272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4.0</v>
      </c>
      <c r="F51" s="19">
        <v>3.0</v>
      </c>
      <c r="G51" s="19">
        <v>0.0</v>
      </c>
      <c r="H51" s="19">
        <v>0.0</v>
      </c>
      <c r="I51" s="19">
        <v>4.0</v>
      </c>
      <c r="J51" s="19">
        <v>1.0</v>
      </c>
      <c r="K51" s="19">
        <v>1.0</v>
      </c>
      <c r="L51" s="19">
        <v>1.0</v>
      </c>
      <c r="M51" s="19">
        <v>0.0</v>
      </c>
      <c r="N51" s="19">
        <v>3.0</v>
      </c>
      <c r="O51" s="19">
        <v>3.0</v>
      </c>
      <c r="P51" s="19">
        <v>0.0</v>
      </c>
      <c r="Q51" s="19">
        <v>3.0</v>
      </c>
      <c r="R51" s="19">
        <v>1.0</v>
      </c>
      <c r="S51" s="19">
        <v>3.0</v>
      </c>
      <c r="T51" s="19">
        <v>3.0</v>
      </c>
      <c r="U51" s="19">
        <v>4.0</v>
      </c>
      <c r="V51" s="19">
        <v>5.0</v>
      </c>
      <c r="W51" s="19">
        <v>1.0</v>
      </c>
      <c r="X51" s="19">
        <v>2.0</v>
      </c>
      <c r="Y51" s="19">
        <v>3.0</v>
      </c>
      <c r="Z51" s="19">
        <v>1.0</v>
      </c>
      <c r="AA51" s="19">
        <v>2.0</v>
      </c>
      <c r="AB51" s="13">
        <f t="shared" si="14"/>
        <v>48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9.0</v>
      </c>
      <c r="F52" s="19">
        <v>9.0</v>
      </c>
      <c r="G52" s="19">
        <v>7.0</v>
      </c>
      <c r="H52" s="19">
        <v>4.0</v>
      </c>
      <c r="I52" s="19">
        <v>1.0</v>
      </c>
      <c r="J52" s="19">
        <v>5.0</v>
      </c>
      <c r="K52" s="19">
        <v>3.0</v>
      </c>
      <c r="L52" s="19">
        <v>5.0</v>
      </c>
      <c r="M52" s="19">
        <v>4.0</v>
      </c>
      <c r="N52" s="19">
        <v>10.0</v>
      </c>
      <c r="O52" s="19">
        <v>5.0</v>
      </c>
      <c r="P52" s="19">
        <v>8.0</v>
      </c>
      <c r="Q52" s="19">
        <v>11.0</v>
      </c>
      <c r="R52" s="19">
        <v>2.0</v>
      </c>
      <c r="S52" s="19">
        <v>5.0</v>
      </c>
      <c r="T52" s="19">
        <v>4.0</v>
      </c>
      <c r="U52" s="19">
        <v>2.0</v>
      </c>
      <c r="V52" s="19">
        <v>3.0</v>
      </c>
      <c r="W52" s="19">
        <v>0.0</v>
      </c>
      <c r="X52" s="19">
        <v>1.0</v>
      </c>
      <c r="Y52" s="19">
        <v>1.0</v>
      </c>
      <c r="Z52" s="19">
        <v>2.0</v>
      </c>
      <c r="AA52" s="19">
        <v>0.0</v>
      </c>
      <c r="AB52" s="13">
        <f t="shared" si="14"/>
        <v>101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2.0</v>
      </c>
      <c r="G53" s="19">
        <v>0.0</v>
      </c>
      <c r="H53" s="19">
        <v>2.0</v>
      </c>
      <c r="I53" s="19">
        <v>1.0</v>
      </c>
      <c r="J53" s="19">
        <v>3.0</v>
      </c>
      <c r="K53" s="19">
        <v>0.0</v>
      </c>
      <c r="L53" s="19">
        <v>0.0</v>
      </c>
      <c r="M53" s="19">
        <v>1.0</v>
      </c>
      <c r="N53" s="19">
        <v>1.0</v>
      </c>
      <c r="O53" s="19">
        <v>2.0</v>
      </c>
      <c r="P53" s="19">
        <v>2.0</v>
      </c>
      <c r="Q53" s="19">
        <v>2.0</v>
      </c>
      <c r="R53" s="19">
        <v>3.0</v>
      </c>
      <c r="S53" s="19">
        <v>1.0</v>
      </c>
      <c r="T53" s="19">
        <v>0.0</v>
      </c>
      <c r="U53" s="19">
        <v>2.0</v>
      </c>
      <c r="V53" s="19">
        <v>0.0</v>
      </c>
      <c r="W53" s="19">
        <v>2.0</v>
      </c>
      <c r="X53" s="19">
        <v>0.0</v>
      </c>
      <c r="Y53" s="19">
        <v>0.0</v>
      </c>
      <c r="Z53" s="19">
        <v>0.0</v>
      </c>
      <c r="AA53" s="19">
        <v>1.0</v>
      </c>
      <c r="AB53" s="13">
        <f t="shared" si="14"/>
        <v>26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14.0</v>
      </c>
      <c r="F54" s="19">
        <v>21.0</v>
      </c>
      <c r="G54" s="19">
        <v>27.0</v>
      </c>
      <c r="H54" s="19">
        <v>30.0</v>
      </c>
      <c r="I54" s="19">
        <v>20.0</v>
      </c>
      <c r="J54" s="19">
        <v>15.0</v>
      </c>
      <c r="K54" s="19">
        <v>16.0</v>
      </c>
      <c r="L54" s="19">
        <v>21.0</v>
      </c>
      <c r="M54" s="19">
        <v>15.0</v>
      </c>
      <c r="N54" s="19">
        <v>24.0</v>
      </c>
      <c r="O54" s="19">
        <v>27.0</v>
      </c>
      <c r="P54" s="19">
        <v>38.0</v>
      </c>
      <c r="Q54" s="19">
        <v>19.0</v>
      </c>
      <c r="R54" s="19">
        <v>32.0</v>
      </c>
      <c r="S54" s="19">
        <v>34.0</v>
      </c>
      <c r="T54" s="19">
        <v>18.0</v>
      </c>
      <c r="U54" s="19">
        <v>17.0</v>
      </c>
      <c r="V54" s="19">
        <v>8.0</v>
      </c>
      <c r="W54" s="19">
        <v>22.0</v>
      </c>
      <c r="X54" s="19">
        <v>25.0</v>
      </c>
      <c r="Y54" s="19">
        <v>24.0</v>
      </c>
      <c r="Z54" s="19">
        <v>13.0</v>
      </c>
      <c r="AA54" s="19">
        <v>13.0</v>
      </c>
      <c r="AB54" s="13">
        <f t="shared" si="14"/>
        <v>493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3.0</v>
      </c>
      <c r="G55" s="19">
        <v>1.0</v>
      </c>
      <c r="H55" s="19">
        <v>0.0</v>
      </c>
      <c r="I55" s="19">
        <v>3.0</v>
      </c>
      <c r="J55" s="19">
        <v>0.0</v>
      </c>
      <c r="K55" s="19">
        <v>1.0</v>
      </c>
      <c r="L55" s="19">
        <v>1.0</v>
      </c>
      <c r="M55" s="19">
        <v>0.0</v>
      </c>
      <c r="N55" s="19">
        <v>2.0</v>
      </c>
      <c r="O55" s="19">
        <v>2.0</v>
      </c>
      <c r="P55" s="19">
        <v>7.0</v>
      </c>
      <c r="Q55" s="19">
        <v>1.0</v>
      </c>
      <c r="R55" s="19">
        <v>3.0</v>
      </c>
      <c r="S55" s="19">
        <v>2.0</v>
      </c>
      <c r="T55" s="19">
        <v>0.0</v>
      </c>
      <c r="U55" s="19">
        <v>0.0</v>
      </c>
      <c r="V55" s="19">
        <v>1.0</v>
      </c>
      <c r="W55" s="19">
        <v>4.0</v>
      </c>
      <c r="X55" s="19">
        <v>1.0</v>
      </c>
      <c r="Y55" s="19">
        <v>1.0</v>
      </c>
      <c r="Z55" s="19">
        <v>0.0</v>
      </c>
      <c r="AA55" s="19">
        <v>0.0</v>
      </c>
      <c r="AB55" s="13">
        <f t="shared" si="14"/>
        <v>35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26.0</v>
      </c>
      <c r="F56" s="19">
        <v>18.0</v>
      </c>
      <c r="G56" s="19">
        <v>15.0</v>
      </c>
      <c r="H56" s="19">
        <v>33.0</v>
      </c>
      <c r="I56" s="19">
        <v>25.0</v>
      </c>
      <c r="J56" s="19">
        <v>35.0</v>
      </c>
      <c r="K56" s="19">
        <v>17.0</v>
      </c>
      <c r="L56" s="19">
        <v>22.0</v>
      </c>
      <c r="M56" s="19">
        <v>20.0</v>
      </c>
      <c r="N56" s="19">
        <v>24.0</v>
      </c>
      <c r="O56" s="19">
        <v>12.0</v>
      </c>
      <c r="P56" s="19">
        <v>20.0</v>
      </c>
      <c r="Q56" s="19">
        <v>11.0</v>
      </c>
      <c r="R56" s="19">
        <v>34.0</v>
      </c>
      <c r="S56" s="19">
        <v>27.0</v>
      </c>
      <c r="T56" s="19">
        <v>24.0</v>
      </c>
      <c r="U56" s="19">
        <v>25.0</v>
      </c>
      <c r="V56" s="19">
        <v>22.0</v>
      </c>
      <c r="W56" s="19">
        <v>16.0</v>
      </c>
      <c r="X56" s="19">
        <v>17.0</v>
      </c>
      <c r="Y56" s="19">
        <v>20.0</v>
      </c>
      <c r="Z56" s="19">
        <v>17.0</v>
      </c>
      <c r="AA56" s="19">
        <v>7.0</v>
      </c>
      <c r="AB56" s="13">
        <f t="shared" si="14"/>
        <v>487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1.0</v>
      </c>
      <c r="G57" s="19">
        <v>3.0</v>
      </c>
      <c r="H57" s="19">
        <v>4.0</v>
      </c>
      <c r="I57" s="19">
        <v>5.0</v>
      </c>
      <c r="J57" s="19">
        <v>2.0</v>
      </c>
      <c r="K57" s="19">
        <v>2.0</v>
      </c>
      <c r="L57" s="19">
        <v>6.0</v>
      </c>
      <c r="M57" s="19">
        <v>3.0</v>
      </c>
      <c r="N57" s="19">
        <v>1.0</v>
      </c>
      <c r="O57" s="19">
        <v>4.0</v>
      </c>
      <c r="P57" s="19">
        <v>1.0</v>
      </c>
      <c r="Q57" s="19">
        <v>4.0</v>
      </c>
      <c r="R57" s="19">
        <v>5.0</v>
      </c>
      <c r="S57" s="19">
        <v>3.0</v>
      </c>
      <c r="T57" s="19">
        <v>3.0</v>
      </c>
      <c r="U57" s="19">
        <v>0.0</v>
      </c>
      <c r="V57" s="19">
        <v>2.0</v>
      </c>
      <c r="W57" s="19">
        <v>4.0</v>
      </c>
      <c r="X57" s="19">
        <v>2.0</v>
      </c>
      <c r="Y57" s="19">
        <v>1.0</v>
      </c>
      <c r="Z57" s="19">
        <v>2.0</v>
      </c>
      <c r="AA57" s="19">
        <v>1.0</v>
      </c>
      <c r="AB57" s="13">
        <f t="shared" si="14"/>
        <v>60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A60" si="15">SUM(E45:E57)</f>
        <v>165</v>
      </c>
      <c r="F60" s="19">
        <f t="shared" si="15"/>
        <v>170</v>
      </c>
      <c r="G60" s="19">
        <f t="shared" si="15"/>
        <v>169</v>
      </c>
      <c r="H60" s="19">
        <f t="shared" si="15"/>
        <v>194</v>
      </c>
      <c r="I60" s="19">
        <f t="shared" si="15"/>
        <v>163</v>
      </c>
      <c r="J60" s="19">
        <f t="shared" si="15"/>
        <v>177</v>
      </c>
      <c r="K60" s="19">
        <f t="shared" si="15"/>
        <v>135</v>
      </c>
      <c r="L60" s="19">
        <f t="shared" si="15"/>
        <v>180</v>
      </c>
      <c r="M60" s="19">
        <f t="shared" si="15"/>
        <v>147</v>
      </c>
      <c r="N60" s="19">
        <f t="shared" si="15"/>
        <v>162</v>
      </c>
      <c r="O60" s="19">
        <f t="shared" si="15"/>
        <v>165</v>
      </c>
      <c r="P60" s="19">
        <f t="shared" si="15"/>
        <v>176</v>
      </c>
      <c r="Q60" s="19">
        <f t="shared" si="15"/>
        <v>163</v>
      </c>
      <c r="R60" s="19">
        <f t="shared" si="15"/>
        <v>199</v>
      </c>
      <c r="S60" s="19">
        <f t="shared" si="15"/>
        <v>184</v>
      </c>
      <c r="T60" s="19">
        <f t="shared" si="15"/>
        <v>170</v>
      </c>
      <c r="U60" s="19">
        <f t="shared" si="15"/>
        <v>157</v>
      </c>
      <c r="V60" s="19">
        <f t="shared" si="15"/>
        <v>167</v>
      </c>
      <c r="W60" s="19">
        <f t="shared" si="15"/>
        <v>169</v>
      </c>
      <c r="X60" s="19">
        <f t="shared" si="15"/>
        <v>140</v>
      </c>
      <c r="Y60" s="19">
        <f t="shared" si="15"/>
        <v>160</v>
      </c>
      <c r="Z60" s="19">
        <f t="shared" si="15"/>
        <v>169</v>
      </c>
      <c r="AA60" s="19">
        <f t="shared" si="15"/>
        <v>126</v>
      </c>
      <c r="AB60" s="13">
        <f t="shared" ref="AB60:AB62" si="16">SUM(E60:AA60)</f>
        <v>3807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48.0</v>
      </c>
      <c r="F61" s="19">
        <v>71.0</v>
      </c>
      <c r="G61" s="19">
        <v>41.0</v>
      </c>
      <c r="H61" s="19">
        <v>30.0</v>
      </c>
      <c r="I61" s="19">
        <v>51.0</v>
      </c>
      <c r="J61" s="19">
        <v>35.0</v>
      </c>
      <c r="K61" s="19">
        <v>48.0</v>
      </c>
      <c r="L61" s="19">
        <v>33.0</v>
      </c>
      <c r="M61" s="19">
        <v>42.0</v>
      </c>
      <c r="N61" s="19">
        <v>42.0</v>
      </c>
      <c r="O61" s="19">
        <v>22.0</v>
      </c>
      <c r="P61" s="19">
        <v>13.0</v>
      </c>
      <c r="Q61" s="19">
        <v>47.0</v>
      </c>
      <c r="R61" s="19">
        <v>42.0</v>
      </c>
      <c r="S61" s="19">
        <v>33.0</v>
      </c>
      <c r="T61" s="19">
        <v>37.0</v>
      </c>
      <c r="U61" s="19">
        <v>47.0</v>
      </c>
      <c r="V61" s="19">
        <v>45.0</v>
      </c>
      <c r="W61" s="19">
        <v>45.0</v>
      </c>
      <c r="X61" s="19">
        <v>52.0</v>
      </c>
      <c r="Y61" s="19">
        <v>41.0</v>
      </c>
      <c r="Z61" s="19">
        <v>37.0</v>
      </c>
      <c r="AA61" s="19">
        <v>22.0</v>
      </c>
      <c r="AB61" s="13">
        <f t="shared" si="16"/>
        <v>924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A62" si="17">SUM(E60:E61)</f>
        <v>213</v>
      </c>
      <c r="F62" s="13">
        <f t="shared" si="17"/>
        <v>241</v>
      </c>
      <c r="G62" s="13">
        <f t="shared" si="17"/>
        <v>210</v>
      </c>
      <c r="H62" s="13">
        <f t="shared" si="17"/>
        <v>224</v>
      </c>
      <c r="I62" s="13">
        <f t="shared" si="17"/>
        <v>214</v>
      </c>
      <c r="J62" s="13">
        <f t="shared" si="17"/>
        <v>212</v>
      </c>
      <c r="K62" s="13">
        <f t="shared" si="17"/>
        <v>183</v>
      </c>
      <c r="L62" s="13">
        <f t="shared" si="17"/>
        <v>213</v>
      </c>
      <c r="M62" s="13">
        <f t="shared" si="17"/>
        <v>189</v>
      </c>
      <c r="N62" s="13">
        <f t="shared" si="17"/>
        <v>204</v>
      </c>
      <c r="O62" s="13">
        <f t="shared" si="17"/>
        <v>187</v>
      </c>
      <c r="P62" s="13">
        <f t="shared" si="17"/>
        <v>189</v>
      </c>
      <c r="Q62" s="13">
        <f t="shared" si="17"/>
        <v>210</v>
      </c>
      <c r="R62" s="13">
        <f t="shared" si="17"/>
        <v>241</v>
      </c>
      <c r="S62" s="13">
        <f t="shared" si="17"/>
        <v>217</v>
      </c>
      <c r="T62" s="13">
        <f t="shared" si="17"/>
        <v>207</v>
      </c>
      <c r="U62" s="13">
        <f t="shared" si="17"/>
        <v>204</v>
      </c>
      <c r="V62" s="13">
        <f t="shared" si="17"/>
        <v>212</v>
      </c>
      <c r="W62" s="13">
        <f t="shared" si="17"/>
        <v>214</v>
      </c>
      <c r="X62" s="13">
        <f t="shared" si="17"/>
        <v>192</v>
      </c>
      <c r="Y62" s="13">
        <f t="shared" si="17"/>
        <v>201</v>
      </c>
      <c r="Z62" s="13">
        <f t="shared" si="17"/>
        <v>206</v>
      </c>
      <c r="AA62" s="13">
        <f t="shared" si="17"/>
        <v>148</v>
      </c>
      <c r="AB62" s="13">
        <f t="shared" si="16"/>
        <v>4731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A15 E45:AA57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60:AA61">
    <cfRule type="containsBlanks" dxfId="1" priority="10">
      <formula>LEN(TRIM(E60))=0</formula>
    </cfRule>
  </conditionalFormatting>
  <conditionalFormatting sqref="U34:AA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4" width="8.71"/>
    <col customWidth="1" min="35" max="35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13" t="s">
        <v>93</v>
      </c>
      <c r="AA13" s="13" t="s">
        <v>94</v>
      </c>
      <c r="AB13" s="13" t="s">
        <v>96</v>
      </c>
      <c r="AC13" s="13" t="s">
        <v>97</v>
      </c>
      <c r="AD13" s="13" t="s">
        <v>98</v>
      </c>
      <c r="AE13" s="13" t="s">
        <v>99</v>
      </c>
      <c r="AF13" s="13" t="s">
        <v>100</v>
      </c>
      <c r="AG13" s="13" t="s">
        <v>101</v>
      </c>
      <c r="AH13" s="13" t="s">
        <v>106</v>
      </c>
      <c r="AI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93.0</v>
      </c>
      <c r="G14" s="19">
        <v>137.0</v>
      </c>
      <c r="H14" s="19">
        <v>140.0</v>
      </c>
      <c r="I14" s="19">
        <v>135.0</v>
      </c>
      <c r="J14" s="19">
        <v>140.0</v>
      </c>
      <c r="K14" s="19">
        <v>146.0</v>
      </c>
      <c r="L14" s="19">
        <v>133.0</v>
      </c>
      <c r="M14" s="19">
        <v>126.0</v>
      </c>
      <c r="N14" s="19">
        <v>142.0</v>
      </c>
      <c r="O14" s="19">
        <v>106.0</v>
      </c>
      <c r="P14" s="19">
        <v>141.0</v>
      </c>
      <c r="Q14" s="19">
        <v>132.0</v>
      </c>
      <c r="R14" s="19">
        <v>141.0</v>
      </c>
      <c r="S14" s="19">
        <v>144.0</v>
      </c>
      <c r="T14" s="19">
        <v>132.0</v>
      </c>
      <c r="U14" s="19">
        <v>128.0</v>
      </c>
      <c r="V14" s="19">
        <v>140.0</v>
      </c>
      <c r="W14" s="19">
        <v>122.0</v>
      </c>
      <c r="X14" s="19">
        <v>140.0</v>
      </c>
      <c r="Y14" s="19">
        <v>144.0</v>
      </c>
      <c r="Z14" s="19">
        <v>149.0</v>
      </c>
      <c r="AA14" s="19">
        <v>145.0</v>
      </c>
      <c r="AB14" s="19">
        <v>145.0</v>
      </c>
      <c r="AC14" s="19">
        <v>140.0</v>
      </c>
      <c r="AD14" s="19">
        <v>138.0</v>
      </c>
      <c r="AE14" s="19">
        <v>145.0</v>
      </c>
      <c r="AF14" s="19">
        <v>148.0</v>
      </c>
      <c r="AG14" s="19">
        <v>143.0</v>
      </c>
      <c r="AH14" s="19">
        <v>138.0</v>
      </c>
      <c r="AI14" s="13">
        <f t="shared" ref="AI14:AI16" si="1">SUM(E14:AH14)</f>
        <v>4083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89.0</v>
      </c>
      <c r="G15" s="19">
        <v>151.0</v>
      </c>
      <c r="H15" s="19">
        <v>142.0</v>
      </c>
      <c r="I15" s="19">
        <v>143.0</v>
      </c>
      <c r="J15" s="19">
        <v>135.0</v>
      </c>
      <c r="K15" s="19">
        <v>150.0</v>
      </c>
      <c r="L15" s="19">
        <v>156.0</v>
      </c>
      <c r="M15" s="19">
        <v>149.0</v>
      </c>
      <c r="N15" s="19">
        <v>134.0</v>
      </c>
      <c r="O15" s="19">
        <v>120.0</v>
      </c>
      <c r="P15" s="19">
        <v>133.0</v>
      </c>
      <c r="Q15" s="19">
        <v>134.0</v>
      </c>
      <c r="R15" s="19">
        <v>135.0</v>
      </c>
      <c r="S15" s="19">
        <v>147.0</v>
      </c>
      <c r="T15" s="19">
        <v>137.0</v>
      </c>
      <c r="U15" s="19">
        <v>149.0</v>
      </c>
      <c r="V15" s="19">
        <v>141.0</v>
      </c>
      <c r="W15" s="19">
        <v>137.0</v>
      </c>
      <c r="X15" s="19">
        <v>133.0</v>
      </c>
      <c r="Y15" s="19">
        <v>146.0</v>
      </c>
      <c r="Z15" s="19">
        <v>141.0</v>
      </c>
      <c r="AA15" s="19">
        <v>145.0</v>
      </c>
      <c r="AB15" s="19">
        <v>144.0</v>
      </c>
      <c r="AC15" s="19">
        <v>148.0</v>
      </c>
      <c r="AD15" s="19">
        <v>152.0</v>
      </c>
      <c r="AE15" s="19">
        <v>145.0</v>
      </c>
      <c r="AF15" s="19">
        <v>140.0</v>
      </c>
      <c r="AG15" s="19">
        <v>147.0</v>
      </c>
      <c r="AH15" s="19">
        <v>152.0</v>
      </c>
      <c r="AI15" s="13">
        <f t="shared" si="1"/>
        <v>4199</v>
      </c>
    </row>
    <row r="16" ht="12.75" customHeight="1">
      <c r="A16" s="25"/>
      <c r="B16" s="21"/>
      <c r="C16" s="28"/>
      <c r="D16" s="13" t="s">
        <v>14</v>
      </c>
      <c r="E16" s="13">
        <f t="shared" ref="E16:AH16" si="2">SUM(E14:E15)</f>
        <v>254</v>
      </c>
      <c r="F16" s="13">
        <f t="shared" si="2"/>
        <v>182</v>
      </c>
      <c r="G16" s="13">
        <f t="shared" si="2"/>
        <v>288</v>
      </c>
      <c r="H16" s="13">
        <f t="shared" si="2"/>
        <v>282</v>
      </c>
      <c r="I16" s="13">
        <f t="shared" si="2"/>
        <v>278</v>
      </c>
      <c r="J16" s="13">
        <f t="shared" si="2"/>
        <v>275</v>
      </c>
      <c r="K16" s="13">
        <f t="shared" si="2"/>
        <v>296</v>
      </c>
      <c r="L16" s="13">
        <f t="shared" si="2"/>
        <v>289</v>
      </c>
      <c r="M16" s="13">
        <f t="shared" si="2"/>
        <v>275</v>
      </c>
      <c r="N16" s="13">
        <f t="shared" si="2"/>
        <v>276</v>
      </c>
      <c r="O16" s="13">
        <f t="shared" si="2"/>
        <v>226</v>
      </c>
      <c r="P16" s="13">
        <f t="shared" si="2"/>
        <v>274</v>
      </c>
      <c r="Q16" s="13">
        <f t="shared" si="2"/>
        <v>266</v>
      </c>
      <c r="R16" s="13">
        <f t="shared" si="2"/>
        <v>276</v>
      </c>
      <c r="S16" s="13">
        <f t="shared" si="2"/>
        <v>291</v>
      </c>
      <c r="T16" s="13">
        <f t="shared" si="2"/>
        <v>269</v>
      </c>
      <c r="U16" s="13">
        <f t="shared" si="2"/>
        <v>277</v>
      </c>
      <c r="V16" s="13">
        <f t="shared" si="2"/>
        <v>281</v>
      </c>
      <c r="W16" s="13">
        <f t="shared" si="2"/>
        <v>259</v>
      </c>
      <c r="X16" s="13">
        <f t="shared" si="2"/>
        <v>273</v>
      </c>
      <c r="Y16" s="13">
        <f t="shared" si="2"/>
        <v>290</v>
      </c>
      <c r="Z16" s="13">
        <f t="shared" si="2"/>
        <v>290</v>
      </c>
      <c r="AA16" s="13">
        <f t="shared" si="2"/>
        <v>290</v>
      </c>
      <c r="AB16" s="13">
        <f t="shared" si="2"/>
        <v>289</v>
      </c>
      <c r="AC16" s="13">
        <f t="shared" si="2"/>
        <v>288</v>
      </c>
      <c r="AD16" s="13">
        <f t="shared" si="2"/>
        <v>290</v>
      </c>
      <c r="AE16" s="13">
        <f t="shared" si="2"/>
        <v>290</v>
      </c>
      <c r="AF16" s="13">
        <f t="shared" si="2"/>
        <v>288</v>
      </c>
      <c r="AG16" s="13">
        <f t="shared" si="2"/>
        <v>290</v>
      </c>
      <c r="AH16" s="13">
        <f t="shared" si="2"/>
        <v>290</v>
      </c>
      <c r="AI16" s="13">
        <f t="shared" si="1"/>
        <v>8282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84.0</v>
      </c>
      <c r="F19" s="19">
        <v>65.0</v>
      </c>
      <c r="G19" s="19">
        <v>95.0</v>
      </c>
      <c r="H19" s="19">
        <v>94.0</v>
      </c>
      <c r="I19" s="19">
        <v>99.0</v>
      </c>
      <c r="J19" s="19">
        <v>96.0</v>
      </c>
      <c r="K19" s="19">
        <v>110.0</v>
      </c>
      <c r="L19" s="19">
        <v>84.0</v>
      </c>
      <c r="M19" s="19">
        <v>86.0</v>
      </c>
      <c r="N19" s="19">
        <v>96.0</v>
      </c>
      <c r="O19" s="19">
        <v>76.0</v>
      </c>
      <c r="P19" s="19">
        <v>96.0</v>
      </c>
      <c r="Q19" s="19">
        <v>99.0</v>
      </c>
      <c r="R19" s="19">
        <v>90.0</v>
      </c>
      <c r="S19" s="19">
        <v>103.0</v>
      </c>
      <c r="T19" s="19">
        <v>86.0</v>
      </c>
      <c r="U19" s="19">
        <v>92.0</v>
      </c>
      <c r="V19" s="19">
        <v>102.0</v>
      </c>
      <c r="W19" s="19">
        <v>86.0</v>
      </c>
      <c r="X19" s="19">
        <v>101.0</v>
      </c>
      <c r="Y19" s="19">
        <v>85.0</v>
      </c>
      <c r="Z19" s="19">
        <v>95.0</v>
      </c>
      <c r="AA19" s="19">
        <v>102.0</v>
      </c>
      <c r="AB19" s="19">
        <v>109.0</v>
      </c>
      <c r="AC19" s="19">
        <v>82.0</v>
      </c>
      <c r="AD19" s="19">
        <v>89.0</v>
      </c>
      <c r="AE19" s="19">
        <v>117.0</v>
      </c>
      <c r="AF19" s="19">
        <v>104.0</v>
      </c>
      <c r="AG19" s="19">
        <v>91.0</v>
      </c>
      <c r="AH19" s="19">
        <v>108.0</v>
      </c>
      <c r="AI19" s="13">
        <f t="shared" ref="AI19:AI30" si="3">SUM(E19:AH19)</f>
        <v>2822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61.0</v>
      </c>
      <c r="G20" s="19">
        <v>112.0</v>
      </c>
      <c r="H20" s="19">
        <v>104.0</v>
      </c>
      <c r="I20" s="19">
        <v>111.0</v>
      </c>
      <c r="J20" s="19">
        <v>108.0</v>
      </c>
      <c r="K20" s="19">
        <v>121.0</v>
      </c>
      <c r="L20" s="19">
        <v>114.0</v>
      </c>
      <c r="M20" s="19">
        <v>105.0</v>
      </c>
      <c r="N20" s="19">
        <v>102.0</v>
      </c>
      <c r="O20" s="19">
        <v>95.0</v>
      </c>
      <c r="P20" s="19">
        <v>98.0</v>
      </c>
      <c r="Q20" s="19">
        <v>116.0</v>
      </c>
      <c r="R20" s="19">
        <v>108.0</v>
      </c>
      <c r="S20" s="19">
        <v>117.0</v>
      </c>
      <c r="T20" s="19">
        <v>99.0</v>
      </c>
      <c r="U20" s="19">
        <v>107.0</v>
      </c>
      <c r="V20" s="19">
        <v>110.0</v>
      </c>
      <c r="W20" s="19">
        <v>98.0</v>
      </c>
      <c r="X20" s="19">
        <v>101.0</v>
      </c>
      <c r="Y20" s="19">
        <v>104.0</v>
      </c>
      <c r="Z20" s="19">
        <v>107.0</v>
      </c>
      <c r="AA20" s="19">
        <v>104.0</v>
      </c>
      <c r="AB20" s="19">
        <v>111.0</v>
      </c>
      <c r="AC20" s="19">
        <v>100.0</v>
      </c>
      <c r="AD20" s="19">
        <v>116.0</v>
      </c>
      <c r="AE20" s="19">
        <v>120.0</v>
      </c>
      <c r="AF20" s="19">
        <v>101.0</v>
      </c>
      <c r="AG20" s="19">
        <v>121.0</v>
      </c>
      <c r="AH20" s="19">
        <v>112.0</v>
      </c>
      <c r="AI20" s="13">
        <f t="shared" si="3"/>
        <v>3177</v>
      </c>
    </row>
    <row r="21" ht="12.75" customHeight="1">
      <c r="A21" s="35"/>
      <c r="B21" s="28"/>
      <c r="C21" s="36"/>
      <c r="D21" s="13" t="s">
        <v>14</v>
      </c>
      <c r="E21" s="13">
        <f t="shared" ref="E21:AH21" si="4">SUM(E19:E20)</f>
        <v>178</v>
      </c>
      <c r="F21" s="13">
        <f t="shared" si="4"/>
        <v>126</v>
      </c>
      <c r="G21" s="13">
        <f t="shared" si="4"/>
        <v>207</v>
      </c>
      <c r="H21" s="13">
        <f t="shared" si="4"/>
        <v>198</v>
      </c>
      <c r="I21" s="13">
        <f t="shared" si="4"/>
        <v>210</v>
      </c>
      <c r="J21" s="13">
        <f t="shared" si="4"/>
        <v>204</v>
      </c>
      <c r="K21" s="13">
        <f t="shared" si="4"/>
        <v>231</v>
      </c>
      <c r="L21" s="13">
        <f t="shared" si="4"/>
        <v>198</v>
      </c>
      <c r="M21" s="13">
        <f t="shared" si="4"/>
        <v>191</v>
      </c>
      <c r="N21" s="13">
        <f t="shared" si="4"/>
        <v>198</v>
      </c>
      <c r="O21" s="13">
        <f t="shared" si="4"/>
        <v>171</v>
      </c>
      <c r="P21" s="13">
        <f t="shared" si="4"/>
        <v>194</v>
      </c>
      <c r="Q21" s="13">
        <f t="shared" si="4"/>
        <v>215</v>
      </c>
      <c r="R21" s="13">
        <f t="shared" si="4"/>
        <v>198</v>
      </c>
      <c r="S21" s="13">
        <f t="shared" si="4"/>
        <v>220</v>
      </c>
      <c r="T21" s="13">
        <f t="shared" si="4"/>
        <v>185</v>
      </c>
      <c r="U21" s="13">
        <f t="shared" si="4"/>
        <v>199</v>
      </c>
      <c r="V21" s="13">
        <f t="shared" si="4"/>
        <v>212</v>
      </c>
      <c r="W21" s="13">
        <f t="shared" si="4"/>
        <v>184</v>
      </c>
      <c r="X21" s="13">
        <f t="shared" si="4"/>
        <v>202</v>
      </c>
      <c r="Y21" s="13">
        <f t="shared" si="4"/>
        <v>189</v>
      </c>
      <c r="Z21" s="13">
        <f t="shared" si="4"/>
        <v>202</v>
      </c>
      <c r="AA21" s="13">
        <f t="shared" si="4"/>
        <v>206</v>
      </c>
      <c r="AB21" s="13">
        <f t="shared" si="4"/>
        <v>220</v>
      </c>
      <c r="AC21" s="13">
        <f t="shared" si="4"/>
        <v>182</v>
      </c>
      <c r="AD21" s="13">
        <f t="shared" si="4"/>
        <v>205</v>
      </c>
      <c r="AE21" s="13">
        <f t="shared" si="4"/>
        <v>237</v>
      </c>
      <c r="AF21" s="13">
        <f t="shared" si="4"/>
        <v>205</v>
      </c>
      <c r="AG21" s="13">
        <f t="shared" si="4"/>
        <v>212</v>
      </c>
      <c r="AH21" s="13">
        <f t="shared" si="4"/>
        <v>220</v>
      </c>
      <c r="AI21" s="13">
        <f t="shared" si="3"/>
        <v>5999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2.0</v>
      </c>
      <c r="AD23" s="19">
        <v>0.0</v>
      </c>
      <c r="AE23" s="19">
        <v>0.0</v>
      </c>
      <c r="AF23" s="19">
        <v>0.0</v>
      </c>
      <c r="AG23" s="19">
        <v>1.0</v>
      </c>
      <c r="AH23" s="19">
        <v>0.0</v>
      </c>
      <c r="AI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H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3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2.0</v>
      </c>
      <c r="O25" s="19">
        <v>4.0</v>
      </c>
      <c r="P25" s="19">
        <v>3.0</v>
      </c>
      <c r="Q25" s="19">
        <v>2.0</v>
      </c>
      <c r="R25" s="19">
        <v>1.0</v>
      </c>
      <c r="S25" s="19">
        <v>1.0</v>
      </c>
      <c r="T25" s="19">
        <v>1.0</v>
      </c>
      <c r="U25" s="19">
        <v>3.0</v>
      </c>
      <c r="V25" s="19">
        <v>2.0</v>
      </c>
      <c r="W25" s="19">
        <v>0.0</v>
      </c>
      <c r="X25" s="19">
        <v>0.0</v>
      </c>
      <c r="Y25" s="19">
        <v>1.0</v>
      </c>
      <c r="Z25" s="19">
        <v>4.0</v>
      </c>
      <c r="AA25" s="19">
        <v>0.0</v>
      </c>
      <c r="AB25" s="19">
        <v>1.0</v>
      </c>
      <c r="AC25" s="19">
        <v>0.0</v>
      </c>
      <c r="AD25" s="19">
        <v>4.0</v>
      </c>
      <c r="AE25" s="19">
        <v>2.0</v>
      </c>
      <c r="AF25" s="19">
        <v>1.0</v>
      </c>
      <c r="AG25" s="19">
        <v>2.0</v>
      </c>
      <c r="AH25" s="19">
        <v>9.0</v>
      </c>
      <c r="AI25" s="13">
        <f t="shared" si="3"/>
        <v>47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1.0</v>
      </c>
      <c r="H26" s="19">
        <v>4.0</v>
      </c>
      <c r="I26" s="19">
        <v>0.0</v>
      </c>
      <c r="J26" s="19">
        <v>1.0</v>
      </c>
      <c r="K26" s="19">
        <v>3.0</v>
      </c>
      <c r="L26" s="19">
        <v>0.0</v>
      </c>
      <c r="M26" s="19">
        <v>4.0</v>
      </c>
      <c r="N26" s="19">
        <v>1.0</v>
      </c>
      <c r="O26" s="19">
        <v>2.0</v>
      </c>
      <c r="P26" s="19">
        <v>1.0</v>
      </c>
      <c r="Q26" s="19">
        <v>2.0</v>
      </c>
      <c r="R26" s="19">
        <v>4.0</v>
      </c>
      <c r="S26" s="19">
        <v>5.0</v>
      </c>
      <c r="T26" s="19">
        <v>3.0</v>
      </c>
      <c r="U26" s="19">
        <v>7.0</v>
      </c>
      <c r="V26" s="19">
        <v>2.0</v>
      </c>
      <c r="W26" s="19">
        <v>2.0</v>
      </c>
      <c r="X26" s="19">
        <v>0.0</v>
      </c>
      <c r="Y26" s="19">
        <v>0.0</v>
      </c>
      <c r="Z26" s="19">
        <v>6.0</v>
      </c>
      <c r="AA26" s="19">
        <v>0.0</v>
      </c>
      <c r="AB26" s="19">
        <v>1.0</v>
      </c>
      <c r="AC26" s="19">
        <v>2.0</v>
      </c>
      <c r="AD26" s="19">
        <v>11.0</v>
      </c>
      <c r="AE26" s="19">
        <v>4.0</v>
      </c>
      <c r="AF26" s="19">
        <v>1.0</v>
      </c>
      <c r="AG26" s="19">
        <v>4.0</v>
      </c>
      <c r="AH26" s="19">
        <v>9.0</v>
      </c>
      <c r="AI26" s="13">
        <f t="shared" si="3"/>
        <v>85</v>
      </c>
    </row>
    <row r="27" ht="12.75" customHeight="1">
      <c r="A27" s="35"/>
      <c r="B27" s="28"/>
      <c r="C27" s="36"/>
      <c r="D27" s="13" t="s">
        <v>14</v>
      </c>
      <c r="E27" s="13">
        <f t="shared" ref="E27:AH27" si="6">SUM(E25:E26)</f>
        <v>4</v>
      </c>
      <c r="F27" s="13">
        <f t="shared" si="6"/>
        <v>1</v>
      </c>
      <c r="G27" s="13">
        <f t="shared" si="6"/>
        <v>2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4</v>
      </c>
      <c r="L27" s="13">
        <f t="shared" si="6"/>
        <v>0</v>
      </c>
      <c r="M27" s="13">
        <f t="shared" si="6"/>
        <v>5</v>
      </c>
      <c r="N27" s="13">
        <f t="shared" si="6"/>
        <v>3</v>
      </c>
      <c r="O27" s="13">
        <f t="shared" si="6"/>
        <v>6</v>
      </c>
      <c r="P27" s="13">
        <f t="shared" si="6"/>
        <v>4</v>
      </c>
      <c r="Q27" s="13">
        <f t="shared" si="6"/>
        <v>4</v>
      </c>
      <c r="R27" s="13">
        <f t="shared" si="6"/>
        <v>5</v>
      </c>
      <c r="S27" s="13">
        <f t="shared" si="6"/>
        <v>6</v>
      </c>
      <c r="T27" s="13">
        <f t="shared" si="6"/>
        <v>4</v>
      </c>
      <c r="U27" s="13">
        <f t="shared" si="6"/>
        <v>10</v>
      </c>
      <c r="V27" s="13">
        <f t="shared" si="6"/>
        <v>4</v>
      </c>
      <c r="W27" s="13">
        <f t="shared" si="6"/>
        <v>2</v>
      </c>
      <c r="X27" s="13">
        <f t="shared" si="6"/>
        <v>0</v>
      </c>
      <c r="Y27" s="13">
        <f t="shared" si="6"/>
        <v>1</v>
      </c>
      <c r="Z27" s="13">
        <f t="shared" si="6"/>
        <v>10</v>
      </c>
      <c r="AA27" s="13">
        <f t="shared" si="6"/>
        <v>0</v>
      </c>
      <c r="AB27" s="13">
        <f t="shared" si="6"/>
        <v>2</v>
      </c>
      <c r="AC27" s="13">
        <f t="shared" si="6"/>
        <v>2</v>
      </c>
      <c r="AD27" s="13">
        <f t="shared" si="6"/>
        <v>15</v>
      </c>
      <c r="AE27" s="13">
        <f t="shared" si="6"/>
        <v>6</v>
      </c>
      <c r="AF27" s="13">
        <f t="shared" si="6"/>
        <v>2</v>
      </c>
      <c r="AG27" s="13">
        <f t="shared" si="6"/>
        <v>6</v>
      </c>
      <c r="AH27" s="13">
        <f t="shared" si="6"/>
        <v>18</v>
      </c>
      <c r="AI27" s="13">
        <f t="shared" si="3"/>
        <v>132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H28" si="7">SUM(E19,E22,E25)</f>
        <v>84</v>
      </c>
      <c r="F28" s="13">
        <f t="shared" si="7"/>
        <v>65</v>
      </c>
      <c r="G28" s="13">
        <f t="shared" si="7"/>
        <v>96</v>
      </c>
      <c r="H28" s="13">
        <f t="shared" si="7"/>
        <v>95</v>
      </c>
      <c r="I28" s="13">
        <f t="shared" si="7"/>
        <v>99</v>
      </c>
      <c r="J28" s="13">
        <f t="shared" si="7"/>
        <v>96</v>
      </c>
      <c r="K28" s="13">
        <f t="shared" si="7"/>
        <v>111</v>
      </c>
      <c r="L28" s="13">
        <f t="shared" si="7"/>
        <v>84</v>
      </c>
      <c r="M28" s="13">
        <f t="shared" si="7"/>
        <v>88</v>
      </c>
      <c r="N28" s="13">
        <f t="shared" si="7"/>
        <v>98</v>
      </c>
      <c r="O28" s="13">
        <f t="shared" si="7"/>
        <v>80</v>
      </c>
      <c r="P28" s="13">
        <f t="shared" si="7"/>
        <v>99</v>
      </c>
      <c r="Q28" s="13">
        <f t="shared" si="7"/>
        <v>101</v>
      </c>
      <c r="R28" s="13">
        <f t="shared" si="7"/>
        <v>91</v>
      </c>
      <c r="S28" s="13">
        <f t="shared" si="7"/>
        <v>104</v>
      </c>
      <c r="T28" s="13">
        <f t="shared" si="7"/>
        <v>87</v>
      </c>
      <c r="U28" s="13">
        <f t="shared" si="7"/>
        <v>95</v>
      </c>
      <c r="V28" s="13">
        <f t="shared" si="7"/>
        <v>104</v>
      </c>
      <c r="W28" s="13">
        <f t="shared" si="7"/>
        <v>86</v>
      </c>
      <c r="X28" s="13">
        <f t="shared" si="7"/>
        <v>101</v>
      </c>
      <c r="Y28" s="13">
        <f t="shared" si="7"/>
        <v>86</v>
      </c>
      <c r="Z28" s="13">
        <f t="shared" si="7"/>
        <v>99</v>
      </c>
      <c r="AA28" s="13">
        <f t="shared" si="7"/>
        <v>102</v>
      </c>
      <c r="AB28" s="13">
        <f t="shared" si="7"/>
        <v>110</v>
      </c>
      <c r="AC28" s="13">
        <f t="shared" si="7"/>
        <v>83</v>
      </c>
      <c r="AD28" s="13">
        <f t="shared" si="7"/>
        <v>93</v>
      </c>
      <c r="AE28" s="13">
        <f t="shared" si="7"/>
        <v>119</v>
      </c>
      <c r="AF28" s="13">
        <f t="shared" si="7"/>
        <v>105</v>
      </c>
      <c r="AG28" s="13">
        <f t="shared" si="7"/>
        <v>93</v>
      </c>
      <c r="AH28" s="13">
        <f t="shared" si="7"/>
        <v>117</v>
      </c>
      <c r="AI28" s="13">
        <f t="shared" si="3"/>
        <v>2871</v>
      </c>
    </row>
    <row r="29" ht="12.75" customHeight="1">
      <c r="A29" s="35"/>
      <c r="B29" s="27"/>
      <c r="C29" s="34"/>
      <c r="D29" s="13" t="s">
        <v>13</v>
      </c>
      <c r="E29" s="13">
        <f t="shared" ref="E29:AH29" si="8">SUM(E20,E23,E26)</f>
        <v>98</v>
      </c>
      <c r="F29" s="13">
        <f t="shared" si="8"/>
        <v>62</v>
      </c>
      <c r="G29" s="13">
        <f t="shared" si="8"/>
        <v>113</v>
      </c>
      <c r="H29" s="13">
        <f t="shared" si="8"/>
        <v>108</v>
      </c>
      <c r="I29" s="13">
        <f t="shared" si="8"/>
        <v>111</v>
      </c>
      <c r="J29" s="13">
        <f t="shared" si="8"/>
        <v>109</v>
      </c>
      <c r="K29" s="13">
        <f t="shared" si="8"/>
        <v>124</v>
      </c>
      <c r="L29" s="13">
        <f t="shared" si="8"/>
        <v>114</v>
      </c>
      <c r="M29" s="13">
        <f t="shared" si="8"/>
        <v>110</v>
      </c>
      <c r="N29" s="13">
        <f t="shared" si="8"/>
        <v>103</v>
      </c>
      <c r="O29" s="13">
        <f t="shared" si="8"/>
        <v>97</v>
      </c>
      <c r="P29" s="13">
        <f t="shared" si="8"/>
        <v>99</v>
      </c>
      <c r="Q29" s="13">
        <f t="shared" si="8"/>
        <v>118</v>
      </c>
      <c r="R29" s="13">
        <f t="shared" si="8"/>
        <v>112</v>
      </c>
      <c r="S29" s="13">
        <f t="shared" si="8"/>
        <v>122</v>
      </c>
      <c r="T29" s="13">
        <f t="shared" si="8"/>
        <v>102</v>
      </c>
      <c r="U29" s="13">
        <f t="shared" si="8"/>
        <v>114</v>
      </c>
      <c r="V29" s="13">
        <f t="shared" si="8"/>
        <v>112</v>
      </c>
      <c r="W29" s="13">
        <f t="shared" si="8"/>
        <v>100</v>
      </c>
      <c r="X29" s="13">
        <f t="shared" si="8"/>
        <v>101</v>
      </c>
      <c r="Y29" s="13">
        <f t="shared" si="8"/>
        <v>104</v>
      </c>
      <c r="Z29" s="13">
        <f t="shared" si="8"/>
        <v>113</v>
      </c>
      <c r="AA29" s="13">
        <f t="shared" si="8"/>
        <v>104</v>
      </c>
      <c r="AB29" s="13">
        <f t="shared" si="8"/>
        <v>112</v>
      </c>
      <c r="AC29" s="13">
        <f t="shared" si="8"/>
        <v>104</v>
      </c>
      <c r="AD29" s="13">
        <f t="shared" si="8"/>
        <v>127</v>
      </c>
      <c r="AE29" s="13">
        <f t="shared" si="8"/>
        <v>124</v>
      </c>
      <c r="AF29" s="13">
        <f t="shared" si="8"/>
        <v>102</v>
      </c>
      <c r="AG29" s="13">
        <f t="shared" si="8"/>
        <v>126</v>
      </c>
      <c r="AH29" s="13">
        <f t="shared" si="8"/>
        <v>121</v>
      </c>
      <c r="AI29" s="13">
        <f t="shared" si="3"/>
        <v>3266</v>
      </c>
    </row>
    <row r="30" ht="12.75" customHeight="1">
      <c r="A30" s="35"/>
      <c r="B30" s="28"/>
      <c r="C30" s="36"/>
      <c r="D30" s="13" t="s">
        <v>14</v>
      </c>
      <c r="E30" s="13">
        <f t="shared" ref="E30:AH30" si="9">SUM(E28:E29)</f>
        <v>182</v>
      </c>
      <c r="F30" s="13">
        <f t="shared" si="9"/>
        <v>127</v>
      </c>
      <c r="G30" s="13">
        <f t="shared" si="9"/>
        <v>209</v>
      </c>
      <c r="H30" s="13">
        <f t="shared" si="9"/>
        <v>203</v>
      </c>
      <c r="I30" s="13">
        <f t="shared" si="9"/>
        <v>210</v>
      </c>
      <c r="J30" s="13">
        <f t="shared" si="9"/>
        <v>205</v>
      </c>
      <c r="K30" s="13">
        <f t="shared" si="9"/>
        <v>235</v>
      </c>
      <c r="L30" s="13">
        <f t="shared" si="9"/>
        <v>198</v>
      </c>
      <c r="M30" s="13">
        <f t="shared" si="9"/>
        <v>198</v>
      </c>
      <c r="N30" s="13">
        <f t="shared" si="9"/>
        <v>201</v>
      </c>
      <c r="O30" s="13">
        <f t="shared" si="9"/>
        <v>177</v>
      </c>
      <c r="P30" s="13">
        <f t="shared" si="9"/>
        <v>198</v>
      </c>
      <c r="Q30" s="13">
        <f t="shared" si="9"/>
        <v>219</v>
      </c>
      <c r="R30" s="13">
        <f t="shared" si="9"/>
        <v>203</v>
      </c>
      <c r="S30" s="13">
        <f t="shared" si="9"/>
        <v>226</v>
      </c>
      <c r="T30" s="13">
        <f t="shared" si="9"/>
        <v>189</v>
      </c>
      <c r="U30" s="13">
        <f t="shared" si="9"/>
        <v>209</v>
      </c>
      <c r="V30" s="13">
        <f t="shared" si="9"/>
        <v>216</v>
      </c>
      <c r="W30" s="13">
        <f t="shared" si="9"/>
        <v>186</v>
      </c>
      <c r="X30" s="13">
        <f t="shared" si="9"/>
        <v>202</v>
      </c>
      <c r="Y30" s="13">
        <f t="shared" si="9"/>
        <v>190</v>
      </c>
      <c r="Z30" s="13">
        <f t="shared" si="9"/>
        <v>212</v>
      </c>
      <c r="AA30" s="13">
        <f t="shared" si="9"/>
        <v>206</v>
      </c>
      <c r="AB30" s="13">
        <f t="shared" si="9"/>
        <v>222</v>
      </c>
      <c r="AC30" s="13">
        <f t="shared" si="9"/>
        <v>187</v>
      </c>
      <c r="AD30" s="13">
        <f t="shared" si="9"/>
        <v>220</v>
      </c>
      <c r="AE30" s="13">
        <f t="shared" si="9"/>
        <v>243</v>
      </c>
      <c r="AF30" s="13">
        <f t="shared" si="9"/>
        <v>207</v>
      </c>
      <c r="AG30" s="13">
        <f t="shared" si="9"/>
        <v>219</v>
      </c>
      <c r="AH30" s="13">
        <f t="shared" si="9"/>
        <v>238</v>
      </c>
      <c r="AI30" s="13">
        <f t="shared" si="3"/>
        <v>6137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59"/>
    </row>
    <row r="33" ht="12.75" customHeight="1">
      <c r="A33" s="19">
        <v>1.0</v>
      </c>
      <c r="B33" s="20" t="s">
        <v>85</v>
      </c>
      <c r="C33" s="15"/>
      <c r="D33" s="16"/>
      <c r="E33" s="19">
        <v>260.0</v>
      </c>
      <c r="F33" s="19">
        <v>186.0</v>
      </c>
      <c r="G33" s="19">
        <v>314.0</v>
      </c>
      <c r="H33" s="19">
        <v>290.0</v>
      </c>
      <c r="I33" s="19">
        <v>284.0</v>
      </c>
      <c r="J33" s="19">
        <v>281.0</v>
      </c>
      <c r="K33" s="19">
        <v>302.0</v>
      </c>
      <c r="L33" s="19">
        <v>295.0</v>
      </c>
      <c r="M33" s="19">
        <v>281.0</v>
      </c>
      <c r="N33" s="19">
        <v>282.0</v>
      </c>
      <c r="O33" s="19">
        <v>231.0</v>
      </c>
      <c r="P33" s="19">
        <v>280.0</v>
      </c>
      <c r="Q33" s="19">
        <v>272.0</v>
      </c>
      <c r="R33" s="19">
        <v>282.0</v>
      </c>
      <c r="S33" s="19">
        <v>297.0</v>
      </c>
      <c r="T33" s="19">
        <v>275.0</v>
      </c>
      <c r="U33" s="19">
        <v>288.0</v>
      </c>
      <c r="V33" s="19">
        <v>287.0</v>
      </c>
      <c r="W33" s="19">
        <v>265.0</v>
      </c>
      <c r="X33" s="19">
        <v>280.0</v>
      </c>
      <c r="Y33" s="19">
        <v>296.0</v>
      </c>
      <c r="Z33" s="19">
        <v>297.0</v>
      </c>
      <c r="AA33" s="19">
        <v>296.0</v>
      </c>
      <c r="AB33" s="19">
        <v>296.0</v>
      </c>
      <c r="AC33" s="19">
        <v>294.0</v>
      </c>
      <c r="AD33" s="19">
        <v>296.0</v>
      </c>
      <c r="AE33" s="19">
        <v>296.0</v>
      </c>
      <c r="AF33" s="19">
        <v>294.0</v>
      </c>
      <c r="AG33" s="19">
        <v>295.0</v>
      </c>
      <c r="AH33" s="19">
        <v>296.0</v>
      </c>
      <c r="AI33" s="13">
        <f t="shared" ref="AI33:AI36" si="10">SUM(E33:AH33)</f>
        <v>8488</v>
      </c>
    </row>
    <row r="34" ht="12.75" customHeight="1">
      <c r="A34" s="19">
        <v>2.0</v>
      </c>
      <c r="B34" s="20" t="s">
        <v>28</v>
      </c>
      <c r="C34" s="15"/>
      <c r="D34" s="16"/>
      <c r="E34" s="13">
        <v>182.0</v>
      </c>
      <c r="F34" s="13">
        <v>127.0</v>
      </c>
      <c r="G34" s="13">
        <v>209.0</v>
      </c>
      <c r="H34" s="13">
        <v>203.0</v>
      </c>
      <c r="I34" s="13">
        <v>210.0</v>
      </c>
      <c r="J34" s="13">
        <v>205.0</v>
      </c>
      <c r="K34" s="13">
        <v>235.0</v>
      </c>
      <c r="L34" s="13">
        <v>198.0</v>
      </c>
      <c r="M34" s="13">
        <v>198.0</v>
      </c>
      <c r="N34" s="13">
        <v>201.0</v>
      </c>
      <c r="O34" s="13">
        <v>177.0</v>
      </c>
      <c r="P34" s="13">
        <v>198.0</v>
      </c>
      <c r="Q34" s="13">
        <v>219.0</v>
      </c>
      <c r="R34" s="13">
        <v>203.0</v>
      </c>
      <c r="S34" s="13">
        <v>226.0</v>
      </c>
      <c r="T34" s="13">
        <v>189.0</v>
      </c>
      <c r="U34" s="13">
        <v>209.0</v>
      </c>
      <c r="V34" s="13">
        <v>216.0</v>
      </c>
      <c r="W34" s="13">
        <v>186.0</v>
      </c>
      <c r="X34" s="13">
        <v>202.0</v>
      </c>
      <c r="Y34" s="13">
        <v>190.0</v>
      </c>
      <c r="Z34" s="13">
        <v>212.0</v>
      </c>
      <c r="AA34" s="13">
        <v>206.0</v>
      </c>
      <c r="AB34" s="13">
        <v>222.0</v>
      </c>
      <c r="AC34" s="13">
        <v>187.0</v>
      </c>
      <c r="AD34" s="13">
        <v>220.0</v>
      </c>
      <c r="AE34" s="13">
        <v>243.0</v>
      </c>
      <c r="AF34" s="13">
        <v>207.0</v>
      </c>
      <c r="AG34" s="13">
        <v>219.0</v>
      </c>
      <c r="AH34" s="13">
        <v>238.0</v>
      </c>
      <c r="AI34" s="13">
        <f t="shared" si="10"/>
        <v>6137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1.0</v>
      </c>
      <c r="K35" s="19">
        <v>2.0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3.0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H36" si="11">E33-(E34+E35)</f>
        <v>78</v>
      </c>
      <c r="F36" s="13">
        <f t="shared" si="11"/>
        <v>59</v>
      </c>
      <c r="G36" s="13">
        <f t="shared" si="11"/>
        <v>105</v>
      </c>
      <c r="H36" s="13">
        <f t="shared" si="11"/>
        <v>87</v>
      </c>
      <c r="I36" s="13">
        <f t="shared" si="11"/>
        <v>73</v>
      </c>
      <c r="J36" s="13">
        <f t="shared" si="11"/>
        <v>75</v>
      </c>
      <c r="K36" s="13">
        <f t="shared" si="11"/>
        <v>65</v>
      </c>
      <c r="L36" s="13">
        <f t="shared" si="11"/>
        <v>97</v>
      </c>
      <c r="M36" s="13">
        <f t="shared" si="11"/>
        <v>83</v>
      </c>
      <c r="N36" s="13">
        <f t="shared" si="11"/>
        <v>81</v>
      </c>
      <c r="O36" s="13">
        <f t="shared" si="11"/>
        <v>53</v>
      </c>
      <c r="P36" s="13">
        <f t="shared" si="11"/>
        <v>82</v>
      </c>
      <c r="Q36" s="13">
        <f t="shared" si="11"/>
        <v>53</v>
      </c>
      <c r="R36" s="13">
        <f t="shared" si="11"/>
        <v>79</v>
      </c>
      <c r="S36" s="13">
        <f t="shared" si="11"/>
        <v>71</v>
      </c>
      <c r="T36" s="13">
        <f t="shared" si="11"/>
        <v>86</v>
      </c>
      <c r="U36" s="13">
        <f t="shared" si="11"/>
        <v>79</v>
      </c>
      <c r="V36" s="13">
        <f t="shared" si="11"/>
        <v>71</v>
      </c>
      <c r="W36" s="13">
        <f t="shared" si="11"/>
        <v>79</v>
      </c>
      <c r="X36" s="13">
        <f t="shared" si="11"/>
        <v>75</v>
      </c>
      <c r="Y36" s="13">
        <f t="shared" si="11"/>
        <v>106</v>
      </c>
      <c r="Z36" s="13">
        <f t="shared" si="11"/>
        <v>85</v>
      </c>
      <c r="AA36" s="13">
        <f t="shared" si="11"/>
        <v>89</v>
      </c>
      <c r="AB36" s="13">
        <f t="shared" si="11"/>
        <v>74</v>
      </c>
      <c r="AC36" s="13">
        <f t="shared" si="11"/>
        <v>107</v>
      </c>
      <c r="AD36" s="13">
        <f t="shared" si="11"/>
        <v>76</v>
      </c>
      <c r="AE36" s="13">
        <f t="shared" si="11"/>
        <v>53</v>
      </c>
      <c r="AF36" s="13">
        <f t="shared" si="11"/>
        <v>87</v>
      </c>
      <c r="AG36" s="13">
        <f t="shared" si="11"/>
        <v>76</v>
      </c>
      <c r="AH36" s="13">
        <f t="shared" si="11"/>
        <v>58</v>
      </c>
      <c r="AI36" s="13">
        <f t="shared" si="10"/>
        <v>2342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>
        <v>1.0</v>
      </c>
      <c r="K39" s="19"/>
      <c r="L39" s="19">
        <v>1.0</v>
      </c>
      <c r="M39" s="19"/>
      <c r="N39" s="19"/>
      <c r="O39" s="19">
        <v>1.0</v>
      </c>
      <c r="P39" s="19"/>
      <c r="Q39" s="19">
        <v>1.0</v>
      </c>
      <c r="R39" s="19"/>
      <c r="S39" s="19"/>
      <c r="T39" s="19"/>
      <c r="U39" s="19"/>
      <c r="V39" s="19"/>
      <c r="W39" s="19">
        <v>1.0</v>
      </c>
      <c r="X39" s="19"/>
      <c r="Y39" s="19"/>
      <c r="Z39" s="19"/>
      <c r="AA39" s="19"/>
      <c r="AB39" s="19"/>
      <c r="AC39" s="19"/>
      <c r="AD39" s="19"/>
      <c r="AE39" s="19"/>
      <c r="AF39" s="19"/>
      <c r="AG39" s="19">
        <v>1.0</v>
      </c>
      <c r="AH39" s="19"/>
      <c r="AI39" s="13">
        <f t="shared" ref="AI39:AI41" si="12">SUM(E39:AH39)</f>
        <v>7</v>
      </c>
    </row>
    <row r="40" ht="12.75" customHeight="1">
      <c r="A40" s="33"/>
      <c r="C40" s="27"/>
      <c r="D40" s="19" t="s">
        <v>13</v>
      </c>
      <c r="E40" s="19">
        <v>1.0</v>
      </c>
      <c r="F40" s="19">
        <v>2.0</v>
      </c>
      <c r="G40" s="19">
        <v>3.0</v>
      </c>
      <c r="H40" s="19">
        <v>1.0</v>
      </c>
      <c r="I40" s="19"/>
      <c r="J40" s="19"/>
      <c r="K40" s="19"/>
      <c r="L40" s="19">
        <v>1.0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>
        <v>2.0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AH41" si="13">SUM(E39:E40)</f>
        <v>1</v>
      </c>
      <c r="F41" s="13">
        <f t="shared" si="13"/>
        <v>2</v>
      </c>
      <c r="G41" s="13">
        <f t="shared" si="13"/>
        <v>4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58"/>
      <c r="AE42" s="19"/>
      <c r="AF42" s="58"/>
      <c r="AG42" s="19"/>
      <c r="AH42" s="58"/>
      <c r="AI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60"/>
      <c r="AE43" s="13"/>
      <c r="AF43" s="60"/>
      <c r="AG43" s="13"/>
      <c r="AH43" s="60"/>
      <c r="AI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58"/>
      <c r="AE44" s="19"/>
      <c r="AF44" s="58"/>
      <c r="AG44" s="19"/>
      <c r="AH44" s="58"/>
      <c r="AI44" s="13"/>
    </row>
    <row r="45" ht="12.75" customHeight="1">
      <c r="A45" s="30"/>
      <c r="B45" s="47" t="s">
        <v>17</v>
      </c>
      <c r="C45" s="62" t="s">
        <v>38</v>
      </c>
      <c r="D45" s="16"/>
      <c r="E45" s="19">
        <v>16.0</v>
      </c>
      <c r="F45" s="19">
        <v>4.0</v>
      </c>
      <c r="G45" s="19">
        <v>6.0</v>
      </c>
      <c r="H45" s="19">
        <v>12.0</v>
      </c>
      <c r="I45" s="19">
        <v>14.0</v>
      </c>
      <c r="J45" s="19">
        <v>11.0</v>
      </c>
      <c r="K45" s="19">
        <v>13.0</v>
      </c>
      <c r="L45" s="19">
        <v>6.0</v>
      </c>
      <c r="M45" s="19">
        <v>7.0</v>
      </c>
      <c r="N45" s="19">
        <v>6.0</v>
      </c>
      <c r="O45" s="19">
        <v>9.0</v>
      </c>
      <c r="P45" s="19">
        <v>7.0</v>
      </c>
      <c r="Q45" s="19">
        <v>16.0</v>
      </c>
      <c r="R45" s="19">
        <v>9.0</v>
      </c>
      <c r="S45" s="19">
        <v>27.0</v>
      </c>
      <c r="T45" s="19">
        <v>14.0</v>
      </c>
      <c r="U45" s="19">
        <v>9.0</v>
      </c>
      <c r="V45" s="19">
        <v>11.0</v>
      </c>
      <c r="W45" s="19">
        <v>5.0</v>
      </c>
      <c r="X45" s="19">
        <v>9.0</v>
      </c>
      <c r="Y45" s="19">
        <v>9.0</v>
      </c>
      <c r="Z45" s="19">
        <v>11.0</v>
      </c>
      <c r="AA45" s="19">
        <v>12.0</v>
      </c>
      <c r="AB45" s="19">
        <v>9.0</v>
      </c>
      <c r="AC45" s="19">
        <v>13.0</v>
      </c>
      <c r="AD45" s="19">
        <v>4.0</v>
      </c>
      <c r="AE45" s="19">
        <v>9.0</v>
      </c>
      <c r="AF45" s="19">
        <v>12.0</v>
      </c>
      <c r="AG45" s="19">
        <v>8.0</v>
      </c>
      <c r="AH45" s="19">
        <v>6.0</v>
      </c>
      <c r="AI45" s="13">
        <f t="shared" ref="AI45:AI57" si="14">SUM(E45:AH45)</f>
        <v>304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20.0</v>
      </c>
      <c r="F46" s="19">
        <v>14.0</v>
      </c>
      <c r="G46" s="19">
        <v>30.0</v>
      </c>
      <c r="H46" s="19">
        <v>25.0</v>
      </c>
      <c r="I46" s="19">
        <v>34.0</v>
      </c>
      <c r="J46" s="19">
        <v>33.0</v>
      </c>
      <c r="K46" s="19">
        <v>32.0</v>
      </c>
      <c r="L46" s="19">
        <v>22.0</v>
      </c>
      <c r="M46" s="19">
        <v>24.0</v>
      </c>
      <c r="N46" s="19">
        <v>20.0</v>
      </c>
      <c r="O46" s="19">
        <v>25.0</v>
      </c>
      <c r="P46" s="19">
        <v>24.0</v>
      </c>
      <c r="Q46" s="19">
        <v>29.0</v>
      </c>
      <c r="R46" s="19">
        <v>21.0</v>
      </c>
      <c r="S46" s="19">
        <v>26.0</v>
      </c>
      <c r="T46" s="19">
        <v>27.0</v>
      </c>
      <c r="U46" s="19">
        <v>38.0</v>
      </c>
      <c r="V46" s="19">
        <v>36.0</v>
      </c>
      <c r="W46" s="19">
        <v>27.0</v>
      </c>
      <c r="X46" s="19">
        <v>37.0</v>
      </c>
      <c r="Y46" s="19">
        <v>31.0</v>
      </c>
      <c r="Z46" s="19">
        <v>32.0</v>
      </c>
      <c r="AA46" s="19">
        <v>27.0</v>
      </c>
      <c r="AB46" s="19">
        <v>31.0</v>
      </c>
      <c r="AC46" s="19">
        <v>22.0</v>
      </c>
      <c r="AD46" s="19">
        <v>21.0</v>
      </c>
      <c r="AE46" s="19">
        <v>32.0</v>
      </c>
      <c r="AF46" s="19">
        <v>19.0</v>
      </c>
      <c r="AG46" s="19">
        <v>26.0</v>
      </c>
      <c r="AH46" s="19">
        <v>42.0</v>
      </c>
      <c r="AI46" s="13">
        <f t="shared" si="14"/>
        <v>827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10.0</v>
      </c>
      <c r="F47" s="19">
        <v>9.0</v>
      </c>
      <c r="G47" s="19">
        <v>13.0</v>
      </c>
      <c r="H47" s="19">
        <v>8.0</v>
      </c>
      <c r="I47" s="19">
        <v>13.0</v>
      </c>
      <c r="J47" s="19">
        <v>10.0</v>
      </c>
      <c r="K47" s="19">
        <v>13.0</v>
      </c>
      <c r="L47" s="19">
        <v>3.0</v>
      </c>
      <c r="M47" s="19">
        <v>11.0</v>
      </c>
      <c r="N47" s="19">
        <v>10.0</v>
      </c>
      <c r="O47" s="19">
        <v>14.0</v>
      </c>
      <c r="P47" s="19">
        <v>11.0</v>
      </c>
      <c r="Q47" s="19">
        <v>15.0</v>
      </c>
      <c r="R47" s="19">
        <v>18.0</v>
      </c>
      <c r="S47" s="19">
        <v>11.0</v>
      </c>
      <c r="T47" s="19">
        <v>8.0</v>
      </c>
      <c r="U47" s="19">
        <v>13.0</v>
      </c>
      <c r="V47" s="19">
        <v>17.0</v>
      </c>
      <c r="W47" s="19">
        <v>13.0</v>
      </c>
      <c r="X47" s="19">
        <v>16.0</v>
      </c>
      <c r="Y47" s="19">
        <v>10.0</v>
      </c>
      <c r="Z47" s="19">
        <v>16.0</v>
      </c>
      <c r="AA47" s="19">
        <v>13.0</v>
      </c>
      <c r="AB47" s="19">
        <v>14.0</v>
      </c>
      <c r="AC47" s="19">
        <v>13.0</v>
      </c>
      <c r="AD47" s="19">
        <v>9.0</v>
      </c>
      <c r="AE47" s="19">
        <v>11.0</v>
      </c>
      <c r="AF47" s="19">
        <v>12.0</v>
      </c>
      <c r="AG47" s="19">
        <v>11.0</v>
      </c>
      <c r="AH47" s="19">
        <v>13.0</v>
      </c>
      <c r="AI47" s="13">
        <f t="shared" si="14"/>
        <v>358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18.0</v>
      </c>
      <c r="F48" s="19">
        <v>6.0</v>
      </c>
      <c r="G48" s="19">
        <v>13.0</v>
      </c>
      <c r="H48" s="19">
        <v>26.0</v>
      </c>
      <c r="I48" s="19">
        <v>13.0</v>
      </c>
      <c r="J48" s="19">
        <v>20.0</v>
      </c>
      <c r="K48" s="19">
        <v>19.0</v>
      </c>
      <c r="L48" s="19">
        <v>6.0</v>
      </c>
      <c r="M48" s="19">
        <v>16.0</v>
      </c>
      <c r="N48" s="19">
        <v>21.0</v>
      </c>
      <c r="O48" s="19">
        <v>19.0</v>
      </c>
      <c r="P48" s="19">
        <v>19.0</v>
      </c>
      <c r="Q48" s="19">
        <v>18.0</v>
      </c>
      <c r="R48" s="19">
        <v>26.0</v>
      </c>
      <c r="S48" s="19">
        <v>17.0</v>
      </c>
      <c r="T48" s="19">
        <v>14.0</v>
      </c>
      <c r="U48" s="19">
        <v>10.0</v>
      </c>
      <c r="V48" s="19">
        <v>13.0</v>
      </c>
      <c r="W48" s="19">
        <v>8.0</v>
      </c>
      <c r="X48" s="19">
        <v>11.0</v>
      </c>
      <c r="Y48" s="19">
        <v>9.0</v>
      </c>
      <c r="Z48" s="19">
        <v>14.0</v>
      </c>
      <c r="AA48" s="19">
        <v>17.0</v>
      </c>
      <c r="AB48" s="19">
        <v>17.0</v>
      </c>
      <c r="AC48" s="19">
        <v>16.0</v>
      </c>
      <c r="AD48" s="19">
        <v>16.0</v>
      </c>
      <c r="AE48" s="19">
        <v>34.0</v>
      </c>
      <c r="AF48" s="19">
        <v>32.0</v>
      </c>
      <c r="AG48" s="19">
        <v>18.0</v>
      </c>
      <c r="AH48" s="19">
        <v>16.0</v>
      </c>
      <c r="AI48" s="13">
        <f t="shared" si="14"/>
        <v>502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10.0</v>
      </c>
      <c r="F49" s="19">
        <v>15.0</v>
      </c>
      <c r="G49" s="19">
        <v>27.0</v>
      </c>
      <c r="H49" s="19">
        <v>20.0</v>
      </c>
      <c r="I49" s="19">
        <v>27.0</v>
      </c>
      <c r="J49" s="19">
        <v>23.0</v>
      </c>
      <c r="K49" s="19">
        <v>22.0</v>
      </c>
      <c r="L49" s="19">
        <v>82.0</v>
      </c>
      <c r="M49" s="19">
        <v>18.0</v>
      </c>
      <c r="N49" s="19">
        <v>13.0</v>
      </c>
      <c r="O49" s="19">
        <v>18.0</v>
      </c>
      <c r="P49" s="19">
        <v>15.0</v>
      </c>
      <c r="Q49" s="19">
        <v>28.0</v>
      </c>
      <c r="R49" s="19">
        <v>23.0</v>
      </c>
      <c r="S49" s="19">
        <v>27.0</v>
      </c>
      <c r="T49" s="19">
        <v>23.0</v>
      </c>
      <c r="U49" s="19">
        <v>25.0</v>
      </c>
      <c r="V49" s="19">
        <v>20.0</v>
      </c>
      <c r="W49" s="19">
        <v>17.0</v>
      </c>
      <c r="X49" s="19">
        <v>21.0</v>
      </c>
      <c r="Y49" s="19">
        <v>18.0</v>
      </c>
      <c r="Z49" s="19">
        <v>12.0</v>
      </c>
      <c r="AA49" s="19">
        <v>22.0</v>
      </c>
      <c r="AB49" s="19">
        <v>35.0</v>
      </c>
      <c r="AC49" s="19">
        <v>18.0</v>
      </c>
      <c r="AD49" s="19">
        <v>30.0</v>
      </c>
      <c r="AE49" s="19">
        <v>35.0</v>
      </c>
      <c r="AF49" s="19">
        <v>41.0</v>
      </c>
      <c r="AG49" s="19">
        <v>35.0</v>
      </c>
      <c r="AH49" s="19">
        <v>28.0</v>
      </c>
      <c r="AI49" s="13">
        <f t="shared" si="14"/>
        <v>748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13.0</v>
      </c>
      <c r="F50" s="19">
        <v>5.0</v>
      </c>
      <c r="G50" s="19">
        <v>13.0</v>
      </c>
      <c r="H50" s="19">
        <v>12.0</v>
      </c>
      <c r="I50" s="19">
        <v>7.0</v>
      </c>
      <c r="J50" s="19">
        <v>15.0</v>
      </c>
      <c r="K50" s="19">
        <v>12.0</v>
      </c>
      <c r="L50" s="19">
        <v>5.0</v>
      </c>
      <c r="M50" s="19">
        <v>16.0</v>
      </c>
      <c r="N50" s="19">
        <v>15.0</v>
      </c>
      <c r="O50" s="19">
        <v>12.0</v>
      </c>
      <c r="P50" s="19">
        <v>19.0</v>
      </c>
      <c r="Q50" s="19">
        <v>7.0</v>
      </c>
      <c r="R50" s="19">
        <v>12.0</v>
      </c>
      <c r="S50" s="19">
        <v>19.0</v>
      </c>
      <c r="T50" s="19">
        <v>11.0</v>
      </c>
      <c r="U50" s="19">
        <v>9.0</v>
      </c>
      <c r="V50" s="19">
        <v>15.0</v>
      </c>
      <c r="W50" s="19">
        <v>10.0</v>
      </c>
      <c r="X50" s="19">
        <v>11.0</v>
      </c>
      <c r="Y50" s="19">
        <v>9.0</v>
      </c>
      <c r="Z50" s="19">
        <v>6.0</v>
      </c>
      <c r="AA50" s="19">
        <v>11.0</v>
      </c>
      <c r="AB50" s="19">
        <v>10.0</v>
      </c>
      <c r="AC50" s="19">
        <v>5.0</v>
      </c>
      <c r="AD50" s="19">
        <v>17.0</v>
      </c>
      <c r="AE50" s="19">
        <v>19.0</v>
      </c>
      <c r="AF50" s="19">
        <v>9.0</v>
      </c>
      <c r="AG50" s="19">
        <v>5.0</v>
      </c>
      <c r="AH50" s="19">
        <v>11.0</v>
      </c>
      <c r="AI50" s="13">
        <f t="shared" si="14"/>
        <v>340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1.0</v>
      </c>
      <c r="G51" s="19">
        <v>1.0</v>
      </c>
      <c r="H51" s="19">
        <v>4.0</v>
      </c>
      <c r="I51" s="19">
        <v>6.0</v>
      </c>
      <c r="J51" s="19">
        <v>3.0</v>
      </c>
      <c r="K51" s="19">
        <v>4.0</v>
      </c>
      <c r="L51" s="19">
        <v>5.0</v>
      </c>
      <c r="M51" s="19">
        <v>5.0</v>
      </c>
      <c r="N51" s="19">
        <v>1.0</v>
      </c>
      <c r="O51" s="19">
        <v>0.0</v>
      </c>
      <c r="P51" s="19">
        <v>2.0</v>
      </c>
      <c r="Q51" s="19">
        <v>4.0</v>
      </c>
      <c r="R51" s="19">
        <v>1.0</v>
      </c>
      <c r="S51" s="19">
        <v>1.0</v>
      </c>
      <c r="T51" s="19">
        <v>1.0</v>
      </c>
      <c r="U51" s="19">
        <v>3.0</v>
      </c>
      <c r="V51" s="19">
        <v>3.0</v>
      </c>
      <c r="W51" s="19">
        <v>3.0</v>
      </c>
      <c r="X51" s="19">
        <v>6.0</v>
      </c>
      <c r="Y51" s="19">
        <v>2.0</v>
      </c>
      <c r="Z51" s="19">
        <v>2.0</v>
      </c>
      <c r="AA51" s="19">
        <v>3.0</v>
      </c>
      <c r="AB51" s="19">
        <v>2.0</v>
      </c>
      <c r="AC51" s="19">
        <v>3.0</v>
      </c>
      <c r="AD51" s="19">
        <v>3.0</v>
      </c>
      <c r="AE51" s="19">
        <v>1.0</v>
      </c>
      <c r="AF51" s="19">
        <v>5.0</v>
      </c>
      <c r="AG51" s="19">
        <v>0.0</v>
      </c>
      <c r="AH51" s="19">
        <v>1.0</v>
      </c>
      <c r="AI51" s="13">
        <f t="shared" si="14"/>
        <v>77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2.0</v>
      </c>
      <c r="G52" s="19">
        <v>1.0</v>
      </c>
      <c r="H52" s="19">
        <v>10.0</v>
      </c>
      <c r="I52" s="19">
        <v>3.0</v>
      </c>
      <c r="J52" s="19">
        <v>3.0</v>
      </c>
      <c r="K52" s="19">
        <v>4.0</v>
      </c>
      <c r="L52" s="19">
        <v>3.0</v>
      </c>
      <c r="M52" s="19">
        <v>4.0</v>
      </c>
      <c r="N52" s="19">
        <v>7.0</v>
      </c>
      <c r="O52" s="19">
        <v>2.0</v>
      </c>
      <c r="P52" s="19">
        <v>2.0</v>
      </c>
      <c r="Q52" s="19">
        <v>5.0</v>
      </c>
      <c r="R52" s="19">
        <v>5.0</v>
      </c>
      <c r="S52" s="19">
        <v>1.0</v>
      </c>
      <c r="T52" s="19">
        <v>4.0</v>
      </c>
      <c r="U52" s="19">
        <v>4.0</v>
      </c>
      <c r="V52" s="19">
        <v>2.0</v>
      </c>
      <c r="W52" s="19">
        <v>6.0</v>
      </c>
      <c r="X52" s="19">
        <v>7.0</v>
      </c>
      <c r="Y52" s="19">
        <v>5.0</v>
      </c>
      <c r="Z52" s="19">
        <v>3.0</v>
      </c>
      <c r="AA52" s="19">
        <v>8.0</v>
      </c>
      <c r="AB52" s="19">
        <v>1.0</v>
      </c>
      <c r="AC52" s="19">
        <v>0.0</v>
      </c>
      <c r="AD52" s="19">
        <v>3.0</v>
      </c>
      <c r="AE52" s="19">
        <v>2.0</v>
      </c>
      <c r="AF52" s="19">
        <v>2.0</v>
      </c>
      <c r="AG52" s="19">
        <v>3.0</v>
      </c>
      <c r="AH52" s="19">
        <v>6.0</v>
      </c>
      <c r="AI52" s="13">
        <f t="shared" si="14"/>
        <v>112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0.0</v>
      </c>
      <c r="G53" s="19">
        <v>1.0</v>
      </c>
      <c r="H53" s="19">
        <v>0.0</v>
      </c>
      <c r="I53" s="19">
        <v>0.0</v>
      </c>
      <c r="J53" s="19">
        <v>1.0</v>
      </c>
      <c r="K53" s="19">
        <v>2.0</v>
      </c>
      <c r="L53" s="19">
        <v>1.0</v>
      </c>
      <c r="M53" s="19">
        <v>0.0</v>
      </c>
      <c r="N53" s="19">
        <v>1.0</v>
      </c>
      <c r="O53" s="19">
        <v>0.0</v>
      </c>
      <c r="P53" s="19">
        <v>1.0</v>
      </c>
      <c r="Q53" s="19">
        <v>3.0</v>
      </c>
      <c r="R53" s="19">
        <v>1.0</v>
      </c>
      <c r="S53" s="19">
        <v>4.0</v>
      </c>
      <c r="T53" s="19">
        <v>3.0</v>
      </c>
      <c r="U53" s="19">
        <v>0.0</v>
      </c>
      <c r="V53" s="19">
        <v>3.0</v>
      </c>
      <c r="W53" s="19">
        <v>4.0</v>
      </c>
      <c r="X53" s="19">
        <v>7.0</v>
      </c>
      <c r="Y53" s="19">
        <v>1.0</v>
      </c>
      <c r="Z53" s="19">
        <v>1.0</v>
      </c>
      <c r="AA53" s="19">
        <v>1.0</v>
      </c>
      <c r="AB53" s="19">
        <v>0.0</v>
      </c>
      <c r="AC53" s="19">
        <v>4.0</v>
      </c>
      <c r="AD53" s="19">
        <v>1.0</v>
      </c>
      <c r="AE53" s="19">
        <v>0.0</v>
      </c>
      <c r="AF53" s="19">
        <v>0.0</v>
      </c>
      <c r="AG53" s="19">
        <v>1.0</v>
      </c>
      <c r="AH53" s="19">
        <v>1.0</v>
      </c>
      <c r="AI53" s="13">
        <f t="shared" si="14"/>
        <v>43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22.0</v>
      </c>
      <c r="F54" s="19">
        <v>15.0</v>
      </c>
      <c r="G54" s="19">
        <v>29.0</v>
      </c>
      <c r="H54" s="19">
        <v>21.0</v>
      </c>
      <c r="I54" s="19">
        <v>26.0</v>
      </c>
      <c r="J54" s="19">
        <v>24.0</v>
      </c>
      <c r="K54" s="19">
        <v>25.0</v>
      </c>
      <c r="L54" s="19">
        <v>17.0</v>
      </c>
      <c r="M54" s="19">
        <v>29.0</v>
      </c>
      <c r="N54" s="19">
        <v>20.0</v>
      </c>
      <c r="O54" s="19">
        <v>21.0</v>
      </c>
      <c r="P54" s="19">
        <v>28.0</v>
      </c>
      <c r="Q54" s="19">
        <v>13.0</v>
      </c>
      <c r="R54" s="19">
        <v>19.0</v>
      </c>
      <c r="S54" s="19">
        <v>24.0</v>
      </c>
      <c r="T54" s="19">
        <v>29.0</v>
      </c>
      <c r="U54" s="19">
        <v>24.0</v>
      </c>
      <c r="V54" s="19">
        <v>27.0</v>
      </c>
      <c r="W54" s="19">
        <v>29.0</v>
      </c>
      <c r="X54" s="19">
        <v>23.0</v>
      </c>
      <c r="Y54" s="19">
        <v>28.0</v>
      </c>
      <c r="Z54" s="19">
        <v>20.0</v>
      </c>
      <c r="AA54" s="19">
        <v>24.0</v>
      </c>
      <c r="AB54" s="19">
        <v>30.0</v>
      </c>
      <c r="AC54" s="19">
        <v>29.0</v>
      </c>
      <c r="AD54" s="19">
        <v>32.0</v>
      </c>
      <c r="AE54" s="19">
        <v>20.0</v>
      </c>
      <c r="AF54" s="19">
        <v>15.0</v>
      </c>
      <c r="AG54" s="19">
        <v>23.0</v>
      </c>
      <c r="AH54" s="19">
        <v>30.0</v>
      </c>
      <c r="AI54" s="13">
        <f t="shared" si="14"/>
        <v>716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5.0</v>
      </c>
      <c r="G55" s="19">
        <v>1.0</v>
      </c>
      <c r="H55" s="19">
        <v>3.0</v>
      </c>
      <c r="I55" s="19">
        <v>2.0</v>
      </c>
      <c r="J55" s="19">
        <v>0.0</v>
      </c>
      <c r="K55" s="19">
        <v>2.0</v>
      </c>
      <c r="L55" s="19">
        <v>1.0</v>
      </c>
      <c r="M55" s="19">
        <v>1.0</v>
      </c>
      <c r="N55" s="19">
        <v>2.0</v>
      </c>
      <c r="O55" s="19">
        <v>5.0</v>
      </c>
      <c r="P55" s="19">
        <v>0.0</v>
      </c>
      <c r="Q55" s="19">
        <v>2.0</v>
      </c>
      <c r="R55" s="19">
        <v>2.0</v>
      </c>
      <c r="S55" s="19">
        <v>0.0</v>
      </c>
      <c r="T55" s="19">
        <v>2.0</v>
      </c>
      <c r="U55" s="19">
        <v>3.0</v>
      </c>
      <c r="V55" s="19">
        <v>3.0</v>
      </c>
      <c r="W55" s="19">
        <v>4.0</v>
      </c>
      <c r="X55" s="19">
        <v>1.0</v>
      </c>
      <c r="Y55" s="19">
        <v>4.0</v>
      </c>
      <c r="Z55" s="19">
        <v>4.0</v>
      </c>
      <c r="AA55" s="19">
        <v>3.0</v>
      </c>
      <c r="AB55" s="19">
        <v>2.0</v>
      </c>
      <c r="AC55" s="19">
        <v>1.0</v>
      </c>
      <c r="AD55" s="19">
        <v>2.0</v>
      </c>
      <c r="AE55" s="19">
        <v>4.0</v>
      </c>
      <c r="AF55" s="19">
        <v>0.0</v>
      </c>
      <c r="AG55" s="19">
        <v>2.0</v>
      </c>
      <c r="AH55" s="19">
        <v>3.0</v>
      </c>
      <c r="AI55" s="13">
        <f t="shared" si="14"/>
        <v>65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12.0</v>
      </c>
      <c r="F56" s="19">
        <v>9.0</v>
      </c>
      <c r="G56" s="19">
        <v>15.0</v>
      </c>
      <c r="H56" s="19">
        <v>22.0</v>
      </c>
      <c r="I56" s="19">
        <v>16.0</v>
      </c>
      <c r="J56" s="19">
        <v>23.0</v>
      </c>
      <c r="K56" s="19">
        <v>29.0</v>
      </c>
      <c r="L56" s="19">
        <v>11.0</v>
      </c>
      <c r="M56" s="19">
        <v>22.0</v>
      </c>
      <c r="N56" s="19">
        <v>24.0</v>
      </c>
      <c r="O56" s="19">
        <v>19.0</v>
      </c>
      <c r="P56" s="19">
        <v>19.0</v>
      </c>
      <c r="Q56" s="19">
        <v>21.0</v>
      </c>
      <c r="R56" s="19">
        <v>23.0</v>
      </c>
      <c r="S56" s="19">
        <v>23.0</v>
      </c>
      <c r="T56" s="19">
        <v>26.0</v>
      </c>
      <c r="U56" s="19">
        <v>27.0</v>
      </c>
      <c r="V56" s="19">
        <v>21.0</v>
      </c>
      <c r="W56" s="19">
        <v>23.0</v>
      </c>
      <c r="X56" s="19">
        <v>18.0</v>
      </c>
      <c r="Y56" s="19">
        <v>16.0</v>
      </c>
      <c r="Z56" s="19">
        <v>22.0</v>
      </c>
      <c r="AA56" s="19">
        <v>17.0</v>
      </c>
      <c r="AB56" s="19">
        <v>28.0</v>
      </c>
      <c r="AC56" s="19">
        <v>19.0</v>
      </c>
      <c r="AD56" s="19">
        <v>24.0</v>
      </c>
      <c r="AE56" s="19">
        <v>19.0</v>
      </c>
      <c r="AF56" s="19">
        <v>16.0</v>
      </c>
      <c r="AG56" s="19">
        <v>24.0</v>
      </c>
      <c r="AH56" s="19">
        <v>25.0</v>
      </c>
      <c r="AI56" s="13">
        <f t="shared" si="14"/>
        <v>613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2.0</v>
      </c>
      <c r="F57" s="19">
        <v>2.0</v>
      </c>
      <c r="G57" s="19">
        <v>7.0</v>
      </c>
      <c r="H57" s="19">
        <v>3.0</v>
      </c>
      <c r="I57" s="19">
        <v>2.0</v>
      </c>
      <c r="J57" s="19">
        <v>5.0</v>
      </c>
      <c r="K57" s="19">
        <v>1.0</v>
      </c>
      <c r="L57" s="19">
        <v>2.0</v>
      </c>
      <c r="M57" s="19">
        <v>6.0</v>
      </c>
      <c r="N57" s="19">
        <v>1.0</v>
      </c>
      <c r="O57" s="19">
        <v>1.0</v>
      </c>
      <c r="P57" s="19">
        <v>6.0</v>
      </c>
      <c r="Q57" s="19">
        <v>3.0</v>
      </c>
      <c r="R57" s="19">
        <v>3.0</v>
      </c>
      <c r="S57" s="19">
        <v>2.0</v>
      </c>
      <c r="T57" s="19">
        <v>2.0</v>
      </c>
      <c r="U57" s="19">
        <v>5.0</v>
      </c>
      <c r="V57" s="19">
        <v>0.0</v>
      </c>
      <c r="W57" s="19">
        <v>5.0</v>
      </c>
      <c r="X57" s="19">
        <v>0.0</v>
      </c>
      <c r="Y57" s="19">
        <v>2.0</v>
      </c>
      <c r="Z57" s="19">
        <v>5.0</v>
      </c>
      <c r="AA57" s="19">
        <v>1.0</v>
      </c>
      <c r="AB57" s="19">
        <v>4.0</v>
      </c>
      <c r="AC57" s="19">
        <v>1.0</v>
      </c>
      <c r="AD57" s="19">
        <v>5.0</v>
      </c>
      <c r="AE57" s="19">
        <v>4.0</v>
      </c>
      <c r="AF57" s="19">
        <v>1.0</v>
      </c>
      <c r="AG57" s="19">
        <v>2.0</v>
      </c>
      <c r="AH57" s="19">
        <v>0.0</v>
      </c>
      <c r="AI57" s="13">
        <f t="shared" si="14"/>
        <v>83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H60" si="15">SUM(E45:E57)</f>
        <v>130</v>
      </c>
      <c r="F60" s="19">
        <f t="shared" si="15"/>
        <v>87</v>
      </c>
      <c r="G60" s="19">
        <f t="shared" si="15"/>
        <v>157</v>
      </c>
      <c r="H60" s="19">
        <f t="shared" si="15"/>
        <v>166</v>
      </c>
      <c r="I60" s="19">
        <f t="shared" si="15"/>
        <v>163</v>
      </c>
      <c r="J60" s="19">
        <f t="shared" si="15"/>
        <v>171</v>
      </c>
      <c r="K60" s="19">
        <f t="shared" si="15"/>
        <v>178</v>
      </c>
      <c r="L60" s="19">
        <f t="shared" si="15"/>
        <v>164</v>
      </c>
      <c r="M60" s="19">
        <f t="shared" si="15"/>
        <v>159</v>
      </c>
      <c r="N60" s="19">
        <f t="shared" si="15"/>
        <v>141</v>
      </c>
      <c r="O60" s="19">
        <f t="shared" si="15"/>
        <v>145</v>
      </c>
      <c r="P60" s="19">
        <f t="shared" si="15"/>
        <v>153</v>
      </c>
      <c r="Q60" s="19">
        <f t="shared" si="15"/>
        <v>164</v>
      </c>
      <c r="R60" s="19">
        <f t="shared" si="15"/>
        <v>163</v>
      </c>
      <c r="S60" s="19">
        <f t="shared" si="15"/>
        <v>182</v>
      </c>
      <c r="T60" s="19">
        <f t="shared" si="15"/>
        <v>164</v>
      </c>
      <c r="U60" s="19">
        <f t="shared" si="15"/>
        <v>170</v>
      </c>
      <c r="V60" s="19">
        <f t="shared" si="15"/>
        <v>171</v>
      </c>
      <c r="W60" s="19">
        <f t="shared" si="15"/>
        <v>154</v>
      </c>
      <c r="X60" s="19">
        <f t="shared" si="15"/>
        <v>167</v>
      </c>
      <c r="Y60" s="19">
        <f t="shared" si="15"/>
        <v>144</v>
      </c>
      <c r="Z60" s="19">
        <f t="shared" si="15"/>
        <v>148</v>
      </c>
      <c r="AA60" s="19">
        <f t="shared" si="15"/>
        <v>159</v>
      </c>
      <c r="AB60" s="19">
        <f t="shared" si="15"/>
        <v>183</v>
      </c>
      <c r="AC60" s="19">
        <f t="shared" si="15"/>
        <v>144</v>
      </c>
      <c r="AD60" s="19">
        <f t="shared" si="15"/>
        <v>167</v>
      </c>
      <c r="AE60" s="19">
        <f t="shared" si="15"/>
        <v>190</v>
      </c>
      <c r="AF60" s="19">
        <f t="shared" si="15"/>
        <v>164</v>
      </c>
      <c r="AG60" s="19">
        <f t="shared" si="15"/>
        <v>158</v>
      </c>
      <c r="AH60" s="19">
        <f t="shared" si="15"/>
        <v>182</v>
      </c>
      <c r="AI60" s="13">
        <f t="shared" ref="AI60:AI62" si="16">SUM(E60:AH60)</f>
        <v>4788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52.0</v>
      </c>
      <c r="F61" s="19">
        <v>40.0</v>
      </c>
      <c r="G61" s="19">
        <v>52.0</v>
      </c>
      <c r="H61" s="19">
        <v>37.0</v>
      </c>
      <c r="I61" s="19">
        <v>47.0</v>
      </c>
      <c r="J61" s="19">
        <v>34.0</v>
      </c>
      <c r="K61" s="19">
        <v>57.0</v>
      </c>
      <c r="L61" s="19">
        <v>34.0</v>
      </c>
      <c r="M61" s="19">
        <v>39.0</v>
      </c>
      <c r="N61" s="19">
        <v>60.0</v>
      </c>
      <c r="O61" s="19">
        <v>32.0</v>
      </c>
      <c r="P61" s="19">
        <v>45.0</v>
      </c>
      <c r="Q61" s="19">
        <v>55.0</v>
      </c>
      <c r="R61" s="19">
        <v>40.0</v>
      </c>
      <c r="S61" s="19">
        <v>44.0</v>
      </c>
      <c r="T61" s="19">
        <v>25.0</v>
      </c>
      <c r="U61" s="19">
        <v>39.0</v>
      </c>
      <c r="V61" s="19">
        <v>45.0</v>
      </c>
      <c r="W61" s="19">
        <v>32.0</v>
      </c>
      <c r="X61" s="19">
        <v>35.0</v>
      </c>
      <c r="Y61" s="19">
        <v>46.0</v>
      </c>
      <c r="Z61" s="19">
        <v>64.0</v>
      </c>
      <c r="AA61" s="19">
        <v>47.0</v>
      </c>
      <c r="AB61" s="19">
        <v>39.0</v>
      </c>
      <c r="AC61" s="19">
        <v>43.0</v>
      </c>
      <c r="AD61" s="19">
        <v>53.0</v>
      </c>
      <c r="AE61" s="19">
        <v>53.0</v>
      </c>
      <c r="AF61" s="19">
        <v>43.0</v>
      </c>
      <c r="AG61" s="19">
        <v>61.0</v>
      </c>
      <c r="AH61" s="19">
        <v>56.0</v>
      </c>
      <c r="AI61" s="13">
        <f t="shared" si="16"/>
        <v>1349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H62" si="17">SUM(E60:E61)</f>
        <v>182</v>
      </c>
      <c r="F62" s="13">
        <f t="shared" si="17"/>
        <v>127</v>
      </c>
      <c r="G62" s="13">
        <f t="shared" si="17"/>
        <v>209</v>
      </c>
      <c r="H62" s="13">
        <f t="shared" si="17"/>
        <v>203</v>
      </c>
      <c r="I62" s="13">
        <f t="shared" si="17"/>
        <v>210</v>
      </c>
      <c r="J62" s="13">
        <f t="shared" si="17"/>
        <v>205</v>
      </c>
      <c r="K62" s="13">
        <f t="shared" si="17"/>
        <v>235</v>
      </c>
      <c r="L62" s="13">
        <f t="shared" si="17"/>
        <v>198</v>
      </c>
      <c r="M62" s="13">
        <f t="shared" si="17"/>
        <v>198</v>
      </c>
      <c r="N62" s="13">
        <f t="shared" si="17"/>
        <v>201</v>
      </c>
      <c r="O62" s="13">
        <f t="shared" si="17"/>
        <v>177</v>
      </c>
      <c r="P62" s="13">
        <f t="shared" si="17"/>
        <v>198</v>
      </c>
      <c r="Q62" s="13">
        <f t="shared" si="17"/>
        <v>219</v>
      </c>
      <c r="R62" s="13">
        <f t="shared" si="17"/>
        <v>203</v>
      </c>
      <c r="S62" s="13">
        <f t="shared" si="17"/>
        <v>226</v>
      </c>
      <c r="T62" s="13">
        <f t="shared" si="17"/>
        <v>189</v>
      </c>
      <c r="U62" s="13">
        <f t="shared" si="17"/>
        <v>209</v>
      </c>
      <c r="V62" s="13">
        <f t="shared" si="17"/>
        <v>216</v>
      </c>
      <c r="W62" s="13">
        <f t="shared" si="17"/>
        <v>186</v>
      </c>
      <c r="X62" s="13">
        <f t="shared" si="17"/>
        <v>202</v>
      </c>
      <c r="Y62" s="13">
        <f t="shared" si="17"/>
        <v>190</v>
      </c>
      <c r="Z62" s="13">
        <f t="shared" si="17"/>
        <v>212</v>
      </c>
      <c r="AA62" s="13">
        <f t="shared" si="17"/>
        <v>206</v>
      </c>
      <c r="AB62" s="13">
        <f t="shared" si="17"/>
        <v>222</v>
      </c>
      <c r="AC62" s="13">
        <f t="shared" si="17"/>
        <v>187</v>
      </c>
      <c r="AD62" s="13">
        <f t="shared" si="17"/>
        <v>220</v>
      </c>
      <c r="AE62" s="13">
        <f t="shared" si="17"/>
        <v>243</v>
      </c>
      <c r="AF62" s="13">
        <f t="shared" si="17"/>
        <v>207</v>
      </c>
      <c r="AG62" s="13">
        <f t="shared" si="17"/>
        <v>219</v>
      </c>
      <c r="AH62" s="13">
        <f t="shared" si="17"/>
        <v>238</v>
      </c>
      <c r="AI62" s="13">
        <f t="shared" si="16"/>
        <v>6137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H12"/>
    <mergeCell ref="AI12:AI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H15 E45:AH57">
    <cfRule type="containsBlanks" dxfId="1" priority="2">
      <formula>LEN(TRIM(E14))=0</formula>
    </cfRule>
  </conditionalFormatting>
  <conditionalFormatting sqref="E19:AH20">
    <cfRule type="containsBlanks" dxfId="1" priority="3">
      <formula>LEN(TRIM(E19))=0</formula>
    </cfRule>
  </conditionalFormatting>
  <conditionalFormatting sqref="E22:AH23 E25:AH26 E33:AH33 E35:AH35 E39:AH40">
    <cfRule type="containsBlanks" dxfId="1" priority="4">
      <formula>LEN(TRIM(E22))=0</formula>
    </cfRule>
  </conditionalFormatting>
  <conditionalFormatting sqref="E30:AH30">
    <cfRule type="expression" dxfId="0" priority="5">
      <formula>E30&lt;&gt;E46</formula>
    </cfRule>
  </conditionalFormatting>
  <conditionalFormatting sqref="E30:AH30">
    <cfRule type="expression" dxfId="0" priority="6">
      <formula>E30&lt;&gt;E34</formula>
    </cfRule>
  </conditionalFormatting>
  <conditionalFormatting sqref="E34:AH34">
    <cfRule type="expression" dxfId="2" priority="7">
      <formula>E30&lt;&gt;E34</formula>
    </cfRule>
  </conditionalFormatting>
  <conditionalFormatting sqref="E34:AH34">
    <cfRule type="expression" dxfId="3" priority="8">
      <formula>E30=E34</formula>
    </cfRule>
  </conditionalFormatting>
  <conditionalFormatting sqref="E34:AH34">
    <cfRule type="expression" dxfId="0" priority="9">
      <formula>E34&lt;&gt;E30</formula>
    </cfRule>
  </conditionalFormatting>
  <conditionalFormatting sqref="E60:AH61">
    <cfRule type="containsBlanks" dxfId="1" priority="10">
      <formula>LEN(TRIM(E60))=0</formula>
    </cfRule>
  </conditionalFormatting>
  <conditionalFormatting sqref="U34:AH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99.0</v>
      </c>
      <c r="F14" s="19">
        <v>85.0</v>
      </c>
      <c r="G14" s="19">
        <v>115.0</v>
      </c>
      <c r="H14" s="19">
        <v>126.0</v>
      </c>
      <c r="I14" s="19">
        <v>128.0</v>
      </c>
      <c r="J14" s="19">
        <v>122.0</v>
      </c>
      <c r="K14" s="19">
        <v>134.0</v>
      </c>
      <c r="L14" s="19">
        <v>141.0</v>
      </c>
      <c r="M14" s="19">
        <v>129.0</v>
      </c>
      <c r="N14" s="19">
        <v>99.0</v>
      </c>
      <c r="O14" s="19">
        <v>72.0</v>
      </c>
      <c r="P14" s="19">
        <v>132.0</v>
      </c>
      <c r="Q14" s="19">
        <v>136.0</v>
      </c>
      <c r="R14" s="19">
        <v>131.0</v>
      </c>
      <c r="S14" s="13">
        <f t="shared" ref="S14:S16" si="1">SUM(E14:R14)</f>
        <v>1649</v>
      </c>
    </row>
    <row r="15" ht="12.75" customHeight="1">
      <c r="A15" s="18"/>
      <c r="B15" s="26"/>
      <c r="C15" s="27"/>
      <c r="D15" s="19" t="s">
        <v>13</v>
      </c>
      <c r="E15" s="19">
        <v>104.0</v>
      </c>
      <c r="F15" s="19">
        <v>87.0</v>
      </c>
      <c r="G15" s="19">
        <v>106.0</v>
      </c>
      <c r="H15" s="19">
        <v>148.0</v>
      </c>
      <c r="I15" s="19">
        <v>147.0</v>
      </c>
      <c r="J15" s="19">
        <v>148.0</v>
      </c>
      <c r="K15" s="19">
        <v>162.0</v>
      </c>
      <c r="L15" s="19">
        <v>152.0</v>
      </c>
      <c r="M15" s="19">
        <v>122.0</v>
      </c>
      <c r="N15" s="19">
        <v>106.0</v>
      </c>
      <c r="O15" s="19">
        <v>75.0</v>
      </c>
      <c r="P15" s="19">
        <v>131.0</v>
      </c>
      <c r="Q15" s="19">
        <v>141.0</v>
      </c>
      <c r="R15" s="19">
        <v>140.0</v>
      </c>
      <c r="S15" s="13">
        <f t="shared" si="1"/>
        <v>1769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203</v>
      </c>
      <c r="F16" s="13">
        <f t="shared" si="2"/>
        <v>172</v>
      </c>
      <c r="G16" s="13">
        <f t="shared" si="2"/>
        <v>221</v>
      </c>
      <c r="H16" s="13">
        <f t="shared" si="2"/>
        <v>274</v>
      </c>
      <c r="I16" s="13">
        <f t="shared" si="2"/>
        <v>275</v>
      </c>
      <c r="J16" s="13">
        <f t="shared" si="2"/>
        <v>270</v>
      </c>
      <c r="K16" s="13">
        <f t="shared" si="2"/>
        <v>296</v>
      </c>
      <c r="L16" s="13">
        <f t="shared" si="2"/>
        <v>293</v>
      </c>
      <c r="M16" s="13">
        <f t="shared" si="2"/>
        <v>251</v>
      </c>
      <c r="N16" s="13">
        <f t="shared" si="2"/>
        <v>205</v>
      </c>
      <c r="O16" s="13">
        <f t="shared" si="2"/>
        <v>147</v>
      </c>
      <c r="P16" s="13">
        <f t="shared" si="2"/>
        <v>263</v>
      </c>
      <c r="Q16" s="13">
        <f t="shared" si="2"/>
        <v>277</v>
      </c>
      <c r="R16" s="13">
        <f t="shared" si="2"/>
        <v>271</v>
      </c>
      <c r="S16" s="13">
        <f t="shared" si="1"/>
        <v>3418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69.0</v>
      </c>
      <c r="F19" s="19">
        <v>61.0</v>
      </c>
      <c r="G19" s="19">
        <v>73.0</v>
      </c>
      <c r="H19" s="19">
        <v>116.0</v>
      </c>
      <c r="I19" s="19">
        <v>84.0</v>
      </c>
      <c r="J19" s="19">
        <v>111.0</v>
      </c>
      <c r="K19" s="19">
        <v>90.0</v>
      </c>
      <c r="L19" s="19">
        <v>105.0</v>
      </c>
      <c r="M19" s="19">
        <v>78.0</v>
      </c>
      <c r="N19" s="19">
        <v>64.0</v>
      </c>
      <c r="O19" s="19">
        <v>51.0</v>
      </c>
      <c r="P19" s="19">
        <v>91.0</v>
      </c>
      <c r="Q19" s="19">
        <v>96.0</v>
      </c>
      <c r="R19" s="19">
        <v>90.0</v>
      </c>
      <c r="S19" s="13">
        <f t="shared" ref="S19:S30" si="3">SUM(E19:R19)</f>
        <v>1179</v>
      </c>
    </row>
    <row r="20" ht="12.75" customHeight="1">
      <c r="A20" s="33"/>
      <c r="B20" s="27"/>
      <c r="C20" s="34"/>
      <c r="D20" s="19" t="s">
        <v>13</v>
      </c>
      <c r="E20" s="19">
        <v>81.0</v>
      </c>
      <c r="F20" s="19">
        <v>66.0</v>
      </c>
      <c r="G20" s="19">
        <v>82.0</v>
      </c>
      <c r="H20" s="19">
        <v>95.0</v>
      </c>
      <c r="I20" s="19">
        <v>114.0</v>
      </c>
      <c r="J20" s="19">
        <v>85.0</v>
      </c>
      <c r="K20" s="19">
        <v>126.0</v>
      </c>
      <c r="L20" s="19">
        <v>117.0</v>
      </c>
      <c r="M20" s="19">
        <v>88.0</v>
      </c>
      <c r="N20" s="19">
        <v>76.0</v>
      </c>
      <c r="O20" s="19">
        <v>54.0</v>
      </c>
      <c r="P20" s="19">
        <v>103.0</v>
      </c>
      <c r="Q20" s="19">
        <v>117.0</v>
      </c>
      <c r="R20" s="19">
        <v>100.0</v>
      </c>
      <c r="S20" s="13">
        <f t="shared" si="3"/>
        <v>1304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150</v>
      </c>
      <c r="F21" s="13">
        <f t="shared" si="4"/>
        <v>127</v>
      </c>
      <c r="G21" s="13">
        <f t="shared" si="4"/>
        <v>155</v>
      </c>
      <c r="H21" s="13">
        <f t="shared" si="4"/>
        <v>211</v>
      </c>
      <c r="I21" s="13">
        <f t="shared" si="4"/>
        <v>198</v>
      </c>
      <c r="J21" s="13">
        <f t="shared" si="4"/>
        <v>196</v>
      </c>
      <c r="K21" s="13">
        <f t="shared" si="4"/>
        <v>216</v>
      </c>
      <c r="L21" s="13">
        <f t="shared" si="4"/>
        <v>222</v>
      </c>
      <c r="M21" s="13">
        <f t="shared" si="4"/>
        <v>166</v>
      </c>
      <c r="N21" s="13">
        <f t="shared" si="4"/>
        <v>140</v>
      </c>
      <c r="O21" s="13">
        <f t="shared" si="4"/>
        <v>105</v>
      </c>
      <c r="P21" s="13">
        <f t="shared" si="4"/>
        <v>194</v>
      </c>
      <c r="Q21" s="13">
        <f t="shared" si="4"/>
        <v>213</v>
      </c>
      <c r="R21" s="13">
        <f t="shared" si="4"/>
        <v>190</v>
      </c>
      <c r="S21" s="13">
        <f t="shared" si="3"/>
        <v>2483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1.0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2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4.0</v>
      </c>
      <c r="G25" s="19">
        <v>3.0</v>
      </c>
      <c r="H25" s="19">
        <v>0.0</v>
      </c>
      <c r="I25" s="19">
        <v>0.0</v>
      </c>
      <c r="J25" s="19">
        <v>0.0</v>
      </c>
      <c r="K25" s="19">
        <v>3.0</v>
      </c>
      <c r="L25" s="19">
        <v>4.0</v>
      </c>
      <c r="M25" s="19">
        <v>0.0</v>
      </c>
      <c r="N25" s="19">
        <v>2.0</v>
      </c>
      <c r="O25" s="19">
        <v>1.0</v>
      </c>
      <c r="P25" s="19">
        <v>2.0</v>
      </c>
      <c r="Q25" s="19">
        <v>0.0</v>
      </c>
      <c r="R25" s="19">
        <v>0.0</v>
      </c>
      <c r="S25" s="13">
        <f t="shared" si="3"/>
        <v>19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3.0</v>
      </c>
      <c r="H26" s="19">
        <v>0.0</v>
      </c>
      <c r="I26" s="19">
        <v>0.0</v>
      </c>
      <c r="J26" s="19">
        <v>1.0</v>
      </c>
      <c r="K26" s="19">
        <v>3.0</v>
      </c>
      <c r="L26" s="19">
        <v>3.0</v>
      </c>
      <c r="M26" s="19">
        <v>0.0</v>
      </c>
      <c r="N26" s="19">
        <v>6.0</v>
      </c>
      <c r="O26" s="19">
        <v>0.0</v>
      </c>
      <c r="P26" s="19">
        <v>1.0</v>
      </c>
      <c r="Q26" s="19">
        <v>0.0</v>
      </c>
      <c r="R26" s="19">
        <v>1.0</v>
      </c>
      <c r="S26" s="13">
        <f t="shared" si="3"/>
        <v>21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1</v>
      </c>
      <c r="F27" s="13">
        <f t="shared" si="6"/>
        <v>6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6</v>
      </c>
      <c r="L27" s="13">
        <f t="shared" si="6"/>
        <v>7</v>
      </c>
      <c r="M27" s="13">
        <f t="shared" si="6"/>
        <v>0</v>
      </c>
      <c r="N27" s="13">
        <f t="shared" si="6"/>
        <v>8</v>
      </c>
      <c r="O27" s="13">
        <f t="shared" si="6"/>
        <v>1</v>
      </c>
      <c r="P27" s="13">
        <f t="shared" si="6"/>
        <v>3</v>
      </c>
      <c r="Q27" s="13">
        <f t="shared" si="6"/>
        <v>0</v>
      </c>
      <c r="R27" s="13">
        <f t="shared" si="6"/>
        <v>1</v>
      </c>
      <c r="S27" s="13">
        <f t="shared" si="3"/>
        <v>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69</v>
      </c>
      <c r="F28" s="13">
        <f t="shared" si="7"/>
        <v>65</v>
      </c>
      <c r="G28" s="13">
        <f t="shared" si="7"/>
        <v>76</v>
      </c>
      <c r="H28" s="13">
        <f t="shared" si="7"/>
        <v>117</v>
      </c>
      <c r="I28" s="13">
        <f t="shared" si="7"/>
        <v>85</v>
      </c>
      <c r="J28" s="13">
        <f t="shared" si="7"/>
        <v>112</v>
      </c>
      <c r="K28" s="13">
        <f t="shared" si="7"/>
        <v>93</v>
      </c>
      <c r="L28" s="13">
        <f t="shared" si="7"/>
        <v>109</v>
      </c>
      <c r="M28" s="13">
        <f t="shared" si="7"/>
        <v>78</v>
      </c>
      <c r="N28" s="13">
        <f t="shared" si="7"/>
        <v>66</v>
      </c>
      <c r="O28" s="13">
        <f t="shared" si="7"/>
        <v>52</v>
      </c>
      <c r="P28" s="13">
        <f t="shared" si="7"/>
        <v>94</v>
      </c>
      <c r="Q28" s="13">
        <f t="shared" si="7"/>
        <v>96</v>
      </c>
      <c r="R28" s="13">
        <f t="shared" si="7"/>
        <v>90</v>
      </c>
      <c r="S28" s="13">
        <f t="shared" si="3"/>
        <v>1202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82</v>
      </c>
      <c r="F29" s="13">
        <f t="shared" si="8"/>
        <v>68</v>
      </c>
      <c r="G29" s="13">
        <f t="shared" si="8"/>
        <v>85</v>
      </c>
      <c r="H29" s="13">
        <f t="shared" si="8"/>
        <v>96</v>
      </c>
      <c r="I29" s="13">
        <f t="shared" si="8"/>
        <v>115</v>
      </c>
      <c r="J29" s="13">
        <f t="shared" si="8"/>
        <v>87</v>
      </c>
      <c r="K29" s="13">
        <f t="shared" si="8"/>
        <v>129</v>
      </c>
      <c r="L29" s="13">
        <f t="shared" si="8"/>
        <v>120</v>
      </c>
      <c r="M29" s="13">
        <f t="shared" si="8"/>
        <v>88</v>
      </c>
      <c r="N29" s="13">
        <f t="shared" si="8"/>
        <v>82</v>
      </c>
      <c r="O29" s="13">
        <f t="shared" si="8"/>
        <v>54</v>
      </c>
      <c r="P29" s="13">
        <f t="shared" si="8"/>
        <v>104</v>
      </c>
      <c r="Q29" s="13">
        <f t="shared" si="8"/>
        <v>117</v>
      </c>
      <c r="R29" s="13">
        <f t="shared" si="8"/>
        <v>101</v>
      </c>
      <c r="S29" s="13">
        <f t="shared" si="3"/>
        <v>1328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151</v>
      </c>
      <c r="F30" s="13">
        <f t="shared" si="9"/>
        <v>133</v>
      </c>
      <c r="G30" s="13">
        <f t="shared" si="9"/>
        <v>161</v>
      </c>
      <c r="H30" s="13">
        <f t="shared" si="9"/>
        <v>213</v>
      </c>
      <c r="I30" s="13">
        <f t="shared" si="9"/>
        <v>200</v>
      </c>
      <c r="J30" s="13">
        <f t="shared" si="9"/>
        <v>199</v>
      </c>
      <c r="K30" s="13">
        <f t="shared" si="9"/>
        <v>222</v>
      </c>
      <c r="L30" s="13">
        <f t="shared" si="9"/>
        <v>229</v>
      </c>
      <c r="M30" s="13">
        <f t="shared" si="9"/>
        <v>166</v>
      </c>
      <c r="N30" s="13">
        <f t="shared" si="9"/>
        <v>148</v>
      </c>
      <c r="O30" s="13">
        <f t="shared" si="9"/>
        <v>106</v>
      </c>
      <c r="P30" s="13">
        <f t="shared" si="9"/>
        <v>198</v>
      </c>
      <c r="Q30" s="13">
        <f t="shared" si="9"/>
        <v>213</v>
      </c>
      <c r="R30" s="13">
        <f t="shared" si="9"/>
        <v>191</v>
      </c>
      <c r="S30" s="13">
        <f t="shared" si="3"/>
        <v>2530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85</v>
      </c>
      <c r="C33" s="15"/>
      <c r="D33" s="16"/>
      <c r="E33" s="19">
        <v>208.0</v>
      </c>
      <c r="F33" s="19">
        <v>176.0</v>
      </c>
      <c r="G33" s="19">
        <v>226.0</v>
      </c>
      <c r="H33" s="19">
        <v>280.0</v>
      </c>
      <c r="I33" s="19">
        <v>281.0</v>
      </c>
      <c r="J33" s="19">
        <v>276.0</v>
      </c>
      <c r="K33" s="19">
        <v>302.0</v>
      </c>
      <c r="L33" s="19">
        <v>299.0</v>
      </c>
      <c r="M33" s="19">
        <v>258.0</v>
      </c>
      <c r="N33" s="19">
        <v>209.0</v>
      </c>
      <c r="O33" s="19">
        <v>150.0</v>
      </c>
      <c r="P33" s="19">
        <v>269.0</v>
      </c>
      <c r="Q33" s="19">
        <v>283.0</v>
      </c>
      <c r="R33" s="19">
        <v>277.0</v>
      </c>
      <c r="S33" s="13">
        <f t="shared" ref="S33:S36" si="10">SUM(E33:R33)</f>
        <v>3494</v>
      </c>
    </row>
    <row r="34" ht="12.75" customHeight="1">
      <c r="A34" s="19">
        <v>2.0</v>
      </c>
      <c r="B34" s="20" t="s">
        <v>28</v>
      </c>
      <c r="C34" s="15"/>
      <c r="D34" s="16"/>
      <c r="E34" s="13">
        <v>151.0</v>
      </c>
      <c r="F34" s="13">
        <v>133.0</v>
      </c>
      <c r="G34" s="13">
        <v>161.0</v>
      </c>
      <c r="H34" s="13">
        <v>213.0</v>
      </c>
      <c r="I34" s="13">
        <v>200.0</v>
      </c>
      <c r="J34" s="13">
        <v>199.0</v>
      </c>
      <c r="K34" s="13">
        <v>222.0</v>
      </c>
      <c r="L34" s="13">
        <v>229.0</v>
      </c>
      <c r="M34" s="13">
        <v>166.0</v>
      </c>
      <c r="N34" s="13">
        <v>148.0</v>
      </c>
      <c r="O34" s="13">
        <v>106.0</v>
      </c>
      <c r="P34" s="13">
        <v>198.0</v>
      </c>
      <c r="Q34" s="13">
        <v>213.0</v>
      </c>
      <c r="R34" s="13">
        <v>191.0</v>
      </c>
      <c r="S34" s="13">
        <f t="shared" si="10"/>
        <v>2530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57</v>
      </c>
      <c r="F36" s="13">
        <f t="shared" si="11"/>
        <v>43</v>
      </c>
      <c r="G36" s="13">
        <f t="shared" si="11"/>
        <v>65</v>
      </c>
      <c r="H36" s="13">
        <f t="shared" si="11"/>
        <v>66</v>
      </c>
      <c r="I36" s="13">
        <f t="shared" si="11"/>
        <v>81</v>
      </c>
      <c r="J36" s="13">
        <f t="shared" si="11"/>
        <v>76</v>
      </c>
      <c r="K36" s="13">
        <f t="shared" si="11"/>
        <v>80</v>
      </c>
      <c r="L36" s="13">
        <f t="shared" si="11"/>
        <v>70</v>
      </c>
      <c r="M36" s="13">
        <f t="shared" si="11"/>
        <v>92</v>
      </c>
      <c r="N36" s="13">
        <f t="shared" si="11"/>
        <v>60</v>
      </c>
      <c r="O36" s="13">
        <f t="shared" si="11"/>
        <v>44</v>
      </c>
      <c r="P36" s="13">
        <f t="shared" si="11"/>
        <v>71</v>
      </c>
      <c r="Q36" s="13">
        <f t="shared" si="11"/>
        <v>70</v>
      </c>
      <c r="R36" s="13">
        <f t="shared" si="11"/>
        <v>86</v>
      </c>
      <c r="S36" s="13">
        <f t="shared" si="10"/>
        <v>961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>
        <v>2.0</v>
      </c>
      <c r="L39" s="19"/>
      <c r="M39" s="19"/>
      <c r="N39" s="19">
        <v>1.0</v>
      </c>
      <c r="O39" s="19"/>
      <c r="P39" s="19"/>
      <c r="Q39" s="19"/>
      <c r="R39" s="19"/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19"/>
      <c r="F40" s="19"/>
      <c r="G40" s="19">
        <v>1.0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3"/>
    </row>
    <row r="45" ht="12.75" customHeight="1">
      <c r="A45" s="30"/>
      <c r="B45" s="47" t="s">
        <v>17</v>
      </c>
      <c r="C45" s="62" t="s">
        <v>38</v>
      </c>
      <c r="D45" s="16"/>
      <c r="E45" s="19">
        <v>2.0</v>
      </c>
      <c r="F45" s="19">
        <v>2.0</v>
      </c>
      <c r="G45" s="19">
        <v>3.0</v>
      </c>
      <c r="H45" s="19">
        <v>14.0</v>
      </c>
      <c r="I45" s="19">
        <v>10.0</v>
      </c>
      <c r="J45" s="19">
        <v>7.0</v>
      </c>
      <c r="K45" s="19">
        <v>11.0</v>
      </c>
      <c r="L45" s="19">
        <v>18.0</v>
      </c>
      <c r="M45" s="19">
        <v>10.0</v>
      </c>
      <c r="N45" s="19">
        <v>11.0</v>
      </c>
      <c r="O45" s="19">
        <v>7.0</v>
      </c>
      <c r="P45" s="19">
        <v>4.0</v>
      </c>
      <c r="Q45" s="19">
        <v>9.0</v>
      </c>
      <c r="R45" s="19">
        <v>13.0</v>
      </c>
      <c r="S45" s="13">
        <f t="shared" ref="S45:S57" si="14">SUM(E45:R45)</f>
        <v>121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31.0</v>
      </c>
      <c r="F46" s="19">
        <v>25.0</v>
      </c>
      <c r="G46" s="19">
        <v>39.0</v>
      </c>
      <c r="H46" s="19">
        <v>28.0</v>
      </c>
      <c r="I46" s="19">
        <v>26.0</v>
      </c>
      <c r="J46" s="19">
        <v>26.0</v>
      </c>
      <c r="K46" s="19">
        <v>35.0</v>
      </c>
      <c r="L46" s="19">
        <v>31.0</v>
      </c>
      <c r="M46" s="19">
        <v>27.0</v>
      </c>
      <c r="N46" s="19">
        <v>27.0</v>
      </c>
      <c r="O46" s="19">
        <v>13.0</v>
      </c>
      <c r="P46" s="19">
        <v>35.0</v>
      </c>
      <c r="Q46" s="19">
        <v>27.0</v>
      </c>
      <c r="R46" s="19">
        <v>24.0</v>
      </c>
      <c r="S46" s="13">
        <f t="shared" si="14"/>
        <v>394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5.0</v>
      </c>
      <c r="F47" s="19">
        <v>9.0</v>
      </c>
      <c r="G47" s="19">
        <v>7.0</v>
      </c>
      <c r="H47" s="19">
        <v>10.0</v>
      </c>
      <c r="I47" s="19">
        <v>14.0</v>
      </c>
      <c r="J47" s="19">
        <v>5.0</v>
      </c>
      <c r="K47" s="19">
        <v>14.0</v>
      </c>
      <c r="L47" s="19">
        <v>13.0</v>
      </c>
      <c r="M47" s="19">
        <v>11.0</v>
      </c>
      <c r="N47" s="19">
        <v>9.0</v>
      </c>
      <c r="O47" s="19">
        <v>4.0</v>
      </c>
      <c r="P47" s="19">
        <v>6.0</v>
      </c>
      <c r="Q47" s="19">
        <v>13.0</v>
      </c>
      <c r="R47" s="19">
        <v>13.0</v>
      </c>
      <c r="S47" s="13">
        <f t="shared" si="14"/>
        <v>133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18.0</v>
      </c>
      <c r="F48" s="19">
        <v>11.0</v>
      </c>
      <c r="G48" s="19">
        <v>17.0</v>
      </c>
      <c r="H48" s="19">
        <v>9.0</v>
      </c>
      <c r="I48" s="19">
        <v>16.0</v>
      </c>
      <c r="J48" s="19">
        <v>15.0</v>
      </c>
      <c r="K48" s="19">
        <v>17.0</v>
      </c>
      <c r="L48" s="19">
        <v>21.0</v>
      </c>
      <c r="M48" s="19">
        <v>14.0</v>
      </c>
      <c r="N48" s="19">
        <v>22.0</v>
      </c>
      <c r="O48" s="19">
        <v>8.0</v>
      </c>
      <c r="P48" s="19">
        <v>17.0</v>
      </c>
      <c r="Q48" s="19">
        <v>22.0</v>
      </c>
      <c r="R48" s="19">
        <v>16.0</v>
      </c>
      <c r="S48" s="13">
        <f t="shared" si="14"/>
        <v>223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15.0</v>
      </c>
      <c r="F49" s="19">
        <v>21.0</v>
      </c>
      <c r="G49" s="19">
        <v>13.0</v>
      </c>
      <c r="H49" s="19">
        <v>19.0</v>
      </c>
      <c r="I49" s="19">
        <v>21.0</v>
      </c>
      <c r="J49" s="19">
        <v>23.0</v>
      </c>
      <c r="K49" s="19">
        <v>23.0</v>
      </c>
      <c r="L49" s="19">
        <v>17.0</v>
      </c>
      <c r="M49" s="19">
        <v>14.0</v>
      </c>
      <c r="N49" s="19">
        <v>10.0</v>
      </c>
      <c r="O49" s="19">
        <v>9.0</v>
      </c>
      <c r="P49" s="19">
        <v>18.0</v>
      </c>
      <c r="Q49" s="19">
        <v>21.0</v>
      </c>
      <c r="R49" s="19">
        <v>16.0</v>
      </c>
      <c r="S49" s="13">
        <f t="shared" si="14"/>
        <v>240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10.0</v>
      </c>
      <c r="F50" s="19">
        <v>17.0</v>
      </c>
      <c r="G50" s="19">
        <v>9.0</v>
      </c>
      <c r="H50" s="19">
        <v>13.0</v>
      </c>
      <c r="I50" s="19">
        <v>15.0</v>
      </c>
      <c r="J50" s="19">
        <v>10.0</v>
      </c>
      <c r="K50" s="19">
        <v>9.0</v>
      </c>
      <c r="L50" s="19">
        <v>16.0</v>
      </c>
      <c r="M50" s="19">
        <v>7.0</v>
      </c>
      <c r="N50" s="19">
        <v>3.0</v>
      </c>
      <c r="O50" s="19">
        <v>6.0</v>
      </c>
      <c r="P50" s="19">
        <v>6.0</v>
      </c>
      <c r="Q50" s="19">
        <v>10.0</v>
      </c>
      <c r="R50" s="19">
        <v>9.0</v>
      </c>
      <c r="S50" s="13">
        <f t="shared" si="14"/>
        <v>140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0.0</v>
      </c>
      <c r="G51" s="19">
        <v>3.0</v>
      </c>
      <c r="H51" s="19">
        <v>2.0</v>
      </c>
      <c r="I51" s="19">
        <v>0.0</v>
      </c>
      <c r="J51" s="19">
        <v>4.0</v>
      </c>
      <c r="K51" s="19">
        <v>4.0</v>
      </c>
      <c r="L51" s="19">
        <v>1.0</v>
      </c>
      <c r="M51" s="19">
        <v>6.0</v>
      </c>
      <c r="N51" s="19">
        <v>2.0</v>
      </c>
      <c r="O51" s="19">
        <v>2.0</v>
      </c>
      <c r="P51" s="19">
        <v>2.0</v>
      </c>
      <c r="Q51" s="19">
        <v>2.0</v>
      </c>
      <c r="R51" s="19">
        <v>5.0</v>
      </c>
      <c r="S51" s="13">
        <f t="shared" si="14"/>
        <v>34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0.0</v>
      </c>
      <c r="G52" s="19">
        <v>3.0</v>
      </c>
      <c r="H52" s="19">
        <v>5.0</v>
      </c>
      <c r="I52" s="19">
        <v>3.0</v>
      </c>
      <c r="J52" s="19">
        <v>3.0</v>
      </c>
      <c r="K52" s="19">
        <v>2.0</v>
      </c>
      <c r="L52" s="19">
        <v>1.0</v>
      </c>
      <c r="M52" s="19">
        <v>4.0</v>
      </c>
      <c r="N52" s="19">
        <v>3.0</v>
      </c>
      <c r="O52" s="19">
        <v>1.0</v>
      </c>
      <c r="P52" s="19">
        <v>6.0</v>
      </c>
      <c r="Q52" s="19">
        <v>3.0</v>
      </c>
      <c r="R52" s="19">
        <v>2.0</v>
      </c>
      <c r="S52" s="13">
        <f t="shared" si="14"/>
        <v>37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0.0</v>
      </c>
      <c r="G53" s="19">
        <v>3.0</v>
      </c>
      <c r="H53" s="19">
        <v>3.0</v>
      </c>
      <c r="I53" s="19">
        <v>1.0</v>
      </c>
      <c r="J53" s="19">
        <v>2.0</v>
      </c>
      <c r="K53" s="19">
        <v>4.0</v>
      </c>
      <c r="L53" s="19">
        <v>2.0</v>
      </c>
      <c r="M53" s="19">
        <v>2.0</v>
      </c>
      <c r="N53" s="19">
        <v>1.0</v>
      </c>
      <c r="O53" s="19">
        <v>1.0</v>
      </c>
      <c r="P53" s="19">
        <v>0.0</v>
      </c>
      <c r="Q53" s="19">
        <v>1.0</v>
      </c>
      <c r="R53" s="19">
        <v>1.0</v>
      </c>
      <c r="S53" s="13">
        <f t="shared" si="14"/>
        <v>23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21.0</v>
      </c>
      <c r="F54" s="19">
        <v>13.0</v>
      </c>
      <c r="G54" s="19">
        <v>13.0</v>
      </c>
      <c r="H54" s="19">
        <v>23.0</v>
      </c>
      <c r="I54" s="19">
        <v>26.0</v>
      </c>
      <c r="J54" s="19">
        <v>34.0</v>
      </c>
      <c r="K54" s="19">
        <v>33.0</v>
      </c>
      <c r="L54" s="19">
        <v>27.0</v>
      </c>
      <c r="M54" s="19">
        <v>19.0</v>
      </c>
      <c r="N54" s="19">
        <v>13.0</v>
      </c>
      <c r="O54" s="19">
        <v>10.0</v>
      </c>
      <c r="P54" s="19">
        <v>32.0</v>
      </c>
      <c r="Q54" s="19">
        <v>20.0</v>
      </c>
      <c r="R54" s="19">
        <v>17.0</v>
      </c>
      <c r="S54" s="13">
        <f t="shared" si="14"/>
        <v>301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1.0</v>
      </c>
      <c r="G55" s="19">
        <v>0.0</v>
      </c>
      <c r="H55" s="19">
        <v>1.0</v>
      </c>
      <c r="I55" s="19">
        <v>3.0</v>
      </c>
      <c r="J55" s="19">
        <v>0.0</v>
      </c>
      <c r="K55" s="19">
        <v>2.0</v>
      </c>
      <c r="L55" s="19">
        <v>1.0</v>
      </c>
      <c r="M55" s="19">
        <v>1.0</v>
      </c>
      <c r="N55" s="19">
        <v>1.0</v>
      </c>
      <c r="O55" s="19">
        <v>1.0</v>
      </c>
      <c r="P55" s="19">
        <v>3.0</v>
      </c>
      <c r="Q55" s="19">
        <v>1.0</v>
      </c>
      <c r="R55" s="19">
        <v>1.0</v>
      </c>
      <c r="S55" s="13">
        <f t="shared" si="14"/>
        <v>17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14.0</v>
      </c>
      <c r="F56" s="19">
        <v>13.0</v>
      </c>
      <c r="G56" s="19">
        <v>14.0</v>
      </c>
      <c r="H56" s="19">
        <v>25.0</v>
      </c>
      <c r="I56" s="19">
        <v>23.0</v>
      </c>
      <c r="J56" s="19">
        <v>16.0</v>
      </c>
      <c r="K56" s="19">
        <v>9.0</v>
      </c>
      <c r="L56" s="19">
        <v>21.0</v>
      </c>
      <c r="M56" s="19">
        <v>8.0</v>
      </c>
      <c r="N56" s="19">
        <v>6.0</v>
      </c>
      <c r="O56" s="19">
        <v>7.0</v>
      </c>
      <c r="P56" s="19">
        <v>25.0</v>
      </c>
      <c r="Q56" s="19">
        <v>14.0</v>
      </c>
      <c r="R56" s="19">
        <v>14.0</v>
      </c>
      <c r="S56" s="13">
        <f t="shared" si="14"/>
        <v>209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1.0</v>
      </c>
      <c r="G57" s="19">
        <v>4.0</v>
      </c>
      <c r="H57" s="19">
        <v>2.0</v>
      </c>
      <c r="I57" s="19">
        <v>2.0</v>
      </c>
      <c r="J57" s="19">
        <v>3.0</v>
      </c>
      <c r="K57" s="19">
        <v>5.0</v>
      </c>
      <c r="L57" s="19">
        <v>9.0</v>
      </c>
      <c r="M57" s="19">
        <v>3.0</v>
      </c>
      <c r="N57" s="19">
        <v>4.0</v>
      </c>
      <c r="O57" s="19">
        <v>2.0</v>
      </c>
      <c r="P57" s="19">
        <v>2.0</v>
      </c>
      <c r="Q57" s="19">
        <v>4.0</v>
      </c>
      <c r="R57" s="19">
        <v>4.0</v>
      </c>
      <c r="S57" s="13">
        <f t="shared" si="14"/>
        <v>46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R60" si="15">SUM(E45:E57)</f>
        <v>122</v>
      </c>
      <c r="F60" s="19">
        <f t="shared" si="15"/>
        <v>113</v>
      </c>
      <c r="G60" s="19">
        <f t="shared" si="15"/>
        <v>128</v>
      </c>
      <c r="H60" s="19">
        <f t="shared" si="15"/>
        <v>154</v>
      </c>
      <c r="I60" s="19">
        <f t="shared" si="15"/>
        <v>160</v>
      </c>
      <c r="J60" s="19">
        <f t="shared" si="15"/>
        <v>148</v>
      </c>
      <c r="K60" s="19">
        <f t="shared" si="15"/>
        <v>168</v>
      </c>
      <c r="L60" s="19">
        <f t="shared" si="15"/>
        <v>178</v>
      </c>
      <c r="M60" s="19">
        <f t="shared" si="15"/>
        <v>126</v>
      </c>
      <c r="N60" s="19">
        <f t="shared" si="15"/>
        <v>112</v>
      </c>
      <c r="O60" s="19">
        <f t="shared" si="15"/>
        <v>71</v>
      </c>
      <c r="P60" s="19">
        <f t="shared" si="15"/>
        <v>156</v>
      </c>
      <c r="Q60" s="19">
        <f t="shared" si="15"/>
        <v>147</v>
      </c>
      <c r="R60" s="19">
        <f t="shared" si="15"/>
        <v>135</v>
      </c>
      <c r="S60" s="13">
        <f t="shared" ref="S60:S62" si="16">SUM(E60:R60)</f>
        <v>1918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29.0</v>
      </c>
      <c r="F61" s="19">
        <v>20.0</v>
      </c>
      <c r="G61" s="19">
        <v>33.0</v>
      </c>
      <c r="H61" s="19">
        <v>59.0</v>
      </c>
      <c r="I61" s="19">
        <v>40.0</v>
      </c>
      <c r="J61" s="19">
        <v>51.0</v>
      </c>
      <c r="K61" s="19">
        <v>54.0</v>
      </c>
      <c r="L61" s="19">
        <v>51.0</v>
      </c>
      <c r="M61" s="19">
        <v>40.0</v>
      </c>
      <c r="N61" s="19">
        <v>36.0</v>
      </c>
      <c r="O61" s="19">
        <v>35.0</v>
      </c>
      <c r="P61" s="19">
        <v>42.0</v>
      </c>
      <c r="Q61" s="19">
        <v>66.0</v>
      </c>
      <c r="R61" s="19">
        <v>56.0</v>
      </c>
      <c r="S61" s="13">
        <f t="shared" si="16"/>
        <v>612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R62" si="17">SUM(E60:E61)</f>
        <v>151</v>
      </c>
      <c r="F62" s="13">
        <f t="shared" si="17"/>
        <v>133</v>
      </c>
      <c r="G62" s="13">
        <f t="shared" si="17"/>
        <v>161</v>
      </c>
      <c r="H62" s="13">
        <f t="shared" si="17"/>
        <v>213</v>
      </c>
      <c r="I62" s="13">
        <f t="shared" si="17"/>
        <v>200</v>
      </c>
      <c r="J62" s="13">
        <f t="shared" si="17"/>
        <v>199</v>
      </c>
      <c r="K62" s="13">
        <f t="shared" si="17"/>
        <v>222</v>
      </c>
      <c r="L62" s="13">
        <f t="shared" si="17"/>
        <v>229</v>
      </c>
      <c r="M62" s="13">
        <f t="shared" si="17"/>
        <v>166</v>
      </c>
      <c r="N62" s="13">
        <f t="shared" si="17"/>
        <v>148</v>
      </c>
      <c r="O62" s="13">
        <f t="shared" si="17"/>
        <v>106</v>
      </c>
      <c r="P62" s="13">
        <f t="shared" si="17"/>
        <v>198</v>
      </c>
      <c r="Q62" s="13">
        <f t="shared" si="17"/>
        <v>213</v>
      </c>
      <c r="R62" s="13">
        <f t="shared" si="17"/>
        <v>191</v>
      </c>
      <c r="S62" s="13">
        <f t="shared" si="16"/>
        <v>2530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R34">
    <cfRule type="expression" dxfId="0" priority="1">
      <formula>E34&lt;&gt;#REF!</formula>
    </cfRule>
  </conditionalFormatting>
  <conditionalFormatting sqref="E14:R15 E45:R57">
    <cfRule type="containsBlanks" dxfId="1" priority="2">
      <formula>LEN(TRIM(E14))=0</formula>
    </cfRule>
  </conditionalFormatting>
  <conditionalFormatting sqref="E19:R20">
    <cfRule type="containsBlanks" dxfId="1" priority="3">
      <formula>LEN(TRIM(E19))=0</formula>
    </cfRule>
  </conditionalFormatting>
  <conditionalFormatting sqref="E22:R23 E25:R26 E33:R33 E35:R35 E39:R40">
    <cfRule type="containsBlanks" dxfId="1" priority="4">
      <formula>LEN(TRIM(E22))=0</formula>
    </cfRule>
  </conditionalFormatting>
  <conditionalFormatting sqref="E30:R30">
    <cfRule type="expression" dxfId="0" priority="5">
      <formula>E30&lt;&gt;E46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60:R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19">
        <v>141.0</v>
      </c>
      <c r="F14" s="19">
        <v>119.0</v>
      </c>
      <c r="G14" s="19">
        <v>124.0</v>
      </c>
      <c r="H14" s="19">
        <v>130.0</v>
      </c>
      <c r="I14" s="19">
        <v>134.0</v>
      </c>
      <c r="J14" s="19">
        <v>137.0</v>
      </c>
      <c r="K14" s="19">
        <v>100.0</v>
      </c>
      <c r="L14" s="19">
        <v>114.0</v>
      </c>
      <c r="M14" s="19">
        <v>134.0</v>
      </c>
      <c r="N14" s="19">
        <v>120.0</v>
      </c>
      <c r="O14" s="19">
        <v>81.0</v>
      </c>
      <c r="P14" s="19">
        <v>92.0</v>
      </c>
      <c r="Q14" s="19">
        <v>78.0</v>
      </c>
      <c r="R14" s="13">
        <f t="shared" ref="R14:R16" si="1">SUM(E14:Q14)</f>
        <v>1504</v>
      </c>
    </row>
    <row r="15" ht="12.75" customHeight="1">
      <c r="A15" s="18"/>
      <c r="B15" s="26"/>
      <c r="C15" s="27"/>
      <c r="D15" s="19" t="s">
        <v>13</v>
      </c>
      <c r="E15" s="19">
        <v>149.0</v>
      </c>
      <c r="F15" s="19">
        <v>116.0</v>
      </c>
      <c r="G15" s="19">
        <v>143.0</v>
      </c>
      <c r="H15" s="19">
        <v>157.0</v>
      </c>
      <c r="I15" s="19">
        <v>129.0</v>
      </c>
      <c r="J15" s="19">
        <v>138.0</v>
      </c>
      <c r="K15" s="19">
        <v>107.0</v>
      </c>
      <c r="L15" s="19">
        <v>125.0</v>
      </c>
      <c r="M15" s="19">
        <v>144.0</v>
      </c>
      <c r="N15" s="19">
        <v>126.0</v>
      </c>
      <c r="O15" s="19">
        <v>87.0</v>
      </c>
      <c r="P15" s="19">
        <v>105.0</v>
      </c>
      <c r="Q15" s="19">
        <v>84.0</v>
      </c>
      <c r="R15" s="13">
        <f t="shared" si="1"/>
        <v>1610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290</v>
      </c>
      <c r="F16" s="13">
        <f t="shared" si="2"/>
        <v>235</v>
      </c>
      <c r="G16" s="13">
        <f t="shared" si="2"/>
        <v>267</v>
      </c>
      <c r="H16" s="13">
        <f t="shared" si="2"/>
        <v>287</v>
      </c>
      <c r="I16" s="13">
        <f t="shared" si="2"/>
        <v>263</v>
      </c>
      <c r="J16" s="13">
        <f t="shared" si="2"/>
        <v>275</v>
      </c>
      <c r="K16" s="13">
        <f t="shared" si="2"/>
        <v>207</v>
      </c>
      <c r="L16" s="13">
        <f t="shared" si="2"/>
        <v>239</v>
      </c>
      <c r="M16" s="13">
        <f t="shared" si="2"/>
        <v>278</v>
      </c>
      <c r="N16" s="13">
        <f t="shared" si="2"/>
        <v>246</v>
      </c>
      <c r="O16" s="13">
        <f t="shared" si="2"/>
        <v>168</v>
      </c>
      <c r="P16" s="13">
        <f t="shared" si="2"/>
        <v>197</v>
      </c>
      <c r="Q16" s="13">
        <f t="shared" si="2"/>
        <v>162</v>
      </c>
      <c r="R16" s="13">
        <f t="shared" si="1"/>
        <v>3114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95.0</v>
      </c>
      <c r="G19" s="19">
        <v>83.0</v>
      </c>
      <c r="H19" s="19">
        <v>91.0</v>
      </c>
      <c r="I19" s="19">
        <v>103.0</v>
      </c>
      <c r="J19" s="19">
        <v>90.0</v>
      </c>
      <c r="K19" s="19">
        <v>62.0</v>
      </c>
      <c r="L19" s="19">
        <v>95.0</v>
      </c>
      <c r="M19" s="19">
        <v>100.0</v>
      </c>
      <c r="N19" s="19">
        <v>96.0</v>
      </c>
      <c r="O19" s="19">
        <v>59.0</v>
      </c>
      <c r="P19" s="19">
        <v>74.0</v>
      </c>
      <c r="Q19" s="19">
        <v>58.0</v>
      </c>
      <c r="R19" s="13">
        <f t="shared" ref="R19:R30" si="3">SUM(E19:Q19)</f>
        <v>1099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94.0</v>
      </c>
      <c r="G20" s="19">
        <v>106.0</v>
      </c>
      <c r="H20" s="19">
        <v>111.0</v>
      </c>
      <c r="I20" s="19">
        <v>104.0</v>
      </c>
      <c r="J20" s="19">
        <v>112.0</v>
      </c>
      <c r="K20" s="19">
        <v>80.0</v>
      </c>
      <c r="L20" s="19">
        <v>105.0</v>
      </c>
      <c r="M20" s="19">
        <v>108.0</v>
      </c>
      <c r="N20" s="19">
        <v>107.0</v>
      </c>
      <c r="O20" s="19">
        <v>75.0</v>
      </c>
      <c r="P20" s="19">
        <v>84.0</v>
      </c>
      <c r="Q20" s="19">
        <v>60.0</v>
      </c>
      <c r="R20" s="13">
        <f t="shared" si="3"/>
        <v>1255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202</v>
      </c>
      <c r="F21" s="13">
        <f t="shared" si="4"/>
        <v>189</v>
      </c>
      <c r="G21" s="13">
        <f t="shared" si="4"/>
        <v>189</v>
      </c>
      <c r="H21" s="13">
        <f t="shared" si="4"/>
        <v>202</v>
      </c>
      <c r="I21" s="13">
        <f t="shared" si="4"/>
        <v>207</v>
      </c>
      <c r="J21" s="13">
        <f t="shared" si="4"/>
        <v>202</v>
      </c>
      <c r="K21" s="13">
        <f t="shared" si="4"/>
        <v>142</v>
      </c>
      <c r="L21" s="13">
        <f t="shared" si="4"/>
        <v>200</v>
      </c>
      <c r="M21" s="13">
        <f t="shared" si="4"/>
        <v>208</v>
      </c>
      <c r="N21" s="13">
        <f t="shared" si="4"/>
        <v>203</v>
      </c>
      <c r="O21" s="13">
        <f t="shared" si="4"/>
        <v>134</v>
      </c>
      <c r="P21" s="13">
        <f t="shared" si="4"/>
        <v>158</v>
      </c>
      <c r="Q21" s="13">
        <f t="shared" si="4"/>
        <v>118</v>
      </c>
      <c r="R21" s="13">
        <f t="shared" si="3"/>
        <v>2354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2.0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1.0</v>
      </c>
      <c r="P22" s="19">
        <v>0.0</v>
      </c>
      <c r="Q22" s="19">
        <v>0.0</v>
      </c>
      <c r="R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3.0</v>
      </c>
      <c r="J23" s="19">
        <v>0.0</v>
      </c>
      <c r="K23" s="19">
        <v>0.0</v>
      </c>
      <c r="L23" s="19">
        <v>0.0</v>
      </c>
      <c r="M23" s="19">
        <v>2.0</v>
      </c>
      <c r="N23" s="19">
        <v>0.0</v>
      </c>
      <c r="O23" s="19">
        <v>1.0</v>
      </c>
      <c r="P23" s="19">
        <v>0.0</v>
      </c>
      <c r="Q23" s="19">
        <v>0.0</v>
      </c>
      <c r="R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1</v>
      </c>
      <c r="O24" s="13">
        <f t="shared" si="5"/>
        <v>2</v>
      </c>
      <c r="P24" s="13">
        <f t="shared" si="5"/>
        <v>0</v>
      </c>
      <c r="Q24" s="13">
        <f t="shared" si="5"/>
        <v>0</v>
      </c>
      <c r="R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0.0</v>
      </c>
      <c r="H25" s="19">
        <v>2.0</v>
      </c>
      <c r="I25" s="19">
        <v>0.0</v>
      </c>
      <c r="J25" s="19">
        <v>1.0</v>
      </c>
      <c r="K25" s="19">
        <v>2.0</v>
      </c>
      <c r="L25" s="19">
        <v>0.0</v>
      </c>
      <c r="M25" s="19">
        <v>3.0</v>
      </c>
      <c r="N25" s="19">
        <v>3.0</v>
      </c>
      <c r="O25" s="19">
        <v>0.0</v>
      </c>
      <c r="P25" s="19">
        <v>0.0</v>
      </c>
      <c r="Q25" s="19">
        <v>3.0</v>
      </c>
      <c r="R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1.0</v>
      </c>
      <c r="K26" s="19">
        <v>0.0</v>
      </c>
      <c r="L26" s="19">
        <v>1.0</v>
      </c>
      <c r="M26" s="19">
        <v>4.0</v>
      </c>
      <c r="N26" s="19">
        <v>1.0</v>
      </c>
      <c r="O26" s="19">
        <v>3.0</v>
      </c>
      <c r="P26" s="19">
        <v>0.0</v>
      </c>
      <c r="Q26" s="19">
        <v>3.0</v>
      </c>
      <c r="R26" s="13">
        <f t="shared" si="3"/>
        <v>16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</v>
      </c>
      <c r="M27" s="13">
        <f t="shared" si="6"/>
        <v>7</v>
      </c>
      <c r="N27" s="13">
        <f t="shared" si="6"/>
        <v>4</v>
      </c>
      <c r="O27" s="13">
        <f t="shared" si="6"/>
        <v>3</v>
      </c>
      <c r="P27" s="13">
        <f t="shared" si="6"/>
        <v>0</v>
      </c>
      <c r="Q27" s="13">
        <f t="shared" si="6"/>
        <v>6</v>
      </c>
      <c r="R27" s="13">
        <f t="shared" si="3"/>
        <v>32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94</v>
      </c>
      <c r="F28" s="13">
        <f t="shared" si="7"/>
        <v>96</v>
      </c>
      <c r="G28" s="13">
        <f t="shared" si="7"/>
        <v>83</v>
      </c>
      <c r="H28" s="13">
        <f t="shared" si="7"/>
        <v>93</v>
      </c>
      <c r="I28" s="13">
        <f t="shared" si="7"/>
        <v>105</v>
      </c>
      <c r="J28" s="13">
        <f t="shared" si="7"/>
        <v>91</v>
      </c>
      <c r="K28" s="13">
        <f t="shared" si="7"/>
        <v>64</v>
      </c>
      <c r="L28" s="13">
        <f t="shared" si="7"/>
        <v>95</v>
      </c>
      <c r="M28" s="13">
        <f t="shared" si="7"/>
        <v>103</v>
      </c>
      <c r="N28" s="13">
        <f t="shared" si="7"/>
        <v>100</v>
      </c>
      <c r="O28" s="13">
        <f t="shared" si="7"/>
        <v>60</v>
      </c>
      <c r="P28" s="13">
        <f t="shared" si="7"/>
        <v>74</v>
      </c>
      <c r="Q28" s="13">
        <f t="shared" si="7"/>
        <v>61</v>
      </c>
      <c r="R28" s="13">
        <f t="shared" si="3"/>
        <v>1119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111</v>
      </c>
      <c r="F29" s="13">
        <f t="shared" si="8"/>
        <v>96</v>
      </c>
      <c r="G29" s="13">
        <f t="shared" si="8"/>
        <v>106</v>
      </c>
      <c r="H29" s="13">
        <f t="shared" si="8"/>
        <v>112</v>
      </c>
      <c r="I29" s="13">
        <f t="shared" si="8"/>
        <v>107</v>
      </c>
      <c r="J29" s="13">
        <f t="shared" si="8"/>
        <v>113</v>
      </c>
      <c r="K29" s="13">
        <f t="shared" si="8"/>
        <v>80</v>
      </c>
      <c r="L29" s="13">
        <f t="shared" si="8"/>
        <v>106</v>
      </c>
      <c r="M29" s="13">
        <f t="shared" si="8"/>
        <v>114</v>
      </c>
      <c r="N29" s="13">
        <f t="shared" si="8"/>
        <v>108</v>
      </c>
      <c r="O29" s="13">
        <f t="shared" si="8"/>
        <v>79</v>
      </c>
      <c r="P29" s="13">
        <f t="shared" si="8"/>
        <v>84</v>
      </c>
      <c r="Q29" s="13">
        <f t="shared" si="8"/>
        <v>63</v>
      </c>
      <c r="R29" s="13">
        <f t="shared" si="3"/>
        <v>1279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205</v>
      </c>
      <c r="F30" s="13">
        <f t="shared" si="9"/>
        <v>192</v>
      </c>
      <c r="G30" s="13">
        <f t="shared" si="9"/>
        <v>189</v>
      </c>
      <c r="H30" s="13">
        <f t="shared" si="9"/>
        <v>205</v>
      </c>
      <c r="I30" s="13">
        <f t="shared" si="9"/>
        <v>212</v>
      </c>
      <c r="J30" s="13">
        <f t="shared" si="9"/>
        <v>204</v>
      </c>
      <c r="K30" s="13">
        <f t="shared" si="9"/>
        <v>144</v>
      </c>
      <c r="L30" s="13">
        <f t="shared" si="9"/>
        <v>201</v>
      </c>
      <c r="M30" s="13">
        <f t="shared" si="9"/>
        <v>217</v>
      </c>
      <c r="N30" s="13">
        <f t="shared" si="9"/>
        <v>208</v>
      </c>
      <c r="O30" s="13">
        <f t="shared" si="9"/>
        <v>139</v>
      </c>
      <c r="P30" s="13">
        <f t="shared" si="9"/>
        <v>158</v>
      </c>
      <c r="Q30" s="13">
        <f t="shared" si="9"/>
        <v>124</v>
      </c>
      <c r="R30" s="13">
        <f t="shared" si="3"/>
        <v>2398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59"/>
    </row>
    <row r="33" ht="12.75" customHeight="1">
      <c r="A33" s="19">
        <v>1.0</v>
      </c>
      <c r="B33" s="20" t="s">
        <v>85</v>
      </c>
      <c r="C33" s="15"/>
      <c r="D33" s="16"/>
      <c r="E33" s="19">
        <v>296.0</v>
      </c>
      <c r="F33" s="19">
        <v>240.0</v>
      </c>
      <c r="G33" s="19">
        <v>273.0</v>
      </c>
      <c r="H33" s="19">
        <v>282.0</v>
      </c>
      <c r="I33" s="19">
        <v>269.0</v>
      </c>
      <c r="J33" s="19">
        <v>281.0</v>
      </c>
      <c r="K33" s="19">
        <v>212.0</v>
      </c>
      <c r="L33" s="19">
        <v>244.0</v>
      </c>
      <c r="M33" s="19">
        <v>283.0</v>
      </c>
      <c r="N33" s="19">
        <v>251.0</v>
      </c>
      <c r="O33" s="19">
        <v>172.0</v>
      </c>
      <c r="P33" s="19">
        <v>201.0</v>
      </c>
      <c r="Q33" s="19">
        <v>166.0</v>
      </c>
      <c r="R33" s="13">
        <f t="shared" ref="R33:R36" si="10">SUM(E33:Q33)</f>
        <v>3170</v>
      </c>
    </row>
    <row r="34" ht="12.75" customHeight="1">
      <c r="A34" s="19">
        <v>2.0</v>
      </c>
      <c r="B34" s="20" t="s">
        <v>28</v>
      </c>
      <c r="C34" s="15"/>
      <c r="D34" s="16"/>
      <c r="E34" s="13">
        <v>205.0</v>
      </c>
      <c r="F34" s="13">
        <v>192.0</v>
      </c>
      <c r="G34" s="13">
        <v>189.0</v>
      </c>
      <c r="H34" s="13">
        <v>205.0</v>
      </c>
      <c r="I34" s="13">
        <v>212.0</v>
      </c>
      <c r="J34" s="13">
        <v>204.0</v>
      </c>
      <c r="K34" s="13">
        <v>144.0</v>
      </c>
      <c r="L34" s="13">
        <v>201.0</v>
      </c>
      <c r="M34" s="13">
        <v>217.0</v>
      </c>
      <c r="N34" s="13">
        <v>208.0</v>
      </c>
      <c r="O34" s="13">
        <v>139.0</v>
      </c>
      <c r="P34" s="13">
        <v>158.0</v>
      </c>
      <c r="Q34" s="13">
        <v>124.0</v>
      </c>
      <c r="R34" s="13">
        <f t="shared" si="10"/>
        <v>2398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1.0</v>
      </c>
      <c r="P35" s="19">
        <v>0.0</v>
      </c>
      <c r="Q35" s="19">
        <v>0.0</v>
      </c>
      <c r="R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91</v>
      </c>
      <c r="F36" s="13">
        <f t="shared" si="11"/>
        <v>48</v>
      </c>
      <c r="G36" s="13">
        <f t="shared" si="11"/>
        <v>84</v>
      </c>
      <c r="H36" s="13">
        <f t="shared" si="11"/>
        <v>76</v>
      </c>
      <c r="I36" s="13">
        <f t="shared" si="11"/>
        <v>57</v>
      </c>
      <c r="J36" s="13">
        <f t="shared" si="11"/>
        <v>77</v>
      </c>
      <c r="K36" s="13">
        <f t="shared" si="11"/>
        <v>68</v>
      </c>
      <c r="L36" s="13">
        <f t="shared" si="11"/>
        <v>43</v>
      </c>
      <c r="M36" s="13">
        <f t="shared" si="11"/>
        <v>65</v>
      </c>
      <c r="N36" s="13">
        <f t="shared" si="11"/>
        <v>43</v>
      </c>
      <c r="O36" s="13">
        <f t="shared" si="11"/>
        <v>32</v>
      </c>
      <c r="P36" s="13">
        <f t="shared" si="11"/>
        <v>43</v>
      </c>
      <c r="Q36" s="13">
        <f t="shared" si="11"/>
        <v>42</v>
      </c>
      <c r="R36" s="13">
        <f t="shared" si="10"/>
        <v>769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>
        <v>1.0</v>
      </c>
      <c r="J39" s="19">
        <v>2.0</v>
      </c>
      <c r="K39" s="19"/>
      <c r="L39" s="19"/>
      <c r="M39" s="19"/>
      <c r="N39" s="19"/>
      <c r="O39" s="19"/>
      <c r="P39" s="19"/>
      <c r="Q39" s="19"/>
      <c r="R39" s="13">
        <f t="shared" ref="R39:R41" si="12">SUM(E39:Q39)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>
        <v>1.0</v>
      </c>
      <c r="N40" s="19"/>
      <c r="O40" s="19">
        <v>1.0</v>
      </c>
      <c r="P40" s="19"/>
      <c r="Q40" s="19"/>
      <c r="R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3"/>
    </row>
    <row r="45" ht="12.75" customHeight="1">
      <c r="A45" s="30"/>
      <c r="B45" s="47" t="s">
        <v>17</v>
      </c>
      <c r="C45" s="62" t="s">
        <v>38</v>
      </c>
      <c r="D45" s="16"/>
      <c r="E45" s="19">
        <v>4.0</v>
      </c>
      <c r="F45" s="19">
        <v>7.0</v>
      </c>
      <c r="G45" s="19">
        <v>17.0</v>
      </c>
      <c r="H45" s="19">
        <v>6.0</v>
      </c>
      <c r="I45" s="19">
        <v>23.0</v>
      </c>
      <c r="J45" s="19">
        <v>16.0</v>
      </c>
      <c r="K45" s="19">
        <v>9.0</v>
      </c>
      <c r="L45" s="19">
        <v>11.0</v>
      </c>
      <c r="M45" s="19">
        <v>9.0</v>
      </c>
      <c r="N45" s="19">
        <v>7.0</v>
      </c>
      <c r="O45" s="19">
        <v>3.0</v>
      </c>
      <c r="P45" s="19">
        <v>11.0</v>
      </c>
      <c r="Q45" s="19">
        <v>7.0</v>
      </c>
      <c r="R45" s="13">
        <f t="shared" ref="R45:R57" si="14">SUM(E45:Q45)</f>
        <v>130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31.0</v>
      </c>
      <c r="F46" s="19">
        <v>23.0</v>
      </c>
      <c r="G46" s="19">
        <v>26.0</v>
      </c>
      <c r="H46" s="19">
        <v>36.0</v>
      </c>
      <c r="I46" s="19">
        <v>25.0</v>
      </c>
      <c r="J46" s="19">
        <v>30.0</v>
      </c>
      <c r="K46" s="19">
        <v>22.0</v>
      </c>
      <c r="L46" s="19">
        <v>36.0</v>
      </c>
      <c r="M46" s="19">
        <v>27.0</v>
      </c>
      <c r="N46" s="19">
        <v>30.0</v>
      </c>
      <c r="O46" s="19">
        <v>21.0</v>
      </c>
      <c r="P46" s="19">
        <v>23.0</v>
      </c>
      <c r="Q46" s="19">
        <v>12.0</v>
      </c>
      <c r="R46" s="13">
        <f t="shared" si="14"/>
        <v>342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13.0</v>
      </c>
      <c r="F47" s="19">
        <v>17.0</v>
      </c>
      <c r="G47" s="19">
        <v>10.0</v>
      </c>
      <c r="H47" s="19">
        <v>14.0</v>
      </c>
      <c r="I47" s="19">
        <v>11.0</v>
      </c>
      <c r="J47" s="19">
        <v>19.0</v>
      </c>
      <c r="K47" s="19">
        <v>10.0</v>
      </c>
      <c r="L47" s="19">
        <v>9.0</v>
      </c>
      <c r="M47" s="19">
        <v>12.0</v>
      </c>
      <c r="N47" s="19">
        <v>8.0</v>
      </c>
      <c r="O47" s="19">
        <v>6.0</v>
      </c>
      <c r="P47" s="19">
        <v>3.0</v>
      </c>
      <c r="Q47" s="19">
        <v>3.0</v>
      </c>
      <c r="R47" s="13">
        <f t="shared" si="14"/>
        <v>135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18.0</v>
      </c>
      <c r="F48" s="19">
        <v>18.0</v>
      </c>
      <c r="G48" s="19">
        <v>14.0</v>
      </c>
      <c r="H48" s="19">
        <v>23.0</v>
      </c>
      <c r="I48" s="19">
        <v>15.0</v>
      </c>
      <c r="J48" s="19">
        <v>14.0</v>
      </c>
      <c r="K48" s="19">
        <v>16.0</v>
      </c>
      <c r="L48" s="19">
        <v>19.0</v>
      </c>
      <c r="M48" s="19">
        <v>14.0</v>
      </c>
      <c r="N48" s="19">
        <v>20.0</v>
      </c>
      <c r="O48" s="19">
        <v>11.0</v>
      </c>
      <c r="P48" s="19">
        <v>14.0</v>
      </c>
      <c r="Q48" s="19">
        <v>7.0</v>
      </c>
      <c r="R48" s="13">
        <f t="shared" si="14"/>
        <v>203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33.0</v>
      </c>
      <c r="F49" s="19">
        <v>24.0</v>
      </c>
      <c r="G49" s="19">
        <v>26.0</v>
      </c>
      <c r="H49" s="19">
        <v>36.0</v>
      </c>
      <c r="I49" s="19">
        <v>22.0</v>
      </c>
      <c r="J49" s="19">
        <v>29.0</v>
      </c>
      <c r="K49" s="19">
        <v>16.0</v>
      </c>
      <c r="L49" s="19">
        <v>15.0</v>
      </c>
      <c r="M49" s="19">
        <v>23.0</v>
      </c>
      <c r="N49" s="19">
        <v>34.0</v>
      </c>
      <c r="O49" s="19">
        <v>11.0</v>
      </c>
      <c r="P49" s="19">
        <v>13.0</v>
      </c>
      <c r="Q49" s="19">
        <v>13.0</v>
      </c>
      <c r="R49" s="13">
        <f t="shared" si="14"/>
        <v>295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14.0</v>
      </c>
      <c r="F50" s="19">
        <v>5.0</v>
      </c>
      <c r="G50" s="19">
        <v>8.0</v>
      </c>
      <c r="H50" s="19">
        <v>8.0</v>
      </c>
      <c r="I50" s="19">
        <v>16.0</v>
      </c>
      <c r="J50" s="19">
        <v>7.0</v>
      </c>
      <c r="K50" s="19">
        <v>11.0</v>
      </c>
      <c r="L50" s="19">
        <v>6.0</v>
      </c>
      <c r="M50" s="19">
        <v>15.0</v>
      </c>
      <c r="N50" s="19">
        <v>17.0</v>
      </c>
      <c r="O50" s="19">
        <v>5.0</v>
      </c>
      <c r="P50" s="19">
        <v>16.0</v>
      </c>
      <c r="Q50" s="19">
        <v>7.0</v>
      </c>
      <c r="R50" s="13">
        <f t="shared" si="14"/>
        <v>135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2.0</v>
      </c>
      <c r="F51" s="19">
        <v>2.0</v>
      </c>
      <c r="G51" s="19">
        <v>3.0</v>
      </c>
      <c r="H51" s="19">
        <v>3.0</v>
      </c>
      <c r="I51" s="19">
        <v>1.0</v>
      </c>
      <c r="J51" s="19">
        <v>1.0</v>
      </c>
      <c r="K51" s="19">
        <v>1.0</v>
      </c>
      <c r="L51" s="19">
        <v>1.0</v>
      </c>
      <c r="M51" s="19">
        <v>1.0</v>
      </c>
      <c r="N51" s="19">
        <v>5.0</v>
      </c>
      <c r="O51" s="19">
        <v>1.0</v>
      </c>
      <c r="P51" s="19">
        <v>3.0</v>
      </c>
      <c r="Q51" s="19">
        <v>0.0</v>
      </c>
      <c r="R51" s="13">
        <f t="shared" si="14"/>
        <v>24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2.0</v>
      </c>
      <c r="F52" s="19">
        <v>0.0</v>
      </c>
      <c r="G52" s="19">
        <v>2.0</v>
      </c>
      <c r="H52" s="19">
        <v>0.0</v>
      </c>
      <c r="I52" s="19">
        <v>3.0</v>
      </c>
      <c r="J52" s="19">
        <v>4.0</v>
      </c>
      <c r="K52" s="19">
        <v>0.0</v>
      </c>
      <c r="L52" s="19">
        <v>1.0</v>
      </c>
      <c r="M52" s="19">
        <v>0.0</v>
      </c>
      <c r="N52" s="19">
        <v>2.0</v>
      </c>
      <c r="O52" s="19">
        <v>2.0</v>
      </c>
      <c r="P52" s="19">
        <v>1.0</v>
      </c>
      <c r="Q52" s="19">
        <v>2.0</v>
      </c>
      <c r="R52" s="13">
        <f t="shared" si="14"/>
        <v>19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1.0</v>
      </c>
      <c r="G53" s="19">
        <v>0.0</v>
      </c>
      <c r="H53" s="19">
        <v>1.0</v>
      </c>
      <c r="I53" s="19">
        <v>0.0</v>
      </c>
      <c r="J53" s="19">
        <v>0.0</v>
      </c>
      <c r="K53" s="19">
        <v>2.0</v>
      </c>
      <c r="L53" s="19">
        <v>0.0</v>
      </c>
      <c r="M53" s="19">
        <v>1.0</v>
      </c>
      <c r="N53" s="19">
        <v>2.0</v>
      </c>
      <c r="O53" s="19">
        <v>2.0</v>
      </c>
      <c r="P53" s="19">
        <v>1.0</v>
      </c>
      <c r="Q53" s="19">
        <v>0.0</v>
      </c>
      <c r="R53" s="13">
        <f t="shared" si="14"/>
        <v>10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21.0</v>
      </c>
      <c r="F54" s="19">
        <v>21.0</v>
      </c>
      <c r="G54" s="19">
        <v>27.0</v>
      </c>
      <c r="H54" s="19">
        <v>27.0</v>
      </c>
      <c r="I54" s="19">
        <v>34.0</v>
      </c>
      <c r="J54" s="19">
        <v>25.0</v>
      </c>
      <c r="K54" s="19">
        <v>12.0</v>
      </c>
      <c r="L54" s="19">
        <v>22.0</v>
      </c>
      <c r="M54" s="19">
        <v>29.0</v>
      </c>
      <c r="N54" s="19">
        <v>16.0</v>
      </c>
      <c r="O54" s="19">
        <v>26.0</v>
      </c>
      <c r="P54" s="19">
        <v>22.0</v>
      </c>
      <c r="Q54" s="19">
        <v>19.0</v>
      </c>
      <c r="R54" s="13">
        <f t="shared" si="14"/>
        <v>301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3.0</v>
      </c>
      <c r="G55" s="19">
        <v>0.0</v>
      </c>
      <c r="H55" s="19">
        <v>2.0</v>
      </c>
      <c r="I55" s="19">
        <v>2.0</v>
      </c>
      <c r="J55" s="19">
        <v>3.0</v>
      </c>
      <c r="K55" s="19">
        <v>0.0</v>
      </c>
      <c r="L55" s="19">
        <v>0.0</v>
      </c>
      <c r="M55" s="19">
        <v>2.0</v>
      </c>
      <c r="N55" s="19">
        <v>2.0</v>
      </c>
      <c r="O55" s="19">
        <v>2.0</v>
      </c>
      <c r="P55" s="19">
        <v>2.0</v>
      </c>
      <c r="Q55" s="19">
        <v>1.0</v>
      </c>
      <c r="R55" s="13">
        <f t="shared" si="14"/>
        <v>21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20.0</v>
      </c>
      <c r="F56" s="19">
        <v>19.0</v>
      </c>
      <c r="G56" s="19">
        <v>18.0</v>
      </c>
      <c r="H56" s="19">
        <v>13.0</v>
      </c>
      <c r="I56" s="19">
        <v>30.0</v>
      </c>
      <c r="J56" s="19">
        <v>13.0</v>
      </c>
      <c r="K56" s="19">
        <v>10.0</v>
      </c>
      <c r="L56" s="19">
        <v>25.0</v>
      </c>
      <c r="M56" s="19">
        <v>25.0</v>
      </c>
      <c r="N56" s="19">
        <v>19.0</v>
      </c>
      <c r="O56" s="19">
        <v>11.0</v>
      </c>
      <c r="P56" s="19">
        <v>10.0</v>
      </c>
      <c r="Q56" s="19">
        <v>13.0</v>
      </c>
      <c r="R56" s="13">
        <f t="shared" si="14"/>
        <v>226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3.0</v>
      </c>
      <c r="F57" s="19">
        <v>3.0</v>
      </c>
      <c r="G57" s="19">
        <v>2.0</v>
      </c>
      <c r="H57" s="19">
        <v>4.0</v>
      </c>
      <c r="I57" s="19">
        <v>1.0</v>
      </c>
      <c r="J57" s="19">
        <v>3.0</v>
      </c>
      <c r="K57" s="19">
        <v>2.0</v>
      </c>
      <c r="L57" s="19">
        <v>1.0</v>
      </c>
      <c r="M57" s="19">
        <v>3.0</v>
      </c>
      <c r="N57" s="19">
        <v>2.0</v>
      </c>
      <c r="O57" s="19">
        <v>2.0</v>
      </c>
      <c r="P57" s="19">
        <v>3.0</v>
      </c>
      <c r="Q57" s="19">
        <v>4.0</v>
      </c>
      <c r="R57" s="13">
        <f t="shared" si="14"/>
        <v>33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Q60" si="15">SUM(E45:E57)</f>
        <v>163</v>
      </c>
      <c r="F60" s="19">
        <f t="shared" si="15"/>
        <v>143</v>
      </c>
      <c r="G60" s="19">
        <f t="shared" si="15"/>
        <v>153</v>
      </c>
      <c r="H60" s="19">
        <f t="shared" si="15"/>
        <v>173</v>
      </c>
      <c r="I60" s="19">
        <f t="shared" si="15"/>
        <v>183</v>
      </c>
      <c r="J60" s="19">
        <f t="shared" si="15"/>
        <v>164</v>
      </c>
      <c r="K60" s="19">
        <f t="shared" si="15"/>
        <v>111</v>
      </c>
      <c r="L60" s="19">
        <f t="shared" si="15"/>
        <v>146</v>
      </c>
      <c r="M60" s="19">
        <f t="shared" si="15"/>
        <v>161</v>
      </c>
      <c r="N60" s="19">
        <f t="shared" si="15"/>
        <v>164</v>
      </c>
      <c r="O60" s="19">
        <f t="shared" si="15"/>
        <v>103</v>
      </c>
      <c r="P60" s="19">
        <f t="shared" si="15"/>
        <v>122</v>
      </c>
      <c r="Q60" s="19">
        <f t="shared" si="15"/>
        <v>88</v>
      </c>
      <c r="R60" s="13">
        <f t="shared" ref="R60:R62" si="16">SUM(E60:Q60)</f>
        <v>1874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42.0</v>
      </c>
      <c r="F61" s="19">
        <v>49.0</v>
      </c>
      <c r="G61" s="19">
        <v>36.0</v>
      </c>
      <c r="H61" s="19">
        <v>32.0</v>
      </c>
      <c r="I61" s="19">
        <v>29.0</v>
      </c>
      <c r="J61" s="19">
        <v>40.0</v>
      </c>
      <c r="K61" s="19">
        <v>33.0</v>
      </c>
      <c r="L61" s="19">
        <v>55.0</v>
      </c>
      <c r="M61" s="19">
        <v>56.0</v>
      </c>
      <c r="N61" s="19">
        <v>44.0</v>
      </c>
      <c r="O61" s="19">
        <v>36.0</v>
      </c>
      <c r="P61" s="19">
        <v>36.0</v>
      </c>
      <c r="Q61" s="19">
        <v>36.0</v>
      </c>
      <c r="R61" s="13">
        <f t="shared" si="16"/>
        <v>524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Q62" si="17">SUM(E60:E61)</f>
        <v>205</v>
      </c>
      <c r="F62" s="13">
        <f t="shared" si="17"/>
        <v>192</v>
      </c>
      <c r="G62" s="13">
        <f t="shared" si="17"/>
        <v>189</v>
      </c>
      <c r="H62" s="13">
        <f t="shared" si="17"/>
        <v>205</v>
      </c>
      <c r="I62" s="13">
        <f t="shared" si="17"/>
        <v>212</v>
      </c>
      <c r="J62" s="13">
        <f t="shared" si="17"/>
        <v>204</v>
      </c>
      <c r="K62" s="13">
        <f t="shared" si="17"/>
        <v>144</v>
      </c>
      <c r="L62" s="13">
        <f t="shared" si="17"/>
        <v>201</v>
      </c>
      <c r="M62" s="13">
        <f t="shared" si="17"/>
        <v>217</v>
      </c>
      <c r="N62" s="13">
        <f t="shared" si="17"/>
        <v>208</v>
      </c>
      <c r="O62" s="13">
        <f t="shared" si="17"/>
        <v>139</v>
      </c>
      <c r="P62" s="13">
        <f t="shared" si="17"/>
        <v>158</v>
      </c>
      <c r="Q62" s="13">
        <f t="shared" si="17"/>
        <v>124</v>
      </c>
      <c r="R62" s="13">
        <f t="shared" si="16"/>
        <v>2398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Q34">
    <cfRule type="expression" dxfId="0" priority="1">
      <formula>E34&lt;&gt;#REF!</formula>
    </cfRule>
  </conditionalFormatting>
  <conditionalFormatting sqref="E14:Q15 E45:Q57">
    <cfRule type="containsBlanks" dxfId="1" priority="2">
      <formula>LEN(TRIM(E14))=0</formula>
    </cfRule>
  </conditionalFormatting>
  <conditionalFormatting sqref="E19:Q20">
    <cfRule type="containsBlanks" dxfId="1" priority="3">
      <formula>LEN(TRIM(E19))=0</formula>
    </cfRule>
  </conditionalFormatting>
  <conditionalFormatting sqref="E22:Q23 E25:Q26 E33:Q33 E35:Q35 E39:Q40">
    <cfRule type="containsBlanks" dxfId="1" priority="4">
      <formula>LEN(TRIM(E22))=0</formula>
    </cfRule>
  </conditionalFormatting>
  <conditionalFormatting sqref="E30:Q30">
    <cfRule type="expression" dxfId="0" priority="5">
      <formula>E30&lt;&gt;E46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60:Q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132.0</v>
      </c>
      <c r="F14" s="19">
        <v>94.0</v>
      </c>
      <c r="G14" s="19">
        <v>99.0</v>
      </c>
      <c r="H14" s="19">
        <v>138.0</v>
      </c>
      <c r="I14" s="19">
        <v>146.0</v>
      </c>
      <c r="J14" s="19">
        <v>118.0</v>
      </c>
      <c r="K14" s="19">
        <v>114.0</v>
      </c>
      <c r="L14" s="19">
        <v>139.0</v>
      </c>
      <c r="M14" s="19">
        <v>141.0</v>
      </c>
      <c r="N14" s="19">
        <v>117.0</v>
      </c>
      <c r="O14" s="19">
        <v>130.0</v>
      </c>
      <c r="P14" s="19">
        <v>121.0</v>
      </c>
      <c r="Q14" s="19">
        <v>116.0</v>
      </c>
      <c r="R14" s="19">
        <v>132.0</v>
      </c>
      <c r="S14" s="19">
        <v>125.0</v>
      </c>
      <c r="T14" s="19">
        <v>108.0</v>
      </c>
      <c r="U14" s="13">
        <f t="shared" ref="U14:U16" si="1">SUM(E14:T14)</f>
        <v>1970</v>
      </c>
    </row>
    <row r="15" ht="12.75" customHeight="1">
      <c r="A15" s="18"/>
      <c r="B15" s="26"/>
      <c r="C15" s="27"/>
      <c r="D15" s="19" t="s">
        <v>13</v>
      </c>
      <c r="E15" s="19">
        <v>157.0</v>
      </c>
      <c r="F15" s="19">
        <v>109.0</v>
      </c>
      <c r="G15" s="19">
        <v>102.0</v>
      </c>
      <c r="H15" s="19">
        <v>146.0</v>
      </c>
      <c r="I15" s="19">
        <v>144.0</v>
      </c>
      <c r="J15" s="19">
        <v>117.0</v>
      </c>
      <c r="K15" s="19">
        <v>110.0</v>
      </c>
      <c r="L15" s="19">
        <v>151.0</v>
      </c>
      <c r="M15" s="19">
        <v>141.0</v>
      </c>
      <c r="N15" s="19">
        <v>119.0</v>
      </c>
      <c r="O15" s="19">
        <v>143.0</v>
      </c>
      <c r="P15" s="19">
        <v>132.0</v>
      </c>
      <c r="Q15" s="19">
        <v>114.0</v>
      </c>
      <c r="R15" s="19">
        <v>135.0</v>
      </c>
      <c r="S15" s="19">
        <v>128.0</v>
      </c>
      <c r="T15" s="19">
        <v>117.0</v>
      </c>
      <c r="U15" s="13">
        <f t="shared" si="1"/>
        <v>2065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289</v>
      </c>
      <c r="F16" s="13">
        <f t="shared" si="2"/>
        <v>203</v>
      </c>
      <c r="G16" s="13">
        <f t="shared" si="2"/>
        <v>201</v>
      </c>
      <c r="H16" s="13">
        <f t="shared" si="2"/>
        <v>284</v>
      </c>
      <c r="I16" s="13">
        <f t="shared" si="2"/>
        <v>290</v>
      </c>
      <c r="J16" s="13">
        <f t="shared" si="2"/>
        <v>235</v>
      </c>
      <c r="K16" s="13">
        <f t="shared" si="2"/>
        <v>224</v>
      </c>
      <c r="L16" s="13">
        <f t="shared" si="2"/>
        <v>290</v>
      </c>
      <c r="M16" s="13">
        <f t="shared" si="2"/>
        <v>282</v>
      </c>
      <c r="N16" s="13">
        <f t="shared" si="2"/>
        <v>236</v>
      </c>
      <c r="O16" s="13">
        <f t="shared" si="2"/>
        <v>273</v>
      </c>
      <c r="P16" s="13">
        <f t="shared" si="2"/>
        <v>253</v>
      </c>
      <c r="Q16" s="13">
        <f t="shared" si="2"/>
        <v>230</v>
      </c>
      <c r="R16" s="13">
        <f t="shared" si="2"/>
        <v>267</v>
      </c>
      <c r="S16" s="13">
        <f t="shared" si="2"/>
        <v>253</v>
      </c>
      <c r="T16" s="13">
        <f t="shared" si="2"/>
        <v>225</v>
      </c>
      <c r="U16" s="13">
        <f t="shared" si="1"/>
        <v>4035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122.0</v>
      </c>
      <c r="F19" s="19">
        <v>73.0</v>
      </c>
      <c r="G19" s="19">
        <v>72.0</v>
      </c>
      <c r="H19" s="19">
        <v>103.0</v>
      </c>
      <c r="I19" s="19">
        <v>100.0</v>
      </c>
      <c r="J19" s="19">
        <v>99.0</v>
      </c>
      <c r="K19" s="19">
        <v>78.0</v>
      </c>
      <c r="L19" s="19">
        <v>106.0</v>
      </c>
      <c r="M19" s="19">
        <v>107.0</v>
      </c>
      <c r="N19" s="19">
        <v>82.0</v>
      </c>
      <c r="O19" s="19">
        <v>100.0</v>
      </c>
      <c r="P19" s="19">
        <v>85.0</v>
      </c>
      <c r="Q19" s="19">
        <v>89.0</v>
      </c>
      <c r="R19" s="19">
        <v>99.0</v>
      </c>
      <c r="S19" s="19">
        <v>79.0</v>
      </c>
      <c r="T19" s="19">
        <v>87.0</v>
      </c>
      <c r="U19" s="13">
        <f t="shared" ref="U19:U30" si="3">SUM(E19:T19)</f>
        <v>1481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90.0</v>
      </c>
      <c r="G20" s="19">
        <v>84.0</v>
      </c>
      <c r="H20" s="19">
        <v>114.0</v>
      </c>
      <c r="I20" s="19">
        <v>117.0</v>
      </c>
      <c r="J20" s="19">
        <v>105.0</v>
      </c>
      <c r="K20" s="19">
        <v>91.0</v>
      </c>
      <c r="L20" s="19">
        <v>116.0</v>
      </c>
      <c r="M20" s="19">
        <v>117.0</v>
      </c>
      <c r="N20" s="19">
        <v>93.0</v>
      </c>
      <c r="O20" s="19">
        <v>116.0</v>
      </c>
      <c r="P20" s="19">
        <v>107.0</v>
      </c>
      <c r="Q20" s="19">
        <v>94.0</v>
      </c>
      <c r="R20" s="19">
        <v>113.0</v>
      </c>
      <c r="S20" s="19">
        <v>94.0</v>
      </c>
      <c r="T20" s="19">
        <v>96.0</v>
      </c>
      <c r="U20" s="13">
        <f t="shared" si="3"/>
        <v>1651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226</v>
      </c>
      <c r="F21" s="13">
        <f t="shared" si="4"/>
        <v>163</v>
      </c>
      <c r="G21" s="13">
        <f t="shared" si="4"/>
        <v>156</v>
      </c>
      <c r="H21" s="13">
        <f t="shared" si="4"/>
        <v>217</v>
      </c>
      <c r="I21" s="13">
        <f t="shared" si="4"/>
        <v>217</v>
      </c>
      <c r="J21" s="13">
        <f t="shared" si="4"/>
        <v>204</v>
      </c>
      <c r="K21" s="13">
        <f t="shared" si="4"/>
        <v>169</v>
      </c>
      <c r="L21" s="13">
        <f t="shared" si="4"/>
        <v>222</v>
      </c>
      <c r="M21" s="13">
        <f t="shared" si="4"/>
        <v>224</v>
      </c>
      <c r="N21" s="13">
        <f t="shared" si="4"/>
        <v>175</v>
      </c>
      <c r="O21" s="13">
        <f t="shared" si="4"/>
        <v>216</v>
      </c>
      <c r="P21" s="13">
        <f t="shared" si="4"/>
        <v>192</v>
      </c>
      <c r="Q21" s="13">
        <f t="shared" si="4"/>
        <v>183</v>
      </c>
      <c r="R21" s="13">
        <f t="shared" si="4"/>
        <v>212</v>
      </c>
      <c r="S21" s="13">
        <f t="shared" si="4"/>
        <v>173</v>
      </c>
      <c r="T21" s="13">
        <f t="shared" si="4"/>
        <v>183</v>
      </c>
      <c r="U21" s="13">
        <f t="shared" si="3"/>
        <v>3132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3.0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4.0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/>
      <c r="U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7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0.0</v>
      </c>
      <c r="H25" s="19">
        <v>4.0</v>
      </c>
      <c r="I25" s="19">
        <v>3.0</v>
      </c>
      <c r="J25" s="19">
        <v>1.0</v>
      </c>
      <c r="K25" s="19">
        <v>4.0</v>
      </c>
      <c r="L25" s="19">
        <v>3.0</v>
      </c>
      <c r="M25" s="19">
        <v>3.0</v>
      </c>
      <c r="N25" s="19">
        <v>2.0</v>
      </c>
      <c r="O25" s="19">
        <v>5.0</v>
      </c>
      <c r="P25" s="19">
        <v>3.0</v>
      </c>
      <c r="Q25" s="19">
        <v>0.0</v>
      </c>
      <c r="R25" s="19">
        <v>1.0</v>
      </c>
      <c r="S25" s="19">
        <v>10.0</v>
      </c>
      <c r="T25" s="19">
        <v>7.0</v>
      </c>
      <c r="U25" s="13">
        <f t="shared" si="3"/>
        <v>50</v>
      </c>
    </row>
    <row r="26" ht="12.75" customHeight="1">
      <c r="A26" s="33"/>
      <c r="B26" s="27"/>
      <c r="C26" s="34"/>
      <c r="D26" s="19" t="s">
        <v>13</v>
      </c>
      <c r="E26" s="19">
        <v>5.0</v>
      </c>
      <c r="F26" s="19">
        <v>3.0</v>
      </c>
      <c r="G26" s="19">
        <v>1.0</v>
      </c>
      <c r="H26" s="19">
        <v>7.0</v>
      </c>
      <c r="I26" s="19">
        <v>6.0</v>
      </c>
      <c r="J26" s="19">
        <v>4.0</v>
      </c>
      <c r="K26" s="19">
        <v>4.0</v>
      </c>
      <c r="L26" s="19">
        <v>1.0</v>
      </c>
      <c r="M26" s="19">
        <v>3.0</v>
      </c>
      <c r="N26" s="19">
        <v>1.0</v>
      </c>
      <c r="O26" s="19">
        <v>4.0</v>
      </c>
      <c r="P26" s="19">
        <v>3.0</v>
      </c>
      <c r="Q26" s="19">
        <v>1.0</v>
      </c>
      <c r="R26" s="19">
        <v>2.0</v>
      </c>
      <c r="S26" s="19">
        <v>12.0</v>
      </c>
      <c r="T26" s="19">
        <v>9.0</v>
      </c>
      <c r="U26" s="13">
        <f t="shared" si="3"/>
        <v>66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7</v>
      </c>
      <c r="F27" s="13">
        <f t="shared" si="6"/>
        <v>5</v>
      </c>
      <c r="G27" s="13">
        <f t="shared" si="6"/>
        <v>1</v>
      </c>
      <c r="H27" s="13">
        <f t="shared" si="6"/>
        <v>11</v>
      </c>
      <c r="I27" s="13">
        <f t="shared" si="6"/>
        <v>9</v>
      </c>
      <c r="J27" s="13">
        <f t="shared" si="6"/>
        <v>5</v>
      </c>
      <c r="K27" s="13">
        <f t="shared" si="6"/>
        <v>8</v>
      </c>
      <c r="L27" s="13">
        <f t="shared" si="6"/>
        <v>4</v>
      </c>
      <c r="M27" s="13">
        <f t="shared" si="6"/>
        <v>6</v>
      </c>
      <c r="N27" s="13">
        <f t="shared" si="6"/>
        <v>3</v>
      </c>
      <c r="O27" s="13">
        <f t="shared" si="6"/>
        <v>9</v>
      </c>
      <c r="P27" s="13">
        <f t="shared" si="6"/>
        <v>6</v>
      </c>
      <c r="Q27" s="13">
        <f t="shared" si="6"/>
        <v>1</v>
      </c>
      <c r="R27" s="13">
        <f t="shared" si="6"/>
        <v>3</v>
      </c>
      <c r="S27" s="13">
        <f t="shared" si="6"/>
        <v>22</v>
      </c>
      <c r="T27" s="13">
        <f t="shared" si="6"/>
        <v>16</v>
      </c>
      <c r="U27" s="13">
        <f t="shared" si="3"/>
        <v>116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124</v>
      </c>
      <c r="F28" s="13">
        <f t="shared" si="7"/>
        <v>75</v>
      </c>
      <c r="G28" s="13">
        <f t="shared" si="7"/>
        <v>72</v>
      </c>
      <c r="H28" s="13">
        <f t="shared" si="7"/>
        <v>107</v>
      </c>
      <c r="I28" s="13">
        <f t="shared" si="7"/>
        <v>103</v>
      </c>
      <c r="J28" s="13">
        <f t="shared" si="7"/>
        <v>100</v>
      </c>
      <c r="K28" s="13">
        <f t="shared" si="7"/>
        <v>82</v>
      </c>
      <c r="L28" s="13">
        <f t="shared" si="7"/>
        <v>109</v>
      </c>
      <c r="M28" s="13">
        <f t="shared" si="7"/>
        <v>110</v>
      </c>
      <c r="N28" s="13">
        <f t="shared" si="7"/>
        <v>87</v>
      </c>
      <c r="O28" s="13">
        <f t="shared" si="7"/>
        <v>105</v>
      </c>
      <c r="P28" s="13">
        <f t="shared" si="7"/>
        <v>88</v>
      </c>
      <c r="Q28" s="13">
        <f t="shared" si="7"/>
        <v>89</v>
      </c>
      <c r="R28" s="13">
        <f t="shared" si="7"/>
        <v>100</v>
      </c>
      <c r="S28" s="13">
        <f t="shared" si="7"/>
        <v>89</v>
      </c>
      <c r="T28" s="13">
        <f t="shared" si="7"/>
        <v>94</v>
      </c>
      <c r="U28" s="13">
        <f t="shared" si="3"/>
        <v>1534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109</v>
      </c>
      <c r="F29" s="13">
        <f t="shared" si="8"/>
        <v>93</v>
      </c>
      <c r="G29" s="13">
        <f t="shared" si="8"/>
        <v>85</v>
      </c>
      <c r="H29" s="13">
        <f t="shared" si="8"/>
        <v>121</v>
      </c>
      <c r="I29" s="13">
        <f t="shared" si="8"/>
        <v>123</v>
      </c>
      <c r="J29" s="13">
        <f t="shared" si="8"/>
        <v>109</v>
      </c>
      <c r="K29" s="13">
        <f t="shared" si="8"/>
        <v>95</v>
      </c>
      <c r="L29" s="13">
        <f t="shared" si="8"/>
        <v>117</v>
      </c>
      <c r="M29" s="13">
        <f t="shared" si="8"/>
        <v>120</v>
      </c>
      <c r="N29" s="13">
        <f t="shared" si="8"/>
        <v>98</v>
      </c>
      <c r="O29" s="13">
        <f t="shared" si="8"/>
        <v>120</v>
      </c>
      <c r="P29" s="13">
        <f t="shared" si="8"/>
        <v>110</v>
      </c>
      <c r="Q29" s="13">
        <f t="shared" si="8"/>
        <v>96</v>
      </c>
      <c r="R29" s="13">
        <f t="shared" si="8"/>
        <v>115</v>
      </c>
      <c r="S29" s="13">
        <f t="shared" si="8"/>
        <v>106</v>
      </c>
      <c r="T29" s="13">
        <f t="shared" si="8"/>
        <v>105</v>
      </c>
      <c r="U29" s="13">
        <f t="shared" si="3"/>
        <v>1722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233</v>
      </c>
      <c r="F30" s="13">
        <f t="shared" si="9"/>
        <v>168</v>
      </c>
      <c r="G30" s="13">
        <f t="shared" si="9"/>
        <v>157</v>
      </c>
      <c r="H30" s="13">
        <f t="shared" si="9"/>
        <v>228</v>
      </c>
      <c r="I30" s="13">
        <f t="shared" si="9"/>
        <v>226</v>
      </c>
      <c r="J30" s="13">
        <f t="shared" si="9"/>
        <v>209</v>
      </c>
      <c r="K30" s="13">
        <f t="shared" si="9"/>
        <v>177</v>
      </c>
      <c r="L30" s="13">
        <f t="shared" si="9"/>
        <v>226</v>
      </c>
      <c r="M30" s="13">
        <f t="shared" si="9"/>
        <v>230</v>
      </c>
      <c r="N30" s="13">
        <f t="shared" si="9"/>
        <v>185</v>
      </c>
      <c r="O30" s="13">
        <f t="shared" si="9"/>
        <v>225</v>
      </c>
      <c r="P30" s="13">
        <f t="shared" si="9"/>
        <v>198</v>
      </c>
      <c r="Q30" s="13">
        <f t="shared" si="9"/>
        <v>185</v>
      </c>
      <c r="R30" s="13">
        <f t="shared" si="9"/>
        <v>215</v>
      </c>
      <c r="S30" s="13">
        <f t="shared" si="9"/>
        <v>195</v>
      </c>
      <c r="T30" s="13">
        <f t="shared" si="9"/>
        <v>199</v>
      </c>
      <c r="U30" s="13">
        <f t="shared" si="3"/>
        <v>3256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59"/>
    </row>
    <row r="33" ht="12.75" customHeight="1">
      <c r="A33" s="19">
        <v>1.0</v>
      </c>
      <c r="B33" s="20" t="s">
        <v>85</v>
      </c>
      <c r="C33" s="15"/>
      <c r="D33" s="16"/>
      <c r="E33" s="19">
        <v>293.0</v>
      </c>
      <c r="F33" s="19">
        <v>205.0</v>
      </c>
      <c r="G33" s="19">
        <v>206.0</v>
      </c>
      <c r="H33" s="19">
        <v>287.0</v>
      </c>
      <c r="I33" s="19">
        <v>296.0</v>
      </c>
      <c r="J33" s="19">
        <v>238.0</v>
      </c>
      <c r="K33" s="19">
        <v>227.0</v>
      </c>
      <c r="L33" s="19">
        <v>291.0</v>
      </c>
      <c r="M33" s="19">
        <v>281.0</v>
      </c>
      <c r="N33" s="19">
        <v>238.0</v>
      </c>
      <c r="O33" s="19">
        <v>275.0</v>
      </c>
      <c r="P33" s="19">
        <v>254.0</v>
      </c>
      <c r="Q33" s="19">
        <v>233.0</v>
      </c>
      <c r="R33" s="19">
        <v>271.0</v>
      </c>
      <c r="S33" s="19">
        <v>256.0</v>
      </c>
      <c r="T33" s="19">
        <v>228.0</v>
      </c>
      <c r="U33" s="13">
        <f t="shared" ref="U33:U36" si="10">SUM(E33:T33)</f>
        <v>4079</v>
      </c>
    </row>
    <row r="34" ht="12.75" customHeight="1">
      <c r="A34" s="19">
        <v>2.0</v>
      </c>
      <c r="B34" s="20" t="s">
        <v>28</v>
      </c>
      <c r="C34" s="15"/>
      <c r="D34" s="16"/>
      <c r="E34" s="13">
        <v>233.0</v>
      </c>
      <c r="F34" s="13">
        <v>168.0</v>
      </c>
      <c r="G34" s="13">
        <v>157.0</v>
      </c>
      <c r="H34" s="13">
        <v>228.0</v>
      </c>
      <c r="I34" s="13">
        <v>226.0</v>
      </c>
      <c r="J34" s="13">
        <v>209.0</v>
      </c>
      <c r="K34" s="13">
        <v>177.0</v>
      </c>
      <c r="L34" s="13">
        <v>226.0</v>
      </c>
      <c r="M34" s="13">
        <v>230.0</v>
      </c>
      <c r="N34" s="13">
        <v>185.0</v>
      </c>
      <c r="O34" s="13">
        <v>225.0</v>
      </c>
      <c r="P34" s="13">
        <v>198.0</v>
      </c>
      <c r="Q34" s="13">
        <v>185.0</v>
      </c>
      <c r="R34" s="13">
        <v>215.0</v>
      </c>
      <c r="S34" s="13">
        <v>195.0</v>
      </c>
      <c r="T34" s="13">
        <v>199.0</v>
      </c>
      <c r="U34" s="13">
        <f t="shared" si="10"/>
        <v>3256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60</v>
      </c>
      <c r="F36" s="13">
        <f t="shared" si="11"/>
        <v>37</v>
      </c>
      <c r="G36" s="13">
        <f t="shared" si="11"/>
        <v>49</v>
      </c>
      <c r="H36" s="13">
        <f t="shared" si="11"/>
        <v>59</v>
      </c>
      <c r="I36" s="13">
        <f t="shared" si="11"/>
        <v>69</v>
      </c>
      <c r="J36" s="13">
        <f t="shared" si="11"/>
        <v>29</v>
      </c>
      <c r="K36" s="13">
        <f t="shared" si="11"/>
        <v>50</v>
      </c>
      <c r="L36" s="13">
        <f t="shared" si="11"/>
        <v>65</v>
      </c>
      <c r="M36" s="13">
        <f t="shared" si="11"/>
        <v>51</v>
      </c>
      <c r="N36" s="13">
        <f t="shared" si="11"/>
        <v>53</v>
      </c>
      <c r="O36" s="13">
        <f t="shared" si="11"/>
        <v>50</v>
      </c>
      <c r="P36" s="13">
        <f t="shared" si="11"/>
        <v>55</v>
      </c>
      <c r="Q36" s="13">
        <f t="shared" si="11"/>
        <v>48</v>
      </c>
      <c r="R36" s="13">
        <f t="shared" si="11"/>
        <v>56</v>
      </c>
      <c r="S36" s="13">
        <f t="shared" si="11"/>
        <v>61</v>
      </c>
      <c r="T36" s="13">
        <f t="shared" si="11"/>
        <v>29</v>
      </c>
      <c r="U36" s="13">
        <f t="shared" si="10"/>
        <v>821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>
        <v>1.0</v>
      </c>
      <c r="G39" s="19"/>
      <c r="H39" s="19"/>
      <c r="I39" s="19"/>
      <c r="J39" s="19"/>
      <c r="K39" s="19"/>
      <c r="L39" s="19">
        <v>1.0</v>
      </c>
      <c r="M39" s="19"/>
      <c r="N39" s="19"/>
      <c r="O39" s="19"/>
      <c r="P39" s="19"/>
      <c r="Q39" s="19"/>
      <c r="R39" s="19"/>
      <c r="S39" s="19"/>
      <c r="T39" s="19"/>
      <c r="U39" s="13">
        <f t="shared" ref="U39:U41" si="12">SUM(E39:T39)</f>
        <v>4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2.0</v>
      </c>
      <c r="T40" s="19"/>
      <c r="U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3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3"/>
    </row>
    <row r="45" ht="12.75" customHeight="1">
      <c r="A45" s="30"/>
      <c r="B45" s="47" t="s">
        <v>17</v>
      </c>
      <c r="C45" s="62" t="s">
        <v>38</v>
      </c>
      <c r="D45" s="16"/>
      <c r="E45" s="19">
        <v>13.0</v>
      </c>
      <c r="F45" s="19">
        <v>12.0</v>
      </c>
      <c r="G45" s="19">
        <v>7.0</v>
      </c>
      <c r="H45" s="19">
        <v>3.0</v>
      </c>
      <c r="I45" s="19">
        <v>10.0</v>
      </c>
      <c r="J45" s="19">
        <v>7.0</v>
      </c>
      <c r="K45" s="19">
        <v>12.0</v>
      </c>
      <c r="L45" s="19">
        <v>14.0</v>
      </c>
      <c r="M45" s="19">
        <v>10.0</v>
      </c>
      <c r="N45" s="19">
        <v>8.0</v>
      </c>
      <c r="O45" s="19">
        <v>11.0</v>
      </c>
      <c r="P45" s="19">
        <v>10.0</v>
      </c>
      <c r="Q45" s="19">
        <v>17.0</v>
      </c>
      <c r="R45" s="19">
        <v>14.0</v>
      </c>
      <c r="S45" s="19">
        <v>12.0</v>
      </c>
      <c r="T45" s="19">
        <v>4.0</v>
      </c>
      <c r="U45" s="13">
        <f t="shared" ref="U45:U57" si="14">SUM(E45:T45)</f>
        <v>164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26.0</v>
      </c>
      <c r="F46" s="19">
        <v>26.0</v>
      </c>
      <c r="G46" s="19">
        <v>29.0</v>
      </c>
      <c r="H46" s="19">
        <v>32.0</v>
      </c>
      <c r="I46" s="19">
        <v>32.0</v>
      </c>
      <c r="J46" s="19">
        <v>23.0</v>
      </c>
      <c r="K46" s="19">
        <v>30.0</v>
      </c>
      <c r="L46" s="19">
        <v>39.0</v>
      </c>
      <c r="M46" s="19">
        <v>37.0</v>
      </c>
      <c r="N46" s="19">
        <v>23.0</v>
      </c>
      <c r="O46" s="19">
        <v>36.0</v>
      </c>
      <c r="P46" s="19">
        <v>41.0</v>
      </c>
      <c r="Q46" s="19">
        <v>30.0</v>
      </c>
      <c r="R46" s="19">
        <v>36.0</v>
      </c>
      <c r="S46" s="19">
        <v>36.0</v>
      </c>
      <c r="T46" s="19">
        <v>38.0</v>
      </c>
      <c r="U46" s="13">
        <f t="shared" si="14"/>
        <v>514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20.0</v>
      </c>
      <c r="F47" s="19">
        <v>7.0</v>
      </c>
      <c r="G47" s="19">
        <v>7.0</v>
      </c>
      <c r="H47" s="19">
        <v>8.0</v>
      </c>
      <c r="I47" s="19">
        <v>18.0</v>
      </c>
      <c r="J47" s="19">
        <v>10.0</v>
      </c>
      <c r="K47" s="19">
        <v>6.0</v>
      </c>
      <c r="L47" s="19">
        <v>7.0</v>
      </c>
      <c r="M47" s="19">
        <v>12.0</v>
      </c>
      <c r="N47" s="19">
        <v>9.0</v>
      </c>
      <c r="O47" s="19">
        <v>11.0</v>
      </c>
      <c r="P47" s="19">
        <v>11.0</v>
      </c>
      <c r="Q47" s="19">
        <v>8.0</v>
      </c>
      <c r="R47" s="19">
        <v>18.0</v>
      </c>
      <c r="S47" s="19">
        <v>7.0</v>
      </c>
      <c r="T47" s="19">
        <v>13.0</v>
      </c>
      <c r="U47" s="13">
        <f t="shared" si="14"/>
        <v>172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28.0</v>
      </c>
      <c r="F48" s="19">
        <v>17.0</v>
      </c>
      <c r="G48" s="19">
        <v>15.0</v>
      </c>
      <c r="H48" s="19">
        <v>30.0</v>
      </c>
      <c r="I48" s="19">
        <v>20.0</v>
      </c>
      <c r="J48" s="19">
        <v>29.0</v>
      </c>
      <c r="K48" s="19">
        <v>19.0</v>
      </c>
      <c r="L48" s="19">
        <v>29.0</v>
      </c>
      <c r="M48" s="19">
        <v>17.0</v>
      </c>
      <c r="N48" s="19">
        <v>28.0</v>
      </c>
      <c r="O48" s="19">
        <v>26.0</v>
      </c>
      <c r="P48" s="19">
        <v>16.0</v>
      </c>
      <c r="Q48" s="19">
        <v>13.0</v>
      </c>
      <c r="R48" s="19">
        <v>21.0</v>
      </c>
      <c r="S48" s="19">
        <v>18.0</v>
      </c>
      <c r="T48" s="19">
        <v>16.0</v>
      </c>
      <c r="U48" s="13">
        <f t="shared" si="14"/>
        <v>342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24.0</v>
      </c>
      <c r="F49" s="19">
        <v>20.0</v>
      </c>
      <c r="G49" s="19">
        <v>11.0</v>
      </c>
      <c r="H49" s="19">
        <v>17.0</v>
      </c>
      <c r="I49" s="19">
        <v>27.0</v>
      </c>
      <c r="J49" s="19">
        <v>23.0</v>
      </c>
      <c r="K49" s="19">
        <v>20.0</v>
      </c>
      <c r="L49" s="19">
        <v>29.0</v>
      </c>
      <c r="M49" s="19">
        <v>19.0</v>
      </c>
      <c r="N49" s="19">
        <v>21.0</v>
      </c>
      <c r="O49" s="19">
        <v>18.0</v>
      </c>
      <c r="P49" s="19">
        <v>17.0</v>
      </c>
      <c r="Q49" s="19">
        <v>22.0</v>
      </c>
      <c r="R49" s="19">
        <v>19.0</v>
      </c>
      <c r="S49" s="19">
        <v>15.0</v>
      </c>
      <c r="T49" s="19">
        <v>23.0</v>
      </c>
      <c r="U49" s="13">
        <f t="shared" si="14"/>
        <v>325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7.0</v>
      </c>
      <c r="F50" s="19">
        <v>16.0</v>
      </c>
      <c r="G50" s="19">
        <v>10.0</v>
      </c>
      <c r="H50" s="19">
        <v>19.0</v>
      </c>
      <c r="I50" s="19">
        <v>8.0</v>
      </c>
      <c r="J50" s="19">
        <v>18.0</v>
      </c>
      <c r="K50" s="19">
        <v>10.0</v>
      </c>
      <c r="L50" s="19">
        <v>14.0</v>
      </c>
      <c r="M50" s="19">
        <v>14.0</v>
      </c>
      <c r="N50" s="19">
        <v>10.0</v>
      </c>
      <c r="O50" s="19">
        <v>10.0</v>
      </c>
      <c r="P50" s="19">
        <v>6.0</v>
      </c>
      <c r="Q50" s="19">
        <v>7.0</v>
      </c>
      <c r="R50" s="19">
        <v>9.0</v>
      </c>
      <c r="S50" s="19">
        <v>8.0</v>
      </c>
      <c r="T50" s="19">
        <v>16.0</v>
      </c>
      <c r="U50" s="13">
        <f t="shared" si="14"/>
        <v>182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6.0</v>
      </c>
      <c r="F51" s="19">
        <v>1.0</v>
      </c>
      <c r="G51" s="19">
        <v>3.0</v>
      </c>
      <c r="H51" s="19">
        <v>5.0</v>
      </c>
      <c r="I51" s="19">
        <v>1.0</v>
      </c>
      <c r="J51" s="19">
        <v>5.0</v>
      </c>
      <c r="K51" s="19">
        <v>1.0</v>
      </c>
      <c r="L51" s="19">
        <v>2.0</v>
      </c>
      <c r="M51" s="19">
        <v>2.0</v>
      </c>
      <c r="N51" s="19">
        <v>0.0</v>
      </c>
      <c r="O51" s="19">
        <v>3.0</v>
      </c>
      <c r="P51" s="19">
        <v>1.0</v>
      </c>
      <c r="Q51" s="19">
        <v>2.0</v>
      </c>
      <c r="R51" s="19">
        <v>0.0</v>
      </c>
      <c r="S51" s="19">
        <v>1.0</v>
      </c>
      <c r="T51" s="19">
        <v>1.0</v>
      </c>
      <c r="U51" s="13">
        <f t="shared" si="14"/>
        <v>34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8.0</v>
      </c>
      <c r="F52" s="19">
        <v>5.0</v>
      </c>
      <c r="G52" s="19">
        <v>5.0</v>
      </c>
      <c r="H52" s="19">
        <v>3.0</v>
      </c>
      <c r="I52" s="19">
        <v>4.0</v>
      </c>
      <c r="J52" s="19">
        <v>2.0</v>
      </c>
      <c r="K52" s="19">
        <v>5.0</v>
      </c>
      <c r="L52" s="19">
        <v>4.0</v>
      </c>
      <c r="M52" s="19">
        <v>3.0</v>
      </c>
      <c r="N52" s="19">
        <v>8.0</v>
      </c>
      <c r="O52" s="19">
        <v>5.0</v>
      </c>
      <c r="P52" s="19">
        <v>1.0</v>
      </c>
      <c r="Q52" s="19">
        <v>1.0</v>
      </c>
      <c r="R52" s="19">
        <v>3.0</v>
      </c>
      <c r="S52" s="19">
        <v>7.0</v>
      </c>
      <c r="T52" s="19">
        <v>2.0</v>
      </c>
      <c r="U52" s="13">
        <f t="shared" si="14"/>
        <v>66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3.0</v>
      </c>
      <c r="F53" s="19">
        <v>2.0</v>
      </c>
      <c r="G53" s="19">
        <v>0.0</v>
      </c>
      <c r="H53" s="19">
        <v>0.0</v>
      </c>
      <c r="I53" s="19">
        <v>1.0</v>
      </c>
      <c r="J53" s="19">
        <v>0.0</v>
      </c>
      <c r="K53" s="19">
        <v>0.0</v>
      </c>
      <c r="L53" s="19">
        <v>1.0</v>
      </c>
      <c r="M53" s="19">
        <v>1.0</v>
      </c>
      <c r="N53" s="19">
        <v>1.0</v>
      </c>
      <c r="O53" s="19">
        <v>3.0</v>
      </c>
      <c r="P53" s="19">
        <v>3.0</v>
      </c>
      <c r="Q53" s="19">
        <v>1.0</v>
      </c>
      <c r="R53" s="19">
        <v>3.0</v>
      </c>
      <c r="S53" s="19">
        <v>0.0</v>
      </c>
      <c r="T53" s="19">
        <v>1.0</v>
      </c>
      <c r="U53" s="13">
        <f t="shared" si="14"/>
        <v>20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22.0</v>
      </c>
      <c r="F54" s="19">
        <v>14.0</v>
      </c>
      <c r="G54" s="19">
        <v>17.0</v>
      </c>
      <c r="H54" s="19">
        <v>30.0</v>
      </c>
      <c r="I54" s="19">
        <v>24.0</v>
      </c>
      <c r="J54" s="19">
        <v>23.0</v>
      </c>
      <c r="K54" s="19">
        <v>17.0</v>
      </c>
      <c r="L54" s="19">
        <v>25.0</v>
      </c>
      <c r="M54" s="19">
        <v>35.0</v>
      </c>
      <c r="N54" s="19">
        <v>27.0</v>
      </c>
      <c r="O54" s="19">
        <v>28.0</v>
      </c>
      <c r="P54" s="19">
        <v>31.0</v>
      </c>
      <c r="Q54" s="19">
        <v>20.0</v>
      </c>
      <c r="R54" s="19">
        <v>28.0</v>
      </c>
      <c r="S54" s="19">
        <v>25.0</v>
      </c>
      <c r="T54" s="19">
        <v>20.0</v>
      </c>
      <c r="U54" s="13">
        <f t="shared" si="14"/>
        <v>386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1.0</v>
      </c>
      <c r="G55" s="19">
        <v>4.0</v>
      </c>
      <c r="H55" s="19">
        <v>2.0</v>
      </c>
      <c r="I55" s="19">
        <v>5.0</v>
      </c>
      <c r="J55" s="19">
        <v>0.0</v>
      </c>
      <c r="K55" s="19">
        <v>2.0</v>
      </c>
      <c r="L55" s="19">
        <v>0.0</v>
      </c>
      <c r="M55" s="19">
        <v>0.0</v>
      </c>
      <c r="N55" s="19">
        <v>1.0</v>
      </c>
      <c r="O55" s="19">
        <v>4.0</v>
      </c>
      <c r="P55" s="19">
        <v>0.0</v>
      </c>
      <c r="Q55" s="19">
        <v>1.0</v>
      </c>
      <c r="R55" s="19">
        <v>5.0</v>
      </c>
      <c r="S55" s="19">
        <v>3.0</v>
      </c>
      <c r="T55" s="19">
        <v>0.0</v>
      </c>
      <c r="U55" s="13">
        <f t="shared" si="14"/>
        <v>30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14.0</v>
      </c>
      <c r="F56" s="19">
        <v>10.0</v>
      </c>
      <c r="G56" s="19">
        <v>16.0</v>
      </c>
      <c r="H56" s="19">
        <v>30.0</v>
      </c>
      <c r="I56" s="19">
        <v>15.0</v>
      </c>
      <c r="J56" s="19">
        <v>23.0</v>
      </c>
      <c r="K56" s="19">
        <v>11.0</v>
      </c>
      <c r="L56" s="19">
        <v>14.0</v>
      </c>
      <c r="M56" s="19">
        <v>21.0</v>
      </c>
      <c r="N56" s="19">
        <v>15.0</v>
      </c>
      <c r="O56" s="19">
        <v>19.0</v>
      </c>
      <c r="P56" s="19">
        <v>13.0</v>
      </c>
      <c r="Q56" s="19">
        <v>19.0</v>
      </c>
      <c r="R56" s="19">
        <v>23.0</v>
      </c>
      <c r="S56" s="19">
        <v>21.0</v>
      </c>
      <c r="T56" s="19">
        <v>15.0</v>
      </c>
      <c r="U56" s="13">
        <f t="shared" si="14"/>
        <v>279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0.0</v>
      </c>
      <c r="F57" s="19">
        <v>3.0</v>
      </c>
      <c r="G57" s="19">
        <v>3.0</v>
      </c>
      <c r="H57" s="19">
        <v>2.0</v>
      </c>
      <c r="I57" s="19">
        <v>3.0</v>
      </c>
      <c r="J57" s="19">
        <v>3.0</v>
      </c>
      <c r="K57" s="19">
        <v>1.0</v>
      </c>
      <c r="L57" s="19">
        <v>1.0</v>
      </c>
      <c r="M57" s="19">
        <v>7.0</v>
      </c>
      <c r="N57" s="19">
        <v>4.0</v>
      </c>
      <c r="O57" s="19">
        <v>0.0</v>
      </c>
      <c r="P57" s="19">
        <v>6.0</v>
      </c>
      <c r="Q57" s="19">
        <v>5.0</v>
      </c>
      <c r="R57" s="19">
        <v>1.0</v>
      </c>
      <c r="S57" s="19">
        <v>4.0</v>
      </c>
      <c r="T57" s="19">
        <v>3.0</v>
      </c>
      <c r="U57" s="13">
        <f t="shared" si="14"/>
        <v>46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T60" si="15">SUM(E45:E57)</f>
        <v>173</v>
      </c>
      <c r="F60" s="19">
        <f t="shared" si="15"/>
        <v>134</v>
      </c>
      <c r="G60" s="19">
        <f t="shared" si="15"/>
        <v>127</v>
      </c>
      <c r="H60" s="19">
        <f t="shared" si="15"/>
        <v>181</v>
      </c>
      <c r="I60" s="19">
        <f t="shared" si="15"/>
        <v>168</v>
      </c>
      <c r="J60" s="19">
        <f t="shared" si="15"/>
        <v>166</v>
      </c>
      <c r="K60" s="19">
        <f t="shared" si="15"/>
        <v>134</v>
      </c>
      <c r="L60" s="19">
        <f t="shared" si="15"/>
        <v>179</v>
      </c>
      <c r="M60" s="19">
        <f t="shared" si="15"/>
        <v>178</v>
      </c>
      <c r="N60" s="19">
        <f t="shared" si="15"/>
        <v>155</v>
      </c>
      <c r="O60" s="19">
        <f t="shared" si="15"/>
        <v>174</v>
      </c>
      <c r="P60" s="19">
        <f t="shared" si="15"/>
        <v>156</v>
      </c>
      <c r="Q60" s="19">
        <f t="shared" si="15"/>
        <v>146</v>
      </c>
      <c r="R60" s="19">
        <f t="shared" si="15"/>
        <v>180</v>
      </c>
      <c r="S60" s="19">
        <f t="shared" si="15"/>
        <v>157</v>
      </c>
      <c r="T60" s="19">
        <f t="shared" si="15"/>
        <v>152</v>
      </c>
      <c r="U60" s="13">
        <f t="shared" ref="U60:U62" si="16">SUM(E60:T60)</f>
        <v>2560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60.0</v>
      </c>
      <c r="F61" s="19">
        <v>34.0</v>
      </c>
      <c r="G61" s="19">
        <v>30.0</v>
      </c>
      <c r="H61" s="19">
        <v>47.0</v>
      </c>
      <c r="I61" s="19">
        <v>58.0</v>
      </c>
      <c r="J61" s="19">
        <v>43.0</v>
      </c>
      <c r="K61" s="19">
        <v>43.0</v>
      </c>
      <c r="L61" s="19">
        <v>47.0</v>
      </c>
      <c r="M61" s="19">
        <v>52.0</v>
      </c>
      <c r="N61" s="19">
        <v>30.0</v>
      </c>
      <c r="O61" s="19">
        <v>51.0</v>
      </c>
      <c r="P61" s="19">
        <v>42.0</v>
      </c>
      <c r="Q61" s="19">
        <v>39.0</v>
      </c>
      <c r="R61" s="19">
        <v>35.0</v>
      </c>
      <c r="S61" s="19">
        <v>38.0</v>
      </c>
      <c r="T61" s="19">
        <v>47.0</v>
      </c>
      <c r="U61" s="13">
        <f t="shared" si="16"/>
        <v>696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T62" si="17">SUM(E60:E61)</f>
        <v>233</v>
      </c>
      <c r="F62" s="13">
        <f t="shared" si="17"/>
        <v>168</v>
      </c>
      <c r="G62" s="13">
        <f t="shared" si="17"/>
        <v>157</v>
      </c>
      <c r="H62" s="13">
        <f t="shared" si="17"/>
        <v>228</v>
      </c>
      <c r="I62" s="13">
        <f t="shared" si="17"/>
        <v>226</v>
      </c>
      <c r="J62" s="13">
        <f t="shared" si="17"/>
        <v>209</v>
      </c>
      <c r="K62" s="13">
        <f t="shared" si="17"/>
        <v>177</v>
      </c>
      <c r="L62" s="13">
        <f t="shared" si="17"/>
        <v>226</v>
      </c>
      <c r="M62" s="13">
        <f t="shared" si="17"/>
        <v>230</v>
      </c>
      <c r="N62" s="13">
        <f t="shared" si="17"/>
        <v>185</v>
      </c>
      <c r="O62" s="13">
        <f t="shared" si="17"/>
        <v>225</v>
      </c>
      <c r="P62" s="13">
        <f t="shared" si="17"/>
        <v>198</v>
      </c>
      <c r="Q62" s="13">
        <f t="shared" si="17"/>
        <v>185</v>
      </c>
      <c r="R62" s="13">
        <f t="shared" si="17"/>
        <v>215</v>
      </c>
      <c r="S62" s="13">
        <f t="shared" si="17"/>
        <v>195</v>
      </c>
      <c r="T62" s="13">
        <f t="shared" si="17"/>
        <v>199</v>
      </c>
      <c r="U62" s="13">
        <f t="shared" si="16"/>
        <v>3256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T15 E45:T57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E30&lt;&gt;E46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60:T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1" width="8.71"/>
    <col customWidth="1" min="12" max="12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36"/>
    </row>
    <row r="14" ht="12.75" customHeight="1">
      <c r="A14" s="18"/>
      <c r="B14" s="22" t="s">
        <v>11</v>
      </c>
      <c r="C14" s="23"/>
      <c r="D14" s="19" t="s">
        <v>12</v>
      </c>
      <c r="E14" s="19">
        <v>127.0</v>
      </c>
      <c r="F14" s="19">
        <v>92.0</v>
      </c>
      <c r="G14" s="19">
        <v>112.0</v>
      </c>
      <c r="H14" s="19">
        <v>127.0</v>
      </c>
      <c r="I14" s="19">
        <v>102.0</v>
      </c>
      <c r="J14" s="19">
        <v>109.0</v>
      </c>
      <c r="K14" s="19">
        <v>135.0</v>
      </c>
      <c r="L14" s="13">
        <f t="shared" ref="L14:L16" si="1">SUM(E14:K14)</f>
        <v>804</v>
      </c>
    </row>
    <row r="15" ht="12.75" customHeight="1">
      <c r="A15" s="18"/>
      <c r="B15" s="26"/>
      <c r="C15" s="27"/>
      <c r="D15" s="19" t="s">
        <v>13</v>
      </c>
      <c r="E15" s="19">
        <v>127.0</v>
      </c>
      <c r="F15" s="19">
        <v>99.0</v>
      </c>
      <c r="G15" s="19">
        <v>98.0</v>
      </c>
      <c r="H15" s="19">
        <v>129.0</v>
      </c>
      <c r="I15" s="19">
        <v>106.0</v>
      </c>
      <c r="J15" s="19">
        <v>117.0</v>
      </c>
      <c r="K15" s="19">
        <v>130.0</v>
      </c>
      <c r="L15" s="13">
        <f t="shared" si="1"/>
        <v>806</v>
      </c>
    </row>
    <row r="16" ht="12.75" customHeight="1">
      <c r="A16" s="25"/>
      <c r="B16" s="21"/>
      <c r="C16" s="28"/>
      <c r="D16" s="13" t="s">
        <v>14</v>
      </c>
      <c r="E16" s="13">
        <f t="shared" ref="E16:K16" si="2">SUM(E14:E15)</f>
        <v>254</v>
      </c>
      <c r="F16" s="13">
        <f t="shared" si="2"/>
        <v>191</v>
      </c>
      <c r="G16" s="13">
        <f t="shared" si="2"/>
        <v>210</v>
      </c>
      <c r="H16" s="13">
        <f t="shared" si="2"/>
        <v>256</v>
      </c>
      <c r="I16" s="13">
        <f t="shared" si="2"/>
        <v>208</v>
      </c>
      <c r="J16" s="13">
        <f t="shared" si="2"/>
        <v>226</v>
      </c>
      <c r="K16" s="13">
        <f t="shared" si="2"/>
        <v>265</v>
      </c>
      <c r="L16" s="13">
        <f t="shared" si="1"/>
        <v>1610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99.0</v>
      </c>
      <c r="F19" s="19">
        <v>70.0</v>
      </c>
      <c r="G19" s="19">
        <v>78.0</v>
      </c>
      <c r="H19" s="19">
        <v>86.0</v>
      </c>
      <c r="I19" s="19">
        <v>77.0</v>
      </c>
      <c r="J19" s="19">
        <v>81.0</v>
      </c>
      <c r="K19" s="19">
        <v>97.0</v>
      </c>
      <c r="L19" s="13">
        <f t="shared" ref="L19:L30" si="3">SUM(E19:K19)</f>
        <v>588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86.0</v>
      </c>
      <c r="G20" s="19">
        <v>77.0</v>
      </c>
      <c r="H20" s="19">
        <v>104.0</v>
      </c>
      <c r="I20" s="19">
        <v>90.0</v>
      </c>
      <c r="J20" s="19">
        <v>92.0</v>
      </c>
      <c r="K20" s="19">
        <v>112.0</v>
      </c>
      <c r="L20" s="13">
        <f t="shared" si="3"/>
        <v>665</v>
      </c>
    </row>
    <row r="21" ht="12.75" customHeight="1">
      <c r="A21" s="35"/>
      <c r="B21" s="28"/>
      <c r="C21" s="36"/>
      <c r="D21" s="13" t="s">
        <v>14</v>
      </c>
      <c r="E21" s="13">
        <f t="shared" ref="E21:K21" si="4">SUM(E19:E20)</f>
        <v>203</v>
      </c>
      <c r="F21" s="13">
        <f t="shared" si="4"/>
        <v>156</v>
      </c>
      <c r="G21" s="13">
        <f t="shared" si="4"/>
        <v>155</v>
      </c>
      <c r="H21" s="13">
        <f t="shared" si="4"/>
        <v>190</v>
      </c>
      <c r="I21" s="13">
        <f t="shared" si="4"/>
        <v>167</v>
      </c>
      <c r="J21" s="13">
        <f t="shared" si="4"/>
        <v>173</v>
      </c>
      <c r="K21" s="13">
        <f t="shared" si="4"/>
        <v>209</v>
      </c>
      <c r="L21" s="13">
        <f t="shared" si="3"/>
        <v>1253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2.0</v>
      </c>
      <c r="G25" s="19">
        <v>3.0</v>
      </c>
      <c r="H25" s="19">
        <v>6.0</v>
      </c>
      <c r="I25" s="19">
        <v>1.0</v>
      </c>
      <c r="J25" s="19">
        <v>2.0</v>
      </c>
      <c r="K25" s="19">
        <v>1.0</v>
      </c>
      <c r="L25" s="13">
        <f t="shared" si="3"/>
        <v>19</v>
      </c>
    </row>
    <row r="26" ht="12.75" customHeight="1">
      <c r="A26" s="33"/>
      <c r="B26" s="27"/>
      <c r="C26" s="34"/>
      <c r="D26" s="19" t="s">
        <v>13</v>
      </c>
      <c r="E26" s="19">
        <v>6.0</v>
      </c>
      <c r="F26" s="19">
        <v>3.0</v>
      </c>
      <c r="G26" s="19">
        <v>4.0</v>
      </c>
      <c r="H26" s="19">
        <v>6.0</v>
      </c>
      <c r="I26" s="19">
        <v>1.0</v>
      </c>
      <c r="J26" s="19">
        <v>1.0</v>
      </c>
      <c r="K26" s="19">
        <v>1.0</v>
      </c>
      <c r="L26" s="13">
        <f t="shared" si="3"/>
        <v>22</v>
      </c>
    </row>
    <row r="27" ht="12.75" customHeight="1">
      <c r="A27" s="35"/>
      <c r="B27" s="28"/>
      <c r="C27" s="36"/>
      <c r="D27" s="13" t="s">
        <v>14</v>
      </c>
      <c r="E27" s="13">
        <f t="shared" ref="E27:K27" si="6">SUM(E25:E26)</f>
        <v>10</v>
      </c>
      <c r="F27" s="13">
        <f t="shared" si="6"/>
        <v>5</v>
      </c>
      <c r="G27" s="13">
        <f t="shared" si="6"/>
        <v>7</v>
      </c>
      <c r="H27" s="13">
        <f t="shared" si="6"/>
        <v>12</v>
      </c>
      <c r="I27" s="13">
        <f t="shared" si="6"/>
        <v>2</v>
      </c>
      <c r="J27" s="13">
        <f t="shared" si="6"/>
        <v>3</v>
      </c>
      <c r="K27" s="13">
        <f t="shared" si="6"/>
        <v>2</v>
      </c>
      <c r="L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K28" si="7">SUM(E19,E22,E25)</f>
        <v>103</v>
      </c>
      <c r="F28" s="13">
        <f t="shared" si="7"/>
        <v>72</v>
      </c>
      <c r="G28" s="13">
        <f t="shared" si="7"/>
        <v>81</v>
      </c>
      <c r="H28" s="13">
        <f t="shared" si="7"/>
        <v>92</v>
      </c>
      <c r="I28" s="13">
        <f t="shared" si="7"/>
        <v>78</v>
      </c>
      <c r="J28" s="13">
        <f t="shared" si="7"/>
        <v>83</v>
      </c>
      <c r="K28" s="13">
        <f t="shared" si="7"/>
        <v>98</v>
      </c>
      <c r="L28" s="13">
        <f t="shared" si="3"/>
        <v>607</v>
      </c>
    </row>
    <row r="29" ht="12.75" customHeight="1">
      <c r="A29" s="35"/>
      <c r="B29" s="27"/>
      <c r="C29" s="34"/>
      <c r="D29" s="13" t="s">
        <v>13</v>
      </c>
      <c r="E29" s="13">
        <f t="shared" ref="E29:K29" si="8">SUM(E20,E23,E26)</f>
        <v>110</v>
      </c>
      <c r="F29" s="13">
        <f t="shared" si="8"/>
        <v>89</v>
      </c>
      <c r="G29" s="13">
        <f t="shared" si="8"/>
        <v>81</v>
      </c>
      <c r="H29" s="13">
        <f t="shared" si="8"/>
        <v>110</v>
      </c>
      <c r="I29" s="13">
        <f t="shared" si="8"/>
        <v>91</v>
      </c>
      <c r="J29" s="13">
        <f t="shared" si="8"/>
        <v>93</v>
      </c>
      <c r="K29" s="13">
        <f t="shared" si="8"/>
        <v>113</v>
      </c>
      <c r="L29" s="13">
        <f t="shared" si="3"/>
        <v>687</v>
      </c>
    </row>
    <row r="30" ht="12.75" customHeight="1">
      <c r="A30" s="35"/>
      <c r="B30" s="28"/>
      <c r="C30" s="36"/>
      <c r="D30" s="13" t="s">
        <v>14</v>
      </c>
      <c r="E30" s="13">
        <f t="shared" ref="E30:K30" si="9">SUM(E28:E29)</f>
        <v>213</v>
      </c>
      <c r="F30" s="13">
        <f t="shared" si="9"/>
        <v>161</v>
      </c>
      <c r="G30" s="13">
        <f t="shared" si="9"/>
        <v>162</v>
      </c>
      <c r="H30" s="13">
        <f t="shared" si="9"/>
        <v>202</v>
      </c>
      <c r="I30" s="13">
        <f t="shared" si="9"/>
        <v>169</v>
      </c>
      <c r="J30" s="13">
        <f t="shared" si="9"/>
        <v>176</v>
      </c>
      <c r="K30" s="13">
        <f t="shared" si="9"/>
        <v>211</v>
      </c>
      <c r="L30" s="13">
        <f t="shared" si="3"/>
        <v>1294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59"/>
    </row>
    <row r="33" ht="12.75" customHeight="1">
      <c r="A33" s="19">
        <v>1.0</v>
      </c>
      <c r="B33" s="20" t="s">
        <v>85</v>
      </c>
      <c r="C33" s="15"/>
      <c r="D33" s="16"/>
      <c r="E33" s="19">
        <v>260.0</v>
      </c>
      <c r="F33" s="19">
        <v>326.0</v>
      </c>
      <c r="G33" s="19">
        <v>215.0</v>
      </c>
      <c r="H33" s="19">
        <v>262.0</v>
      </c>
      <c r="I33" s="19">
        <v>213.0</v>
      </c>
      <c r="J33" s="19">
        <v>261.0</v>
      </c>
      <c r="K33" s="19">
        <v>271.0</v>
      </c>
      <c r="L33" s="13">
        <f t="shared" ref="L33:L36" si="10">SUM(E33:K33)</f>
        <v>1808</v>
      </c>
    </row>
    <row r="34" ht="12.75" customHeight="1">
      <c r="A34" s="19">
        <v>2.0</v>
      </c>
      <c r="B34" s="20" t="s">
        <v>28</v>
      </c>
      <c r="C34" s="15"/>
      <c r="D34" s="16"/>
      <c r="E34" s="13">
        <v>213.0</v>
      </c>
      <c r="F34" s="13">
        <v>161.0</v>
      </c>
      <c r="G34" s="13">
        <v>162.0</v>
      </c>
      <c r="H34" s="13">
        <v>202.0</v>
      </c>
      <c r="I34" s="13">
        <v>169.0</v>
      </c>
      <c r="J34" s="13">
        <v>176.0</v>
      </c>
      <c r="K34" s="13">
        <v>211.0</v>
      </c>
      <c r="L34" s="13">
        <f t="shared" si="10"/>
        <v>1294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2.0</v>
      </c>
      <c r="K35" s="19">
        <v>0.0</v>
      </c>
      <c r="L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K36" si="11">E33-(E34+E35)</f>
        <v>47</v>
      </c>
      <c r="F36" s="13">
        <f t="shared" si="11"/>
        <v>163</v>
      </c>
      <c r="G36" s="13">
        <f t="shared" si="11"/>
        <v>53</v>
      </c>
      <c r="H36" s="13">
        <f t="shared" si="11"/>
        <v>60</v>
      </c>
      <c r="I36" s="13">
        <f t="shared" si="11"/>
        <v>44</v>
      </c>
      <c r="J36" s="13">
        <f t="shared" si="11"/>
        <v>83</v>
      </c>
      <c r="K36" s="13">
        <f t="shared" si="11"/>
        <v>60</v>
      </c>
      <c r="L36" s="13">
        <f t="shared" si="10"/>
        <v>510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3">
        <f t="shared" ref="L39:L41" si="12">SUM(E39:K39)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3"/>
    </row>
    <row r="45" ht="12.75" customHeight="1">
      <c r="A45" s="30"/>
      <c r="B45" s="47" t="s">
        <v>17</v>
      </c>
      <c r="C45" s="62" t="s">
        <v>38</v>
      </c>
      <c r="D45" s="16"/>
      <c r="E45" s="19">
        <v>24.0</v>
      </c>
      <c r="F45" s="19">
        <v>12.0</v>
      </c>
      <c r="G45" s="19">
        <v>9.0</v>
      </c>
      <c r="H45" s="19">
        <v>9.0</v>
      </c>
      <c r="I45" s="19">
        <v>9.0</v>
      </c>
      <c r="J45" s="19">
        <v>5.0</v>
      </c>
      <c r="K45" s="19">
        <v>12.0</v>
      </c>
      <c r="L45" s="13">
        <f t="shared" ref="L45:L57" si="14">SUM(E45:K45)</f>
        <v>80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24.0</v>
      </c>
      <c r="F46" s="19">
        <v>19.0</v>
      </c>
      <c r="G46" s="19">
        <v>23.0</v>
      </c>
      <c r="H46" s="19">
        <v>25.0</v>
      </c>
      <c r="I46" s="19">
        <v>26.0</v>
      </c>
      <c r="J46" s="19">
        <v>21.0</v>
      </c>
      <c r="K46" s="19">
        <v>25.0</v>
      </c>
      <c r="L46" s="13">
        <f t="shared" si="14"/>
        <v>163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12.0</v>
      </c>
      <c r="F47" s="19">
        <v>8.0</v>
      </c>
      <c r="G47" s="19">
        <v>15.0</v>
      </c>
      <c r="H47" s="19">
        <v>9.0</v>
      </c>
      <c r="I47" s="19">
        <v>9.0</v>
      </c>
      <c r="J47" s="19">
        <v>11.0</v>
      </c>
      <c r="K47" s="19">
        <v>9.0</v>
      </c>
      <c r="L47" s="13">
        <f t="shared" si="14"/>
        <v>73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15.0</v>
      </c>
      <c r="F48" s="19">
        <v>9.0</v>
      </c>
      <c r="G48" s="19">
        <v>16.0</v>
      </c>
      <c r="H48" s="19">
        <v>19.0</v>
      </c>
      <c r="I48" s="19">
        <v>17.0</v>
      </c>
      <c r="J48" s="19">
        <v>17.0</v>
      </c>
      <c r="K48" s="19">
        <v>14.0</v>
      </c>
      <c r="L48" s="13">
        <f t="shared" si="14"/>
        <v>107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15.0</v>
      </c>
      <c r="F49" s="19">
        <v>20.0</v>
      </c>
      <c r="G49" s="19">
        <v>9.0</v>
      </c>
      <c r="H49" s="19">
        <v>21.0</v>
      </c>
      <c r="I49" s="19">
        <v>22.0</v>
      </c>
      <c r="J49" s="19">
        <v>13.0</v>
      </c>
      <c r="K49" s="19">
        <v>21.0</v>
      </c>
      <c r="L49" s="13">
        <f t="shared" si="14"/>
        <v>121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14.0</v>
      </c>
      <c r="F50" s="19">
        <v>8.0</v>
      </c>
      <c r="G50" s="19">
        <v>12.0</v>
      </c>
      <c r="H50" s="19">
        <v>7.0</v>
      </c>
      <c r="I50" s="19">
        <v>14.0</v>
      </c>
      <c r="J50" s="19">
        <v>5.0</v>
      </c>
      <c r="K50" s="19">
        <v>17.0</v>
      </c>
      <c r="L50" s="13">
        <f t="shared" si="14"/>
        <v>77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2.0</v>
      </c>
      <c r="G51" s="19">
        <v>3.0</v>
      </c>
      <c r="H51" s="19">
        <v>3.0</v>
      </c>
      <c r="I51" s="19">
        <v>2.0</v>
      </c>
      <c r="J51" s="19">
        <v>2.0</v>
      </c>
      <c r="K51" s="19">
        <v>2.0</v>
      </c>
      <c r="L51" s="13">
        <f t="shared" si="14"/>
        <v>17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7.0</v>
      </c>
      <c r="F52" s="19">
        <v>3.0</v>
      </c>
      <c r="G52" s="19">
        <v>5.0</v>
      </c>
      <c r="H52" s="19">
        <v>9.0</v>
      </c>
      <c r="I52" s="19">
        <v>2.0</v>
      </c>
      <c r="J52" s="19">
        <v>3.0</v>
      </c>
      <c r="K52" s="19">
        <v>8.0</v>
      </c>
      <c r="L52" s="13">
        <f t="shared" si="14"/>
        <v>37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3.0</v>
      </c>
      <c r="F53" s="19">
        <v>1.0</v>
      </c>
      <c r="G53" s="19">
        <v>0.0</v>
      </c>
      <c r="H53" s="19">
        <v>1.0</v>
      </c>
      <c r="I53" s="19">
        <v>1.0</v>
      </c>
      <c r="J53" s="19">
        <v>0.0</v>
      </c>
      <c r="K53" s="19">
        <v>0.0</v>
      </c>
      <c r="L53" s="13">
        <f t="shared" si="14"/>
        <v>6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30.0</v>
      </c>
      <c r="F54" s="19">
        <v>18.0</v>
      </c>
      <c r="G54" s="19">
        <v>22.0</v>
      </c>
      <c r="H54" s="19">
        <v>23.0</v>
      </c>
      <c r="I54" s="19">
        <v>16.0</v>
      </c>
      <c r="J54" s="19">
        <v>20.0</v>
      </c>
      <c r="K54" s="19">
        <v>26.0</v>
      </c>
      <c r="L54" s="13">
        <f t="shared" si="14"/>
        <v>155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3.0</v>
      </c>
      <c r="G55" s="19">
        <v>1.0</v>
      </c>
      <c r="H55" s="19">
        <v>3.0</v>
      </c>
      <c r="I55" s="19">
        <v>1.0</v>
      </c>
      <c r="J55" s="19">
        <v>0.0</v>
      </c>
      <c r="K55" s="19">
        <v>0.0</v>
      </c>
      <c r="L55" s="13">
        <f t="shared" si="14"/>
        <v>8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18.0</v>
      </c>
      <c r="F56" s="19">
        <v>13.0</v>
      </c>
      <c r="G56" s="19">
        <v>10.0</v>
      </c>
      <c r="H56" s="19">
        <v>17.0</v>
      </c>
      <c r="I56" s="19">
        <v>9.0</v>
      </c>
      <c r="J56" s="19">
        <v>15.0</v>
      </c>
      <c r="K56" s="19">
        <v>24.0</v>
      </c>
      <c r="L56" s="13">
        <f t="shared" si="14"/>
        <v>106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7.0</v>
      </c>
      <c r="F57" s="19">
        <v>5.0</v>
      </c>
      <c r="G57" s="19">
        <v>5.0</v>
      </c>
      <c r="H57" s="19">
        <v>2.0</v>
      </c>
      <c r="I57" s="19">
        <v>5.0</v>
      </c>
      <c r="J57" s="19">
        <v>5.0</v>
      </c>
      <c r="K57" s="19">
        <v>3.0</v>
      </c>
      <c r="L57" s="13">
        <f t="shared" si="14"/>
        <v>32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K60" si="15">SUM(E45:E57)</f>
        <v>172</v>
      </c>
      <c r="F60" s="19">
        <f t="shared" si="15"/>
        <v>121</v>
      </c>
      <c r="G60" s="19">
        <f t="shared" si="15"/>
        <v>130</v>
      </c>
      <c r="H60" s="19">
        <f t="shared" si="15"/>
        <v>148</v>
      </c>
      <c r="I60" s="19">
        <f t="shared" si="15"/>
        <v>133</v>
      </c>
      <c r="J60" s="19">
        <f t="shared" si="15"/>
        <v>117</v>
      </c>
      <c r="K60" s="19">
        <f t="shared" si="15"/>
        <v>161</v>
      </c>
      <c r="L60" s="13">
        <f t="shared" ref="L60:L62" si="16">SUM(E60:K60)</f>
        <v>982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41.0</v>
      </c>
      <c r="F61" s="19">
        <v>40.0</v>
      </c>
      <c r="G61" s="19">
        <v>32.0</v>
      </c>
      <c r="H61" s="19">
        <v>54.0</v>
      </c>
      <c r="I61" s="19">
        <v>36.0</v>
      </c>
      <c r="J61" s="19">
        <v>59.0</v>
      </c>
      <c r="K61" s="19">
        <v>50.0</v>
      </c>
      <c r="L61" s="13">
        <f t="shared" si="16"/>
        <v>312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K62" si="17">SUM(E60:E61)</f>
        <v>213</v>
      </c>
      <c r="F62" s="13">
        <f t="shared" si="17"/>
        <v>161</v>
      </c>
      <c r="G62" s="13">
        <f t="shared" si="17"/>
        <v>162</v>
      </c>
      <c r="H62" s="13">
        <f t="shared" si="17"/>
        <v>202</v>
      </c>
      <c r="I62" s="13">
        <f t="shared" si="17"/>
        <v>169</v>
      </c>
      <c r="J62" s="13">
        <f t="shared" si="17"/>
        <v>176</v>
      </c>
      <c r="K62" s="13">
        <f t="shared" si="17"/>
        <v>211</v>
      </c>
      <c r="L62" s="13">
        <f t="shared" si="16"/>
        <v>1294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K12"/>
    <mergeCell ref="L12: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K34">
    <cfRule type="expression" dxfId="0" priority="1">
      <formula>E34&lt;&gt;#REF!</formula>
    </cfRule>
  </conditionalFormatting>
  <conditionalFormatting sqref="E14:K15 E45:K57">
    <cfRule type="containsBlanks" dxfId="1" priority="2">
      <formula>LEN(TRIM(E14))=0</formula>
    </cfRule>
  </conditionalFormatting>
  <conditionalFormatting sqref="E19:K20">
    <cfRule type="containsBlanks" dxfId="1" priority="3">
      <formula>LEN(TRIM(E19))=0</formula>
    </cfRule>
  </conditionalFormatting>
  <conditionalFormatting sqref="E22:K23 E25:K26 E33:K33 E35:K35 E39:K40">
    <cfRule type="containsBlanks" dxfId="1" priority="4">
      <formula>LEN(TRIM(E22))=0</formula>
    </cfRule>
  </conditionalFormatting>
  <conditionalFormatting sqref="E30:K30">
    <cfRule type="expression" dxfId="0" priority="5">
      <formula>E30&lt;&gt;E46</formula>
    </cfRule>
  </conditionalFormatting>
  <conditionalFormatting sqref="E30:K30">
    <cfRule type="expression" dxfId="0" priority="6">
      <formula>E30&lt;&gt;E34</formula>
    </cfRule>
  </conditionalFormatting>
  <conditionalFormatting sqref="E34:K34">
    <cfRule type="expression" dxfId="2" priority="7">
      <formula>E30&lt;&gt;E34</formula>
    </cfRule>
  </conditionalFormatting>
  <conditionalFormatting sqref="E34:K34">
    <cfRule type="expression" dxfId="3" priority="8">
      <formula>E30=E34</formula>
    </cfRule>
  </conditionalFormatting>
  <conditionalFormatting sqref="E34:K34">
    <cfRule type="expression" dxfId="0" priority="9">
      <formula>E34&lt;&gt;E30</formula>
    </cfRule>
  </conditionalFormatting>
  <conditionalFormatting sqref="E60:K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143.0</v>
      </c>
      <c r="G14" s="19">
        <v>148.0</v>
      </c>
      <c r="H14" s="19">
        <v>139.0</v>
      </c>
      <c r="I14" s="19">
        <v>130.0</v>
      </c>
      <c r="J14" s="19">
        <v>128.0</v>
      </c>
      <c r="K14" s="19">
        <v>147.0</v>
      </c>
      <c r="L14" s="19">
        <v>119.0</v>
      </c>
      <c r="M14" s="13">
        <f t="shared" ref="M14:M16" si="1">SUM(E14:L14)</f>
        <v>1083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151.0</v>
      </c>
      <c r="G15" s="19">
        <v>146.0</v>
      </c>
      <c r="H15" s="19">
        <v>151.0</v>
      </c>
      <c r="I15" s="19">
        <v>159.0</v>
      </c>
      <c r="J15" s="19">
        <v>136.0</v>
      </c>
      <c r="K15" s="19">
        <v>146.0</v>
      </c>
      <c r="L15" s="19">
        <v>130.0</v>
      </c>
      <c r="M15" s="13">
        <f t="shared" si="1"/>
        <v>1155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265</v>
      </c>
      <c r="F16" s="13">
        <f t="shared" si="2"/>
        <v>294</v>
      </c>
      <c r="G16" s="13">
        <f t="shared" si="2"/>
        <v>294</v>
      </c>
      <c r="H16" s="13">
        <f t="shared" si="2"/>
        <v>290</v>
      </c>
      <c r="I16" s="13">
        <f t="shared" si="2"/>
        <v>289</v>
      </c>
      <c r="J16" s="13">
        <f t="shared" si="2"/>
        <v>264</v>
      </c>
      <c r="K16" s="13">
        <f t="shared" si="2"/>
        <v>293</v>
      </c>
      <c r="L16" s="13">
        <f t="shared" si="2"/>
        <v>249</v>
      </c>
      <c r="M16" s="13">
        <f t="shared" si="1"/>
        <v>2238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103.0</v>
      </c>
      <c r="G19" s="19">
        <v>108.0</v>
      </c>
      <c r="H19" s="19">
        <v>113.0</v>
      </c>
      <c r="I19" s="19">
        <v>100.0</v>
      </c>
      <c r="J19" s="19">
        <v>85.0</v>
      </c>
      <c r="K19" s="19">
        <v>98.0</v>
      </c>
      <c r="L19" s="19">
        <v>83.0</v>
      </c>
      <c r="M19" s="13">
        <f t="shared" ref="M19:M30" si="3">SUM(E19:L19)</f>
        <v>775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122.0</v>
      </c>
      <c r="G20" s="19">
        <v>120.0</v>
      </c>
      <c r="H20" s="19">
        <v>126.0</v>
      </c>
      <c r="I20" s="19">
        <v>137.0</v>
      </c>
      <c r="J20" s="19">
        <v>102.0</v>
      </c>
      <c r="K20" s="19">
        <v>108.0</v>
      </c>
      <c r="L20" s="19">
        <v>105.0</v>
      </c>
      <c r="M20" s="13">
        <f t="shared" si="3"/>
        <v>914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179</v>
      </c>
      <c r="F21" s="13">
        <f t="shared" si="4"/>
        <v>225</v>
      </c>
      <c r="G21" s="13">
        <f t="shared" si="4"/>
        <v>228</v>
      </c>
      <c r="H21" s="13">
        <f t="shared" si="4"/>
        <v>239</v>
      </c>
      <c r="I21" s="13">
        <f t="shared" si="4"/>
        <v>237</v>
      </c>
      <c r="J21" s="13">
        <f t="shared" si="4"/>
        <v>187</v>
      </c>
      <c r="K21" s="13">
        <f t="shared" si="4"/>
        <v>206</v>
      </c>
      <c r="L21" s="13">
        <f t="shared" si="4"/>
        <v>188</v>
      </c>
      <c r="M21" s="13">
        <f t="shared" si="3"/>
        <v>1689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4.0</v>
      </c>
      <c r="G26" s="19">
        <v>0.0</v>
      </c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1</v>
      </c>
      <c r="K27" s="13">
        <f t="shared" si="6"/>
        <v>3</v>
      </c>
      <c r="L27" s="13">
        <f t="shared" si="6"/>
        <v>2</v>
      </c>
      <c r="M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85</v>
      </c>
      <c r="F28" s="13">
        <f t="shared" si="7"/>
        <v>104</v>
      </c>
      <c r="G28" s="13">
        <f t="shared" si="7"/>
        <v>108</v>
      </c>
      <c r="H28" s="13">
        <f t="shared" si="7"/>
        <v>115</v>
      </c>
      <c r="I28" s="13">
        <f t="shared" si="7"/>
        <v>100</v>
      </c>
      <c r="J28" s="13">
        <f t="shared" si="7"/>
        <v>85</v>
      </c>
      <c r="K28" s="13">
        <f t="shared" si="7"/>
        <v>100</v>
      </c>
      <c r="L28" s="13">
        <f t="shared" si="7"/>
        <v>83</v>
      </c>
      <c r="M28" s="13">
        <f t="shared" si="3"/>
        <v>780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95</v>
      </c>
      <c r="F29" s="13">
        <f t="shared" si="8"/>
        <v>126</v>
      </c>
      <c r="G29" s="13">
        <f t="shared" si="8"/>
        <v>120</v>
      </c>
      <c r="H29" s="13">
        <f t="shared" si="8"/>
        <v>127</v>
      </c>
      <c r="I29" s="13">
        <f t="shared" si="8"/>
        <v>139</v>
      </c>
      <c r="J29" s="13">
        <f t="shared" si="8"/>
        <v>103</v>
      </c>
      <c r="K29" s="13">
        <f t="shared" si="8"/>
        <v>109</v>
      </c>
      <c r="L29" s="13">
        <f t="shared" si="8"/>
        <v>107</v>
      </c>
      <c r="M29" s="13">
        <f t="shared" si="3"/>
        <v>926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180</v>
      </c>
      <c r="F30" s="13">
        <f t="shared" si="9"/>
        <v>230</v>
      </c>
      <c r="G30" s="13">
        <f t="shared" si="9"/>
        <v>228</v>
      </c>
      <c r="H30" s="13">
        <f t="shared" si="9"/>
        <v>242</v>
      </c>
      <c r="I30" s="13">
        <f t="shared" si="9"/>
        <v>239</v>
      </c>
      <c r="J30" s="13">
        <f t="shared" si="9"/>
        <v>188</v>
      </c>
      <c r="K30" s="13">
        <f t="shared" si="9"/>
        <v>209</v>
      </c>
      <c r="L30" s="13">
        <f t="shared" si="9"/>
        <v>190</v>
      </c>
      <c r="M30" s="13">
        <f t="shared" si="3"/>
        <v>1706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59"/>
    </row>
    <row r="33" ht="12.75" customHeight="1">
      <c r="A33" s="19">
        <v>1.0</v>
      </c>
      <c r="B33" s="20" t="s">
        <v>85</v>
      </c>
      <c r="C33" s="15"/>
      <c r="D33" s="16"/>
      <c r="E33" s="19">
        <v>271.0</v>
      </c>
      <c r="F33" s="19">
        <v>300.0</v>
      </c>
      <c r="G33" s="19">
        <v>300.0</v>
      </c>
      <c r="H33" s="19">
        <v>296.0</v>
      </c>
      <c r="I33" s="19">
        <v>295.0</v>
      </c>
      <c r="J33" s="19">
        <v>272.0</v>
      </c>
      <c r="K33" s="19">
        <v>299.0</v>
      </c>
      <c r="L33" s="19">
        <v>255.0</v>
      </c>
      <c r="M33" s="13">
        <f t="shared" ref="M33:M36" si="10">SUM(E33:L33)</f>
        <v>2288</v>
      </c>
    </row>
    <row r="34" ht="12.75" customHeight="1">
      <c r="A34" s="19">
        <v>2.0</v>
      </c>
      <c r="B34" s="20" t="s">
        <v>28</v>
      </c>
      <c r="C34" s="15"/>
      <c r="D34" s="16"/>
      <c r="E34" s="13">
        <v>180.0</v>
      </c>
      <c r="F34" s="13">
        <v>230.0</v>
      </c>
      <c r="G34" s="13">
        <v>228.0</v>
      </c>
      <c r="H34" s="13">
        <v>242.0</v>
      </c>
      <c r="I34" s="13">
        <v>239.0</v>
      </c>
      <c r="J34" s="13">
        <v>188.0</v>
      </c>
      <c r="K34" s="13">
        <v>209.0</v>
      </c>
      <c r="L34" s="13">
        <v>190.0</v>
      </c>
      <c r="M34" s="13">
        <f t="shared" si="10"/>
        <v>1706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91</v>
      </c>
      <c r="F36" s="13">
        <f t="shared" si="11"/>
        <v>70</v>
      </c>
      <c r="G36" s="13">
        <f t="shared" si="11"/>
        <v>72</v>
      </c>
      <c r="H36" s="13">
        <f t="shared" si="11"/>
        <v>53</v>
      </c>
      <c r="I36" s="13">
        <f t="shared" si="11"/>
        <v>56</v>
      </c>
      <c r="J36" s="13">
        <f t="shared" si="11"/>
        <v>84</v>
      </c>
      <c r="K36" s="13">
        <f t="shared" si="11"/>
        <v>90</v>
      </c>
      <c r="L36" s="13">
        <f t="shared" si="11"/>
        <v>65</v>
      </c>
      <c r="M36" s="13">
        <f t="shared" si="10"/>
        <v>581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1.0</v>
      </c>
      <c r="H39" s="19">
        <v>1.0</v>
      </c>
      <c r="I39" s="19">
        <v>1.0</v>
      </c>
      <c r="J39" s="19">
        <v>0.0</v>
      </c>
      <c r="K39" s="19">
        <v>3.0</v>
      </c>
      <c r="L39" s="19">
        <v>1.0</v>
      </c>
      <c r="M39" s="13">
        <f t="shared" ref="M39:M41" si="12">SUM(E39:L39)</f>
        <v>8</v>
      </c>
    </row>
    <row r="40" ht="12.75" customHeight="1">
      <c r="A40" s="33"/>
      <c r="C40" s="27"/>
      <c r="D40" s="19" t="s">
        <v>13</v>
      </c>
      <c r="E40" s="19">
        <v>2.0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3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4</v>
      </c>
      <c r="L41" s="13">
        <f t="shared" si="13"/>
        <v>1</v>
      </c>
      <c r="M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/>
      <c r="B45" s="47" t="s">
        <v>17</v>
      </c>
      <c r="C45" s="62" t="s">
        <v>38</v>
      </c>
      <c r="D45" s="16"/>
      <c r="E45" s="19">
        <v>12.0</v>
      </c>
      <c r="F45" s="19">
        <v>12.0</v>
      </c>
      <c r="G45" s="19">
        <v>16.0</v>
      </c>
      <c r="H45" s="19">
        <v>18.0</v>
      </c>
      <c r="I45" s="19">
        <v>12.0</v>
      </c>
      <c r="J45" s="19">
        <v>14.0</v>
      </c>
      <c r="K45" s="19">
        <v>17.0</v>
      </c>
      <c r="L45" s="19">
        <v>9.0</v>
      </c>
      <c r="M45" s="13">
        <f t="shared" ref="M45:M57" si="14">SUM(E45:L45)</f>
        <v>110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27.0</v>
      </c>
      <c r="F46" s="19">
        <v>34.0</v>
      </c>
      <c r="G46" s="19">
        <v>24.0</v>
      </c>
      <c r="H46" s="19">
        <v>34.0</v>
      </c>
      <c r="I46" s="19">
        <v>31.0</v>
      </c>
      <c r="J46" s="19">
        <v>22.0</v>
      </c>
      <c r="K46" s="19">
        <v>32.0</v>
      </c>
      <c r="L46" s="19">
        <v>41.0</v>
      </c>
      <c r="M46" s="13">
        <f t="shared" si="14"/>
        <v>245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6.0</v>
      </c>
      <c r="F47" s="19">
        <v>11.0</v>
      </c>
      <c r="G47" s="19">
        <v>11.0</v>
      </c>
      <c r="H47" s="19">
        <v>10.0</v>
      </c>
      <c r="I47" s="19">
        <v>16.0</v>
      </c>
      <c r="J47" s="19">
        <v>13.0</v>
      </c>
      <c r="K47" s="19">
        <v>5.0</v>
      </c>
      <c r="L47" s="19">
        <v>12.0</v>
      </c>
      <c r="M47" s="13">
        <f t="shared" si="14"/>
        <v>84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23.0</v>
      </c>
      <c r="F48" s="19">
        <v>27.0</v>
      </c>
      <c r="G48" s="19">
        <v>27.0</v>
      </c>
      <c r="H48" s="19">
        <v>40.0</v>
      </c>
      <c r="I48" s="19">
        <v>29.0</v>
      </c>
      <c r="J48" s="19">
        <v>22.0</v>
      </c>
      <c r="K48" s="19">
        <v>28.0</v>
      </c>
      <c r="L48" s="19">
        <v>25.0</v>
      </c>
      <c r="M48" s="13">
        <f t="shared" si="14"/>
        <v>221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23.0</v>
      </c>
      <c r="F49" s="19">
        <v>21.0</v>
      </c>
      <c r="G49" s="19">
        <v>14.0</v>
      </c>
      <c r="H49" s="19">
        <v>21.0</v>
      </c>
      <c r="I49" s="19">
        <v>16.0</v>
      </c>
      <c r="J49" s="19">
        <v>17.0</v>
      </c>
      <c r="K49" s="19">
        <v>14.0</v>
      </c>
      <c r="L49" s="19">
        <v>14.0</v>
      </c>
      <c r="M49" s="13">
        <f t="shared" si="14"/>
        <v>140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12.0</v>
      </c>
      <c r="F50" s="19">
        <v>13.0</v>
      </c>
      <c r="G50" s="19">
        <v>12.0</v>
      </c>
      <c r="H50" s="19">
        <v>11.0</v>
      </c>
      <c r="I50" s="19">
        <v>18.0</v>
      </c>
      <c r="J50" s="19">
        <v>5.0</v>
      </c>
      <c r="K50" s="19">
        <v>9.0</v>
      </c>
      <c r="L50" s="19">
        <v>10.0</v>
      </c>
      <c r="M50" s="13">
        <f t="shared" si="14"/>
        <v>90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4.0</v>
      </c>
      <c r="F51" s="19">
        <v>3.0</v>
      </c>
      <c r="G51" s="19">
        <v>2.0</v>
      </c>
      <c r="H51" s="19">
        <v>2.0</v>
      </c>
      <c r="I51" s="19">
        <v>3.0</v>
      </c>
      <c r="J51" s="19">
        <v>0.0</v>
      </c>
      <c r="K51" s="19">
        <v>1.0</v>
      </c>
      <c r="L51" s="19">
        <v>1.0</v>
      </c>
      <c r="M51" s="13">
        <f t="shared" si="14"/>
        <v>16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2.0</v>
      </c>
      <c r="F52" s="19">
        <v>7.0</v>
      </c>
      <c r="G52" s="19">
        <v>3.0</v>
      </c>
      <c r="H52" s="19">
        <v>4.0</v>
      </c>
      <c r="I52" s="19">
        <v>3.0</v>
      </c>
      <c r="J52" s="19">
        <v>1.0</v>
      </c>
      <c r="K52" s="19">
        <v>5.0</v>
      </c>
      <c r="L52" s="19">
        <v>2.0</v>
      </c>
      <c r="M52" s="13">
        <f t="shared" si="14"/>
        <v>27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6.0</v>
      </c>
      <c r="G53" s="19">
        <v>1.0</v>
      </c>
      <c r="H53" s="19">
        <v>0.0</v>
      </c>
      <c r="I53" s="19">
        <v>1.0</v>
      </c>
      <c r="J53" s="19">
        <v>0.0</v>
      </c>
      <c r="K53" s="19">
        <v>1.0</v>
      </c>
      <c r="L53" s="19">
        <v>0.0</v>
      </c>
      <c r="M53" s="13">
        <f t="shared" si="14"/>
        <v>9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25.0</v>
      </c>
      <c r="F54" s="19">
        <v>32.0</v>
      </c>
      <c r="G54" s="19">
        <v>29.0</v>
      </c>
      <c r="H54" s="19">
        <v>34.0</v>
      </c>
      <c r="I54" s="19">
        <v>29.0</v>
      </c>
      <c r="J54" s="19">
        <v>20.0</v>
      </c>
      <c r="K54" s="19">
        <v>29.0</v>
      </c>
      <c r="L54" s="19">
        <v>17.0</v>
      </c>
      <c r="M54" s="13">
        <f t="shared" si="14"/>
        <v>215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0.0</v>
      </c>
      <c r="G55" s="19">
        <v>2.0</v>
      </c>
      <c r="H55" s="19">
        <v>1.0</v>
      </c>
      <c r="I55" s="19">
        <v>1.0</v>
      </c>
      <c r="J55" s="19">
        <v>0.0</v>
      </c>
      <c r="K55" s="19">
        <v>2.0</v>
      </c>
      <c r="L55" s="19">
        <v>0.0</v>
      </c>
      <c r="M55" s="13">
        <f t="shared" si="14"/>
        <v>8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17.0</v>
      </c>
      <c r="F56" s="19">
        <v>15.0</v>
      </c>
      <c r="G56" s="19">
        <v>27.0</v>
      </c>
      <c r="H56" s="19">
        <v>9.0</v>
      </c>
      <c r="I56" s="19">
        <v>24.0</v>
      </c>
      <c r="J56" s="19">
        <v>29.0</v>
      </c>
      <c r="K56" s="19">
        <v>12.0</v>
      </c>
      <c r="L56" s="19">
        <v>16.0</v>
      </c>
      <c r="M56" s="13">
        <f t="shared" si="14"/>
        <v>149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0.0</v>
      </c>
      <c r="F57" s="19">
        <v>3.0</v>
      </c>
      <c r="G57" s="19">
        <v>3.0</v>
      </c>
      <c r="H57" s="19">
        <v>2.0</v>
      </c>
      <c r="I57" s="19">
        <v>4.0</v>
      </c>
      <c r="J57" s="19">
        <v>4.0</v>
      </c>
      <c r="K57" s="19">
        <v>0.0</v>
      </c>
      <c r="L57" s="19">
        <v>1.0</v>
      </c>
      <c r="M57" s="13">
        <f t="shared" si="14"/>
        <v>17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L60" si="15">SUM(E45:E57)</f>
        <v>153</v>
      </c>
      <c r="F60" s="19">
        <f t="shared" si="15"/>
        <v>184</v>
      </c>
      <c r="G60" s="19">
        <f t="shared" si="15"/>
        <v>171</v>
      </c>
      <c r="H60" s="19">
        <f t="shared" si="15"/>
        <v>186</v>
      </c>
      <c r="I60" s="19">
        <f t="shared" si="15"/>
        <v>187</v>
      </c>
      <c r="J60" s="19">
        <f t="shared" si="15"/>
        <v>147</v>
      </c>
      <c r="K60" s="19">
        <f t="shared" si="15"/>
        <v>155</v>
      </c>
      <c r="L60" s="19">
        <f t="shared" si="15"/>
        <v>148</v>
      </c>
      <c r="M60" s="13">
        <f t="shared" ref="M60:M62" si="16">SUM(E60:L60)</f>
        <v>1331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27.0</v>
      </c>
      <c r="F61" s="19">
        <v>46.0</v>
      </c>
      <c r="G61" s="19">
        <v>57.0</v>
      </c>
      <c r="H61" s="19">
        <v>56.0</v>
      </c>
      <c r="I61" s="19">
        <v>52.0</v>
      </c>
      <c r="J61" s="19">
        <v>41.0</v>
      </c>
      <c r="K61" s="19">
        <v>54.0</v>
      </c>
      <c r="L61" s="19">
        <v>42.0</v>
      </c>
      <c r="M61" s="13">
        <f t="shared" si="16"/>
        <v>375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L62" si="17">SUM(E60:E61)</f>
        <v>180</v>
      </c>
      <c r="F62" s="13">
        <f t="shared" si="17"/>
        <v>230</v>
      </c>
      <c r="G62" s="13">
        <f t="shared" si="17"/>
        <v>228</v>
      </c>
      <c r="H62" s="13">
        <f t="shared" si="17"/>
        <v>242</v>
      </c>
      <c r="I62" s="13">
        <f t="shared" si="17"/>
        <v>239</v>
      </c>
      <c r="J62" s="13">
        <f t="shared" si="17"/>
        <v>188</v>
      </c>
      <c r="K62" s="13">
        <f t="shared" si="17"/>
        <v>209</v>
      </c>
      <c r="L62" s="13">
        <f t="shared" si="17"/>
        <v>190</v>
      </c>
      <c r="M62" s="13">
        <f t="shared" si="16"/>
        <v>1706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L34">
    <cfRule type="expression" dxfId="0" priority="1">
      <formula>E34&lt;&gt;#REF!</formula>
    </cfRule>
  </conditionalFormatting>
  <conditionalFormatting sqref="E14:L15 E45:L57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E30&lt;&gt;E46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60:L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117.0</v>
      </c>
      <c r="G14" s="19">
        <v>134.0</v>
      </c>
      <c r="H14" s="19">
        <v>137.0</v>
      </c>
      <c r="I14" s="19">
        <v>136.0</v>
      </c>
      <c r="J14" s="19">
        <v>103.0</v>
      </c>
      <c r="K14" s="19">
        <v>131.0</v>
      </c>
      <c r="L14" s="19">
        <v>126.0</v>
      </c>
      <c r="M14" s="19">
        <v>100.0</v>
      </c>
      <c r="N14" s="19">
        <v>130.0</v>
      </c>
      <c r="O14" s="19">
        <v>146.0</v>
      </c>
      <c r="P14" s="13">
        <f t="shared" ref="P14:P16" si="1">SUM(E14:O14)</f>
        <v>1396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131.0</v>
      </c>
      <c r="G15" s="19">
        <v>135.0</v>
      </c>
      <c r="H15" s="19">
        <v>131.0</v>
      </c>
      <c r="I15" s="19">
        <v>142.0</v>
      </c>
      <c r="J15" s="19">
        <v>98.0</v>
      </c>
      <c r="K15" s="19">
        <v>148.0</v>
      </c>
      <c r="L15" s="19">
        <v>98.0</v>
      </c>
      <c r="M15" s="19">
        <v>122.0</v>
      </c>
      <c r="N15" s="19">
        <v>151.0</v>
      </c>
      <c r="O15" s="19">
        <v>142.0</v>
      </c>
      <c r="P15" s="13">
        <f t="shared" si="1"/>
        <v>1434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272</v>
      </c>
      <c r="F16" s="13">
        <f t="shared" si="2"/>
        <v>248</v>
      </c>
      <c r="G16" s="13">
        <f t="shared" si="2"/>
        <v>269</v>
      </c>
      <c r="H16" s="13">
        <f t="shared" si="2"/>
        <v>268</v>
      </c>
      <c r="I16" s="13">
        <f t="shared" si="2"/>
        <v>278</v>
      </c>
      <c r="J16" s="13">
        <f t="shared" si="2"/>
        <v>201</v>
      </c>
      <c r="K16" s="13">
        <f t="shared" si="2"/>
        <v>279</v>
      </c>
      <c r="L16" s="13">
        <f t="shared" si="2"/>
        <v>224</v>
      </c>
      <c r="M16" s="13">
        <f t="shared" si="2"/>
        <v>222</v>
      </c>
      <c r="N16" s="13">
        <f t="shared" si="2"/>
        <v>281</v>
      </c>
      <c r="O16" s="13">
        <f t="shared" si="2"/>
        <v>288</v>
      </c>
      <c r="P16" s="13">
        <f t="shared" si="1"/>
        <v>2830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82.0</v>
      </c>
      <c r="F19" s="19">
        <v>79.0</v>
      </c>
      <c r="G19" s="19">
        <v>87.0</v>
      </c>
      <c r="H19" s="19">
        <v>101.0</v>
      </c>
      <c r="I19" s="19">
        <v>98.0</v>
      </c>
      <c r="J19" s="19">
        <v>86.0</v>
      </c>
      <c r="K19" s="19">
        <v>99.0</v>
      </c>
      <c r="L19" s="19">
        <v>93.0</v>
      </c>
      <c r="M19" s="19">
        <v>76.0</v>
      </c>
      <c r="N19" s="19">
        <v>88.0</v>
      </c>
      <c r="O19" s="19">
        <v>106.0</v>
      </c>
      <c r="P19" s="13">
        <f t="shared" ref="P19:P30" si="3">SUM(E19:O19)</f>
        <v>995</v>
      </c>
    </row>
    <row r="20" ht="12.75" customHeight="1">
      <c r="A20" s="33"/>
      <c r="B20" s="27"/>
      <c r="C20" s="34"/>
      <c r="D20" s="19" t="s">
        <v>13</v>
      </c>
      <c r="E20" s="19">
        <v>90.0</v>
      </c>
      <c r="F20" s="19">
        <v>102.0</v>
      </c>
      <c r="G20" s="19">
        <v>111.0</v>
      </c>
      <c r="H20" s="19">
        <v>102.0</v>
      </c>
      <c r="I20" s="19">
        <v>105.0</v>
      </c>
      <c r="J20" s="19">
        <v>85.0</v>
      </c>
      <c r="K20" s="19">
        <v>122.0</v>
      </c>
      <c r="L20" s="19">
        <v>80.0</v>
      </c>
      <c r="M20" s="19">
        <v>95.0</v>
      </c>
      <c r="N20" s="19">
        <v>122.0</v>
      </c>
      <c r="O20" s="19">
        <v>114.0</v>
      </c>
      <c r="P20" s="13">
        <f t="shared" si="3"/>
        <v>1128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172</v>
      </c>
      <c r="F21" s="13">
        <f t="shared" si="4"/>
        <v>181</v>
      </c>
      <c r="G21" s="13">
        <f t="shared" si="4"/>
        <v>198</v>
      </c>
      <c r="H21" s="13">
        <f t="shared" si="4"/>
        <v>203</v>
      </c>
      <c r="I21" s="13">
        <f t="shared" si="4"/>
        <v>203</v>
      </c>
      <c r="J21" s="13">
        <f t="shared" si="4"/>
        <v>171</v>
      </c>
      <c r="K21" s="13">
        <f t="shared" si="4"/>
        <v>221</v>
      </c>
      <c r="L21" s="13">
        <f t="shared" si="4"/>
        <v>173</v>
      </c>
      <c r="M21" s="13">
        <f t="shared" si="4"/>
        <v>171</v>
      </c>
      <c r="N21" s="13">
        <f t="shared" si="4"/>
        <v>210</v>
      </c>
      <c r="O21" s="13">
        <f t="shared" si="4"/>
        <v>220</v>
      </c>
      <c r="P21" s="13">
        <f t="shared" si="3"/>
        <v>2123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1.0</v>
      </c>
      <c r="G25" s="19">
        <v>2.0</v>
      </c>
      <c r="H25" s="19">
        <v>1.0</v>
      </c>
      <c r="I25" s="19">
        <v>3.0</v>
      </c>
      <c r="J25" s="19">
        <v>0.0</v>
      </c>
      <c r="K25" s="19">
        <v>2.0</v>
      </c>
      <c r="L25" s="19">
        <v>0.0</v>
      </c>
      <c r="M25" s="19">
        <v>6.0</v>
      </c>
      <c r="N25" s="19">
        <v>5.0</v>
      </c>
      <c r="O25" s="19">
        <v>6.0</v>
      </c>
      <c r="P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2.0</v>
      </c>
      <c r="H26" s="19">
        <v>1.0</v>
      </c>
      <c r="I26" s="19">
        <v>4.0</v>
      </c>
      <c r="J26" s="19">
        <v>0.0</v>
      </c>
      <c r="K26" s="19">
        <v>1.0</v>
      </c>
      <c r="L26" s="19">
        <v>0.0</v>
      </c>
      <c r="M26" s="19">
        <v>3.0</v>
      </c>
      <c r="N26" s="19">
        <v>8.0</v>
      </c>
      <c r="O26" s="19">
        <v>2.0</v>
      </c>
      <c r="P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4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7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9</v>
      </c>
      <c r="N27" s="13">
        <f t="shared" si="6"/>
        <v>13</v>
      </c>
      <c r="O27" s="13">
        <f t="shared" si="6"/>
        <v>8</v>
      </c>
      <c r="P27" s="13">
        <f t="shared" si="3"/>
        <v>52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85</v>
      </c>
      <c r="F28" s="13">
        <f t="shared" si="7"/>
        <v>80</v>
      </c>
      <c r="G28" s="13">
        <f t="shared" si="7"/>
        <v>89</v>
      </c>
      <c r="H28" s="13">
        <f t="shared" si="7"/>
        <v>102</v>
      </c>
      <c r="I28" s="13">
        <f t="shared" si="7"/>
        <v>101</v>
      </c>
      <c r="J28" s="13">
        <f t="shared" si="7"/>
        <v>86</v>
      </c>
      <c r="K28" s="13">
        <f t="shared" si="7"/>
        <v>101</v>
      </c>
      <c r="L28" s="13">
        <f t="shared" si="7"/>
        <v>93</v>
      </c>
      <c r="M28" s="13">
        <f t="shared" si="7"/>
        <v>82</v>
      </c>
      <c r="N28" s="13">
        <f t="shared" si="7"/>
        <v>93</v>
      </c>
      <c r="O28" s="13">
        <f t="shared" si="7"/>
        <v>112</v>
      </c>
      <c r="P28" s="13">
        <f t="shared" si="3"/>
        <v>1024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91</v>
      </c>
      <c r="F29" s="13">
        <f t="shared" si="8"/>
        <v>103</v>
      </c>
      <c r="G29" s="13">
        <f t="shared" si="8"/>
        <v>113</v>
      </c>
      <c r="H29" s="13">
        <f t="shared" si="8"/>
        <v>103</v>
      </c>
      <c r="I29" s="13">
        <f t="shared" si="8"/>
        <v>109</v>
      </c>
      <c r="J29" s="13">
        <f t="shared" si="8"/>
        <v>85</v>
      </c>
      <c r="K29" s="13">
        <f t="shared" si="8"/>
        <v>123</v>
      </c>
      <c r="L29" s="13">
        <f t="shared" si="8"/>
        <v>80</v>
      </c>
      <c r="M29" s="13">
        <f t="shared" si="8"/>
        <v>98</v>
      </c>
      <c r="N29" s="13">
        <f t="shared" si="8"/>
        <v>130</v>
      </c>
      <c r="O29" s="13">
        <f t="shared" si="8"/>
        <v>116</v>
      </c>
      <c r="P29" s="13">
        <f t="shared" si="3"/>
        <v>1151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176</v>
      </c>
      <c r="F30" s="13">
        <f t="shared" si="9"/>
        <v>183</v>
      </c>
      <c r="G30" s="13">
        <f t="shared" si="9"/>
        <v>202</v>
      </c>
      <c r="H30" s="13">
        <f t="shared" si="9"/>
        <v>205</v>
      </c>
      <c r="I30" s="13">
        <f t="shared" si="9"/>
        <v>210</v>
      </c>
      <c r="J30" s="13">
        <f t="shared" si="9"/>
        <v>171</v>
      </c>
      <c r="K30" s="13">
        <f t="shared" si="9"/>
        <v>224</v>
      </c>
      <c r="L30" s="13">
        <f t="shared" si="9"/>
        <v>173</v>
      </c>
      <c r="M30" s="13">
        <f t="shared" si="9"/>
        <v>180</v>
      </c>
      <c r="N30" s="13">
        <f t="shared" si="9"/>
        <v>223</v>
      </c>
      <c r="O30" s="13">
        <f t="shared" si="9"/>
        <v>228</v>
      </c>
      <c r="P30" s="13">
        <f t="shared" si="3"/>
        <v>2175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59"/>
    </row>
    <row r="33" ht="12.75" customHeight="1">
      <c r="A33" s="19">
        <v>1.0</v>
      </c>
      <c r="B33" s="20" t="s">
        <v>85</v>
      </c>
      <c r="C33" s="15"/>
      <c r="D33" s="16"/>
      <c r="E33" s="19">
        <v>278.0</v>
      </c>
      <c r="F33" s="19">
        <v>255.0</v>
      </c>
      <c r="G33" s="19">
        <v>271.0</v>
      </c>
      <c r="H33" s="19">
        <v>274.0</v>
      </c>
      <c r="I33" s="19">
        <v>284.0</v>
      </c>
      <c r="J33" s="19">
        <v>284.0</v>
      </c>
      <c r="K33" s="19">
        <v>283.0</v>
      </c>
      <c r="L33" s="19">
        <v>229.0</v>
      </c>
      <c r="M33" s="19">
        <v>286.0</v>
      </c>
      <c r="N33" s="19">
        <v>287.0</v>
      </c>
      <c r="O33" s="19">
        <v>300.0</v>
      </c>
      <c r="P33" s="13">
        <f t="shared" ref="P33:P36" si="10">SUM(E33:O33)</f>
        <v>3031</v>
      </c>
    </row>
    <row r="34" ht="12.75" customHeight="1">
      <c r="A34" s="19">
        <v>2.0</v>
      </c>
      <c r="B34" s="20" t="s">
        <v>28</v>
      </c>
      <c r="C34" s="15"/>
      <c r="D34" s="16"/>
      <c r="E34" s="13">
        <v>176.0</v>
      </c>
      <c r="F34" s="13">
        <v>183.0</v>
      </c>
      <c r="G34" s="13">
        <v>202.0</v>
      </c>
      <c r="H34" s="13">
        <v>205.0</v>
      </c>
      <c r="I34" s="13">
        <v>210.0</v>
      </c>
      <c r="J34" s="13">
        <v>171.0</v>
      </c>
      <c r="K34" s="13">
        <v>224.0</v>
      </c>
      <c r="L34" s="13">
        <v>173.0</v>
      </c>
      <c r="M34" s="13">
        <v>180.0</v>
      </c>
      <c r="N34" s="13">
        <v>223.0</v>
      </c>
      <c r="O34" s="13">
        <v>228.0</v>
      </c>
      <c r="P34" s="13">
        <f t="shared" si="10"/>
        <v>2175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101</v>
      </c>
      <c r="F36" s="13">
        <f t="shared" si="11"/>
        <v>72</v>
      </c>
      <c r="G36" s="13">
        <f t="shared" si="11"/>
        <v>69</v>
      </c>
      <c r="H36" s="13">
        <f t="shared" si="11"/>
        <v>69</v>
      </c>
      <c r="I36" s="13">
        <f t="shared" si="11"/>
        <v>73</v>
      </c>
      <c r="J36" s="13">
        <f t="shared" si="11"/>
        <v>113</v>
      </c>
      <c r="K36" s="13">
        <f t="shared" si="11"/>
        <v>59</v>
      </c>
      <c r="L36" s="13">
        <f t="shared" si="11"/>
        <v>56</v>
      </c>
      <c r="M36" s="13">
        <f t="shared" si="11"/>
        <v>105</v>
      </c>
      <c r="N36" s="13">
        <f t="shared" si="11"/>
        <v>64</v>
      </c>
      <c r="O36" s="13">
        <f t="shared" si="11"/>
        <v>72</v>
      </c>
      <c r="P36" s="13">
        <f t="shared" si="10"/>
        <v>853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>
        <v>1.0</v>
      </c>
      <c r="L39" s="19"/>
      <c r="M39" s="19"/>
      <c r="N39" s="19"/>
      <c r="O39" s="19"/>
      <c r="P39" s="13">
        <f t="shared" ref="P39:P41" si="12">SUM(E39:O39)</f>
        <v>1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>
        <v>1.0</v>
      </c>
      <c r="H40" s="19"/>
      <c r="I40" s="19"/>
      <c r="J40" s="19"/>
      <c r="K40" s="19">
        <v>1.0</v>
      </c>
      <c r="L40" s="19"/>
      <c r="M40" s="19"/>
      <c r="N40" s="19"/>
      <c r="O40" s="19"/>
      <c r="P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3"/>
    </row>
    <row r="45" ht="12.75" customHeight="1">
      <c r="A45" s="30"/>
      <c r="B45" s="47" t="s">
        <v>17</v>
      </c>
      <c r="C45" s="62" t="s">
        <v>38</v>
      </c>
      <c r="D45" s="16"/>
      <c r="E45" s="19">
        <v>10.0</v>
      </c>
      <c r="F45" s="19">
        <v>8.0</v>
      </c>
      <c r="G45" s="19">
        <v>12.0</v>
      </c>
      <c r="H45" s="19">
        <v>10.0</v>
      </c>
      <c r="I45" s="19">
        <v>9.0</v>
      </c>
      <c r="J45" s="19">
        <v>11.0</v>
      </c>
      <c r="K45" s="19">
        <v>17.0</v>
      </c>
      <c r="L45" s="19">
        <v>8.0</v>
      </c>
      <c r="M45" s="19">
        <v>12.0</v>
      </c>
      <c r="N45" s="19">
        <v>13.0</v>
      </c>
      <c r="O45" s="19">
        <v>16.0</v>
      </c>
      <c r="P45" s="13">
        <f t="shared" ref="P45:P57" si="14">SUM(E45:O45)</f>
        <v>126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32.0</v>
      </c>
      <c r="F46" s="19">
        <v>21.0</v>
      </c>
      <c r="G46" s="19">
        <v>29.0</v>
      </c>
      <c r="H46" s="19">
        <v>22.0</v>
      </c>
      <c r="I46" s="19">
        <v>26.0</v>
      </c>
      <c r="J46" s="19">
        <v>25.0</v>
      </c>
      <c r="K46" s="19">
        <v>21.0</v>
      </c>
      <c r="L46" s="19">
        <v>19.0</v>
      </c>
      <c r="M46" s="19">
        <v>23.0</v>
      </c>
      <c r="N46" s="19">
        <v>36.0</v>
      </c>
      <c r="O46" s="19">
        <v>32.0</v>
      </c>
      <c r="P46" s="13">
        <f t="shared" si="14"/>
        <v>286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9.0</v>
      </c>
      <c r="F47" s="19">
        <v>7.0</v>
      </c>
      <c r="G47" s="19">
        <v>9.0</v>
      </c>
      <c r="H47" s="19">
        <v>17.0</v>
      </c>
      <c r="I47" s="19">
        <v>16.0</v>
      </c>
      <c r="J47" s="19">
        <v>9.0</v>
      </c>
      <c r="K47" s="19">
        <v>16.0</v>
      </c>
      <c r="L47" s="19">
        <v>22.0</v>
      </c>
      <c r="M47" s="19">
        <v>11.0</v>
      </c>
      <c r="N47" s="19">
        <v>9.0</v>
      </c>
      <c r="O47" s="19">
        <v>17.0</v>
      </c>
      <c r="P47" s="13">
        <f t="shared" si="14"/>
        <v>142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13.0</v>
      </c>
      <c r="F48" s="19">
        <v>17.0</v>
      </c>
      <c r="G48" s="19">
        <v>18.0</v>
      </c>
      <c r="H48" s="19">
        <v>18.0</v>
      </c>
      <c r="I48" s="19">
        <v>18.0</v>
      </c>
      <c r="J48" s="19">
        <v>22.0</v>
      </c>
      <c r="K48" s="19">
        <v>21.0</v>
      </c>
      <c r="L48" s="19">
        <v>18.0</v>
      </c>
      <c r="M48" s="19">
        <v>16.0</v>
      </c>
      <c r="N48" s="19">
        <v>24.0</v>
      </c>
      <c r="O48" s="19">
        <v>22.0</v>
      </c>
      <c r="P48" s="13">
        <f t="shared" si="14"/>
        <v>207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19.0</v>
      </c>
      <c r="F49" s="19">
        <v>23.0</v>
      </c>
      <c r="G49" s="19">
        <v>18.0</v>
      </c>
      <c r="H49" s="19">
        <v>28.0</v>
      </c>
      <c r="I49" s="19">
        <v>19.0</v>
      </c>
      <c r="J49" s="19">
        <v>10.0</v>
      </c>
      <c r="K49" s="19">
        <v>22.0</v>
      </c>
      <c r="L49" s="19">
        <v>17.0</v>
      </c>
      <c r="M49" s="19">
        <v>21.0</v>
      </c>
      <c r="N49" s="19">
        <v>16.0</v>
      </c>
      <c r="O49" s="19">
        <v>22.0</v>
      </c>
      <c r="P49" s="13">
        <f t="shared" si="14"/>
        <v>215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8.0</v>
      </c>
      <c r="F50" s="19">
        <v>9.0</v>
      </c>
      <c r="G50" s="19">
        <v>11.0</v>
      </c>
      <c r="H50" s="19">
        <v>9.0</v>
      </c>
      <c r="I50" s="19">
        <v>19.0</v>
      </c>
      <c r="J50" s="19">
        <v>13.0</v>
      </c>
      <c r="K50" s="19">
        <v>6.0</v>
      </c>
      <c r="L50" s="19">
        <v>13.0</v>
      </c>
      <c r="M50" s="19">
        <v>16.0</v>
      </c>
      <c r="N50" s="19">
        <v>8.0</v>
      </c>
      <c r="O50" s="19">
        <v>10.0</v>
      </c>
      <c r="P50" s="13">
        <f t="shared" si="14"/>
        <v>122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3.0</v>
      </c>
      <c r="G51" s="19">
        <v>2.0</v>
      </c>
      <c r="H51" s="19">
        <v>5.0</v>
      </c>
      <c r="I51" s="19">
        <v>4.0</v>
      </c>
      <c r="J51" s="19">
        <v>3.0</v>
      </c>
      <c r="K51" s="19">
        <v>1.0</v>
      </c>
      <c r="L51" s="19">
        <v>0.0</v>
      </c>
      <c r="M51" s="19">
        <v>2.0</v>
      </c>
      <c r="N51" s="19">
        <v>0.0</v>
      </c>
      <c r="O51" s="19">
        <v>2.0</v>
      </c>
      <c r="P51" s="13">
        <f t="shared" si="14"/>
        <v>23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2.0</v>
      </c>
      <c r="G52" s="19">
        <v>2.0</v>
      </c>
      <c r="H52" s="19">
        <v>5.0</v>
      </c>
      <c r="I52" s="19">
        <v>2.0</v>
      </c>
      <c r="J52" s="19">
        <v>1.0</v>
      </c>
      <c r="K52" s="19">
        <v>2.0</v>
      </c>
      <c r="L52" s="19">
        <v>4.0</v>
      </c>
      <c r="M52" s="19">
        <v>9.0</v>
      </c>
      <c r="N52" s="19">
        <v>5.0</v>
      </c>
      <c r="O52" s="19">
        <v>1.0</v>
      </c>
      <c r="P52" s="13">
        <f t="shared" si="14"/>
        <v>37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0.0</v>
      </c>
      <c r="G53" s="19">
        <v>1.0</v>
      </c>
      <c r="H53" s="19">
        <v>0.0</v>
      </c>
      <c r="I53" s="19">
        <v>3.0</v>
      </c>
      <c r="J53" s="19">
        <v>1.0</v>
      </c>
      <c r="K53" s="19">
        <v>1.0</v>
      </c>
      <c r="L53" s="19">
        <v>0.0</v>
      </c>
      <c r="M53" s="19">
        <v>2.0</v>
      </c>
      <c r="N53" s="19">
        <v>2.0</v>
      </c>
      <c r="O53" s="19">
        <v>2.0</v>
      </c>
      <c r="P53" s="13">
        <f t="shared" si="14"/>
        <v>14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23.0</v>
      </c>
      <c r="F54" s="19">
        <v>22.0</v>
      </c>
      <c r="G54" s="19">
        <v>20.0</v>
      </c>
      <c r="H54" s="19">
        <v>20.0</v>
      </c>
      <c r="I54" s="19">
        <v>17.0</v>
      </c>
      <c r="J54" s="19">
        <v>12.0</v>
      </c>
      <c r="K54" s="19">
        <v>21.0</v>
      </c>
      <c r="L54" s="19">
        <v>18.0</v>
      </c>
      <c r="M54" s="19">
        <v>17.0</v>
      </c>
      <c r="N54" s="19">
        <v>34.0</v>
      </c>
      <c r="O54" s="19">
        <v>31.0</v>
      </c>
      <c r="P54" s="13">
        <f t="shared" si="14"/>
        <v>235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0.0</v>
      </c>
      <c r="G55" s="19">
        <v>0.0</v>
      </c>
      <c r="H55" s="19">
        <v>2.0</v>
      </c>
      <c r="I55" s="19">
        <v>1.0</v>
      </c>
      <c r="J55" s="19">
        <v>2.0</v>
      </c>
      <c r="K55" s="19">
        <v>3.0</v>
      </c>
      <c r="L55" s="19">
        <v>0.0</v>
      </c>
      <c r="M55" s="19">
        <v>0.0</v>
      </c>
      <c r="N55" s="19">
        <v>1.0</v>
      </c>
      <c r="O55" s="19">
        <v>0.0</v>
      </c>
      <c r="P55" s="13">
        <f t="shared" si="14"/>
        <v>10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12.0</v>
      </c>
      <c r="F56" s="19">
        <v>13.0</v>
      </c>
      <c r="G56" s="19">
        <v>13.0</v>
      </c>
      <c r="H56" s="19">
        <v>8.0</v>
      </c>
      <c r="I56" s="19">
        <v>22.0</v>
      </c>
      <c r="J56" s="19">
        <v>15.0</v>
      </c>
      <c r="K56" s="19">
        <v>14.0</v>
      </c>
      <c r="L56" s="19">
        <v>11.0</v>
      </c>
      <c r="M56" s="19">
        <v>9.0</v>
      </c>
      <c r="N56" s="19">
        <v>19.0</v>
      </c>
      <c r="O56" s="19">
        <v>18.0</v>
      </c>
      <c r="P56" s="13">
        <f t="shared" si="14"/>
        <v>154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3.0</v>
      </c>
      <c r="F57" s="19">
        <v>4.0</v>
      </c>
      <c r="G57" s="19">
        <v>2.0</v>
      </c>
      <c r="H57" s="19">
        <v>2.0</v>
      </c>
      <c r="I57" s="19">
        <v>3.0</v>
      </c>
      <c r="J57" s="19">
        <v>3.0</v>
      </c>
      <c r="K57" s="19">
        <v>2.0</v>
      </c>
      <c r="L57" s="19">
        <v>2.0</v>
      </c>
      <c r="M57" s="19">
        <v>2.0</v>
      </c>
      <c r="N57" s="19">
        <v>4.0</v>
      </c>
      <c r="O57" s="19">
        <v>4.0</v>
      </c>
      <c r="P57" s="13">
        <f t="shared" si="14"/>
        <v>31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O60" si="15">SUM(E45:E57)</f>
        <v>137</v>
      </c>
      <c r="F60" s="19">
        <f t="shared" si="15"/>
        <v>129</v>
      </c>
      <c r="G60" s="19">
        <f t="shared" si="15"/>
        <v>137</v>
      </c>
      <c r="H60" s="19">
        <f t="shared" si="15"/>
        <v>146</v>
      </c>
      <c r="I60" s="19">
        <f t="shared" si="15"/>
        <v>159</v>
      </c>
      <c r="J60" s="19">
        <f t="shared" si="15"/>
        <v>127</v>
      </c>
      <c r="K60" s="19">
        <f t="shared" si="15"/>
        <v>147</v>
      </c>
      <c r="L60" s="19">
        <f t="shared" si="15"/>
        <v>132</v>
      </c>
      <c r="M60" s="19">
        <f t="shared" si="15"/>
        <v>140</v>
      </c>
      <c r="N60" s="19">
        <f t="shared" si="15"/>
        <v>171</v>
      </c>
      <c r="O60" s="19">
        <f t="shared" si="15"/>
        <v>177</v>
      </c>
      <c r="P60" s="13">
        <f t="shared" ref="P60:P62" si="16">SUM(E60:O60)</f>
        <v>1602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39.0</v>
      </c>
      <c r="F61" s="19">
        <v>54.0</v>
      </c>
      <c r="G61" s="19">
        <v>65.0</v>
      </c>
      <c r="H61" s="19">
        <v>59.0</v>
      </c>
      <c r="I61" s="19">
        <v>51.0</v>
      </c>
      <c r="J61" s="19">
        <v>44.0</v>
      </c>
      <c r="K61" s="19">
        <v>77.0</v>
      </c>
      <c r="L61" s="19">
        <v>41.0</v>
      </c>
      <c r="M61" s="19">
        <v>40.0</v>
      </c>
      <c r="N61" s="19">
        <v>52.0</v>
      </c>
      <c r="O61" s="19">
        <v>51.0</v>
      </c>
      <c r="P61" s="13">
        <f t="shared" si="16"/>
        <v>573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O62" si="17">SUM(E60:E61)</f>
        <v>176</v>
      </c>
      <c r="F62" s="13">
        <f t="shared" si="17"/>
        <v>183</v>
      </c>
      <c r="G62" s="13">
        <f t="shared" si="17"/>
        <v>202</v>
      </c>
      <c r="H62" s="13">
        <f t="shared" si="17"/>
        <v>205</v>
      </c>
      <c r="I62" s="13">
        <f t="shared" si="17"/>
        <v>210</v>
      </c>
      <c r="J62" s="13">
        <f t="shared" si="17"/>
        <v>171</v>
      </c>
      <c r="K62" s="13">
        <f t="shared" si="17"/>
        <v>224</v>
      </c>
      <c r="L62" s="13">
        <f t="shared" si="17"/>
        <v>173</v>
      </c>
      <c r="M62" s="13">
        <f t="shared" si="17"/>
        <v>180</v>
      </c>
      <c r="N62" s="13">
        <f t="shared" si="17"/>
        <v>223</v>
      </c>
      <c r="O62" s="13">
        <f t="shared" si="17"/>
        <v>228</v>
      </c>
      <c r="P62" s="13">
        <f t="shared" si="16"/>
        <v>2175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O34">
    <cfRule type="expression" dxfId="0" priority="1">
      <formula>E34&lt;&gt;#REF!</formula>
    </cfRule>
  </conditionalFormatting>
  <conditionalFormatting sqref="E14:O15 E45:O57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E30&lt;&gt;E46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60:O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13" t="s">
        <v>93</v>
      </c>
      <c r="AA13" s="13" t="s">
        <v>94</v>
      </c>
      <c r="AB13" s="13" t="s">
        <v>96</v>
      </c>
      <c r="AC13" s="13" t="s">
        <v>97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140.0</v>
      </c>
      <c r="G14" s="19">
        <v>136.0</v>
      </c>
      <c r="H14" s="19">
        <v>118.0</v>
      </c>
      <c r="I14" s="19">
        <v>125.0</v>
      </c>
      <c r="J14" s="19">
        <v>145.0</v>
      </c>
      <c r="K14" s="19">
        <v>127.0</v>
      </c>
      <c r="L14" s="19">
        <v>112.0</v>
      </c>
      <c r="M14" s="19">
        <v>128.0</v>
      </c>
      <c r="N14" s="19">
        <v>109.0</v>
      </c>
      <c r="O14" s="19">
        <v>138.0</v>
      </c>
      <c r="P14" s="19">
        <v>143.0</v>
      </c>
      <c r="Q14" s="19">
        <v>141.0</v>
      </c>
      <c r="R14" s="19">
        <v>128.0</v>
      </c>
      <c r="S14" s="19">
        <v>134.0</v>
      </c>
      <c r="T14" s="19">
        <v>129.0</v>
      </c>
      <c r="U14" s="19">
        <v>112.0</v>
      </c>
      <c r="V14" s="19">
        <v>114.0</v>
      </c>
      <c r="W14" s="19">
        <v>117.0</v>
      </c>
      <c r="X14" s="19">
        <v>114.0</v>
      </c>
      <c r="Y14" s="19">
        <v>119.0</v>
      </c>
      <c r="Z14" s="19">
        <v>127.0</v>
      </c>
      <c r="AA14" s="19">
        <v>134.0</v>
      </c>
      <c r="AB14" s="19">
        <v>135.0</v>
      </c>
      <c r="AC14" s="19">
        <v>133.0</v>
      </c>
      <c r="AD14" s="13">
        <f t="shared" ref="AD14:AD16" si="1">SUM(E14:AC14)</f>
        <v>3197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144.0</v>
      </c>
      <c r="G15" s="19">
        <v>148.0</v>
      </c>
      <c r="H15" s="19">
        <v>129.0</v>
      </c>
      <c r="I15" s="19">
        <v>136.0</v>
      </c>
      <c r="J15" s="19">
        <v>127.0</v>
      </c>
      <c r="K15" s="19">
        <v>121.0</v>
      </c>
      <c r="L15" s="19">
        <v>118.0</v>
      </c>
      <c r="M15" s="19">
        <v>134.0</v>
      </c>
      <c r="N15" s="19">
        <v>132.0</v>
      </c>
      <c r="O15" s="19">
        <v>142.0</v>
      </c>
      <c r="P15" s="19">
        <v>138.0</v>
      </c>
      <c r="Q15" s="19">
        <v>140.0</v>
      </c>
      <c r="R15" s="19">
        <v>133.0</v>
      </c>
      <c r="S15" s="19">
        <v>131.0</v>
      </c>
      <c r="T15" s="19">
        <v>135.0</v>
      </c>
      <c r="U15" s="19">
        <v>127.0</v>
      </c>
      <c r="V15" s="19">
        <v>117.0</v>
      </c>
      <c r="W15" s="19">
        <v>134.0</v>
      </c>
      <c r="X15" s="19">
        <v>128.0</v>
      </c>
      <c r="Y15" s="19">
        <v>136.0</v>
      </c>
      <c r="Z15" s="19">
        <v>130.0</v>
      </c>
      <c r="AA15" s="19">
        <v>146.0</v>
      </c>
      <c r="AB15" s="19">
        <v>124.0</v>
      </c>
      <c r="AC15" s="19">
        <v>138.0</v>
      </c>
      <c r="AD15" s="13">
        <f t="shared" si="1"/>
        <v>3321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272</v>
      </c>
      <c r="F16" s="13">
        <f t="shared" si="2"/>
        <v>284</v>
      </c>
      <c r="G16" s="13">
        <f t="shared" si="2"/>
        <v>284</v>
      </c>
      <c r="H16" s="13">
        <f t="shared" si="2"/>
        <v>247</v>
      </c>
      <c r="I16" s="13">
        <f t="shared" si="2"/>
        <v>261</v>
      </c>
      <c r="J16" s="13">
        <f t="shared" si="2"/>
        <v>272</v>
      </c>
      <c r="K16" s="13">
        <f t="shared" si="2"/>
        <v>248</v>
      </c>
      <c r="L16" s="13">
        <f t="shared" si="2"/>
        <v>230</v>
      </c>
      <c r="M16" s="13">
        <f t="shared" si="2"/>
        <v>262</v>
      </c>
      <c r="N16" s="13">
        <f t="shared" si="2"/>
        <v>241</v>
      </c>
      <c r="O16" s="13">
        <f t="shared" si="2"/>
        <v>280</v>
      </c>
      <c r="P16" s="13">
        <f t="shared" si="2"/>
        <v>281</v>
      </c>
      <c r="Q16" s="13">
        <f t="shared" si="2"/>
        <v>281</v>
      </c>
      <c r="R16" s="13">
        <f t="shared" si="2"/>
        <v>261</v>
      </c>
      <c r="S16" s="13">
        <f t="shared" si="2"/>
        <v>265</v>
      </c>
      <c r="T16" s="13">
        <f t="shared" si="2"/>
        <v>264</v>
      </c>
      <c r="U16" s="13">
        <f t="shared" si="2"/>
        <v>239</v>
      </c>
      <c r="V16" s="13">
        <f t="shared" si="2"/>
        <v>231</v>
      </c>
      <c r="W16" s="13">
        <f t="shared" si="2"/>
        <v>251</v>
      </c>
      <c r="X16" s="13">
        <f t="shared" si="2"/>
        <v>242</v>
      </c>
      <c r="Y16" s="13">
        <f t="shared" si="2"/>
        <v>255</v>
      </c>
      <c r="Z16" s="13">
        <f t="shared" si="2"/>
        <v>257</v>
      </c>
      <c r="AA16" s="13">
        <f t="shared" si="2"/>
        <v>280</v>
      </c>
      <c r="AB16" s="13">
        <f t="shared" si="2"/>
        <v>259</v>
      </c>
      <c r="AC16" s="13">
        <f t="shared" si="2"/>
        <v>271</v>
      </c>
      <c r="AD16" s="13">
        <f t="shared" si="1"/>
        <v>6518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98.0</v>
      </c>
      <c r="G19" s="19">
        <v>96.0</v>
      </c>
      <c r="H19" s="19">
        <v>85.0</v>
      </c>
      <c r="I19" s="19">
        <v>101.0</v>
      </c>
      <c r="J19" s="19">
        <v>118.0</v>
      </c>
      <c r="K19" s="19">
        <v>90.0</v>
      </c>
      <c r="L19" s="19">
        <v>79.0</v>
      </c>
      <c r="M19" s="19">
        <v>101.0</v>
      </c>
      <c r="N19" s="19">
        <v>77.0</v>
      </c>
      <c r="O19" s="19">
        <v>93.0</v>
      </c>
      <c r="P19" s="19">
        <v>104.0</v>
      </c>
      <c r="Q19" s="19">
        <v>117.0</v>
      </c>
      <c r="R19" s="19">
        <v>93.0</v>
      </c>
      <c r="S19" s="19">
        <v>105.0</v>
      </c>
      <c r="T19" s="19">
        <v>94.0</v>
      </c>
      <c r="U19" s="19">
        <v>77.0</v>
      </c>
      <c r="V19" s="19">
        <v>91.0</v>
      </c>
      <c r="W19" s="19">
        <v>90.0</v>
      </c>
      <c r="X19" s="19">
        <v>91.0</v>
      </c>
      <c r="Y19" s="19">
        <v>94.0</v>
      </c>
      <c r="Z19" s="19">
        <v>97.0</v>
      </c>
      <c r="AA19" s="19">
        <v>107.0</v>
      </c>
      <c r="AB19" s="19">
        <v>106.0</v>
      </c>
      <c r="AC19" s="19">
        <v>105.0</v>
      </c>
      <c r="AD19" s="13">
        <f t="shared" ref="AD19:AD30" si="3">SUM(E19:AC19)</f>
        <v>2406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119.0</v>
      </c>
      <c r="G20" s="19">
        <v>119.0</v>
      </c>
      <c r="H20" s="19">
        <v>94.0</v>
      </c>
      <c r="I20" s="19">
        <v>111.0</v>
      </c>
      <c r="J20" s="19">
        <v>101.0</v>
      </c>
      <c r="K20" s="19">
        <v>92.0</v>
      </c>
      <c r="L20" s="19">
        <v>98.0</v>
      </c>
      <c r="M20" s="19">
        <v>115.0</v>
      </c>
      <c r="N20" s="19">
        <v>102.0</v>
      </c>
      <c r="O20" s="19">
        <v>108.0</v>
      </c>
      <c r="P20" s="19">
        <v>118.0</v>
      </c>
      <c r="Q20" s="19">
        <v>123.0</v>
      </c>
      <c r="R20" s="19">
        <v>100.0</v>
      </c>
      <c r="S20" s="19">
        <v>106.0</v>
      </c>
      <c r="T20" s="19">
        <v>104.0</v>
      </c>
      <c r="U20" s="19">
        <v>110.0</v>
      </c>
      <c r="V20" s="19">
        <v>90.0</v>
      </c>
      <c r="W20" s="19">
        <v>114.0</v>
      </c>
      <c r="X20" s="19">
        <v>108.0</v>
      </c>
      <c r="Y20" s="19">
        <v>101.0</v>
      </c>
      <c r="Z20" s="19">
        <v>112.0</v>
      </c>
      <c r="AA20" s="19">
        <v>114.0</v>
      </c>
      <c r="AB20" s="19">
        <v>106.0</v>
      </c>
      <c r="AC20" s="19">
        <v>99.0</v>
      </c>
      <c r="AD20" s="13">
        <f t="shared" si="3"/>
        <v>2668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201</v>
      </c>
      <c r="F21" s="13">
        <f t="shared" si="4"/>
        <v>217</v>
      </c>
      <c r="G21" s="13">
        <f t="shared" si="4"/>
        <v>215</v>
      </c>
      <c r="H21" s="13">
        <f t="shared" si="4"/>
        <v>179</v>
      </c>
      <c r="I21" s="13">
        <f t="shared" si="4"/>
        <v>212</v>
      </c>
      <c r="J21" s="13">
        <f t="shared" si="4"/>
        <v>219</v>
      </c>
      <c r="K21" s="13">
        <f t="shared" si="4"/>
        <v>182</v>
      </c>
      <c r="L21" s="13">
        <f t="shared" si="4"/>
        <v>177</v>
      </c>
      <c r="M21" s="13">
        <f t="shared" si="4"/>
        <v>216</v>
      </c>
      <c r="N21" s="13">
        <f t="shared" si="4"/>
        <v>179</v>
      </c>
      <c r="O21" s="13">
        <f t="shared" si="4"/>
        <v>201</v>
      </c>
      <c r="P21" s="13">
        <f t="shared" si="4"/>
        <v>222</v>
      </c>
      <c r="Q21" s="13">
        <f t="shared" si="4"/>
        <v>240</v>
      </c>
      <c r="R21" s="13">
        <f t="shared" si="4"/>
        <v>193</v>
      </c>
      <c r="S21" s="13">
        <f t="shared" si="4"/>
        <v>211</v>
      </c>
      <c r="T21" s="13">
        <f t="shared" si="4"/>
        <v>198</v>
      </c>
      <c r="U21" s="13">
        <f t="shared" si="4"/>
        <v>187</v>
      </c>
      <c r="V21" s="13">
        <f t="shared" si="4"/>
        <v>181</v>
      </c>
      <c r="W21" s="13">
        <f t="shared" si="4"/>
        <v>204</v>
      </c>
      <c r="X21" s="13">
        <f t="shared" si="4"/>
        <v>199</v>
      </c>
      <c r="Y21" s="13">
        <f t="shared" si="4"/>
        <v>195</v>
      </c>
      <c r="Z21" s="13">
        <f t="shared" si="4"/>
        <v>209</v>
      </c>
      <c r="AA21" s="13">
        <f t="shared" si="4"/>
        <v>221</v>
      </c>
      <c r="AB21" s="13">
        <f t="shared" si="4"/>
        <v>212</v>
      </c>
      <c r="AC21" s="13">
        <f t="shared" si="4"/>
        <v>204</v>
      </c>
      <c r="AD21" s="13">
        <f t="shared" si="3"/>
        <v>5074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2.0</v>
      </c>
      <c r="AC22" s="19">
        <v>0.0</v>
      </c>
      <c r="AD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1.0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1.0</v>
      </c>
      <c r="AC23" s="19">
        <v>0.0</v>
      </c>
      <c r="AD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0.0</v>
      </c>
      <c r="H25" s="19">
        <v>2.0</v>
      </c>
      <c r="I25" s="19">
        <v>0.0</v>
      </c>
      <c r="J25" s="19">
        <v>0.0</v>
      </c>
      <c r="K25" s="19">
        <v>1.0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0.0</v>
      </c>
      <c r="V25" s="19">
        <v>0.0</v>
      </c>
      <c r="W25" s="19">
        <v>3.0</v>
      </c>
      <c r="X25" s="19">
        <v>2.0</v>
      </c>
      <c r="Y25" s="19">
        <v>1.0</v>
      </c>
      <c r="Z25" s="19">
        <v>4.0</v>
      </c>
      <c r="AA25" s="19">
        <v>2.0</v>
      </c>
      <c r="AB25" s="19">
        <v>2.0</v>
      </c>
      <c r="AC25" s="19">
        <v>0.0</v>
      </c>
      <c r="AD25" s="13">
        <f t="shared" si="3"/>
        <v>24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0.0</v>
      </c>
      <c r="H26" s="19">
        <v>3.0</v>
      </c>
      <c r="I26" s="19">
        <v>2.0</v>
      </c>
      <c r="J26" s="19">
        <v>0.0</v>
      </c>
      <c r="K26" s="19">
        <v>2.0</v>
      </c>
      <c r="L26" s="19">
        <v>1.0</v>
      </c>
      <c r="M26" s="19">
        <v>3.0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3.0</v>
      </c>
      <c r="U26" s="19">
        <v>2.0</v>
      </c>
      <c r="V26" s="19">
        <v>0.0</v>
      </c>
      <c r="W26" s="19">
        <v>1.0</v>
      </c>
      <c r="X26" s="19">
        <v>1.0</v>
      </c>
      <c r="Y26" s="19">
        <v>0.0</v>
      </c>
      <c r="Z26" s="19">
        <v>1.0</v>
      </c>
      <c r="AA26" s="19">
        <v>4.0</v>
      </c>
      <c r="AB26" s="19">
        <v>3.0</v>
      </c>
      <c r="AC26" s="19">
        <v>3.0</v>
      </c>
      <c r="AD26" s="13">
        <f t="shared" si="3"/>
        <v>39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5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3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4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4</v>
      </c>
      <c r="X27" s="13">
        <f t="shared" si="6"/>
        <v>3</v>
      </c>
      <c r="Y27" s="13">
        <f t="shared" si="6"/>
        <v>1</v>
      </c>
      <c r="Z27" s="13">
        <f t="shared" si="6"/>
        <v>5</v>
      </c>
      <c r="AA27" s="13">
        <f t="shared" si="6"/>
        <v>6</v>
      </c>
      <c r="AB27" s="13">
        <f t="shared" si="6"/>
        <v>5</v>
      </c>
      <c r="AC27" s="13">
        <f t="shared" si="6"/>
        <v>3</v>
      </c>
      <c r="AD27" s="13">
        <f t="shared" si="3"/>
        <v>63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99</v>
      </c>
      <c r="F28" s="13">
        <f t="shared" si="7"/>
        <v>100</v>
      </c>
      <c r="G28" s="13">
        <f t="shared" si="7"/>
        <v>96</v>
      </c>
      <c r="H28" s="13">
        <f t="shared" si="7"/>
        <v>87</v>
      </c>
      <c r="I28" s="13">
        <f t="shared" si="7"/>
        <v>102</v>
      </c>
      <c r="J28" s="13">
        <f t="shared" si="7"/>
        <v>118</v>
      </c>
      <c r="K28" s="13">
        <f t="shared" si="7"/>
        <v>91</v>
      </c>
      <c r="L28" s="13">
        <f t="shared" si="7"/>
        <v>79</v>
      </c>
      <c r="M28" s="13">
        <f t="shared" si="7"/>
        <v>101</v>
      </c>
      <c r="N28" s="13">
        <f t="shared" si="7"/>
        <v>77</v>
      </c>
      <c r="O28" s="13">
        <f t="shared" si="7"/>
        <v>94</v>
      </c>
      <c r="P28" s="13">
        <f t="shared" si="7"/>
        <v>104</v>
      </c>
      <c r="Q28" s="13">
        <f t="shared" si="7"/>
        <v>117</v>
      </c>
      <c r="R28" s="13">
        <f t="shared" si="7"/>
        <v>93</v>
      </c>
      <c r="S28" s="13">
        <f t="shared" si="7"/>
        <v>107</v>
      </c>
      <c r="T28" s="13">
        <f t="shared" si="7"/>
        <v>95</v>
      </c>
      <c r="U28" s="13">
        <f t="shared" si="7"/>
        <v>77</v>
      </c>
      <c r="V28" s="13">
        <f t="shared" si="7"/>
        <v>91</v>
      </c>
      <c r="W28" s="13">
        <f t="shared" si="7"/>
        <v>93</v>
      </c>
      <c r="X28" s="13">
        <f t="shared" si="7"/>
        <v>93</v>
      </c>
      <c r="Y28" s="13">
        <f t="shared" si="7"/>
        <v>95</v>
      </c>
      <c r="Z28" s="13">
        <f t="shared" si="7"/>
        <v>101</v>
      </c>
      <c r="AA28" s="13">
        <f t="shared" si="7"/>
        <v>109</v>
      </c>
      <c r="AB28" s="13">
        <f t="shared" si="7"/>
        <v>110</v>
      </c>
      <c r="AC28" s="13">
        <f t="shared" si="7"/>
        <v>105</v>
      </c>
      <c r="AD28" s="13">
        <f t="shared" si="3"/>
        <v>2434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107</v>
      </c>
      <c r="F29" s="13">
        <f t="shared" si="8"/>
        <v>120</v>
      </c>
      <c r="G29" s="13">
        <f t="shared" si="8"/>
        <v>119</v>
      </c>
      <c r="H29" s="13">
        <f t="shared" si="8"/>
        <v>97</v>
      </c>
      <c r="I29" s="13">
        <f t="shared" si="8"/>
        <v>114</v>
      </c>
      <c r="J29" s="13">
        <f t="shared" si="8"/>
        <v>101</v>
      </c>
      <c r="K29" s="13">
        <f t="shared" si="8"/>
        <v>95</v>
      </c>
      <c r="L29" s="13">
        <f t="shared" si="8"/>
        <v>99</v>
      </c>
      <c r="M29" s="13">
        <f t="shared" si="8"/>
        <v>118</v>
      </c>
      <c r="N29" s="13">
        <f t="shared" si="8"/>
        <v>102</v>
      </c>
      <c r="O29" s="13">
        <f t="shared" si="8"/>
        <v>110</v>
      </c>
      <c r="P29" s="13">
        <f t="shared" si="8"/>
        <v>119</v>
      </c>
      <c r="Q29" s="13">
        <f t="shared" si="8"/>
        <v>123</v>
      </c>
      <c r="R29" s="13">
        <f t="shared" si="8"/>
        <v>103</v>
      </c>
      <c r="S29" s="13">
        <f t="shared" si="8"/>
        <v>108</v>
      </c>
      <c r="T29" s="13">
        <f t="shared" si="8"/>
        <v>107</v>
      </c>
      <c r="U29" s="13">
        <f t="shared" si="8"/>
        <v>112</v>
      </c>
      <c r="V29" s="13">
        <f t="shared" si="8"/>
        <v>90</v>
      </c>
      <c r="W29" s="13">
        <f t="shared" si="8"/>
        <v>115</v>
      </c>
      <c r="X29" s="13">
        <f t="shared" si="8"/>
        <v>109</v>
      </c>
      <c r="Y29" s="13">
        <f t="shared" si="8"/>
        <v>101</v>
      </c>
      <c r="Z29" s="13">
        <f t="shared" si="8"/>
        <v>114</v>
      </c>
      <c r="AA29" s="13">
        <f t="shared" si="8"/>
        <v>118</v>
      </c>
      <c r="AB29" s="13">
        <f t="shared" si="8"/>
        <v>110</v>
      </c>
      <c r="AC29" s="13">
        <f t="shared" si="8"/>
        <v>102</v>
      </c>
      <c r="AD29" s="13">
        <f t="shared" si="3"/>
        <v>2713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206</v>
      </c>
      <c r="F30" s="13">
        <f t="shared" si="9"/>
        <v>220</v>
      </c>
      <c r="G30" s="13">
        <f t="shared" si="9"/>
        <v>215</v>
      </c>
      <c r="H30" s="13">
        <f t="shared" si="9"/>
        <v>184</v>
      </c>
      <c r="I30" s="13">
        <f t="shared" si="9"/>
        <v>216</v>
      </c>
      <c r="J30" s="13">
        <f t="shared" si="9"/>
        <v>219</v>
      </c>
      <c r="K30" s="13">
        <f t="shared" si="9"/>
        <v>186</v>
      </c>
      <c r="L30" s="13">
        <f t="shared" si="9"/>
        <v>178</v>
      </c>
      <c r="M30" s="13">
        <f t="shared" si="9"/>
        <v>219</v>
      </c>
      <c r="N30" s="13">
        <f t="shared" si="9"/>
        <v>179</v>
      </c>
      <c r="O30" s="13">
        <f t="shared" si="9"/>
        <v>204</v>
      </c>
      <c r="P30" s="13">
        <f t="shared" si="9"/>
        <v>223</v>
      </c>
      <c r="Q30" s="13">
        <f t="shared" si="9"/>
        <v>240</v>
      </c>
      <c r="R30" s="13">
        <f t="shared" si="9"/>
        <v>196</v>
      </c>
      <c r="S30" s="13">
        <f t="shared" si="9"/>
        <v>215</v>
      </c>
      <c r="T30" s="13">
        <f t="shared" si="9"/>
        <v>202</v>
      </c>
      <c r="U30" s="13">
        <f t="shared" si="9"/>
        <v>189</v>
      </c>
      <c r="V30" s="13">
        <f t="shared" si="9"/>
        <v>181</v>
      </c>
      <c r="W30" s="13">
        <f t="shared" si="9"/>
        <v>208</v>
      </c>
      <c r="X30" s="13">
        <f t="shared" si="9"/>
        <v>202</v>
      </c>
      <c r="Y30" s="13">
        <f t="shared" si="9"/>
        <v>196</v>
      </c>
      <c r="Z30" s="13">
        <f t="shared" si="9"/>
        <v>215</v>
      </c>
      <c r="AA30" s="13">
        <f t="shared" si="9"/>
        <v>227</v>
      </c>
      <c r="AB30" s="13">
        <f t="shared" si="9"/>
        <v>220</v>
      </c>
      <c r="AC30" s="13">
        <f t="shared" si="9"/>
        <v>207</v>
      </c>
      <c r="AD30" s="13">
        <f t="shared" si="3"/>
        <v>5147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59"/>
    </row>
    <row r="33" ht="12.75" customHeight="1">
      <c r="A33" s="19">
        <v>1.0</v>
      </c>
      <c r="B33" s="20" t="s">
        <v>85</v>
      </c>
      <c r="C33" s="15"/>
      <c r="D33" s="16"/>
      <c r="E33" s="19">
        <v>278.0</v>
      </c>
      <c r="F33" s="19">
        <v>290.0</v>
      </c>
      <c r="G33" s="19">
        <v>290.0</v>
      </c>
      <c r="H33" s="19">
        <v>252.0</v>
      </c>
      <c r="I33" s="19">
        <v>267.0</v>
      </c>
      <c r="J33" s="19">
        <v>279.0</v>
      </c>
      <c r="K33" s="19">
        <v>253.0</v>
      </c>
      <c r="L33" s="19">
        <v>235.0</v>
      </c>
      <c r="M33" s="19">
        <v>268.0</v>
      </c>
      <c r="N33" s="19">
        <v>246.0</v>
      </c>
      <c r="O33" s="19">
        <v>286.0</v>
      </c>
      <c r="P33" s="19">
        <v>287.0</v>
      </c>
      <c r="Q33" s="19">
        <v>288.0</v>
      </c>
      <c r="R33" s="19">
        <v>267.0</v>
      </c>
      <c r="S33" s="19">
        <v>271.0</v>
      </c>
      <c r="T33" s="19">
        <v>270.0</v>
      </c>
      <c r="U33" s="19">
        <v>246.0</v>
      </c>
      <c r="V33" s="19">
        <v>236.0</v>
      </c>
      <c r="W33" s="19">
        <v>256.0</v>
      </c>
      <c r="X33" s="19">
        <v>251.0</v>
      </c>
      <c r="Y33" s="19">
        <v>261.0</v>
      </c>
      <c r="Z33" s="19">
        <v>263.0</v>
      </c>
      <c r="AA33" s="19">
        <v>286.0</v>
      </c>
      <c r="AB33" s="19">
        <v>265.0</v>
      </c>
      <c r="AC33" s="19">
        <v>276.0</v>
      </c>
      <c r="AD33" s="13">
        <f t="shared" ref="AD33:AD36" si="10">SUM(E33:AC33)</f>
        <v>6667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220.0</v>
      </c>
      <c r="G34" s="13">
        <v>215.0</v>
      </c>
      <c r="H34" s="13">
        <v>184.0</v>
      </c>
      <c r="I34" s="13">
        <v>216.0</v>
      </c>
      <c r="J34" s="13">
        <v>219.0</v>
      </c>
      <c r="K34" s="13">
        <v>186.0</v>
      </c>
      <c r="L34" s="13">
        <v>178.0</v>
      </c>
      <c r="M34" s="13">
        <v>219.0</v>
      </c>
      <c r="N34" s="13">
        <v>179.0</v>
      </c>
      <c r="O34" s="13">
        <v>204.0</v>
      </c>
      <c r="P34" s="13">
        <v>223.0</v>
      </c>
      <c r="Q34" s="13">
        <v>240.0</v>
      </c>
      <c r="R34" s="13">
        <v>196.0</v>
      </c>
      <c r="S34" s="13">
        <v>215.0</v>
      </c>
      <c r="T34" s="13">
        <v>202.0</v>
      </c>
      <c r="U34" s="13">
        <v>189.0</v>
      </c>
      <c r="V34" s="13">
        <v>181.0</v>
      </c>
      <c r="W34" s="13">
        <v>208.0</v>
      </c>
      <c r="X34" s="13">
        <v>202.0</v>
      </c>
      <c r="Y34" s="13">
        <v>196.0</v>
      </c>
      <c r="Z34" s="13">
        <v>215.0</v>
      </c>
      <c r="AA34" s="13">
        <v>227.0</v>
      </c>
      <c r="AB34" s="13">
        <v>220.0</v>
      </c>
      <c r="AC34" s="13">
        <v>207.0</v>
      </c>
      <c r="AD34" s="13">
        <f t="shared" si="10"/>
        <v>5147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1.0</v>
      </c>
      <c r="AB35" s="19">
        <v>0.0</v>
      </c>
      <c r="AC35" s="19">
        <v>0.0</v>
      </c>
      <c r="AD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72</v>
      </c>
      <c r="F36" s="13">
        <f t="shared" si="11"/>
        <v>70</v>
      </c>
      <c r="G36" s="13">
        <f t="shared" si="11"/>
        <v>75</v>
      </c>
      <c r="H36" s="13">
        <f t="shared" si="11"/>
        <v>68</v>
      </c>
      <c r="I36" s="13">
        <f t="shared" si="11"/>
        <v>49</v>
      </c>
      <c r="J36" s="13">
        <f t="shared" si="11"/>
        <v>60</v>
      </c>
      <c r="K36" s="13">
        <f t="shared" si="11"/>
        <v>67</v>
      </c>
      <c r="L36" s="13">
        <f t="shared" si="11"/>
        <v>57</v>
      </c>
      <c r="M36" s="13">
        <f t="shared" si="11"/>
        <v>49</v>
      </c>
      <c r="N36" s="13">
        <f t="shared" si="11"/>
        <v>67</v>
      </c>
      <c r="O36" s="13">
        <f t="shared" si="11"/>
        <v>82</v>
      </c>
      <c r="P36" s="13">
        <f t="shared" si="11"/>
        <v>64</v>
      </c>
      <c r="Q36" s="13">
        <f t="shared" si="11"/>
        <v>48</v>
      </c>
      <c r="R36" s="13">
        <f t="shared" si="11"/>
        <v>71</v>
      </c>
      <c r="S36" s="13">
        <f t="shared" si="11"/>
        <v>55</v>
      </c>
      <c r="T36" s="13">
        <f t="shared" si="11"/>
        <v>68</v>
      </c>
      <c r="U36" s="13">
        <f t="shared" si="11"/>
        <v>57</v>
      </c>
      <c r="V36" s="13">
        <f t="shared" si="11"/>
        <v>55</v>
      </c>
      <c r="W36" s="13">
        <f t="shared" si="11"/>
        <v>48</v>
      </c>
      <c r="X36" s="13">
        <f t="shared" si="11"/>
        <v>49</v>
      </c>
      <c r="Y36" s="13">
        <f t="shared" si="11"/>
        <v>65</v>
      </c>
      <c r="Z36" s="13">
        <f t="shared" si="11"/>
        <v>47</v>
      </c>
      <c r="AA36" s="13">
        <f t="shared" si="11"/>
        <v>58</v>
      </c>
      <c r="AB36" s="13">
        <f t="shared" si="11"/>
        <v>45</v>
      </c>
      <c r="AC36" s="13">
        <f t="shared" si="11"/>
        <v>69</v>
      </c>
      <c r="AD36" s="13">
        <f t="shared" si="10"/>
        <v>1515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/>
      <c r="J39" s="19"/>
      <c r="K39" s="19"/>
      <c r="L39" s="19"/>
      <c r="M39" s="19"/>
      <c r="N39" s="19">
        <v>1.0</v>
      </c>
      <c r="O39" s="19"/>
      <c r="P39" s="19"/>
      <c r="Q39" s="19"/>
      <c r="R39" s="19">
        <v>2.0</v>
      </c>
      <c r="S39" s="19"/>
      <c r="T39" s="19"/>
      <c r="U39" s="19"/>
      <c r="V39" s="19"/>
      <c r="W39" s="19"/>
      <c r="X39" s="19"/>
      <c r="Y39" s="19">
        <v>1.0</v>
      </c>
      <c r="Z39" s="19"/>
      <c r="AA39" s="19">
        <v>2.0</v>
      </c>
      <c r="AB39" s="19">
        <v>2.0</v>
      </c>
      <c r="AC39" s="19"/>
      <c r="AD39" s="13">
        <f t="shared" ref="AD39:AD41" si="12">SUM(E39:AC39)</f>
        <v>9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/>
      <c r="H40" s="19"/>
      <c r="I40" s="19"/>
      <c r="J40" s="19"/>
      <c r="K40" s="19"/>
      <c r="L40" s="19">
        <v>2.0</v>
      </c>
      <c r="M40" s="19"/>
      <c r="N40" s="19"/>
      <c r="O40" s="19"/>
      <c r="P40" s="19"/>
      <c r="Q40" s="19"/>
      <c r="R40" s="19">
        <v>2.0</v>
      </c>
      <c r="S40" s="19"/>
      <c r="T40" s="19"/>
      <c r="U40" s="19"/>
      <c r="V40" s="19"/>
      <c r="W40" s="19"/>
      <c r="X40" s="19"/>
      <c r="Y40" s="19"/>
      <c r="Z40" s="19"/>
      <c r="AA40" s="19">
        <v>1.0</v>
      </c>
      <c r="AB40" s="19">
        <v>1.0</v>
      </c>
      <c r="AC40" s="19"/>
      <c r="AD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4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3</v>
      </c>
      <c r="AB41" s="13">
        <f t="shared" si="13"/>
        <v>3</v>
      </c>
      <c r="AC41" s="13">
        <f t="shared" si="13"/>
        <v>0</v>
      </c>
      <c r="AD41" s="13">
        <f t="shared" si="12"/>
        <v>16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13"/>
    </row>
    <row r="45" ht="12.75" customHeight="1">
      <c r="A45" s="30"/>
      <c r="B45" s="47" t="s">
        <v>17</v>
      </c>
      <c r="C45" s="62" t="s">
        <v>38</v>
      </c>
      <c r="D45" s="16"/>
      <c r="E45" s="19">
        <v>10.0</v>
      </c>
      <c r="F45" s="19">
        <v>14.0</v>
      </c>
      <c r="G45" s="19">
        <v>9.0</v>
      </c>
      <c r="H45" s="19">
        <v>5.0</v>
      </c>
      <c r="I45" s="19">
        <v>18.0</v>
      </c>
      <c r="J45" s="19">
        <v>9.0</v>
      </c>
      <c r="K45" s="19">
        <v>13.0</v>
      </c>
      <c r="L45" s="19">
        <v>13.0</v>
      </c>
      <c r="M45" s="19">
        <v>11.0</v>
      </c>
      <c r="N45" s="19">
        <v>13.0</v>
      </c>
      <c r="O45" s="19">
        <v>11.0</v>
      </c>
      <c r="P45" s="19">
        <v>12.0</v>
      </c>
      <c r="Q45" s="19">
        <v>15.0</v>
      </c>
      <c r="R45" s="19">
        <v>5.0</v>
      </c>
      <c r="S45" s="19">
        <v>10.0</v>
      </c>
      <c r="T45" s="19">
        <v>6.0</v>
      </c>
      <c r="U45" s="19">
        <v>5.0</v>
      </c>
      <c r="V45" s="19">
        <v>9.0</v>
      </c>
      <c r="W45" s="19">
        <v>13.0</v>
      </c>
      <c r="X45" s="19">
        <v>10.0</v>
      </c>
      <c r="Y45" s="19">
        <v>5.0</v>
      </c>
      <c r="Z45" s="19">
        <v>11.0</v>
      </c>
      <c r="AA45" s="19">
        <v>11.0</v>
      </c>
      <c r="AB45" s="19">
        <v>25.0</v>
      </c>
      <c r="AC45" s="19">
        <v>17.0</v>
      </c>
      <c r="AD45" s="13">
        <f t="shared" ref="AD45:AD57" si="14">SUM(E45:AC45)</f>
        <v>280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24.0</v>
      </c>
      <c r="F46" s="19">
        <v>19.0</v>
      </c>
      <c r="G46" s="19">
        <v>31.0</v>
      </c>
      <c r="H46" s="19">
        <v>31.0</v>
      </c>
      <c r="I46" s="19">
        <v>28.0</v>
      </c>
      <c r="J46" s="19">
        <v>33.0</v>
      </c>
      <c r="K46" s="19">
        <v>22.0</v>
      </c>
      <c r="L46" s="19">
        <v>16.0</v>
      </c>
      <c r="M46" s="19">
        <v>24.0</v>
      </c>
      <c r="N46" s="19">
        <v>15.0</v>
      </c>
      <c r="O46" s="19">
        <v>12.0</v>
      </c>
      <c r="P46" s="19">
        <v>26.0</v>
      </c>
      <c r="Q46" s="19">
        <v>45.0</v>
      </c>
      <c r="R46" s="19">
        <v>31.0</v>
      </c>
      <c r="S46" s="19">
        <v>33.0</v>
      </c>
      <c r="T46" s="19">
        <v>15.0</v>
      </c>
      <c r="U46" s="19">
        <v>22.0</v>
      </c>
      <c r="V46" s="19">
        <v>22.0</v>
      </c>
      <c r="W46" s="19">
        <v>28.0</v>
      </c>
      <c r="X46" s="19">
        <v>32.0</v>
      </c>
      <c r="Y46" s="19">
        <v>43.0</v>
      </c>
      <c r="Z46" s="19">
        <v>26.0</v>
      </c>
      <c r="AA46" s="19">
        <v>38.0</v>
      </c>
      <c r="AB46" s="19">
        <v>28.0</v>
      </c>
      <c r="AC46" s="19">
        <v>36.0</v>
      </c>
      <c r="AD46" s="13">
        <f t="shared" si="14"/>
        <v>680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17.0</v>
      </c>
      <c r="F47" s="19">
        <v>14.0</v>
      </c>
      <c r="G47" s="19">
        <v>20.0</v>
      </c>
      <c r="H47" s="19">
        <v>8.0</v>
      </c>
      <c r="I47" s="19">
        <v>14.0</v>
      </c>
      <c r="J47" s="19">
        <v>14.0</v>
      </c>
      <c r="K47" s="19">
        <v>13.0</v>
      </c>
      <c r="L47" s="19">
        <v>14.0</v>
      </c>
      <c r="M47" s="19">
        <v>12.0</v>
      </c>
      <c r="N47" s="19">
        <v>4.0</v>
      </c>
      <c r="O47" s="19">
        <v>8.0</v>
      </c>
      <c r="P47" s="19">
        <v>9.0</v>
      </c>
      <c r="Q47" s="19">
        <v>13.0</v>
      </c>
      <c r="R47" s="19">
        <v>8.0</v>
      </c>
      <c r="S47" s="19">
        <v>12.0</v>
      </c>
      <c r="T47" s="19">
        <v>8.0</v>
      </c>
      <c r="U47" s="19">
        <v>2.0</v>
      </c>
      <c r="V47" s="19">
        <v>3.0</v>
      </c>
      <c r="W47" s="19">
        <v>7.0</v>
      </c>
      <c r="X47" s="19">
        <v>8.0</v>
      </c>
      <c r="Y47" s="19">
        <v>8.0</v>
      </c>
      <c r="Z47" s="19">
        <v>5.0</v>
      </c>
      <c r="AA47" s="19">
        <v>10.0</v>
      </c>
      <c r="AB47" s="19">
        <v>13.0</v>
      </c>
      <c r="AC47" s="19">
        <v>11.0</v>
      </c>
      <c r="AD47" s="13">
        <f t="shared" si="14"/>
        <v>255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21.0</v>
      </c>
      <c r="F48" s="19">
        <v>25.0</v>
      </c>
      <c r="G48" s="19">
        <v>22.0</v>
      </c>
      <c r="H48" s="19">
        <v>30.0</v>
      </c>
      <c r="I48" s="19">
        <v>31.0</v>
      </c>
      <c r="J48" s="19">
        <v>39.0</v>
      </c>
      <c r="K48" s="19">
        <v>30.0</v>
      </c>
      <c r="L48" s="19">
        <v>29.0</v>
      </c>
      <c r="M48" s="19">
        <v>35.0</v>
      </c>
      <c r="N48" s="19">
        <v>53.0</v>
      </c>
      <c r="O48" s="19">
        <v>73.0</v>
      </c>
      <c r="P48" s="19">
        <v>47.0</v>
      </c>
      <c r="Q48" s="19">
        <v>46.0</v>
      </c>
      <c r="R48" s="19">
        <v>40.0</v>
      </c>
      <c r="S48" s="19">
        <v>46.0</v>
      </c>
      <c r="T48" s="19">
        <v>44.0</v>
      </c>
      <c r="U48" s="19">
        <v>61.0</v>
      </c>
      <c r="V48" s="19">
        <v>38.0</v>
      </c>
      <c r="W48" s="19">
        <v>20.0</v>
      </c>
      <c r="X48" s="19">
        <v>25.0</v>
      </c>
      <c r="Y48" s="19">
        <v>10.0</v>
      </c>
      <c r="Z48" s="19">
        <v>32.0</v>
      </c>
      <c r="AA48" s="19">
        <v>29.0</v>
      </c>
      <c r="AB48" s="19">
        <v>19.0</v>
      </c>
      <c r="AC48" s="19">
        <v>21.0</v>
      </c>
      <c r="AD48" s="13">
        <f t="shared" si="14"/>
        <v>866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28.0</v>
      </c>
      <c r="F49" s="19">
        <v>21.0</v>
      </c>
      <c r="G49" s="19">
        <v>18.0</v>
      </c>
      <c r="H49" s="19">
        <v>14.0</v>
      </c>
      <c r="I49" s="19">
        <v>21.0</v>
      </c>
      <c r="J49" s="19">
        <v>19.0</v>
      </c>
      <c r="K49" s="19">
        <v>19.0</v>
      </c>
      <c r="L49" s="19">
        <v>15.0</v>
      </c>
      <c r="M49" s="19">
        <v>26.0</v>
      </c>
      <c r="N49" s="19">
        <v>42.0</v>
      </c>
      <c r="O49" s="19">
        <v>38.0</v>
      </c>
      <c r="P49" s="19">
        <v>53.0</v>
      </c>
      <c r="Q49" s="19">
        <v>23.0</v>
      </c>
      <c r="R49" s="19">
        <v>25.0</v>
      </c>
      <c r="S49" s="19">
        <v>31.0</v>
      </c>
      <c r="T49" s="19">
        <v>52.0</v>
      </c>
      <c r="U49" s="19">
        <v>48.0</v>
      </c>
      <c r="V49" s="19">
        <v>46.0</v>
      </c>
      <c r="W49" s="19">
        <v>14.0</v>
      </c>
      <c r="X49" s="19">
        <v>16.0</v>
      </c>
      <c r="Y49" s="19">
        <v>18.0</v>
      </c>
      <c r="Z49" s="19">
        <v>27.0</v>
      </c>
      <c r="AA49" s="19">
        <v>19.0</v>
      </c>
      <c r="AB49" s="19">
        <v>28.0</v>
      </c>
      <c r="AC49" s="19">
        <v>22.0</v>
      </c>
      <c r="AD49" s="13">
        <f t="shared" si="14"/>
        <v>683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6.0</v>
      </c>
      <c r="F50" s="19">
        <v>10.0</v>
      </c>
      <c r="G50" s="19">
        <v>13.0</v>
      </c>
      <c r="H50" s="19">
        <v>4.0</v>
      </c>
      <c r="I50" s="19">
        <v>14.0</v>
      </c>
      <c r="J50" s="19">
        <v>5.0</v>
      </c>
      <c r="K50" s="19">
        <v>10.0</v>
      </c>
      <c r="L50" s="19">
        <v>10.0</v>
      </c>
      <c r="M50" s="19">
        <v>12.0</v>
      </c>
      <c r="N50" s="19">
        <v>19.0</v>
      </c>
      <c r="O50" s="19">
        <v>11.0</v>
      </c>
      <c r="P50" s="19">
        <v>14.0</v>
      </c>
      <c r="Q50" s="19">
        <v>15.0</v>
      </c>
      <c r="R50" s="19">
        <v>16.0</v>
      </c>
      <c r="S50" s="19">
        <v>13.0</v>
      </c>
      <c r="T50" s="19">
        <v>18.0</v>
      </c>
      <c r="U50" s="19">
        <v>20.0</v>
      </c>
      <c r="V50" s="19">
        <v>13.0</v>
      </c>
      <c r="W50" s="19">
        <v>11.0</v>
      </c>
      <c r="X50" s="19">
        <v>10.0</v>
      </c>
      <c r="Y50" s="19">
        <v>7.0</v>
      </c>
      <c r="Z50" s="19">
        <v>17.0</v>
      </c>
      <c r="AA50" s="19">
        <v>13.0</v>
      </c>
      <c r="AB50" s="19">
        <v>14.0</v>
      </c>
      <c r="AC50" s="19">
        <v>6.0</v>
      </c>
      <c r="AD50" s="13">
        <f t="shared" si="14"/>
        <v>301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2.0</v>
      </c>
      <c r="F51" s="19">
        <v>0.0</v>
      </c>
      <c r="G51" s="19">
        <v>0.0</v>
      </c>
      <c r="H51" s="19">
        <v>1.0</v>
      </c>
      <c r="I51" s="19">
        <v>3.0</v>
      </c>
      <c r="J51" s="19">
        <v>0.0</v>
      </c>
      <c r="K51" s="19">
        <v>2.0</v>
      </c>
      <c r="L51" s="19">
        <v>3.0</v>
      </c>
      <c r="M51" s="19">
        <v>2.0</v>
      </c>
      <c r="N51" s="19">
        <v>0.0</v>
      </c>
      <c r="O51" s="19">
        <v>0.0</v>
      </c>
      <c r="P51" s="19">
        <v>1.0</v>
      </c>
      <c r="Q51" s="19">
        <v>1.0</v>
      </c>
      <c r="R51" s="19">
        <v>1.0</v>
      </c>
      <c r="S51" s="19">
        <v>3.0</v>
      </c>
      <c r="T51" s="19">
        <v>0.0</v>
      </c>
      <c r="U51" s="19">
        <v>0.0</v>
      </c>
      <c r="V51" s="19">
        <v>1.0</v>
      </c>
      <c r="W51" s="19">
        <v>1.0</v>
      </c>
      <c r="X51" s="19">
        <v>5.0</v>
      </c>
      <c r="Y51" s="19">
        <v>2.0</v>
      </c>
      <c r="Z51" s="19">
        <v>2.0</v>
      </c>
      <c r="AA51" s="19">
        <v>6.0</v>
      </c>
      <c r="AB51" s="19">
        <v>3.0</v>
      </c>
      <c r="AC51" s="19">
        <v>3.0</v>
      </c>
      <c r="AD51" s="13">
        <f t="shared" si="14"/>
        <v>42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7.0</v>
      </c>
      <c r="F52" s="19">
        <v>1.0</v>
      </c>
      <c r="G52" s="19">
        <v>2.0</v>
      </c>
      <c r="H52" s="19">
        <v>5.0</v>
      </c>
      <c r="I52" s="19">
        <v>2.0</v>
      </c>
      <c r="J52" s="19">
        <v>3.0</v>
      </c>
      <c r="K52" s="19">
        <v>4.0</v>
      </c>
      <c r="L52" s="19">
        <v>3.0</v>
      </c>
      <c r="M52" s="19">
        <v>9.0</v>
      </c>
      <c r="N52" s="19">
        <v>3.0</v>
      </c>
      <c r="O52" s="19">
        <v>4.0</v>
      </c>
      <c r="P52" s="19">
        <v>3.0</v>
      </c>
      <c r="Q52" s="19">
        <v>1.0</v>
      </c>
      <c r="R52" s="19">
        <v>2.0</v>
      </c>
      <c r="S52" s="19">
        <v>3.0</v>
      </c>
      <c r="T52" s="19">
        <v>2.0</v>
      </c>
      <c r="U52" s="19">
        <v>1.0</v>
      </c>
      <c r="V52" s="19">
        <v>3.0</v>
      </c>
      <c r="W52" s="19">
        <v>1.0</v>
      </c>
      <c r="X52" s="19">
        <v>5.0</v>
      </c>
      <c r="Y52" s="19">
        <v>0.0</v>
      </c>
      <c r="Z52" s="19">
        <v>1.0</v>
      </c>
      <c r="AA52" s="19">
        <v>1.0</v>
      </c>
      <c r="AB52" s="19">
        <v>4.0</v>
      </c>
      <c r="AC52" s="19">
        <v>2.0</v>
      </c>
      <c r="AD52" s="13">
        <f t="shared" si="14"/>
        <v>72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0.0</v>
      </c>
      <c r="G53" s="19">
        <v>1.0</v>
      </c>
      <c r="H53" s="19">
        <v>0.0</v>
      </c>
      <c r="I53" s="19">
        <v>1.0</v>
      </c>
      <c r="J53" s="19">
        <v>0.0</v>
      </c>
      <c r="K53" s="19">
        <v>1.0</v>
      </c>
      <c r="L53" s="19">
        <v>0.0</v>
      </c>
      <c r="M53" s="19">
        <v>1.0</v>
      </c>
      <c r="N53" s="19">
        <v>0.0</v>
      </c>
      <c r="O53" s="19">
        <v>0.0</v>
      </c>
      <c r="P53" s="19">
        <v>0.0</v>
      </c>
      <c r="Q53" s="19">
        <v>2.0</v>
      </c>
      <c r="R53" s="19">
        <v>0.0</v>
      </c>
      <c r="S53" s="19">
        <v>2.0</v>
      </c>
      <c r="T53" s="19">
        <v>1.0</v>
      </c>
      <c r="U53" s="19">
        <v>1.0</v>
      </c>
      <c r="V53" s="19">
        <v>1.0</v>
      </c>
      <c r="W53" s="19">
        <v>1.0</v>
      </c>
      <c r="X53" s="19">
        <v>1.0</v>
      </c>
      <c r="Y53" s="19">
        <v>1.0</v>
      </c>
      <c r="Z53" s="19">
        <v>0.0</v>
      </c>
      <c r="AA53" s="19">
        <v>0.0</v>
      </c>
      <c r="AB53" s="19">
        <v>0.0</v>
      </c>
      <c r="AC53" s="19">
        <v>1.0</v>
      </c>
      <c r="AD53" s="13">
        <f t="shared" si="14"/>
        <v>16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27.0</v>
      </c>
      <c r="F54" s="19">
        <v>33.0</v>
      </c>
      <c r="G54" s="19">
        <v>30.0</v>
      </c>
      <c r="H54" s="19">
        <v>24.0</v>
      </c>
      <c r="I54" s="19">
        <v>23.0</v>
      </c>
      <c r="J54" s="19">
        <v>26.0</v>
      </c>
      <c r="K54" s="19">
        <v>16.0</v>
      </c>
      <c r="L54" s="19">
        <v>17.0</v>
      </c>
      <c r="M54" s="19">
        <v>27.0</v>
      </c>
      <c r="N54" s="19">
        <v>9.0</v>
      </c>
      <c r="O54" s="19">
        <v>7.0</v>
      </c>
      <c r="P54" s="19">
        <v>12.0</v>
      </c>
      <c r="Q54" s="19">
        <v>14.0</v>
      </c>
      <c r="R54" s="19">
        <v>25.0</v>
      </c>
      <c r="S54" s="19">
        <v>15.0</v>
      </c>
      <c r="T54" s="19">
        <v>10.0</v>
      </c>
      <c r="U54" s="19">
        <v>10.0</v>
      </c>
      <c r="V54" s="19">
        <v>11.0</v>
      </c>
      <c r="W54" s="19">
        <v>32.0</v>
      </c>
      <c r="X54" s="19">
        <v>21.0</v>
      </c>
      <c r="Y54" s="19">
        <v>21.0</v>
      </c>
      <c r="Z54" s="19">
        <v>25.0</v>
      </c>
      <c r="AA54" s="19">
        <v>31.0</v>
      </c>
      <c r="AB54" s="19">
        <v>28.0</v>
      </c>
      <c r="AC54" s="19">
        <v>25.0</v>
      </c>
      <c r="AD54" s="13">
        <f t="shared" si="14"/>
        <v>519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1.0</v>
      </c>
      <c r="G55" s="19">
        <v>3.0</v>
      </c>
      <c r="H55" s="19">
        <v>1.0</v>
      </c>
      <c r="I55" s="19">
        <v>2.0</v>
      </c>
      <c r="J55" s="19">
        <v>0.0</v>
      </c>
      <c r="K55" s="19">
        <v>5.0</v>
      </c>
      <c r="L55" s="19">
        <v>1.0</v>
      </c>
      <c r="M55" s="19">
        <v>4.0</v>
      </c>
      <c r="N55" s="19">
        <v>0.0</v>
      </c>
      <c r="O55" s="19">
        <v>0.0</v>
      </c>
      <c r="P55" s="19">
        <v>1.0</v>
      </c>
      <c r="Q55" s="19">
        <v>1.0</v>
      </c>
      <c r="R55" s="19">
        <v>1.0</v>
      </c>
      <c r="S55" s="19">
        <v>1.0</v>
      </c>
      <c r="T55" s="19">
        <v>0.0</v>
      </c>
      <c r="U55" s="19">
        <v>0.0</v>
      </c>
      <c r="V55" s="19">
        <v>0.0</v>
      </c>
      <c r="W55" s="19">
        <v>2.0</v>
      </c>
      <c r="X55" s="19">
        <v>1.0</v>
      </c>
      <c r="Y55" s="19">
        <v>1.0</v>
      </c>
      <c r="Z55" s="19">
        <v>2.0</v>
      </c>
      <c r="AA55" s="19">
        <v>3.0</v>
      </c>
      <c r="AB55" s="19">
        <v>1.0</v>
      </c>
      <c r="AC55" s="19">
        <v>2.0</v>
      </c>
      <c r="AD55" s="13">
        <f t="shared" si="14"/>
        <v>35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23.0</v>
      </c>
      <c r="F56" s="19">
        <v>26.0</v>
      </c>
      <c r="G56" s="19">
        <v>18.0</v>
      </c>
      <c r="H56" s="19">
        <v>16.0</v>
      </c>
      <c r="I56" s="19">
        <v>12.0</v>
      </c>
      <c r="J56" s="19">
        <v>15.0</v>
      </c>
      <c r="K56" s="19">
        <v>12.0</v>
      </c>
      <c r="L56" s="19">
        <v>23.0</v>
      </c>
      <c r="M56" s="19">
        <v>13.0</v>
      </c>
      <c r="N56" s="19">
        <v>2.0</v>
      </c>
      <c r="O56" s="19">
        <v>8.0</v>
      </c>
      <c r="P56" s="19">
        <v>10.0</v>
      </c>
      <c r="Q56" s="19">
        <v>11.0</v>
      </c>
      <c r="R56" s="19">
        <v>11.0</v>
      </c>
      <c r="S56" s="19">
        <v>14.0</v>
      </c>
      <c r="T56" s="19">
        <v>11.0</v>
      </c>
      <c r="U56" s="19">
        <v>1.0</v>
      </c>
      <c r="V56" s="19">
        <v>5.0</v>
      </c>
      <c r="W56" s="19">
        <v>14.0</v>
      </c>
      <c r="X56" s="19">
        <v>11.0</v>
      </c>
      <c r="Y56" s="19">
        <v>18.0</v>
      </c>
      <c r="Z56" s="19">
        <v>15.0</v>
      </c>
      <c r="AA56" s="19">
        <v>12.0</v>
      </c>
      <c r="AB56" s="19">
        <v>17.0</v>
      </c>
      <c r="AC56" s="19">
        <v>14.0</v>
      </c>
      <c r="AD56" s="13">
        <f t="shared" si="14"/>
        <v>332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3.0</v>
      </c>
      <c r="F57" s="19">
        <v>5.0</v>
      </c>
      <c r="G57" s="19">
        <v>7.0</v>
      </c>
      <c r="H57" s="19">
        <v>4.0</v>
      </c>
      <c r="I57" s="19">
        <v>4.0</v>
      </c>
      <c r="J57" s="19">
        <v>6.0</v>
      </c>
      <c r="K57" s="19">
        <v>3.0</v>
      </c>
      <c r="L57" s="19">
        <v>3.0</v>
      </c>
      <c r="M57" s="19">
        <v>1.0</v>
      </c>
      <c r="N57" s="19">
        <v>3.0</v>
      </c>
      <c r="O57" s="19">
        <v>2.0</v>
      </c>
      <c r="P57" s="19">
        <v>4.0</v>
      </c>
      <c r="Q57" s="19">
        <v>1.0</v>
      </c>
      <c r="R57" s="19">
        <v>2.0</v>
      </c>
      <c r="S57" s="19">
        <v>1.0</v>
      </c>
      <c r="T57" s="19">
        <v>0.0</v>
      </c>
      <c r="U57" s="19">
        <v>1.0</v>
      </c>
      <c r="V57" s="19">
        <v>3.0</v>
      </c>
      <c r="W57" s="19">
        <v>0.0</v>
      </c>
      <c r="X57" s="19">
        <v>2.0</v>
      </c>
      <c r="Y57" s="19">
        <v>2.0</v>
      </c>
      <c r="Z57" s="19">
        <v>0.0</v>
      </c>
      <c r="AA57" s="19">
        <v>3.0</v>
      </c>
      <c r="AB57" s="19">
        <v>3.0</v>
      </c>
      <c r="AC57" s="19">
        <v>5.0</v>
      </c>
      <c r="AD57" s="13">
        <f t="shared" si="14"/>
        <v>68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C60" si="15">SUM(E45:E57)</f>
        <v>171</v>
      </c>
      <c r="F60" s="19">
        <f t="shared" si="15"/>
        <v>169</v>
      </c>
      <c r="G60" s="19">
        <f t="shared" si="15"/>
        <v>174</v>
      </c>
      <c r="H60" s="19">
        <f t="shared" si="15"/>
        <v>143</v>
      </c>
      <c r="I60" s="19">
        <f t="shared" si="15"/>
        <v>173</v>
      </c>
      <c r="J60" s="19">
        <f t="shared" si="15"/>
        <v>169</v>
      </c>
      <c r="K60" s="19">
        <f t="shared" si="15"/>
        <v>150</v>
      </c>
      <c r="L60" s="19">
        <f t="shared" si="15"/>
        <v>147</v>
      </c>
      <c r="M60" s="19">
        <f t="shared" si="15"/>
        <v>177</v>
      </c>
      <c r="N60" s="19">
        <f t="shared" si="15"/>
        <v>163</v>
      </c>
      <c r="O60" s="19">
        <f t="shared" si="15"/>
        <v>174</v>
      </c>
      <c r="P60" s="19">
        <f t="shared" si="15"/>
        <v>192</v>
      </c>
      <c r="Q60" s="19">
        <f t="shared" si="15"/>
        <v>188</v>
      </c>
      <c r="R60" s="19">
        <f t="shared" si="15"/>
        <v>167</v>
      </c>
      <c r="S60" s="19">
        <f t="shared" si="15"/>
        <v>184</v>
      </c>
      <c r="T60" s="19">
        <f t="shared" si="15"/>
        <v>167</v>
      </c>
      <c r="U60" s="19">
        <f t="shared" si="15"/>
        <v>172</v>
      </c>
      <c r="V60" s="19">
        <f t="shared" si="15"/>
        <v>155</v>
      </c>
      <c r="W60" s="19">
        <f t="shared" si="15"/>
        <v>144</v>
      </c>
      <c r="X60" s="19">
        <f t="shared" si="15"/>
        <v>147</v>
      </c>
      <c r="Y60" s="19">
        <f t="shared" si="15"/>
        <v>136</v>
      </c>
      <c r="Z60" s="19">
        <f t="shared" si="15"/>
        <v>163</v>
      </c>
      <c r="AA60" s="19">
        <f t="shared" si="15"/>
        <v>176</v>
      </c>
      <c r="AB60" s="19">
        <f t="shared" si="15"/>
        <v>183</v>
      </c>
      <c r="AC60" s="19">
        <f t="shared" si="15"/>
        <v>165</v>
      </c>
      <c r="AD60" s="13">
        <f t="shared" ref="AD60:AD62" si="16">SUM(E60:AC60)</f>
        <v>4149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35.0</v>
      </c>
      <c r="F61" s="19">
        <v>51.0</v>
      </c>
      <c r="G61" s="19">
        <v>41.0</v>
      </c>
      <c r="H61" s="19">
        <v>41.0</v>
      </c>
      <c r="I61" s="19">
        <v>43.0</v>
      </c>
      <c r="J61" s="19">
        <v>50.0</v>
      </c>
      <c r="K61" s="19">
        <v>36.0</v>
      </c>
      <c r="L61" s="19">
        <v>31.0</v>
      </c>
      <c r="M61" s="19">
        <v>42.0</v>
      </c>
      <c r="N61" s="19">
        <v>16.0</v>
      </c>
      <c r="O61" s="19">
        <v>30.0</v>
      </c>
      <c r="P61" s="19">
        <v>31.0</v>
      </c>
      <c r="Q61" s="19">
        <v>52.0</v>
      </c>
      <c r="R61" s="19">
        <v>29.0</v>
      </c>
      <c r="S61" s="19">
        <v>31.0</v>
      </c>
      <c r="T61" s="19">
        <v>35.0</v>
      </c>
      <c r="U61" s="19">
        <v>17.0</v>
      </c>
      <c r="V61" s="19">
        <v>26.0</v>
      </c>
      <c r="W61" s="19">
        <v>64.0</v>
      </c>
      <c r="X61" s="19">
        <v>55.0</v>
      </c>
      <c r="Y61" s="19">
        <v>60.0</v>
      </c>
      <c r="Z61" s="19">
        <v>52.0</v>
      </c>
      <c r="AA61" s="19">
        <v>51.0</v>
      </c>
      <c r="AB61" s="19">
        <v>37.0</v>
      </c>
      <c r="AC61" s="19">
        <v>42.0</v>
      </c>
      <c r="AD61" s="13">
        <f t="shared" si="16"/>
        <v>998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C62" si="17">SUM(E60:E61)</f>
        <v>206</v>
      </c>
      <c r="F62" s="13">
        <f t="shared" si="17"/>
        <v>220</v>
      </c>
      <c r="G62" s="13">
        <f t="shared" si="17"/>
        <v>215</v>
      </c>
      <c r="H62" s="13">
        <f t="shared" si="17"/>
        <v>184</v>
      </c>
      <c r="I62" s="13">
        <f t="shared" si="17"/>
        <v>216</v>
      </c>
      <c r="J62" s="13">
        <f t="shared" si="17"/>
        <v>219</v>
      </c>
      <c r="K62" s="13">
        <f t="shared" si="17"/>
        <v>186</v>
      </c>
      <c r="L62" s="13">
        <f t="shared" si="17"/>
        <v>178</v>
      </c>
      <c r="M62" s="13">
        <f t="shared" si="17"/>
        <v>219</v>
      </c>
      <c r="N62" s="13">
        <f t="shared" si="17"/>
        <v>179</v>
      </c>
      <c r="O62" s="13">
        <f t="shared" si="17"/>
        <v>204</v>
      </c>
      <c r="P62" s="13">
        <f t="shared" si="17"/>
        <v>223</v>
      </c>
      <c r="Q62" s="13">
        <f t="shared" si="17"/>
        <v>240</v>
      </c>
      <c r="R62" s="13">
        <f t="shared" si="17"/>
        <v>196</v>
      </c>
      <c r="S62" s="13">
        <f t="shared" si="17"/>
        <v>215</v>
      </c>
      <c r="T62" s="13">
        <f t="shared" si="17"/>
        <v>202</v>
      </c>
      <c r="U62" s="13">
        <f t="shared" si="17"/>
        <v>189</v>
      </c>
      <c r="V62" s="13">
        <f t="shared" si="17"/>
        <v>181</v>
      </c>
      <c r="W62" s="13">
        <f t="shared" si="17"/>
        <v>208</v>
      </c>
      <c r="X62" s="13">
        <f t="shared" si="17"/>
        <v>202</v>
      </c>
      <c r="Y62" s="13">
        <f t="shared" si="17"/>
        <v>196</v>
      </c>
      <c r="Z62" s="13">
        <f t="shared" si="17"/>
        <v>215</v>
      </c>
      <c r="AA62" s="13">
        <f t="shared" si="17"/>
        <v>227</v>
      </c>
      <c r="AB62" s="13">
        <f t="shared" si="17"/>
        <v>220</v>
      </c>
      <c r="AC62" s="13">
        <f t="shared" si="17"/>
        <v>207</v>
      </c>
      <c r="AD62" s="13">
        <f t="shared" si="16"/>
        <v>5147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C15 E45:AC57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E30&lt;&gt;E46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60:AC61">
    <cfRule type="containsBlanks" dxfId="1" priority="10">
      <formula>LEN(TRIM(E60))=0</formula>
    </cfRule>
  </conditionalFormatting>
  <conditionalFormatting sqref="U34:AC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13" t="s">
        <v>93</v>
      </c>
      <c r="AA13" s="13" t="s">
        <v>94</v>
      </c>
      <c r="AB13" s="13" t="s">
        <v>96</v>
      </c>
      <c r="AC13" s="13" t="s">
        <v>97</v>
      </c>
      <c r="AD13" s="13" t="s">
        <v>98</v>
      </c>
      <c r="AE13" s="36"/>
    </row>
    <row r="14" ht="12.75" customHeight="1">
      <c r="A14" s="18"/>
      <c r="B14" s="22" t="s">
        <v>11</v>
      </c>
      <c r="C14" s="23"/>
      <c r="D14" s="19" t="s">
        <v>12</v>
      </c>
      <c r="E14" s="19">
        <v>120.0</v>
      </c>
      <c r="F14" s="19">
        <v>125.0</v>
      </c>
      <c r="G14" s="19">
        <v>128.0</v>
      </c>
      <c r="H14" s="19">
        <v>138.0</v>
      </c>
      <c r="I14" s="19">
        <v>105.0</v>
      </c>
      <c r="J14" s="19">
        <v>88.0</v>
      </c>
      <c r="K14" s="19">
        <v>151.0</v>
      </c>
      <c r="L14" s="19">
        <v>139.0</v>
      </c>
      <c r="M14" s="19">
        <v>114.0</v>
      </c>
      <c r="N14" s="19">
        <v>140.0</v>
      </c>
      <c r="O14" s="19">
        <v>131.0</v>
      </c>
      <c r="P14" s="19">
        <v>120.0</v>
      </c>
      <c r="Q14" s="19">
        <v>128.0</v>
      </c>
      <c r="R14" s="19">
        <v>137.0</v>
      </c>
      <c r="S14" s="19">
        <v>141.0</v>
      </c>
      <c r="T14" s="19">
        <v>121.0</v>
      </c>
      <c r="U14" s="19">
        <v>118.0</v>
      </c>
      <c r="V14" s="19">
        <v>125.0</v>
      </c>
      <c r="W14" s="19">
        <v>101.0</v>
      </c>
      <c r="X14" s="19">
        <v>128.0</v>
      </c>
      <c r="Y14" s="19">
        <v>127.0</v>
      </c>
      <c r="Z14" s="19">
        <v>104.0</v>
      </c>
      <c r="AA14" s="19">
        <v>110.0</v>
      </c>
      <c r="AB14" s="19">
        <v>136.0</v>
      </c>
      <c r="AC14" s="19">
        <v>119.0</v>
      </c>
      <c r="AD14" s="19">
        <v>129.0</v>
      </c>
      <c r="AE14" s="13">
        <f t="shared" ref="AE14:AE16" si="1">SUM(E14:AD14)</f>
        <v>3223</v>
      </c>
    </row>
    <row r="15" ht="12.75" customHeight="1">
      <c r="A15" s="18"/>
      <c r="B15" s="26"/>
      <c r="C15" s="27"/>
      <c r="D15" s="19" t="s">
        <v>13</v>
      </c>
      <c r="E15" s="19">
        <v>152.0</v>
      </c>
      <c r="F15" s="19">
        <v>148.0</v>
      </c>
      <c r="G15" s="19">
        <v>130.0</v>
      </c>
      <c r="H15" s="19">
        <v>154.0</v>
      </c>
      <c r="I15" s="19">
        <v>117.0</v>
      </c>
      <c r="J15" s="19">
        <v>100.0</v>
      </c>
      <c r="K15" s="19">
        <v>137.0</v>
      </c>
      <c r="L15" s="19">
        <v>154.0</v>
      </c>
      <c r="M15" s="19">
        <v>142.0</v>
      </c>
      <c r="N15" s="19">
        <v>151.0</v>
      </c>
      <c r="O15" s="19">
        <v>144.0</v>
      </c>
      <c r="P15" s="19">
        <v>111.0</v>
      </c>
      <c r="Q15" s="19">
        <v>124.0</v>
      </c>
      <c r="R15" s="19">
        <v>143.0</v>
      </c>
      <c r="S15" s="19">
        <v>145.0</v>
      </c>
      <c r="T15" s="19">
        <v>127.0</v>
      </c>
      <c r="U15" s="19">
        <v>150.0</v>
      </c>
      <c r="V15" s="19">
        <v>129.0</v>
      </c>
      <c r="W15" s="19">
        <v>103.0</v>
      </c>
      <c r="X15" s="19">
        <v>158.0</v>
      </c>
      <c r="Y15" s="19">
        <v>151.0</v>
      </c>
      <c r="Z15" s="19">
        <v>126.0</v>
      </c>
      <c r="AA15" s="19">
        <v>112.0</v>
      </c>
      <c r="AB15" s="19">
        <v>149.0</v>
      </c>
      <c r="AC15" s="19">
        <v>138.0</v>
      </c>
      <c r="AD15" s="19">
        <v>137.0</v>
      </c>
      <c r="AE15" s="13">
        <f t="shared" si="1"/>
        <v>3532</v>
      </c>
    </row>
    <row r="16" ht="12.75" customHeight="1">
      <c r="A16" s="25"/>
      <c r="B16" s="21"/>
      <c r="C16" s="28"/>
      <c r="D16" s="13" t="s">
        <v>14</v>
      </c>
      <c r="E16" s="13">
        <f t="shared" ref="E16:AD16" si="2">SUM(E14:E15)</f>
        <v>272</v>
      </c>
      <c r="F16" s="13">
        <f t="shared" si="2"/>
        <v>273</v>
      </c>
      <c r="G16" s="13">
        <f t="shared" si="2"/>
        <v>258</v>
      </c>
      <c r="H16" s="13">
        <f t="shared" si="2"/>
        <v>292</v>
      </c>
      <c r="I16" s="13">
        <f t="shared" si="2"/>
        <v>222</v>
      </c>
      <c r="J16" s="13">
        <f t="shared" si="2"/>
        <v>188</v>
      </c>
      <c r="K16" s="13">
        <f t="shared" si="2"/>
        <v>288</v>
      </c>
      <c r="L16" s="13">
        <f t="shared" si="2"/>
        <v>293</v>
      </c>
      <c r="M16" s="13">
        <f t="shared" si="2"/>
        <v>256</v>
      </c>
      <c r="N16" s="13">
        <f t="shared" si="2"/>
        <v>291</v>
      </c>
      <c r="O16" s="13">
        <f t="shared" si="2"/>
        <v>275</v>
      </c>
      <c r="P16" s="13">
        <f t="shared" si="2"/>
        <v>231</v>
      </c>
      <c r="Q16" s="13">
        <f t="shared" si="2"/>
        <v>252</v>
      </c>
      <c r="R16" s="13">
        <f t="shared" si="2"/>
        <v>280</v>
      </c>
      <c r="S16" s="13">
        <f t="shared" si="2"/>
        <v>286</v>
      </c>
      <c r="T16" s="13">
        <f t="shared" si="2"/>
        <v>248</v>
      </c>
      <c r="U16" s="13">
        <f t="shared" si="2"/>
        <v>268</v>
      </c>
      <c r="V16" s="13">
        <f t="shared" si="2"/>
        <v>254</v>
      </c>
      <c r="W16" s="13">
        <f t="shared" si="2"/>
        <v>204</v>
      </c>
      <c r="X16" s="13">
        <f t="shared" si="2"/>
        <v>286</v>
      </c>
      <c r="Y16" s="13">
        <f t="shared" si="2"/>
        <v>278</v>
      </c>
      <c r="Z16" s="13">
        <f t="shared" si="2"/>
        <v>230</v>
      </c>
      <c r="AA16" s="13">
        <f t="shared" si="2"/>
        <v>222</v>
      </c>
      <c r="AB16" s="13">
        <f t="shared" si="2"/>
        <v>285</v>
      </c>
      <c r="AC16" s="13">
        <f t="shared" si="2"/>
        <v>257</v>
      </c>
      <c r="AD16" s="13">
        <f t="shared" si="2"/>
        <v>266</v>
      </c>
      <c r="AE16" s="13">
        <f t="shared" si="1"/>
        <v>6755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78.0</v>
      </c>
      <c r="F19" s="19">
        <v>83.0</v>
      </c>
      <c r="G19" s="19">
        <v>96.0</v>
      </c>
      <c r="H19" s="19">
        <v>94.0</v>
      </c>
      <c r="I19" s="19">
        <v>77.0</v>
      </c>
      <c r="J19" s="19">
        <v>62.0</v>
      </c>
      <c r="K19" s="19">
        <v>117.0</v>
      </c>
      <c r="L19" s="19">
        <v>91.0</v>
      </c>
      <c r="M19" s="19">
        <v>78.0</v>
      </c>
      <c r="N19" s="19">
        <v>100.0</v>
      </c>
      <c r="O19" s="19">
        <v>91.0</v>
      </c>
      <c r="P19" s="19">
        <v>86.0</v>
      </c>
      <c r="Q19" s="19">
        <v>93.0</v>
      </c>
      <c r="R19" s="19">
        <v>102.0</v>
      </c>
      <c r="S19" s="19">
        <v>102.0</v>
      </c>
      <c r="T19" s="19">
        <v>81.0</v>
      </c>
      <c r="U19" s="19">
        <v>72.0</v>
      </c>
      <c r="V19" s="19">
        <v>87.0</v>
      </c>
      <c r="W19" s="19">
        <v>69.0</v>
      </c>
      <c r="X19" s="19">
        <v>102.0</v>
      </c>
      <c r="Y19" s="19">
        <v>93.0</v>
      </c>
      <c r="Z19" s="19">
        <v>83.0</v>
      </c>
      <c r="AA19" s="19">
        <v>79.0</v>
      </c>
      <c r="AB19" s="19">
        <v>91.0</v>
      </c>
      <c r="AC19" s="19">
        <v>83.0</v>
      </c>
      <c r="AD19" s="19">
        <v>108.0</v>
      </c>
      <c r="AE19" s="13">
        <f t="shared" ref="AE19:AE30" si="3">SUM(E19:AD19)</f>
        <v>2298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110.0</v>
      </c>
      <c r="G20" s="19">
        <v>99.0</v>
      </c>
      <c r="H20" s="19">
        <v>116.0</v>
      </c>
      <c r="I20" s="19">
        <v>84.0</v>
      </c>
      <c r="J20" s="19">
        <v>78.0</v>
      </c>
      <c r="K20" s="19">
        <v>113.0</v>
      </c>
      <c r="L20" s="19">
        <v>118.0</v>
      </c>
      <c r="M20" s="19">
        <v>113.0</v>
      </c>
      <c r="N20" s="19">
        <v>115.0</v>
      </c>
      <c r="O20" s="19">
        <v>115.0</v>
      </c>
      <c r="P20" s="19">
        <v>91.0</v>
      </c>
      <c r="Q20" s="19">
        <v>104.0</v>
      </c>
      <c r="R20" s="19">
        <v>112.0</v>
      </c>
      <c r="S20" s="19">
        <v>125.0</v>
      </c>
      <c r="T20" s="19">
        <v>97.0</v>
      </c>
      <c r="U20" s="19">
        <v>108.0</v>
      </c>
      <c r="V20" s="19">
        <v>109.0</v>
      </c>
      <c r="W20" s="19">
        <v>78.0</v>
      </c>
      <c r="X20" s="19">
        <v>129.0</v>
      </c>
      <c r="Y20" s="19">
        <v>120.0</v>
      </c>
      <c r="Z20" s="19">
        <v>106.0</v>
      </c>
      <c r="AA20" s="19">
        <v>87.0</v>
      </c>
      <c r="AB20" s="19">
        <v>116.0</v>
      </c>
      <c r="AC20" s="19">
        <v>106.0</v>
      </c>
      <c r="AD20" s="19">
        <v>118.0</v>
      </c>
      <c r="AE20" s="13">
        <f t="shared" si="3"/>
        <v>2775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186</v>
      </c>
      <c r="F21" s="13">
        <f t="shared" si="4"/>
        <v>193</v>
      </c>
      <c r="G21" s="13">
        <f t="shared" si="4"/>
        <v>195</v>
      </c>
      <c r="H21" s="13">
        <f t="shared" si="4"/>
        <v>210</v>
      </c>
      <c r="I21" s="13">
        <f t="shared" si="4"/>
        <v>161</v>
      </c>
      <c r="J21" s="13">
        <f t="shared" si="4"/>
        <v>140</v>
      </c>
      <c r="K21" s="13">
        <f t="shared" si="4"/>
        <v>230</v>
      </c>
      <c r="L21" s="13">
        <f t="shared" si="4"/>
        <v>209</v>
      </c>
      <c r="M21" s="13">
        <f t="shared" si="4"/>
        <v>191</v>
      </c>
      <c r="N21" s="13">
        <f t="shared" si="4"/>
        <v>215</v>
      </c>
      <c r="O21" s="13">
        <f t="shared" si="4"/>
        <v>206</v>
      </c>
      <c r="P21" s="13">
        <f t="shared" si="4"/>
        <v>177</v>
      </c>
      <c r="Q21" s="13">
        <f t="shared" si="4"/>
        <v>197</v>
      </c>
      <c r="R21" s="13">
        <f t="shared" si="4"/>
        <v>214</v>
      </c>
      <c r="S21" s="13">
        <f t="shared" si="4"/>
        <v>227</v>
      </c>
      <c r="T21" s="13">
        <f t="shared" si="4"/>
        <v>178</v>
      </c>
      <c r="U21" s="13">
        <f t="shared" si="4"/>
        <v>180</v>
      </c>
      <c r="V21" s="13">
        <f t="shared" si="4"/>
        <v>196</v>
      </c>
      <c r="W21" s="13">
        <f t="shared" si="4"/>
        <v>147</v>
      </c>
      <c r="X21" s="13">
        <f t="shared" si="4"/>
        <v>231</v>
      </c>
      <c r="Y21" s="13">
        <f t="shared" si="4"/>
        <v>213</v>
      </c>
      <c r="Z21" s="13">
        <f t="shared" si="4"/>
        <v>189</v>
      </c>
      <c r="AA21" s="13">
        <f t="shared" si="4"/>
        <v>166</v>
      </c>
      <c r="AB21" s="13">
        <f t="shared" si="4"/>
        <v>207</v>
      </c>
      <c r="AC21" s="13"/>
      <c r="AD21" s="13">
        <f>SUM(AD19:AD20)</f>
        <v>226</v>
      </c>
      <c r="AE21" s="13">
        <f t="shared" si="3"/>
        <v>4884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2.0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2.0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9">
        <v>0.0</v>
      </c>
      <c r="AD23" s="19">
        <v>0.0</v>
      </c>
      <c r="AE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4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0.0</v>
      </c>
      <c r="G25" s="19">
        <v>0.0</v>
      </c>
      <c r="H25" s="19">
        <v>4.0</v>
      </c>
      <c r="I25" s="19">
        <v>2.0</v>
      </c>
      <c r="J25" s="19">
        <v>1.0</v>
      </c>
      <c r="K25" s="19">
        <v>5.0</v>
      </c>
      <c r="L25" s="19">
        <v>3.0</v>
      </c>
      <c r="M25" s="19">
        <v>0.0</v>
      </c>
      <c r="N25" s="19">
        <v>3.0</v>
      </c>
      <c r="O25" s="19">
        <v>0.0</v>
      </c>
      <c r="P25" s="19">
        <v>0.0</v>
      </c>
      <c r="Q25" s="19">
        <v>0.0</v>
      </c>
      <c r="R25" s="19">
        <v>5.0</v>
      </c>
      <c r="S25" s="19">
        <v>3.0</v>
      </c>
      <c r="T25" s="19">
        <v>0.0</v>
      </c>
      <c r="U25" s="19">
        <v>2.0</v>
      </c>
      <c r="V25" s="19">
        <v>0.0</v>
      </c>
      <c r="W25" s="19">
        <v>1.0</v>
      </c>
      <c r="X25" s="19">
        <v>3.0</v>
      </c>
      <c r="Y25" s="19">
        <v>0.0</v>
      </c>
      <c r="Z25" s="19">
        <v>2.0</v>
      </c>
      <c r="AA25" s="19">
        <v>5.0</v>
      </c>
      <c r="AB25" s="19">
        <v>0.0</v>
      </c>
      <c r="AC25" s="19">
        <v>1.0</v>
      </c>
      <c r="AD25" s="19">
        <v>0.0</v>
      </c>
      <c r="AE25" s="13">
        <f t="shared" si="3"/>
        <v>44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1.0</v>
      </c>
      <c r="H26" s="19">
        <v>1.0</v>
      </c>
      <c r="I26" s="19">
        <v>0.0</v>
      </c>
      <c r="J26" s="19">
        <v>2.0</v>
      </c>
      <c r="K26" s="19">
        <v>6.0</v>
      </c>
      <c r="L26" s="19">
        <v>2.0</v>
      </c>
      <c r="M26" s="19">
        <v>2.0</v>
      </c>
      <c r="N26" s="19">
        <v>10.0</v>
      </c>
      <c r="O26" s="19">
        <v>2.0</v>
      </c>
      <c r="P26" s="19">
        <v>3.0</v>
      </c>
      <c r="Q26" s="19">
        <v>0.0</v>
      </c>
      <c r="R26" s="19">
        <v>3.0</v>
      </c>
      <c r="S26" s="19">
        <v>6.0</v>
      </c>
      <c r="T26" s="19">
        <v>0.0</v>
      </c>
      <c r="U26" s="19">
        <v>3.0</v>
      </c>
      <c r="V26" s="19">
        <v>0.0</v>
      </c>
      <c r="W26" s="19">
        <v>2.0</v>
      </c>
      <c r="X26" s="19">
        <v>1.0</v>
      </c>
      <c r="Y26" s="19">
        <v>2.0</v>
      </c>
      <c r="Z26" s="19">
        <v>2.0</v>
      </c>
      <c r="AA26" s="19">
        <v>4.0</v>
      </c>
      <c r="AB26" s="19">
        <v>0.0</v>
      </c>
      <c r="AC26" s="19">
        <v>1.0</v>
      </c>
      <c r="AD26" s="19">
        <v>0.0</v>
      </c>
      <c r="AE26" s="13">
        <f t="shared" si="3"/>
        <v>55</v>
      </c>
    </row>
    <row r="27" ht="12.75" customHeight="1">
      <c r="A27" s="35"/>
      <c r="B27" s="28"/>
      <c r="C27" s="36"/>
      <c r="D27" s="13" t="s">
        <v>14</v>
      </c>
      <c r="E27" s="13">
        <f t="shared" ref="E27:AD27" si="6">SUM(E25:E26)</f>
        <v>6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2</v>
      </c>
      <c r="J27" s="13">
        <f t="shared" si="6"/>
        <v>3</v>
      </c>
      <c r="K27" s="13">
        <f t="shared" si="6"/>
        <v>11</v>
      </c>
      <c r="L27" s="13">
        <f t="shared" si="6"/>
        <v>5</v>
      </c>
      <c r="M27" s="13">
        <f t="shared" si="6"/>
        <v>2</v>
      </c>
      <c r="N27" s="13">
        <f t="shared" si="6"/>
        <v>13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8</v>
      </c>
      <c r="S27" s="13">
        <f t="shared" si="6"/>
        <v>9</v>
      </c>
      <c r="T27" s="13">
        <f t="shared" si="6"/>
        <v>0</v>
      </c>
      <c r="U27" s="13">
        <f t="shared" si="6"/>
        <v>5</v>
      </c>
      <c r="V27" s="13">
        <f t="shared" si="6"/>
        <v>0</v>
      </c>
      <c r="W27" s="13">
        <f t="shared" si="6"/>
        <v>3</v>
      </c>
      <c r="X27" s="13">
        <f t="shared" si="6"/>
        <v>4</v>
      </c>
      <c r="Y27" s="13">
        <f t="shared" si="6"/>
        <v>2</v>
      </c>
      <c r="Z27" s="13">
        <f t="shared" si="6"/>
        <v>4</v>
      </c>
      <c r="AA27" s="13">
        <f t="shared" si="6"/>
        <v>9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3"/>
        <v>99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D28" si="7">SUM(E19,E22,E25)</f>
        <v>82</v>
      </c>
      <c r="F28" s="13">
        <f t="shared" si="7"/>
        <v>83</v>
      </c>
      <c r="G28" s="13">
        <f t="shared" si="7"/>
        <v>97</v>
      </c>
      <c r="H28" s="13">
        <f t="shared" si="7"/>
        <v>98</v>
      </c>
      <c r="I28" s="13">
        <f t="shared" si="7"/>
        <v>79</v>
      </c>
      <c r="J28" s="13">
        <f t="shared" si="7"/>
        <v>65</v>
      </c>
      <c r="K28" s="13">
        <f t="shared" si="7"/>
        <v>122</v>
      </c>
      <c r="L28" s="13">
        <f t="shared" si="7"/>
        <v>94</v>
      </c>
      <c r="M28" s="13">
        <f t="shared" si="7"/>
        <v>78</v>
      </c>
      <c r="N28" s="13">
        <f t="shared" si="7"/>
        <v>103</v>
      </c>
      <c r="O28" s="13">
        <f t="shared" si="7"/>
        <v>91</v>
      </c>
      <c r="P28" s="13">
        <f t="shared" si="7"/>
        <v>86</v>
      </c>
      <c r="Q28" s="13">
        <f t="shared" si="7"/>
        <v>93</v>
      </c>
      <c r="R28" s="13">
        <f t="shared" si="7"/>
        <v>107</v>
      </c>
      <c r="S28" s="13">
        <f t="shared" si="7"/>
        <v>105</v>
      </c>
      <c r="T28" s="13">
        <f t="shared" si="7"/>
        <v>81</v>
      </c>
      <c r="U28" s="13">
        <f t="shared" si="7"/>
        <v>74</v>
      </c>
      <c r="V28" s="13">
        <f t="shared" si="7"/>
        <v>87</v>
      </c>
      <c r="W28" s="13">
        <f t="shared" si="7"/>
        <v>70</v>
      </c>
      <c r="X28" s="13">
        <f t="shared" si="7"/>
        <v>105</v>
      </c>
      <c r="Y28" s="13">
        <f t="shared" si="7"/>
        <v>93</v>
      </c>
      <c r="Z28" s="13">
        <f t="shared" si="7"/>
        <v>85</v>
      </c>
      <c r="AA28" s="13">
        <f t="shared" si="7"/>
        <v>84</v>
      </c>
      <c r="AB28" s="13">
        <f t="shared" si="7"/>
        <v>91</v>
      </c>
      <c r="AC28" s="13">
        <f t="shared" si="7"/>
        <v>84</v>
      </c>
      <c r="AD28" s="13">
        <f t="shared" si="7"/>
        <v>108</v>
      </c>
      <c r="AE28" s="13">
        <f t="shared" si="3"/>
        <v>2345</v>
      </c>
    </row>
    <row r="29" ht="12.75" customHeight="1">
      <c r="A29" s="35"/>
      <c r="B29" s="27"/>
      <c r="C29" s="34"/>
      <c r="D29" s="13" t="s">
        <v>13</v>
      </c>
      <c r="E29" s="13">
        <f t="shared" ref="E29:AD29" si="8">SUM(E20,E23,E26)</f>
        <v>110</v>
      </c>
      <c r="F29" s="13">
        <f t="shared" si="8"/>
        <v>110</v>
      </c>
      <c r="G29" s="13">
        <f t="shared" si="8"/>
        <v>100</v>
      </c>
      <c r="H29" s="13">
        <f t="shared" si="8"/>
        <v>117</v>
      </c>
      <c r="I29" s="13">
        <f t="shared" si="8"/>
        <v>84</v>
      </c>
      <c r="J29" s="13">
        <f t="shared" si="8"/>
        <v>82</v>
      </c>
      <c r="K29" s="13">
        <f t="shared" si="8"/>
        <v>119</v>
      </c>
      <c r="L29" s="13">
        <f t="shared" si="8"/>
        <v>120</v>
      </c>
      <c r="M29" s="13">
        <f t="shared" si="8"/>
        <v>115</v>
      </c>
      <c r="N29" s="13">
        <f t="shared" si="8"/>
        <v>125</v>
      </c>
      <c r="O29" s="13">
        <f t="shared" si="8"/>
        <v>117</v>
      </c>
      <c r="P29" s="13">
        <f t="shared" si="8"/>
        <v>94</v>
      </c>
      <c r="Q29" s="13">
        <f t="shared" si="8"/>
        <v>104</v>
      </c>
      <c r="R29" s="13">
        <f t="shared" si="8"/>
        <v>115</v>
      </c>
      <c r="S29" s="13">
        <f t="shared" si="8"/>
        <v>131</v>
      </c>
      <c r="T29" s="13">
        <f t="shared" si="8"/>
        <v>97</v>
      </c>
      <c r="U29" s="13">
        <f t="shared" si="8"/>
        <v>111</v>
      </c>
      <c r="V29" s="13">
        <f t="shared" si="8"/>
        <v>109</v>
      </c>
      <c r="W29" s="13">
        <f t="shared" si="8"/>
        <v>80</v>
      </c>
      <c r="X29" s="13">
        <f t="shared" si="8"/>
        <v>130</v>
      </c>
      <c r="Y29" s="13">
        <f t="shared" si="8"/>
        <v>122</v>
      </c>
      <c r="Z29" s="13">
        <f t="shared" si="8"/>
        <v>108</v>
      </c>
      <c r="AA29" s="13">
        <f t="shared" si="8"/>
        <v>92</v>
      </c>
      <c r="AB29" s="13">
        <f t="shared" si="8"/>
        <v>116</v>
      </c>
      <c r="AC29" s="13">
        <f t="shared" si="8"/>
        <v>107</v>
      </c>
      <c r="AD29" s="13">
        <f t="shared" si="8"/>
        <v>118</v>
      </c>
      <c r="AE29" s="13">
        <f t="shared" si="3"/>
        <v>2833</v>
      </c>
    </row>
    <row r="30" ht="12.75" customHeight="1">
      <c r="A30" s="35"/>
      <c r="B30" s="28"/>
      <c r="C30" s="36"/>
      <c r="D30" s="13" t="s">
        <v>14</v>
      </c>
      <c r="E30" s="13">
        <f t="shared" ref="E30:AD30" si="9">SUM(E28:E29)</f>
        <v>192</v>
      </c>
      <c r="F30" s="13">
        <f t="shared" si="9"/>
        <v>193</v>
      </c>
      <c r="G30" s="13">
        <f t="shared" si="9"/>
        <v>197</v>
      </c>
      <c r="H30" s="13">
        <f t="shared" si="9"/>
        <v>215</v>
      </c>
      <c r="I30" s="13">
        <f t="shared" si="9"/>
        <v>163</v>
      </c>
      <c r="J30" s="13">
        <f t="shared" si="9"/>
        <v>147</v>
      </c>
      <c r="K30" s="13">
        <f t="shared" si="9"/>
        <v>241</v>
      </c>
      <c r="L30" s="13">
        <f t="shared" si="9"/>
        <v>214</v>
      </c>
      <c r="M30" s="13">
        <f t="shared" si="9"/>
        <v>193</v>
      </c>
      <c r="N30" s="13">
        <f t="shared" si="9"/>
        <v>228</v>
      </c>
      <c r="O30" s="13">
        <f t="shared" si="9"/>
        <v>208</v>
      </c>
      <c r="P30" s="13">
        <f t="shared" si="9"/>
        <v>180</v>
      </c>
      <c r="Q30" s="13">
        <f t="shared" si="9"/>
        <v>197</v>
      </c>
      <c r="R30" s="13">
        <f t="shared" si="9"/>
        <v>222</v>
      </c>
      <c r="S30" s="13">
        <f t="shared" si="9"/>
        <v>236</v>
      </c>
      <c r="T30" s="13">
        <f t="shared" si="9"/>
        <v>178</v>
      </c>
      <c r="U30" s="13">
        <f t="shared" si="9"/>
        <v>185</v>
      </c>
      <c r="V30" s="13">
        <f t="shared" si="9"/>
        <v>196</v>
      </c>
      <c r="W30" s="13">
        <f t="shared" si="9"/>
        <v>150</v>
      </c>
      <c r="X30" s="13">
        <f t="shared" si="9"/>
        <v>235</v>
      </c>
      <c r="Y30" s="13">
        <f t="shared" si="9"/>
        <v>215</v>
      </c>
      <c r="Z30" s="13">
        <f t="shared" si="9"/>
        <v>193</v>
      </c>
      <c r="AA30" s="13">
        <f t="shared" si="9"/>
        <v>176</v>
      </c>
      <c r="AB30" s="13">
        <f t="shared" si="9"/>
        <v>207</v>
      </c>
      <c r="AC30" s="13">
        <f t="shared" si="9"/>
        <v>191</v>
      </c>
      <c r="AD30" s="13">
        <f t="shared" si="9"/>
        <v>226</v>
      </c>
      <c r="AE30" s="13">
        <f t="shared" si="3"/>
        <v>5178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59"/>
    </row>
    <row r="33" ht="12.75" customHeight="1">
      <c r="A33" s="19">
        <v>1.0</v>
      </c>
      <c r="B33" s="20" t="s">
        <v>85</v>
      </c>
      <c r="C33" s="15"/>
      <c r="D33" s="16"/>
      <c r="E33" s="19">
        <v>278.0</v>
      </c>
      <c r="F33" s="19">
        <v>278.0</v>
      </c>
      <c r="G33" s="19">
        <v>264.0</v>
      </c>
      <c r="H33" s="19">
        <v>298.0</v>
      </c>
      <c r="I33" s="19">
        <v>227.0</v>
      </c>
      <c r="J33" s="19">
        <v>192.0</v>
      </c>
      <c r="K33" s="19">
        <v>294.0</v>
      </c>
      <c r="L33" s="19">
        <v>299.0</v>
      </c>
      <c r="M33" s="19">
        <v>262.0</v>
      </c>
      <c r="N33" s="19">
        <v>257.0</v>
      </c>
      <c r="O33" s="19">
        <v>281.0</v>
      </c>
      <c r="P33" s="19">
        <v>236.0</v>
      </c>
      <c r="Q33" s="19">
        <v>258.0</v>
      </c>
      <c r="R33" s="19">
        <v>286.0</v>
      </c>
      <c r="S33" s="19">
        <v>292.0</v>
      </c>
      <c r="T33" s="19">
        <v>253.0</v>
      </c>
      <c r="U33" s="19">
        <v>275.0</v>
      </c>
      <c r="V33" s="19">
        <v>260.0</v>
      </c>
      <c r="W33" s="19">
        <v>209.0</v>
      </c>
      <c r="X33" s="19">
        <v>292.0</v>
      </c>
      <c r="Y33" s="19">
        <v>284.0</v>
      </c>
      <c r="Z33" s="19">
        <v>235.0</v>
      </c>
      <c r="AA33" s="19">
        <v>227.0</v>
      </c>
      <c r="AB33" s="19">
        <v>291.0</v>
      </c>
      <c r="AC33" s="19">
        <v>263.0</v>
      </c>
      <c r="AD33" s="19">
        <v>272.0</v>
      </c>
      <c r="AE33" s="13">
        <f t="shared" ref="AE33:AE36" si="10">SUM(E33:AD33)</f>
        <v>6863</v>
      </c>
    </row>
    <row r="34" ht="12.75" customHeight="1">
      <c r="A34" s="19">
        <v>2.0</v>
      </c>
      <c r="B34" s="20" t="s">
        <v>28</v>
      </c>
      <c r="C34" s="15"/>
      <c r="D34" s="16"/>
      <c r="E34" s="13">
        <v>192.0</v>
      </c>
      <c r="F34" s="13">
        <v>193.0</v>
      </c>
      <c r="G34" s="13">
        <v>197.0</v>
      </c>
      <c r="H34" s="13">
        <v>215.0</v>
      </c>
      <c r="I34" s="13">
        <v>163.0</v>
      </c>
      <c r="J34" s="13">
        <v>147.0</v>
      </c>
      <c r="K34" s="13">
        <v>241.0</v>
      </c>
      <c r="L34" s="13">
        <v>214.0</v>
      </c>
      <c r="M34" s="13">
        <v>193.0</v>
      </c>
      <c r="N34" s="13">
        <v>228.0</v>
      </c>
      <c r="O34" s="13">
        <v>208.0</v>
      </c>
      <c r="P34" s="13">
        <v>180.0</v>
      </c>
      <c r="Q34" s="13">
        <v>197.0</v>
      </c>
      <c r="R34" s="13">
        <v>222.0</v>
      </c>
      <c r="S34" s="13">
        <v>236.0</v>
      </c>
      <c r="T34" s="13">
        <v>178.0</v>
      </c>
      <c r="U34" s="13">
        <v>185.0</v>
      </c>
      <c r="V34" s="13">
        <v>196.0</v>
      </c>
      <c r="W34" s="13">
        <v>150.0</v>
      </c>
      <c r="X34" s="13">
        <v>235.0</v>
      </c>
      <c r="Y34" s="13">
        <v>215.0</v>
      </c>
      <c r="Z34" s="13">
        <v>193.0</v>
      </c>
      <c r="AA34" s="13">
        <v>176.0</v>
      </c>
      <c r="AB34" s="13">
        <v>207.0</v>
      </c>
      <c r="AC34" s="13">
        <v>191.0</v>
      </c>
      <c r="AD34" s="13">
        <v>226.0</v>
      </c>
      <c r="AE34" s="13">
        <f t="shared" si="10"/>
        <v>5178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9">
        <v>0.0</v>
      </c>
      <c r="AD35" s="19">
        <v>0.0</v>
      </c>
      <c r="AE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86</v>
      </c>
      <c r="F36" s="13">
        <f t="shared" si="11"/>
        <v>85</v>
      </c>
      <c r="G36" s="13">
        <f t="shared" si="11"/>
        <v>66</v>
      </c>
      <c r="H36" s="13">
        <f t="shared" si="11"/>
        <v>83</v>
      </c>
      <c r="I36" s="13">
        <f t="shared" si="11"/>
        <v>64</v>
      </c>
      <c r="J36" s="13">
        <f t="shared" si="11"/>
        <v>45</v>
      </c>
      <c r="K36" s="13">
        <f t="shared" si="11"/>
        <v>53</v>
      </c>
      <c r="L36" s="13">
        <f t="shared" si="11"/>
        <v>85</v>
      </c>
      <c r="M36" s="13">
        <f t="shared" si="11"/>
        <v>69</v>
      </c>
      <c r="N36" s="13">
        <f t="shared" si="11"/>
        <v>29</v>
      </c>
      <c r="O36" s="13">
        <f t="shared" si="11"/>
        <v>73</v>
      </c>
      <c r="P36" s="13">
        <f t="shared" si="11"/>
        <v>56</v>
      </c>
      <c r="Q36" s="13">
        <f t="shared" si="11"/>
        <v>61</v>
      </c>
      <c r="R36" s="13">
        <f t="shared" si="11"/>
        <v>64</v>
      </c>
      <c r="S36" s="13">
        <f t="shared" si="11"/>
        <v>56</v>
      </c>
      <c r="T36" s="13">
        <f t="shared" si="11"/>
        <v>75</v>
      </c>
      <c r="U36" s="13">
        <f t="shared" si="11"/>
        <v>90</v>
      </c>
      <c r="V36" s="13">
        <f t="shared" si="11"/>
        <v>64</v>
      </c>
      <c r="W36" s="13">
        <f t="shared" si="11"/>
        <v>59</v>
      </c>
      <c r="X36" s="13">
        <f t="shared" si="11"/>
        <v>57</v>
      </c>
      <c r="Y36" s="13">
        <f t="shared" si="11"/>
        <v>69</v>
      </c>
      <c r="Z36" s="13">
        <f t="shared" si="11"/>
        <v>41</v>
      </c>
      <c r="AA36" s="13">
        <f t="shared" si="11"/>
        <v>51</v>
      </c>
      <c r="AB36" s="13">
        <f t="shared" si="11"/>
        <v>84</v>
      </c>
      <c r="AC36" s="13">
        <f t="shared" si="11"/>
        <v>72</v>
      </c>
      <c r="AD36" s="13">
        <f t="shared" si="11"/>
        <v>46</v>
      </c>
      <c r="AE36" s="13">
        <f t="shared" si="10"/>
        <v>1683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>
        <v>1.0</v>
      </c>
      <c r="P39" s="19"/>
      <c r="Q39" s="19"/>
      <c r="R39" s="19"/>
      <c r="S39" s="19">
        <v>2.0</v>
      </c>
      <c r="T39" s="19"/>
      <c r="U39" s="19"/>
      <c r="V39" s="19"/>
      <c r="W39" s="19">
        <v>1.0</v>
      </c>
      <c r="X39" s="19"/>
      <c r="Y39" s="19"/>
      <c r="Z39" s="19"/>
      <c r="AA39" s="19"/>
      <c r="AB39" s="19">
        <v>1.0</v>
      </c>
      <c r="AC39" s="19"/>
      <c r="AD39" s="19"/>
      <c r="AE39" s="13">
        <f t="shared" ref="AE39:AE41" si="12">SUM(E39:AD39)</f>
        <v>5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>
        <v>4.0</v>
      </c>
      <c r="T40" s="19"/>
      <c r="U40" s="19"/>
      <c r="V40" s="19"/>
      <c r="W40" s="19"/>
      <c r="X40" s="19"/>
      <c r="Y40" s="19"/>
      <c r="Z40" s="19"/>
      <c r="AA40" s="19"/>
      <c r="AB40" s="19">
        <v>1.0</v>
      </c>
      <c r="AC40" s="19"/>
      <c r="AD40" s="19"/>
      <c r="AE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2</v>
      </c>
      <c r="AC41" s="13"/>
      <c r="AD41" s="13">
        <f>SUM(AD39:AD40)</f>
        <v>0</v>
      </c>
      <c r="AE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9"/>
      <c r="AB42" s="58"/>
      <c r="AC42" s="19"/>
      <c r="AD42" s="19"/>
      <c r="AE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  <c r="AB43" s="60"/>
      <c r="AC43" s="13"/>
      <c r="AD43" s="13"/>
      <c r="AE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9"/>
      <c r="AB44" s="58"/>
      <c r="AC44" s="19"/>
      <c r="AD44" s="19"/>
      <c r="AE44" s="13"/>
    </row>
    <row r="45" ht="12.75" customHeight="1">
      <c r="A45" s="30"/>
      <c r="B45" s="47" t="s">
        <v>17</v>
      </c>
      <c r="C45" s="62" t="s">
        <v>38</v>
      </c>
      <c r="D45" s="16"/>
      <c r="E45" s="19">
        <v>8.0</v>
      </c>
      <c r="F45" s="19">
        <v>16.0</v>
      </c>
      <c r="G45" s="19">
        <v>15.0</v>
      </c>
      <c r="H45" s="19">
        <v>40.0</v>
      </c>
      <c r="I45" s="19">
        <v>7.0</v>
      </c>
      <c r="J45" s="19">
        <v>10.0</v>
      </c>
      <c r="K45" s="19">
        <v>19.0</v>
      </c>
      <c r="L45" s="19">
        <v>13.0</v>
      </c>
      <c r="M45" s="19">
        <v>9.0</v>
      </c>
      <c r="N45" s="19">
        <v>14.0</v>
      </c>
      <c r="O45" s="19">
        <v>12.0</v>
      </c>
      <c r="P45" s="19">
        <v>28.0</v>
      </c>
      <c r="Q45" s="19">
        <v>10.0</v>
      </c>
      <c r="R45" s="19">
        <v>17.0</v>
      </c>
      <c r="S45" s="19">
        <v>23.0</v>
      </c>
      <c r="T45" s="19">
        <v>7.0</v>
      </c>
      <c r="U45" s="19">
        <v>14.0</v>
      </c>
      <c r="V45" s="19">
        <v>14.0</v>
      </c>
      <c r="W45" s="19">
        <v>4.0</v>
      </c>
      <c r="X45" s="19">
        <v>12.0</v>
      </c>
      <c r="Y45" s="19">
        <v>6.0</v>
      </c>
      <c r="Z45" s="19">
        <v>12.0</v>
      </c>
      <c r="AA45" s="19">
        <v>7.0</v>
      </c>
      <c r="AB45" s="19">
        <v>7.0</v>
      </c>
      <c r="AC45" s="19">
        <v>14.0</v>
      </c>
      <c r="AD45" s="19">
        <v>22.0</v>
      </c>
      <c r="AE45" s="13">
        <f t="shared" ref="AE45:AE57" si="14">SUM(E45:AD45)</f>
        <v>360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24.0</v>
      </c>
      <c r="F46" s="19">
        <v>27.0</v>
      </c>
      <c r="G46" s="19">
        <v>21.0</v>
      </c>
      <c r="H46" s="19">
        <v>18.0</v>
      </c>
      <c r="I46" s="19">
        <v>13.0</v>
      </c>
      <c r="J46" s="19">
        <v>19.0</v>
      </c>
      <c r="K46" s="19">
        <v>30.0</v>
      </c>
      <c r="L46" s="19">
        <v>27.0</v>
      </c>
      <c r="M46" s="19">
        <v>23.0</v>
      </c>
      <c r="N46" s="19">
        <v>26.0</v>
      </c>
      <c r="O46" s="19">
        <v>36.0</v>
      </c>
      <c r="P46" s="19">
        <v>23.0</v>
      </c>
      <c r="Q46" s="19">
        <v>35.0</v>
      </c>
      <c r="R46" s="19">
        <v>38.0</v>
      </c>
      <c r="S46" s="19">
        <v>37.0</v>
      </c>
      <c r="T46" s="19">
        <v>21.0</v>
      </c>
      <c r="U46" s="19">
        <v>19.0</v>
      </c>
      <c r="V46" s="19">
        <v>20.0</v>
      </c>
      <c r="W46" s="19">
        <v>31.0</v>
      </c>
      <c r="X46" s="19">
        <v>44.0</v>
      </c>
      <c r="Y46" s="19">
        <v>43.0</v>
      </c>
      <c r="Z46" s="19">
        <v>19.0</v>
      </c>
      <c r="AA46" s="19">
        <v>26.0</v>
      </c>
      <c r="AB46" s="19">
        <v>28.0</v>
      </c>
      <c r="AC46" s="19">
        <v>25.0</v>
      </c>
      <c r="AD46" s="19">
        <v>13.0</v>
      </c>
      <c r="AE46" s="13">
        <f t="shared" si="14"/>
        <v>686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16.0</v>
      </c>
      <c r="F47" s="19">
        <v>9.0</v>
      </c>
      <c r="G47" s="19">
        <v>13.0</v>
      </c>
      <c r="H47" s="19">
        <v>7.0</v>
      </c>
      <c r="I47" s="19">
        <v>7.0</v>
      </c>
      <c r="J47" s="19">
        <v>5.0</v>
      </c>
      <c r="K47" s="19">
        <v>12.0</v>
      </c>
      <c r="L47" s="19">
        <v>17.0</v>
      </c>
      <c r="M47" s="19">
        <v>11.0</v>
      </c>
      <c r="N47" s="19">
        <v>16.0</v>
      </c>
      <c r="O47" s="19">
        <v>10.0</v>
      </c>
      <c r="P47" s="19">
        <v>12.0</v>
      </c>
      <c r="Q47" s="19">
        <v>12.0</v>
      </c>
      <c r="R47" s="19">
        <v>10.0</v>
      </c>
      <c r="S47" s="19">
        <v>15.0</v>
      </c>
      <c r="T47" s="19">
        <v>15.0</v>
      </c>
      <c r="U47" s="19">
        <v>16.0</v>
      </c>
      <c r="V47" s="19">
        <v>16.0</v>
      </c>
      <c r="W47" s="19">
        <v>10.0</v>
      </c>
      <c r="X47" s="19">
        <v>16.0</v>
      </c>
      <c r="Y47" s="19">
        <v>16.0</v>
      </c>
      <c r="Z47" s="19">
        <v>11.0</v>
      </c>
      <c r="AA47" s="19">
        <v>11.0</v>
      </c>
      <c r="AB47" s="19">
        <v>9.0</v>
      </c>
      <c r="AC47" s="19">
        <v>9.0</v>
      </c>
      <c r="AD47" s="19">
        <v>10.0</v>
      </c>
      <c r="AE47" s="13">
        <f t="shared" si="14"/>
        <v>311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9.0</v>
      </c>
      <c r="F48" s="19">
        <v>20.0</v>
      </c>
      <c r="G48" s="19">
        <v>20.0</v>
      </c>
      <c r="H48" s="19">
        <v>29.0</v>
      </c>
      <c r="I48" s="19">
        <v>36.0</v>
      </c>
      <c r="J48" s="19">
        <v>22.0</v>
      </c>
      <c r="K48" s="19">
        <v>27.0</v>
      </c>
      <c r="L48" s="19">
        <v>14.0</v>
      </c>
      <c r="M48" s="19">
        <v>11.0</v>
      </c>
      <c r="N48" s="19">
        <v>27.0</v>
      </c>
      <c r="O48" s="19">
        <v>33.0</v>
      </c>
      <c r="P48" s="19">
        <v>8.0</v>
      </c>
      <c r="Q48" s="19">
        <v>27.0</v>
      </c>
      <c r="R48" s="19">
        <v>43.0</v>
      </c>
      <c r="S48" s="19">
        <v>22.0</v>
      </c>
      <c r="T48" s="19">
        <v>12.0</v>
      </c>
      <c r="U48" s="19">
        <v>34.0</v>
      </c>
      <c r="V48" s="19">
        <v>20.0</v>
      </c>
      <c r="W48" s="19">
        <v>8.0</v>
      </c>
      <c r="X48" s="19">
        <v>28.0</v>
      </c>
      <c r="Y48" s="19">
        <v>20.0</v>
      </c>
      <c r="Z48" s="19">
        <v>20.0</v>
      </c>
      <c r="AA48" s="19">
        <v>17.0</v>
      </c>
      <c r="AB48" s="19">
        <v>21.0</v>
      </c>
      <c r="AC48" s="19">
        <v>25.0</v>
      </c>
      <c r="AD48" s="19">
        <v>19.0</v>
      </c>
      <c r="AE48" s="13">
        <f t="shared" si="14"/>
        <v>572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30.0</v>
      </c>
      <c r="F49" s="19">
        <v>21.0</v>
      </c>
      <c r="G49" s="19">
        <v>22.0</v>
      </c>
      <c r="H49" s="19">
        <v>21.0</v>
      </c>
      <c r="I49" s="19">
        <v>29.0</v>
      </c>
      <c r="J49" s="19">
        <v>26.0</v>
      </c>
      <c r="K49" s="19">
        <v>28.0</v>
      </c>
      <c r="L49" s="19">
        <v>26.0</v>
      </c>
      <c r="M49" s="19">
        <v>25.0</v>
      </c>
      <c r="N49" s="19">
        <v>49.0</v>
      </c>
      <c r="O49" s="19">
        <v>27.0</v>
      </c>
      <c r="P49" s="19">
        <v>28.0</v>
      </c>
      <c r="Q49" s="19">
        <v>24.0</v>
      </c>
      <c r="R49" s="19">
        <v>21.0</v>
      </c>
      <c r="S49" s="19">
        <v>26.0</v>
      </c>
      <c r="T49" s="19">
        <v>15.0</v>
      </c>
      <c r="U49" s="19">
        <v>21.0</v>
      </c>
      <c r="V49" s="19">
        <v>33.0</v>
      </c>
      <c r="W49" s="19">
        <v>21.0</v>
      </c>
      <c r="X49" s="19">
        <v>14.0</v>
      </c>
      <c r="Y49" s="19">
        <v>20.0</v>
      </c>
      <c r="Z49" s="19">
        <v>39.0</v>
      </c>
      <c r="AA49" s="19">
        <v>33.0</v>
      </c>
      <c r="AB49" s="19">
        <v>32.0</v>
      </c>
      <c r="AC49" s="19">
        <v>25.0</v>
      </c>
      <c r="AD49" s="19">
        <v>30.0</v>
      </c>
      <c r="AE49" s="13">
        <f t="shared" si="14"/>
        <v>686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12.0</v>
      </c>
      <c r="F50" s="19">
        <v>12.0</v>
      </c>
      <c r="G50" s="19">
        <v>12.0</v>
      </c>
      <c r="H50" s="19">
        <v>11.0</v>
      </c>
      <c r="I50" s="19">
        <v>14.0</v>
      </c>
      <c r="J50" s="19">
        <v>10.0</v>
      </c>
      <c r="K50" s="19">
        <v>11.0</v>
      </c>
      <c r="L50" s="19">
        <v>9.0</v>
      </c>
      <c r="M50" s="19">
        <v>25.0</v>
      </c>
      <c r="N50" s="19">
        <v>14.0</v>
      </c>
      <c r="O50" s="19">
        <v>12.0</v>
      </c>
      <c r="P50" s="19">
        <v>14.0</v>
      </c>
      <c r="Q50" s="19">
        <v>12.0</v>
      </c>
      <c r="R50" s="19">
        <v>14.0</v>
      </c>
      <c r="S50" s="19">
        <v>10.0</v>
      </c>
      <c r="T50" s="19">
        <v>15.0</v>
      </c>
      <c r="U50" s="19">
        <v>17.0</v>
      </c>
      <c r="V50" s="19">
        <v>10.0</v>
      </c>
      <c r="W50" s="19">
        <v>14.0</v>
      </c>
      <c r="X50" s="19">
        <v>17.0</v>
      </c>
      <c r="Y50" s="19">
        <v>13.0</v>
      </c>
      <c r="Z50" s="19">
        <v>11.0</v>
      </c>
      <c r="AA50" s="19">
        <v>8.0</v>
      </c>
      <c r="AB50" s="19">
        <v>12.0</v>
      </c>
      <c r="AC50" s="19">
        <v>20.0</v>
      </c>
      <c r="AD50" s="19">
        <v>22.0</v>
      </c>
      <c r="AE50" s="13">
        <f t="shared" si="14"/>
        <v>351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0.0</v>
      </c>
      <c r="F51" s="19">
        <v>2.0</v>
      </c>
      <c r="G51" s="19">
        <v>4.0</v>
      </c>
      <c r="H51" s="19">
        <v>5.0</v>
      </c>
      <c r="I51" s="19">
        <v>1.0</v>
      </c>
      <c r="J51" s="19">
        <v>3.0</v>
      </c>
      <c r="K51" s="19">
        <v>1.0</v>
      </c>
      <c r="L51" s="19">
        <v>1.0</v>
      </c>
      <c r="M51" s="19">
        <v>3.0</v>
      </c>
      <c r="N51" s="19">
        <v>2.0</v>
      </c>
      <c r="O51" s="19">
        <v>3.0</v>
      </c>
      <c r="P51" s="19">
        <v>2.0</v>
      </c>
      <c r="Q51" s="19">
        <v>1.0</v>
      </c>
      <c r="R51" s="19">
        <v>2.0</v>
      </c>
      <c r="S51" s="19">
        <v>3.0</v>
      </c>
      <c r="T51" s="19">
        <v>1.0</v>
      </c>
      <c r="U51" s="19">
        <v>3.0</v>
      </c>
      <c r="V51" s="19">
        <v>1.0</v>
      </c>
      <c r="W51" s="19">
        <v>2.0</v>
      </c>
      <c r="X51" s="19">
        <v>5.0</v>
      </c>
      <c r="Y51" s="19">
        <v>4.0</v>
      </c>
      <c r="Z51" s="19">
        <v>2.0</v>
      </c>
      <c r="AA51" s="19">
        <v>3.0</v>
      </c>
      <c r="AB51" s="19">
        <v>4.0</v>
      </c>
      <c r="AC51" s="19">
        <v>1.0</v>
      </c>
      <c r="AD51" s="19">
        <v>3.0</v>
      </c>
      <c r="AE51" s="13">
        <f t="shared" si="14"/>
        <v>62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5.0</v>
      </c>
      <c r="F52" s="19">
        <v>3.0</v>
      </c>
      <c r="G52" s="19">
        <v>0.0</v>
      </c>
      <c r="H52" s="19">
        <v>5.0</v>
      </c>
      <c r="I52" s="19">
        <v>3.0</v>
      </c>
      <c r="J52" s="19">
        <v>0.0</v>
      </c>
      <c r="K52" s="19">
        <v>4.0</v>
      </c>
      <c r="L52" s="19">
        <v>1.0</v>
      </c>
      <c r="M52" s="19">
        <v>9.0</v>
      </c>
      <c r="N52" s="19">
        <v>5.0</v>
      </c>
      <c r="O52" s="19">
        <v>4.0</v>
      </c>
      <c r="P52" s="19">
        <v>4.0</v>
      </c>
      <c r="Q52" s="19">
        <v>0.0</v>
      </c>
      <c r="R52" s="19">
        <v>7.0</v>
      </c>
      <c r="S52" s="19">
        <v>5.0</v>
      </c>
      <c r="T52" s="19">
        <v>0.0</v>
      </c>
      <c r="U52" s="19">
        <v>0.0</v>
      </c>
      <c r="V52" s="19">
        <v>6.0</v>
      </c>
      <c r="W52" s="19">
        <v>3.0</v>
      </c>
      <c r="X52" s="19">
        <v>5.0</v>
      </c>
      <c r="Y52" s="19">
        <v>1.0</v>
      </c>
      <c r="Z52" s="19">
        <v>7.0</v>
      </c>
      <c r="AA52" s="19">
        <v>5.0</v>
      </c>
      <c r="AB52" s="19">
        <v>4.0</v>
      </c>
      <c r="AC52" s="19">
        <v>5.0</v>
      </c>
      <c r="AD52" s="19">
        <v>3.0</v>
      </c>
      <c r="AE52" s="13">
        <f t="shared" si="14"/>
        <v>94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1.0</v>
      </c>
      <c r="G53" s="19">
        <v>1.0</v>
      </c>
      <c r="H53" s="19">
        <v>1.0</v>
      </c>
      <c r="I53" s="19">
        <v>0.0</v>
      </c>
      <c r="J53" s="19">
        <v>1.0</v>
      </c>
      <c r="K53" s="19">
        <v>0.0</v>
      </c>
      <c r="L53" s="19">
        <v>2.0</v>
      </c>
      <c r="M53" s="19">
        <v>0.0</v>
      </c>
      <c r="N53" s="19">
        <v>0.0</v>
      </c>
      <c r="O53" s="19">
        <v>1.0</v>
      </c>
      <c r="P53" s="19">
        <v>3.0</v>
      </c>
      <c r="Q53" s="19">
        <v>0.0</v>
      </c>
      <c r="R53" s="19">
        <v>0.0</v>
      </c>
      <c r="S53" s="19">
        <v>0.0</v>
      </c>
      <c r="T53" s="19">
        <v>0.0</v>
      </c>
      <c r="U53" s="19">
        <v>1.0</v>
      </c>
      <c r="V53" s="19">
        <v>2.0</v>
      </c>
      <c r="W53" s="19">
        <v>0.0</v>
      </c>
      <c r="X53" s="19">
        <v>1.0</v>
      </c>
      <c r="Y53" s="19">
        <v>0.0</v>
      </c>
      <c r="Z53" s="19">
        <v>1.0</v>
      </c>
      <c r="AA53" s="19">
        <v>1.0</v>
      </c>
      <c r="AB53" s="19">
        <v>2.0</v>
      </c>
      <c r="AC53" s="19">
        <v>4.0</v>
      </c>
      <c r="AD53" s="19">
        <v>1.0</v>
      </c>
      <c r="AE53" s="13">
        <f t="shared" si="14"/>
        <v>24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16.0</v>
      </c>
      <c r="F54" s="19">
        <v>23.0</v>
      </c>
      <c r="G54" s="19">
        <v>21.0</v>
      </c>
      <c r="H54" s="19">
        <v>26.0</v>
      </c>
      <c r="I54" s="19">
        <v>15.0</v>
      </c>
      <c r="J54" s="19">
        <v>18.0</v>
      </c>
      <c r="K54" s="19">
        <v>31.0</v>
      </c>
      <c r="L54" s="19">
        <v>25.0</v>
      </c>
      <c r="M54" s="19">
        <v>22.0</v>
      </c>
      <c r="N54" s="19">
        <v>25.0</v>
      </c>
      <c r="O54" s="19">
        <v>20.0</v>
      </c>
      <c r="P54" s="19">
        <v>18.0</v>
      </c>
      <c r="Q54" s="19">
        <v>20.0</v>
      </c>
      <c r="R54" s="19">
        <v>24.0</v>
      </c>
      <c r="S54" s="19">
        <v>19.0</v>
      </c>
      <c r="T54" s="19">
        <v>23.0</v>
      </c>
      <c r="U54" s="19">
        <v>11.0</v>
      </c>
      <c r="V54" s="19">
        <v>18.0</v>
      </c>
      <c r="W54" s="19">
        <v>15.0</v>
      </c>
      <c r="X54" s="19">
        <v>32.0</v>
      </c>
      <c r="Y54" s="19">
        <v>15.0</v>
      </c>
      <c r="Z54" s="19">
        <v>23.0</v>
      </c>
      <c r="AA54" s="19">
        <v>14.0</v>
      </c>
      <c r="AB54" s="19">
        <v>25.0</v>
      </c>
      <c r="AC54" s="19">
        <v>22.0</v>
      </c>
      <c r="AD54" s="19">
        <v>23.0</v>
      </c>
      <c r="AE54" s="13">
        <f t="shared" si="14"/>
        <v>544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2.0</v>
      </c>
      <c r="G55" s="19">
        <v>2.0</v>
      </c>
      <c r="H55" s="19">
        <v>0.0</v>
      </c>
      <c r="I55" s="19">
        <v>1.0</v>
      </c>
      <c r="J55" s="19">
        <v>0.0</v>
      </c>
      <c r="K55" s="19">
        <v>1.0</v>
      </c>
      <c r="L55" s="19">
        <v>0.0</v>
      </c>
      <c r="M55" s="19">
        <v>0.0</v>
      </c>
      <c r="N55" s="19">
        <v>2.0</v>
      </c>
      <c r="O55" s="19">
        <v>2.0</v>
      </c>
      <c r="P55" s="19">
        <v>0.0</v>
      </c>
      <c r="Q55" s="19">
        <v>0.0</v>
      </c>
      <c r="R55" s="19">
        <v>5.0</v>
      </c>
      <c r="S55" s="19">
        <v>5.0</v>
      </c>
      <c r="T55" s="19">
        <v>3.0</v>
      </c>
      <c r="U55" s="19">
        <v>0.0</v>
      </c>
      <c r="V55" s="19">
        <v>0.0</v>
      </c>
      <c r="W55" s="19">
        <v>0.0</v>
      </c>
      <c r="X55" s="19">
        <v>4.0</v>
      </c>
      <c r="Y55" s="19">
        <v>2.0</v>
      </c>
      <c r="Z55" s="19">
        <v>4.0</v>
      </c>
      <c r="AA55" s="19">
        <v>4.0</v>
      </c>
      <c r="AB55" s="19">
        <v>2.0</v>
      </c>
      <c r="AC55" s="19">
        <v>2.0</v>
      </c>
      <c r="AD55" s="19">
        <v>0.0</v>
      </c>
      <c r="AE55" s="13">
        <f t="shared" si="14"/>
        <v>42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19.0</v>
      </c>
      <c r="F56" s="19">
        <v>19.0</v>
      </c>
      <c r="G56" s="19">
        <v>17.0</v>
      </c>
      <c r="H56" s="19">
        <v>15.0</v>
      </c>
      <c r="I56" s="19">
        <v>10.0</v>
      </c>
      <c r="J56" s="19">
        <v>15.0</v>
      </c>
      <c r="K56" s="19">
        <v>16.0</v>
      </c>
      <c r="L56" s="19">
        <v>21.0</v>
      </c>
      <c r="M56" s="19">
        <v>15.0</v>
      </c>
      <c r="N56" s="19">
        <v>18.0</v>
      </c>
      <c r="O56" s="19">
        <v>13.0</v>
      </c>
      <c r="P56" s="19">
        <v>7.0</v>
      </c>
      <c r="Q56" s="19">
        <v>16.0</v>
      </c>
      <c r="R56" s="19">
        <v>15.0</v>
      </c>
      <c r="S56" s="19">
        <v>18.0</v>
      </c>
      <c r="T56" s="19">
        <v>18.0</v>
      </c>
      <c r="U56" s="19">
        <v>16.0</v>
      </c>
      <c r="V56" s="19">
        <v>16.0</v>
      </c>
      <c r="W56" s="19">
        <v>8.0</v>
      </c>
      <c r="X56" s="19">
        <v>21.0</v>
      </c>
      <c r="Y56" s="19">
        <v>20.0</v>
      </c>
      <c r="Z56" s="19">
        <v>9.0</v>
      </c>
      <c r="AA56" s="19">
        <v>7.0</v>
      </c>
      <c r="AB56" s="19">
        <v>28.0</v>
      </c>
      <c r="AC56" s="19">
        <v>17.0</v>
      </c>
      <c r="AD56" s="19">
        <v>25.0</v>
      </c>
      <c r="AE56" s="13">
        <f t="shared" si="14"/>
        <v>419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4.0</v>
      </c>
      <c r="G57" s="19">
        <v>4.0</v>
      </c>
      <c r="H57" s="19">
        <v>2.0</v>
      </c>
      <c r="I57" s="19">
        <v>1.0</v>
      </c>
      <c r="J57" s="19">
        <v>1.0</v>
      </c>
      <c r="K57" s="19">
        <v>2.0</v>
      </c>
      <c r="L57" s="19">
        <v>4.0</v>
      </c>
      <c r="M57" s="19">
        <v>2.0</v>
      </c>
      <c r="N57" s="19">
        <v>2.0</v>
      </c>
      <c r="O57" s="19">
        <v>0.0</v>
      </c>
      <c r="P57" s="19">
        <v>0.0</v>
      </c>
      <c r="Q57" s="19">
        <v>5.0</v>
      </c>
      <c r="R57" s="19">
        <v>2.0</v>
      </c>
      <c r="S57" s="19">
        <v>2.0</v>
      </c>
      <c r="T57" s="19">
        <v>3.0</v>
      </c>
      <c r="U57" s="19">
        <v>4.0</v>
      </c>
      <c r="V57" s="19">
        <v>2.0</v>
      </c>
      <c r="W57" s="19">
        <v>2.0</v>
      </c>
      <c r="X57" s="19">
        <v>4.0</v>
      </c>
      <c r="Y57" s="19">
        <v>7.0</v>
      </c>
      <c r="Z57" s="19">
        <v>3.0</v>
      </c>
      <c r="AA57" s="19">
        <v>3.0</v>
      </c>
      <c r="AB57" s="19">
        <v>1.0</v>
      </c>
      <c r="AC57" s="19">
        <v>2.0</v>
      </c>
      <c r="AD57" s="19">
        <v>4.0</v>
      </c>
      <c r="AE57" s="13">
        <f t="shared" si="14"/>
        <v>67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D60" si="15">SUM(E45:E57)</f>
        <v>142</v>
      </c>
      <c r="F60" s="19">
        <f t="shared" si="15"/>
        <v>159</v>
      </c>
      <c r="G60" s="19">
        <f t="shared" si="15"/>
        <v>152</v>
      </c>
      <c r="H60" s="19">
        <f t="shared" si="15"/>
        <v>180</v>
      </c>
      <c r="I60" s="19">
        <f t="shared" si="15"/>
        <v>137</v>
      </c>
      <c r="J60" s="19">
        <f t="shared" si="15"/>
        <v>130</v>
      </c>
      <c r="K60" s="19">
        <f t="shared" si="15"/>
        <v>182</v>
      </c>
      <c r="L60" s="19">
        <f t="shared" si="15"/>
        <v>160</v>
      </c>
      <c r="M60" s="19">
        <f t="shared" si="15"/>
        <v>155</v>
      </c>
      <c r="N60" s="19">
        <f t="shared" si="15"/>
        <v>200</v>
      </c>
      <c r="O60" s="19">
        <f t="shared" si="15"/>
        <v>173</v>
      </c>
      <c r="P60" s="19">
        <f t="shared" si="15"/>
        <v>147</v>
      </c>
      <c r="Q60" s="19">
        <f t="shared" si="15"/>
        <v>162</v>
      </c>
      <c r="R60" s="19">
        <f t="shared" si="15"/>
        <v>198</v>
      </c>
      <c r="S60" s="19">
        <f t="shared" si="15"/>
        <v>185</v>
      </c>
      <c r="T60" s="19">
        <f t="shared" si="15"/>
        <v>133</v>
      </c>
      <c r="U60" s="19">
        <f t="shared" si="15"/>
        <v>156</v>
      </c>
      <c r="V60" s="19">
        <f t="shared" si="15"/>
        <v>158</v>
      </c>
      <c r="W60" s="19">
        <f t="shared" si="15"/>
        <v>118</v>
      </c>
      <c r="X60" s="19">
        <f t="shared" si="15"/>
        <v>203</v>
      </c>
      <c r="Y60" s="19">
        <f t="shared" si="15"/>
        <v>167</v>
      </c>
      <c r="Z60" s="19">
        <f t="shared" si="15"/>
        <v>161</v>
      </c>
      <c r="AA60" s="19">
        <f t="shared" si="15"/>
        <v>139</v>
      </c>
      <c r="AB60" s="19">
        <f t="shared" si="15"/>
        <v>175</v>
      </c>
      <c r="AC60" s="19">
        <f t="shared" si="15"/>
        <v>171</v>
      </c>
      <c r="AD60" s="19">
        <f t="shared" si="15"/>
        <v>175</v>
      </c>
      <c r="AE60" s="13">
        <f t="shared" ref="AE60:AE62" si="16">SUM(E60:AD60)</f>
        <v>4218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50.0</v>
      </c>
      <c r="F61" s="19">
        <v>34.0</v>
      </c>
      <c r="G61" s="19">
        <v>45.0</v>
      </c>
      <c r="H61" s="19">
        <v>35.0</v>
      </c>
      <c r="I61" s="19">
        <v>26.0</v>
      </c>
      <c r="J61" s="19">
        <v>17.0</v>
      </c>
      <c r="K61" s="19">
        <v>59.0</v>
      </c>
      <c r="L61" s="19">
        <v>54.0</v>
      </c>
      <c r="M61" s="19">
        <v>38.0</v>
      </c>
      <c r="N61" s="19">
        <v>28.0</v>
      </c>
      <c r="O61" s="19">
        <v>35.0</v>
      </c>
      <c r="P61" s="19">
        <v>33.0</v>
      </c>
      <c r="Q61" s="19">
        <v>35.0</v>
      </c>
      <c r="R61" s="19">
        <v>24.0</v>
      </c>
      <c r="S61" s="19">
        <v>51.0</v>
      </c>
      <c r="T61" s="19">
        <v>45.0</v>
      </c>
      <c r="U61" s="19">
        <v>29.0</v>
      </c>
      <c r="V61" s="19">
        <v>38.0</v>
      </c>
      <c r="W61" s="19">
        <v>32.0</v>
      </c>
      <c r="X61" s="19">
        <v>32.0</v>
      </c>
      <c r="Y61" s="19">
        <v>48.0</v>
      </c>
      <c r="Z61" s="19">
        <v>32.0</v>
      </c>
      <c r="AA61" s="19">
        <v>37.0</v>
      </c>
      <c r="AB61" s="19">
        <v>32.0</v>
      </c>
      <c r="AC61" s="19">
        <v>20.0</v>
      </c>
      <c r="AD61" s="19">
        <v>51.0</v>
      </c>
      <c r="AE61" s="13">
        <f t="shared" si="16"/>
        <v>960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D62" si="17">SUM(E60:E61)</f>
        <v>192</v>
      </c>
      <c r="F62" s="13">
        <f t="shared" si="17"/>
        <v>193</v>
      </c>
      <c r="G62" s="13">
        <f t="shared" si="17"/>
        <v>197</v>
      </c>
      <c r="H62" s="13">
        <f t="shared" si="17"/>
        <v>215</v>
      </c>
      <c r="I62" s="13">
        <f t="shared" si="17"/>
        <v>163</v>
      </c>
      <c r="J62" s="13">
        <f t="shared" si="17"/>
        <v>147</v>
      </c>
      <c r="K62" s="13">
        <f t="shared" si="17"/>
        <v>241</v>
      </c>
      <c r="L62" s="13">
        <f t="shared" si="17"/>
        <v>214</v>
      </c>
      <c r="M62" s="13">
        <f t="shared" si="17"/>
        <v>193</v>
      </c>
      <c r="N62" s="13">
        <f t="shared" si="17"/>
        <v>228</v>
      </c>
      <c r="O62" s="13">
        <f t="shared" si="17"/>
        <v>208</v>
      </c>
      <c r="P62" s="13">
        <f t="shared" si="17"/>
        <v>180</v>
      </c>
      <c r="Q62" s="13">
        <f t="shared" si="17"/>
        <v>197</v>
      </c>
      <c r="R62" s="13">
        <f t="shared" si="17"/>
        <v>222</v>
      </c>
      <c r="S62" s="13">
        <f t="shared" si="17"/>
        <v>236</v>
      </c>
      <c r="T62" s="13">
        <f t="shared" si="17"/>
        <v>178</v>
      </c>
      <c r="U62" s="13">
        <f t="shared" si="17"/>
        <v>185</v>
      </c>
      <c r="V62" s="13">
        <f t="shared" si="17"/>
        <v>196</v>
      </c>
      <c r="W62" s="13">
        <f t="shared" si="17"/>
        <v>150</v>
      </c>
      <c r="X62" s="13">
        <f t="shared" si="17"/>
        <v>235</v>
      </c>
      <c r="Y62" s="13">
        <f t="shared" si="17"/>
        <v>215</v>
      </c>
      <c r="Z62" s="13">
        <f t="shared" si="17"/>
        <v>193</v>
      </c>
      <c r="AA62" s="13">
        <f t="shared" si="17"/>
        <v>176</v>
      </c>
      <c r="AB62" s="13">
        <f t="shared" si="17"/>
        <v>207</v>
      </c>
      <c r="AC62" s="13">
        <f t="shared" si="17"/>
        <v>191</v>
      </c>
      <c r="AD62" s="13">
        <f t="shared" si="17"/>
        <v>226</v>
      </c>
      <c r="AE62" s="13">
        <f t="shared" si="16"/>
        <v>5178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AD15 E45:AD57">
    <cfRule type="containsBlanks" dxfId="1" priority="2">
      <formula>LEN(TRIM(E14))=0</formula>
    </cfRule>
  </conditionalFormatting>
  <conditionalFormatting sqref="E19:AD20">
    <cfRule type="containsBlanks" dxfId="1" priority="3">
      <formula>LEN(TRIM(E19))=0</formula>
    </cfRule>
  </conditionalFormatting>
  <conditionalFormatting sqref="E22:AD23 E25:AD26 E33:AD33 E35:AD35 E39:AD40">
    <cfRule type="containsBlanks" dxfId="1" priority="4">
      <formula>LEN(TRIM(E22))=0</formula>
    </cfRule>
  </conditionalFormatting>
  <conditionalFormatting sqref="E30:AD30">
    <cfRule type="expression" dxfId="0" priority="5">
      <formula>E30&lt;&gt;E46</formula>
    </cfRule>
  </conditionalFormatting>
  <conditionalFormatting sqref="E30:AD30">
    <cfRule type="expression" dxfId="0" priority="6">
      <formula>E30&lt;&gt;E34</formula>
    </cfRule>
  </conditionalFormatting>
  <conditionalFormatting sqref="E34:AD34">
    <cfRule type="expression" dxfId="2" priority="7">
      <formula>E30&lt;&gt;E34</formula>
    </cfRule>
  </conditionalFormatting>
  <conditionalFormatting sqref="E34:AD34">
    <cfRule type="expression" dxfId="3" priority="8">
      <formula>E30=E34</formula>
    </cfRule>
  </conditionalFormatting>
  <conditionalFormatting sqref="E34:AD34">
    <cfRule type="expression" dxfId="0" priority="9">
      <formula>E34&lt;&gt;E30</formula>
    </cfRule>
  </conditionalFormatting>
  <conditionalFormatting sqref="E60:AD61">
    <cfRule type="containsBlanks" dxfId="1" priority="10">
      <formula>LEN(TRIM(E60))=0</formula>
    </cfRule>
  </conditionalFormatting>
  <conditionalFormatting sqref="U34:AD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132.0</v>
      </c>
      <c r="G14" s="19">
        <v>110.0</v>
      </c>
      <c r="H14" s="19">
        <v>144.0</v>
      </c>
      <c r="I14" s="19">
        <v>130.0</v>
      </c>
      <c r="J14" s="19">
        <v>133.0</v>
      </c>
      <c r="K14" s="19">
        <v>127.0</v>
      </c>
      <c r="L14" s="19">
        <v>113.0</v>
      </c>
      <c r="M14" s="19">
        <v>126.0</v>
      </c>
      <c r="N14" s="19">
        <v>124.0</v>
      </c>
      <c r="O14" s="19">
        <v>120.0</v>
      </c>
      <c r="P14" s="19">
        <v>113.0</v>
      </c>
      <c r="Q14" s="19">
        <v>106.0</v>
      </c>
      <c r="R14" s="19">
        <v>106.0</v>
      </c>
      <c r="S14" s="19">
        <v>96.0</v>
      </c>
      <c r="T14" s="19">
        <v>130.0</v>
      </c>
      <c r="U14" s="19">
        <v>123.0</v>
      </c>
      <c r="V14" s="19">
        <v>98.0</v>
      </c>
      <c r="W14" s="19">
        <v>102.0</v>
      </c>
      <c r="X14" s="13">
        <f t="shared" ref="X14:X16" si="1">SUM(E14:W14)</f>
        <v>2271</v>
      </c>
    </row>
    <row r="15" ht="12.75" customHeight="1">
      <c r="A15" s="18"/>
      <c r="B15" s="26"/>
      <c r="C15" s="27"/>
      <c r="D15" s="19" t="s">
        <v>13</v>
      </c>
      <c r="E15" s="19">
        <v>150.0</v>
      </c>
      <c r="F15" s="19">
        <v>151.0</v>
      </c>
      <c r="G15" s="19">
        <v>134.0</v>
      </c>
      <c r="H15" s="19">
        <v>128.0</v>
      </c>
      <c r="I15" s="19">
        <v>136.0</v>
      </c>
      <c r="J15" s="19">
        <v>124.0</v>
      </c>
      <c r="K15" s="19">
        <v>130.0</v>
      </c>
      <c r="L15" s="19">
        <v>131.0</v>
      </c>
      <c r="M15" s="19">
        <v>137.0</v>
      </c>
      <c r="N15" s="19">
        <v>139.0</v>
      </c>
      <c r="O15" s="19">
        <v>141.0</v>
      </c>
      <c r="P15" s="19">
        <v>112.0</v>
      </c>
      <c r="Q15" s="19">
        <v>119.0</v>
      </c>
      <c r="R15" s="19">
        <v>110.0</v>
      </c>
      <c r="S15" s="19">
        <v>105.0</v>
      </c>
      <c r="T15" s="19">
        <v>134.0</v>
      </c>
      <c r="U15" s="19">
        <v>125.0</v>
      </c>
      <c r="V15" s="19">
        <v>102.0</v>
      </c>
      <c r="W15" s="19">
        <v>91.0</v>
      </c>
      <c r="X15" s="13">
        <f t="shared" si="1"/>
        <v>2399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288</v>
      </c>
      <c r="F16" s="13">
        <f t="shared" si="2"/>
        <v>283</v>
      </c>
      <c r="G16" s="13">
        <f t="shared" si="2"/>
        <v>244</v>
      </c>
      <c r="H16" s="13">
        <f t="shared" si="2"/>
        <v>272</v>
      </c>
      <c r="I16" s="13">
        <f t="shared" si="2"/>
        <v>266</v>
      </c>
      <c r="J16" s="13">
        <f t="shared" si="2"/>
        <v>257</v>
      </c>
      <c r="K16" s="13">
        <f t="shared" si="2"/>
        <v>257</v>
      </c>
      <c r="L16" s="13">
        <f t="shared" si="2"/>
        <v>244</v>
      </c>
      <c r="M16" s="13">
        <f t="shared" si="2"/>
        <v>263</v>
      </c>
      <c r="N16" s="13">
        <f t="shared" si="2"/>
        <v>263</v>
      </c>
      <c r="O16" s="13">
        <f t="shared" si="2"/>
        <v>261</v>
      </c>
      <c r="P16" s="13">
        <f t="shared" si="2"/>
        <v>225</v>
      </c>
      <c r="Q16" s="13">
        <f t="shared" si="2"/>
        <v>225</v>
      </c>
      <c r="R16" s="13">
        <f t="shared" si="2"/>
        <v>216</v>
      </c>
      <c r="S16" s="13">
        <f t="shared" si="2"/>
        <v>201</v>
      </c>
      <c r="T16" s="13">
        <f t="shared" si="2"/>
        <v>264</v>
      </c>
      <c r="U16" s="13">
        <f t="shared" si="2"/>
        <v>248</v>
      </c>
      <c r="V16" s="13">
        <f t="shared" si="2"/>
        <v>200</v>
      </c>
      <c r="W16" s="13">
        <f t="shared" si="2"/>
        <v>193</v>
      </c>
      <c r="X16" s="13">
        <f t="shared" si="1"/>
        <v>4670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100.0</v>
      </c>
      <c r="G19" s="19">
        <v>86.0</v>
      </c>
      <c r="H19" s="19">
        <v>100.0</v>
      </c>
      <c r="I19" s="19">
        <v>92.0</v>
      </c>
      <c r="J19" s="19">
        <v>97.0</v>
      </c>
      <c r="K19" s="19">
        <v>95.0</v>
      </c>
      <c r="L19" s="19">
        <v>81.0</v>
      </c>
      <c r="M19" s="19">
        <v>84.0</v>
      </c>
      <c r="N19" s="19">
        <v>93.0</v>
      </c>
      <c r="O19" s="19">
        <v>89.0</v>
      </c>
      <c r="P19" s="19">
        <v>73.0</v>
      </c>
      <c r="Q19" s="19">
        <v>68.0</v>
      </c>
      <c r="R19" s="19">
        <v>75.0</v>
      </c>
      <c r="S19" s="19">
        <v>68.0</v>
      </c>
      <c r="T19" s="19">
        <v>103.0</v>
      </c>
      <c r="U19" s="19">
        <v>87.0</v>
      </c>
      <c r="V19" s="19">
        <v>81.0</v>
      </c>
      <c r="W19" s="19">
        <v>76.0</v>
      </c>
      <c r="X19" s="13">
        <f t="shared" ref="X19:X30" si="3">SUM(E19:W19)</f>
        <v>1646</v>
      </c>
    </row>
    <row r="20" ht="12.75" customHeight="1">
      <c r="A20" s="33"/>
      <c r="B20" s="27"/>
      <c r="C20" s="34"/>
      <c r="D20" s="19" t="s">
        <v>13</v>
      </c>
      <c r="E20" s="19">
        <v>128.0</v>
      </c>
      <c r="F20" s="19">
        <v>126.0</v>
      </c>
      <c r="G20" s="19">
        <v>114.0</v>
      </c>
      <c r="H20" s="19">
        <v>110.0</v>
      </c>
      <c r="I20" s="19">
        <v>102.0</v>
      </c>
      <c r="J20" s="19">
        <v>99.0</v>
      </c>
      <c r="K20" s="19">
        <v>112.0</v>
      </c>
      <c r="L20" s="19">
        <v>97.0</v>
      </c>
      <c r="M20" s="19">
        <v>113.0</v>
      </c>
      <c r="N20" s="19">
        <v>116.0</v>
      </c>
      <c r="O20" s="19">
        <v>110.0</v>
      </c>
      <c r="P20" s="19">
        <v>86.0</v>
      </c>
      <c r="Q20" s="19">
        <v>92.0</v>
      </c>
      <c r="R20" s="19">
        <v>86.0</v>
      </c>
      <c r="S20" s="19">
        <v>83.0</v>
      </c>
      <c r="T20" s="19">
        <v>101.0</v>
      </c>
      <c r="U20" s="19">
        <v>96.0</v>
      </c>
      <c r="V20" s="19">
        <v>94.0</v>
      </c>
      <c r="W20" s="19">
        <v>77.0</v>
      </c>
      <c r="X20" s="13">
        <f t="shared" si="3"/>
        <v>1942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226</v>
      </c>
      <c r="F21" s="13">
        <f t="shared" si="4"/>
        <v>226</v>
      </c>
      <c r="G21" s="13">
        <f t="shared" si="4"/>
        <v>200</v>
      </c>
      <c r="H21" s="13">
        <f t="shared" si="4"/>
        <v>210</v>
      </c>
      <c r="I21" s="13">
        <f t="shared" si="4"/>
        <v>194</v>
      </c>
      <c r="J21" s="13">
        <f t="shared" si="4"/>
        <v>196</v>
      </c>
      <c r="K21" s="13">
        <f t="shared" si="4"/>
        <v>207</v>
      </c>
      <c r="L21" s="13">
        <f t="shared" si="4"/>
        <v>178</v>
      </c>
      <c r="M21" s="13">
        <f t="shared" si="4"/>
        <v>197</v>
      </c>
      <c r="N21" s="13">
        <f t="shared" si="4"/>
        <v>209</v>
      </c>
      <c r="O21" s="13">
        <f t="shared" si="4"/>
        <v>199</v>
      </c>
      <c r="P21" s="13">
        <f t="shared" si="4"/>
        <v>159</v>
      </c>
      <c r="Q21" s="13">
        <f t="shared" si="4"/>
        <v>160</v>
      </c>
      <c r="R21" s="13">
        <f t="shared" si="4"/>
        <v>161</v>
      </c>
      <c r="S21" s="13">
        <f t="shared" si="4"/>
        <v>151</v>
      </c>
      <c r="T21" s="13">
        <f t="shared" si="4"/>
        <v>204</v>
      </c>
      <c r="U21" s="13">
        <f t="shared" si="4"/>
        <v>183</v>
      </c>
      <c r="V21" s="13">
        <f t="shared" si="4"/>
        <v>175</v>
      </c>
      <c r="W21" s="13">
        <f t="shared" si="4"/>
        <v>153</v>
      </c>
      <c r="X21" s="13">
        <f t="shared" si="3"/>
        <v>3588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2.0</v>
      </c>
      <c r="U23" s="19">
        <v>0.0</v>
      </c>
      <c r="V23" s="19">
        <v>0.0</v>
      </c>
      <c r="W23" s="19">
        <v>1.0</v>
      </c>
      <c r="X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0.0</v>
      </c>
      <c r="N25" s="19">
        <v>1.0</v>
      </c>
      <c r="O25" s="19">
        <v>2.0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2.0</v>
      </c>
      <c r="V25" s="19">
        <v>4.0</v>
      </c>
      <c r="W25" s="19">
        <v>2.0</v>
      </c>
      <c r="X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3.0</v>
      </c>
      <c r="H26" s="19">
        <v>0.0</v>
      </c>
      <c r="I26" s="19">
        <v>0.0</v>
      </c>
      <c r="J26" s="19">
        <v>4.0</v>
      </c>
      <c r="K26" s="19">
        <v>1.0</v>
      </c>
      <c r="L26" s="19">
        <v>2.0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3.0</v>
      </c>
      <c r="V26" s="19">
        <v>2.0</v>
      </c>
      <c r="W26" s="19">
        <v>4.0</v>
      </c>
      <c r="X26" s="13">
        <f t="shared" si="3"/>
        <v>21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0</v>
      </c>
      <c r="J27" s="13">
        <f t="shared" si="6"/>
        <v>5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5</v>
      </c>
      <c r="V27" s="13">
        <f t="shared" si="6"/>
        <v>6</v>
      </c>
      <c r="W27" s="13">
        <f t="shared" si="6"/>
        <v>6</v>
      </c>
      <c r="X27" s="13">
        <f t="shared" si="3"/>
        <v>37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98</v>
      </c>
      <c r="F28" s="13">
        <f t="shared" si="7"/>
        <v>100</v>
      </c>
      <c r="G28" s="13">
        <f t="shared" si="7"/>
        <v>88</v>
      </c>
      <c r="H28" s="13">
        <f t="shared" si="7"/>
        <v>100</v>
      </c>
      <c r="I28" s="13">
        <f t="shared" si="7"/>
        <v>92</v>
      </c>
      <c r="J28" s="13">
        <f t="shared" si="7"/>
        <v>99</v>
      </c>
      <c r="K28" s="13">
        <f t="shared" si="7"/>
        <v>95</v>
      </c>
      <c r="L28" s="13">
        <f t="shared" si="7"/>
        <v>82</v>
      </c>
      <c r="M28" s="13">
        <f t="shared" si="7"/>
        <v>84</v>
      </c>
      <c r="N28" s="13">
        <f t="shared" si="7"/>
        <v>96</v>
      </c>
      <c r="O28" s="13">
        <f t="shared" si="7"/>
        <v>91</v>
      </c>
      <c r="P28" s="13">
        <f t="shared" si="7"/>
        <v>74</v>
      </c>
      <c r="Q28" s="13">
        <f t="shared" si="7"/>
        <v>68</v>
      </c>
      <c r="R28" s="13">
        <f t="shared" si="7"/>
        <v>75</v>
      </c>
      <c r="S28" s="13">
        <f t="shared" si="7"/>
        <v>68</v>
      </c>
      <c r="T28" s="13">
        <f t="shared" si="7"/>
        <v>104</v>
      </c>
      <c r="U28" s="13">
        <f t="shared" si="7"/>
        <v>89</v>
      </c>
      <c r="V28" s="13">
        <f t="shared" si="7"/>
        <v>85</v>
      </c>
      <c r="W28" s="13">
        <f t="shared" si="7"/>
        <v>79</v>
      </c>
      <c r="X28" s="13">
        <f t="shared" si="3"/>
        <v>1667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129</v>
      </c>
      <c r="F29" s="13">
        <f t="shared" si="8"/>
        <v>127</v>
      </c>
      <c r="G29" s="13">
        <f t="shared" si="8"/>
        <v>117</v>
      </c>
      <c r="H29" s="13">
        <f t="shared" si="8"/>
        <v>110</v>
      </c>
      <c r="I29" s="13">
        <f t="shared" si="8"/>
        <v>102</v>
      </c>
      <c r="J29" s="13">
        <f t="shared" si="8"/>
        <v>103</v>
      </c>
      <c r="K29" s="13">
        <f t="shared" si="8"/>
        <v>113</v>
      </c>
      <c r="L29" s="13">
        <f t="shared" si="8"/>
        <v>99</v>
      </c>
      <c r="M29" s="13">
        <f t="shared" si="8"/>
        <v>113</v>
      </c>
      <c r="N29" s="13">
        <f t="shared" si="8"/>
        <v>117</v>
      </c>
      <c r="O29" s="13">
        <f t="shared" si="8"/>
        <v>111</v>
      </c>
      <c r="P29" s="13">
        <f t="shared" si="8"/>
        <v>86</v>
      </c>
      <c r="Q29" s="13">
        <f t="shared" si="8"/>
        <v>92</v>
      </c>
      <c r="R29" s="13">
        <f t="shared" si="8"/>
        <v>86</v>
      </c>
      <c r="S29" s="13">
        <f t="shared" si="8"/>
        <v>83</v>
      </c>
      <c r="T29" s="13">
        <f t="shared" si="8"/>
        <v>103</v>
      </c>
      <c r="U29" s="13">
        <f t="shared" si="8"/>
        <v>99</v>
      </c>
      <c r="V29" s="13">
        <f t="shared" si="8"/>
        <v>96</v>
      </c>
      <c r="W29" s="13">
        <f t="shared" si="8"/>
        <v>82</v>
      </c>
      <c r="X29" s="13">
        <f t="shared" si="3"/>
        <v>1968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227</v>
      </c>
      <c r="F30" s="13">
        <f t="shared" si="9"/>
        <v>227</v>
      </c>
      <c r="G30" s="13">
        <f t="shared" si="9"/>
        <v>205</v>
      </c>
      <c r="H30" s="13">
        <f t="shared" si="9"/>
        <v>210</v>
      </c>
      <c r="I30" s="13">
        <f t="shared" si="9"/>
        <v>194</v>
      </c>
      <c r="J30" s="13">
        <f t="shared" si="9"/>
        <v>202</v>
      </c>
      <c r="K30" s="13">
        <f t="shared" si="9"/>
        <v>208</v>
      </c>
      <c r="L30" s="13">
        <f t="shared" si="9"/>
        <v>181</v>
      </c>
      <c r="M30" s="13">
        <f t="shared" si="9"/>
        <v>197</v>
      </c>
      <c r="N30" s="13">
        <f t="shared" si="9"/>
        <v>213</v>
      </c>
      <c r="O30" s="13">
        <f t="shared" si="9"/>
        <v>202</v>
      </c>
      <c r="P30" s="13">
        <f t="shared" si="9"/>
        <v>160</v>
      </c>
      <c r="Q30" s="13">
        <f t="shared" si="9"/>
        <v>160</v>
      </c>
      <c r="R30" s="13">
        <f t="shared" si="9"/>
        <v>161</v>
      </c>
      <c r="S30" s="13">
        <f t="shared" si="9"/>
        <v>151</v>
      </c>
      <c r="T30" s="13">
        <f t="shared" si="9"/>
        <v>207</v>
      </c>
      <c r="U30" s="13">
        <f t="shared" si="9"/>
        <v>188</v>
      </c>
      <c r="V30" s="13">
        <f t="shared" si="9"/>
        <v>181</v>
      </c>
      <c r="W30" s="13">
        <f t="shared" si="9"/>
        <v>161</v>
      </c>
      <c r="X30" s="13">
        <f t="shared" si="3"/>
        <v>3635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59"/>
    </row>
    <row r="33" ht="12.75" customHeight="1">
      <c r="A33" s="19">
        <v>1.0</v>
      </c>
      <c r="B33" s="20" t="s">
        <v>85</v>
      </c>
      <c r="C33" s="15"/>
      <c r="D33" s="16"/>
      <c r="E33" s="19">
        <v>294.0</v>
      </c>
      <c r="F33" s="19">
        <v>289.0</v>
      </c>
      <c r="G33" s="19">
        <v>249.0</v>
      </c>
      <c r="H33" s="19">
        <v>279.0</v>
      </c>
      <c r="I33" s="19">
        <v>272.0</v>
      </c>
      <c r="J33" s="19">
        <v>263.0</v>
      </c>
      <c r="K33" s="19">
        <v>263.0</v>
      </c>
      <c r="L33" s="19">
        <v>249.0</v>
      </c>
      <c r="M33" s="19">
        <v>269.0</v>
      </c>
      <c r="N33" s="19">
        <v>269.0</v>
      </c>
      <c r="O33" s="19">
        <v>267.0</v>
      </c>
      <c r="P33" s="19">
        <v>230.0</v>
      </c>
      <c r="Q33" s="19">
        <v>229.0</v>
      </c>
      <c r="R33" s="19">
        <v>221.0</v>
      </c>
      <c r="S33" s="19">
        <v>206.0</v>
      </c>
      <c r="T33" s="19">
        <v>270.0</v>
      </c>
      <c r="U33" s="19">
        <v>253.0</v>
      </c>
      <c r="V33" s="19">
        <v>204.0</v>
      </c>
      <c r="W33" s="19">
        <v>197.0</v>
      </c>
      <c r="X33" s="13">
        <f t="shared" ref="X33:X36" si="10">SUM(E33:W33)</f>
        <v>4773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227.0</v>
      </c>
      <c r="G34" s="13">
        <v>205.0</v>
      </c>
      <c r="H34" s="13">
        <v>210.0</v>
      </c>
      <c r="I34" s="13">
        <v>194.0</v>
      </c>
      <c r="J34" s="13">
        <v>202.0</v>
      </c>
      <c r="K34" s="13">
        <v>208.0</v>
      </c>
      <c r="L34" s="13">
        <v>181.0</v>
      </c>
      <c r="M34" s="13">
        <v>197.0</v>
      </c>
      <c r="N34" s="13">
        <v>213.0</v>
      </c>
      <c r="O34" s="13">
        <v>202.0</v>
      </c>
      <c r="P34" s="13">
        <v>160.0</v>
      </c>
      <c r="Q34" s="13">
        <v>160.0</v>
      </c>
      <c r="R34" s="13">
        <v>161.0</v>
      </c>
      <c r="S34" s="13">
        <v>151.0</v>
      </c>
      <c r="T34" s="13">
        <v>207.0</v>
      </c>
      <c r="U34" s="13">
        <v>188.0</v>
      </c>
      <c r="V34" s="13">
        <v>181.0</v>
      </c>
      <c r="W34" s="13">
        <v>161.0</v>
      </c>
      <c r="X34" s="13">
        <f t="shared" si="10"/>
        <v>3635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67</v>
      </c>
      <c r="F36" s="13">
        <f t="shared" si="11"/>
        <v>62</v>
      </c>
      <c r="G36" s="13">
        <f t="shared" si="11"/>
        <v>44</v>
      </c>
      <c r="H36" s="13">
        <f t="shared" si="11"/>
        <v>69</v>
      </c>
      <c r="I36" s="13">
        <f t="shared" si="11"/>
        <v>76</v>
      </c>
      <c r="J36" s="13">
        <f t="shared" si="11"/>
        <v>61</v>
      </c>
      <c r="K36" s="13">
        <f t="shared" si="11"/>
        <v>55</v>
      </c>
      <c r="L36" s="13">
        <f t="shared" si="11"/>
        <v>67</v>
      </c>
      <c r="M36" s="13">
        <f t="shared" si="11"/>
        <v>72</v>
      </c>
      <c r="N36" s="13">
        <f t="shared" si="11"/>
        <v>56</v>
      </c>
      <c r="O36" s="13">
        <f t="shared" si="11"/>
        <v>65</v>
      </c>
      <c r="P36" s="13">
        <f t="shared" si="11"/>
        <v>70</v>
      </c>
      <c r="Q36" s="13">
        <f t="shared" si="11"/>
        <v>69</v>
      </c>
      <c r="R36" s="13">
        <f t="shared" si="11"/>
        <v>60</v>
      </c>
      <c r="S36" s="13">
        <f t="shared" si="11"/>
        <v>55</v>
      </c>
      <c r="T36" s="13">
        <f t="shared" si="11"/>
        <v>63</v>
      </c>
      <c r="U36" s="13">
        <f t="shared" si="11"/>
        <v>65</v>
      </c>
      <c r="V36" s="13">
        <f t="shared" si="11"/>
        <v>23</v>
      </c>
      <c r="W36" s="13">
        <f t="shared" si="11"/>
        <v>36</v>
      </c>
      <c r="X36" s="13">
        <f t="shared" si="10"/>
        <v>1135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>
        <v>2.0</v>
      </c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>
        <v>3.0</v>
      </c>
      <c r="W39" s="19"/>
      <c r="X39" s="13">
        <f t="shared" ref="X39:X41" si="12">SUM(E39:W39)</f>
        <v>6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1.0</v>
      </c>
      <c r="L40" s="19"/>
      <c r="M40" s="19"/>
      <c r="N40" s="19"/>
      <c r="O40" s="19"/>
      <c r="P40" s="19"/>
      <c r="Q40" s="19"/>
      <c r="R40" s="19">
        <v>1.0</v>
      </c>
      <c r="S40" s="19"/>
      <c r="T40" s="19"/>
      <c r="U40" s="19"/>
      <c r="V40" s="19">
        <v>3.0</v>
      </c>
      <c r="W40" s="19"/>
      <c r="X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3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6</v>
      </c>
      <c r="W41" s="13">
        <f t="shared" si="13"/>
        <v>0</v>
      </c>
      <c r="X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13"/>
    </row>
    <row r="45" ht="12.75" customHeight="1">
      <c r="A45" s="30"/>
      <c r="B45" s="47" t="s">
        <v>17</v>
      </c>
      <c r="C45" s="62" t="s">
        <v>38</v>
      </c>
      <c r="D45" s="16"/>
      <c r="E45" s="19">
        <v>11.0</v>
      </c>
      <c r="F45" s="19">
        <v>4.0</v>
      </c>
      <c r="G45" s="19">
        <v>12.0</v>
      </c>
      <c r="H45" s="19">
        <v>7.0</v>
      </c>
      <c r="I45" s="19">
        <v>13.0</v>
      </c>
      <c r="J45" s="19">
        <v>15.0</v>
      </c>
      <c r="K45" s="19">
        <v>12.0</v>
      </c>
      <c r="L45" s="19">
        <v>12.0</v>
      </c>
      <c r="M45" s="19">
        <v>6.0</v>
      </c>
      <c r="N45" s="19">
        <v>11.0</v>
      </c>
      <c r="O45" s="19">
        <v>5.0</v>
      </c>
      <c r="P45" s="19">
        <v>7.0</v>
      </c>
      <c r="Q45" s="19">
        <v>6.0</v>
      </c>
      <c r="R45" s="19">
        <v>8.0</v>
      </c>
      <c r="S45" s="19">
        <v>7.0</v>
      </c>
      <c r="T45" s="19">
        <v>13.0</v>
      </c>
      <c r="U45" s="19">
        <v>3.0</v>
      </c>
      <c r="V45" s="19">
        <v>9.0</v>
      </c>
      <c r="W45" s="19">
        <v>3.0</v>
      </c>
      <c r="X45" s="13">
        <f t="shared" ref="X45:X57" si="14">SUM(E45:W45)</f>
        <v>164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25.0</v>
      </c>
      <c r="F46" s="19">
        <v>34.0</v>
      </c>
      <c r="G46" s="19">
        <v>23.0</v>
      </c>
      <c r="H46" s="19">
        <v>29.0</v>
      </c>
      <c r="I46" s="19">
        <v>33.0</v>
      </c>
      <c r="J46" s="19">
        <v>15.0</v>
      </c>
      <c r="K46" s="19">
        <v>18.0</v>
      </c>
      <c r="L46" s="19">
        <v>28.0</v>
      </c>
      <c r="M46" s="19">
        <v>26.0</v>
      </c>
      <c r="N46" s="19">
        <v>28.0</v>
      </c>
      <c r="O46" s="19">
        <v>31.0</v>
      </c>
      <c r="P46" s="19">
        <v>25.0</v>
      </c>
      <c r="Q46" s="19">
        <v>21.0</v>
      </c>
      <c r="R46" s="19">
        <v>17.0</v>
      </c>
      <c r="S46" s="19">
        <v>11.0</v>
      </c>
      <c r="T46" s="19">
        <v>25.0</v>
      </c>
      <c r="U46" s="19">
        <v>25.0</v>
      </c>
      <c r="V46" s="19">
        <v>37.0</v>
      </c>
      <c r="W46" s="19">
        <v>33.0</v>
      </c>
      <c r="X46" s="13">
        <f t="shared" si="14"/>
        <v>484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30.0</v>
      </c>
      <c r="F47" s="19">
        <v>27.0</v>
      </c>
      <c r="G47" s="19">
        <v>9.0</v>
      </c>
      <c r="H47" s="19">
        <v>23.0</v>
      </c>
      <c r="I47" s="19">
        <v>8.0</v>
      </c>
      <c r="J47" s="19">
        <v>13.0</v>
      </c>
      <c r="K47" s="19">
        <v>21.0</v>
      </c>
      <c r="L47" s="19">
        <v>12.0</v>
      </c>
      <c r="M47" s="19">
        <v>16.0</v>
      </c>
      <c r="N47" s="19">
        <v>7.0</v>
      </c>
      <c r="O47" s="19">
        <v>11.0</v>
      </c>
      <c r="P47" s="19">
        <v>10.0</v>
      </c>
      <c r="Q47" s="19">
        <v>8.0</v>
      </c>
      <c r="R47" s="19">
        <v>12.0</v>
      </c>
      <c r="S47" s="19">
        <v>10.0</v>
      </c>
      <c r="T47" s="19">
        <v>10.0</v>
      </c>
      <c r="U47" s="19">
        <v>7.0</v>
      </c>
      <c r="V47" s="19">
        <v>14.0</v>
      </c>
      <c r="W47" s="19">
        <v>6.0</v>
      </c>
      <c r="X47" s="13">
        <f t="shared" si="14"/>
        <v>254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26.0</v>
      </c>
      <c r="F48" s="19">
        <v>14.0</v>
      </c>
      <c r="G48" s="19">
        <v>16.0</v>
      </c>
      <c r="H48" s="19">
        <v>19.0</v>
      </c>
      <c r="I48" s="19">
        <v>13.0</v>
      </c>
      <c r="J48" s="19">
        <v>15.0</v>
      </c>
      <c r="K48" s="19">
        <v>19.0</v>
      </c>
      <c r="L48" s="19">
        <v>18.0</v>
      </c>
      <c r="M48" s="19">
        <v>23.0</v>
      </c>
      <c r="N48" s="19">
        <v>18.0</v>
      </c>
      <c r="O48" s="19">
        <v>21.0</v>
      </c>
      <c r="P48" s="19">
        <v>13.0</v>
      </c>
      <c r="Q48" s="19">
        <v>12.0</v>
      </c>
      <c r="R48" s="19">
        <v>12.0</v>
      </c>
      <c r="S48" s="19">
        <v>13.0</v>
      </c>
      <c r="T48" s="19">
        <v>22.0</v>
      </c>
      <c r="U48" s="19">
        <v>20.0</v>
      </c>
      <c r="V48" s="19">
        <v>12.0</v>
      </c>
      <c r="W48" s="19">
        <v>11.0</v>
      </c>
      <c r="X48" s="13">
        <f t="shared" si="14"/>
        <v>317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24.0</v>
      </c>
      <c r="F49" s="19">
        <v>24.0</v>
      </c>
      <c r="G49" s="19">
        <v>25.0</v>
      </c>
      <c r="H49" s="19">
        <v>18.0</v>
      </c>
      <c r="I49" s="19">
        <v>24.0</v>
      </c>
      <c r="J49" s="19">
        <v>14.0</v>
      </c>
      <c r="K49" s="19">
        <v>21.0</v>
      </c>
      <c r="L49" s="19">
        <v>21.0</v>
      </c>
      <c r="M49" s="19">
        <v>18.0</v>
      </c>
      <c r="N49" s="19">
        <v>30.0</v>
      </c>
      <c r="O49" s="19">
        <v>28.0</v>
      </c>
      <c r="P49" s="19">
        <v>11.0</v>
      </c>
      <c r="Q49" s="19">
        <v>23.0</v>
      </c>
      <c r="R49" s="19">
        <v>22.0</v>
      </c>
      <c r="S49" s="19">
        <v>18.0</v>
      </c>
      <c r="T49" s="19">
        <v>18.0</v>
      </c>
      <c r="U49" s="19">
        <v>36.0</v>
      </c>
      <c r="V49" s="19">
        <v>13.0</v>
      </c>
      <c r="W49" s="19">
        <v>12.0</v>
      </c>
      <c r="X49" s="13">
        <f t="shared" si="14"/>
        <v>400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11.0</v>
      </c>
      <c r="F50" s="19">
        <v>7.0</v>
      </c>
      <c r="G50" s="19">
        <v>14.0</v>
      </c>
      <c r="H50" s="19">
        <v>16.0</v>
      </c>
      <c r="I50" s="19">
        <v>15.0</v>
      </c>
      <c r="J50" s="19">
        <v>23.0</v>
      </c>
      <c r="K50" s="19">
        <v>13.0</v>
      </c>
      <c r="L50" s="19">
        <v>8.0</v>
      </c>
      <c r="M50" s="19">
        <v>20.0</v>
      </c>
      <c r="N50" s="19">
        <v>10.0</v>
      </c>
      <c r="O50" s="19">
        <v>10.0</v>
      </c>
      <c r="P50" s="19">
        <v>4.0</v>
      </c>
      <c r="Q50" s="19">
        <v>11.0</v>
      </c>
      <c r="R50" s="19">
        <v>12.0</v>
      </c>
      <c r="S50" s="19">
        <v>23.0</v>
      </c>
      <c r="T50" s="19">
        <v>8.0</v>
      </c>
      <c r="U50" s="19">
        <v>8.0</v>
      </c>
      <c r="V50" s="19">
        <v>8.0</v>
      </c>
      <c r="W50" s="19">
        <v>15.0</v>
      </c>
      <c r="X50" s="13">
        <f t="shared" si="14"/>
        <v>236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0.0</v>
      </c>
      <c r="F51" s="19">
        <v>4.0</v>
      </c>
      <c r="G51" s="19">
        <v>3.0</v>
      </c>
      <c r="H51" s="19">
        <v>2.0</v>
      </c>
      <c r="I51" s="19">
        <v>2.0</v>
      </c>
      <c r="J51" s="19">
        <v>1.0</v>
      </c>
      <c r="K51" s="19">
        <v>1.0</v>
      </c>
      <c r="L51" s="19">
        <v>2.0</v>
      </c>
      <c r="M51" s="19">
        <v>0.0</v>
      </c>
      <c r="N51" s="19">
        <v>3.0</v>
      </c>
      <c r="O51" s="19">
        <v>6.0</v>
      </c>
      <c r="P51" s="19">
        <v>1.0</v>
      </c>
      <c r="Q51" s="19">
        <v>0.0</v>
      </c>
      <c r="R51" s="19">
        <v>1.0</v>
      </c>
      <c r="S51" s="19">
        <v>2.0</v>
      </c>
      <c r="T51" s="19">
        <v>2.0</v>
      </c>
      <c r="U51" s="19">
        <v>0.0</v>
      </c>
      <c r="V51" s="19">
        <v>2.0</v>
      </c>
      <c r="W51" s="19">
        <v>0.0</v>
      </c>
      <c r="X51" s="13">
        <f t="shared" si="14"/>
        <v>32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0.0</v>
      </c>
      <c r="F52" s="19">
        <v>2.0</v>
      </c>
      <c r="G52" s="19">
        <v>3.0</v>
      </c>
      <c r="H52" s="19">
        <v>4.0</v>
      </c>
      <c r="I52" s="19">
        <v>7.0</v>
      </c>
      <c r="J52" s="19">
        <v>4.0</v>
      </c>
      <c r="K52" s="19">
        <v>5.0</v>
      </c>
      <c r="L52" s="19">
        <v>1.0</v>
      </c>
      <c r="M52" s="19">
        <v>2.0</v>
      </c>
      <c r="N52" s="19">
        <v>3.0</v>
      </c>
      <c r="O52" s="19">
        <v>3.0</v>
      </c>
      <c r="P52" s="19">
        <v>5.0</v>
      </c>
      <c r="Q52" s="19">
        <v>6.0</v>
      </c>
      <c r="R52" s="19">
        <v>3.0</v>
      </c>
      <c r="S52" s="19">
        <v>3.0</v>
      </c>
      <c r="T52" s="19">
        <v>3.0</v>
      </c>
      <c r="U52" s="19">
        <v>6.0</v>
      </c>
      <c r="V52" s="19">
        <v>1.0</v>
      </c>
      <c r="W52" s="19">
        <v>1.0</v>
      </c>
      <c r="X52" s="13">
        <f t="shared" si="14"/>
        <v>62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1.0</v>
      </c>
      <c r="G53" s="19">
        <v>2.0</v>
      </c>
      <c r="H53" s="19">
        <v>2.0</v>
      </c>
      <c r="I53" s="19">
        <v>2.0</v>
      </c>
      <c r="J53" s="19">
        <v>2.0</v>
      </c>
      <c r="K53" s="19">
        <v>0.0</v>
      </c>
      <c r="L53" s="19">
        <v>0.0</v>
      </c>
      <c r="M53" s="19">
        <v>0.0</v>
      </c>
      <c r="N53" s="19">
        <v>1.0</v>
      </c>
      <c r="O53" s="19">
        <v>2.0</v>
      </c>
      <c r="P53" s="19">
        <v>1.0</v>
      </c>
      <c r="Q53" s="19">
        <v>0.0</v>
      </c>
      <c r="R53" s="19">
        <v>0.0</v>
      </c>
      <c r="S53" s="19">
        <v>0.0</v>
      </c>
      <c r="T53" s="19">
        <v>0.0</v>
      </c>
      <c r="U53" s="19">
        <v>1.0</v>
      </c>
      <c r="V53" s="19">
        <v>2.0</v>
      </c>
      <c r="W53" s="19">
        <v>1.0</v>
      </c>
      <c r="X53" s="13">
        <f t="shared" si="14"/>
        <v>17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34.0</v>
      </c>
      <c r="F54" s="19">
        <v>27.0</v>
      </c>
      <c r="G54" s="19">
        <v>30.0</v>
      </c>
      <c r="H54" s="19">
        <v>40.0</v>
      </c>
      <c r="I54" s="19">
        <v>23.0</v>
      </c>
      <c r="J54" s="19">
        <v>26.0</v>
      </c>
      <c r="K54" s="19">
        <v>29.0</v>
      </c>
      <c r="L54" s="19">
        <v>17.0</v>
      </c>
      <c r="M54" s="19">
        <v>16.0</v>
      </c>
      <c r="N54" s="19">
        <v>34.0</v>
      </c>
      <c r="O54" s="19">
        <v>23.0</v>
      </c>
      <c r="P54" s="19">
        <v>19.0</v>
      </c>
      <c r="Q54" s="19">
        <v>21.0</v>
      </c>
      <c r="R54" s="19">
        <v>21.0</v>
      </c>
      <c r="S54" s="19">
        <v>24.0</v>
      </c>
      <c r="T54" s="19">
        <v>32.0</v>
      </c>
      <c r="U54" s="19">
        <v>21.0</v>
      </c>
      <c r="V54" s="19">
        <v>21.0</v>
      </c>
      <c r="W54" s="19">
        <v>24.0</v>
      </c>
      <c r="X54" s="13">
        <f t="shared" si="14"/>
        <v>482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1.0</v>
      </c>
      <c r="G55" s="19">
        <v>1.0</v>
      </c>
      <c r="H55" s="19">
        <v>2.0</v>
      </c>
      <c r="I55" s="19">
        <v>1.0</v>
      </c>
      <c r="J55" s="19">
        <v>0.0</v>
      </c>
      <c r="K55" s="19">
        <v>3.0</v>
      </c>
      <c r="L55" s="19">
        <v>0.0</v>
      </c>
      <c r="M55" s="19">
        <v>0.0</v>
      </c>
      <c r="N55" s="19">
        <v>1.0</v>
      </c>
      <c r="O55" s="19">
        <v>1.0</v>
      </c>
      <c r="P55" s="19">
        <v>2.0</v>
      </c>
      <c r="Q55" s="19">
        <v>1.0</v>
      </c>
      <c r="R55" s="19">
        <v>1.0</v>
      </c>
      <c r="S55" s="19">
        <v>2.0</v>
      </c>
      <c r="T55" s="19">
        <v>5.0</v>
      </c>
      <c r="U55" s="19">
        <v>3.0</v>
      </c>
      <c r="V55" s="19">
        <v>0.0</v>
      </c>
      <c r="W55" s="19">
        <v>1.0</v>
      </c>
      <c r="X55" s="13">
        <f t="shared" si="14"/>
        <v>26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30.0</v>
      </c>
      <c r="F56" s="19">
        <v>30.0</v>
      </c>
      <c r="G56" s="19">
        <v>24.0</v>
      </c>
      <c r="H56" s="19">
        <v>16.0</v>
      </c>
      <c r="I56" s="19">
        <v>16.0</v>
      </c>
      <c r="J56" s="19">
        <v>31.0</v>
      </c>
      <c r="K56" s="19">
        <v>25.0</v>
      </c>
      <c r="L56" s="19">
        <v>15.0</v>
      </c>
      <c r="M56" s="19">
        <v>9.0</v>
      </c>
      <c r="N56" s="19">
        <v>23.0</v>
      </c>
      <c r="O56" s="19">
        <v>12.0</v>
      </c>
      <c r="P56" s="19">
        <v>13.0</v>
      </c>
      <c r="Q56" s="19">
        <v>17.0</v>
      </c>
      <c r="R56" s="19">
        <v>10.0</v>
      </c>
      <c r="S56" s="19">
        <v>9.0</v>
      </c>
      <c r="T56" s="19">
        <v>28.0</v>
      </c>
      <c r="U56" s="19">
        <v>18.0</v>
      </c>
      <c r="V56" s="19">
        <v>16.0</v>
      </c>
      <c r="W56" s="19">
        <v>18.0</v>
      </c>
      <c r="X56" s="13">
        <f t="shared" si="14"/>
        <v>360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4.0</v>
      </c>
      <c r="G57" s="19">
        <v>2.0</v>
      </c>
      <c r="H57" s="19">
        <v>1.0</v>
      </c>
      <c r="I57" s="19">
        <v>2.0</v>
      </c>
      <c r="J57" s="19">
        <v>3.0</v>
      </c>
      <c r="K57" s="19">
        <v>2.0</v>
      </c>
      <c r="L57" s="19">
        <v>0.0</v>
      </c>
      <c r="M57" s="19">
        <v>1.0</v>
      </c>
      <c r="N57" s="19">
        <v>4.0</v>
      </c>
      <c r="O57" s="19">
        <v>3.0</v>
      </c>
      <c r="P57" s="19">
        <v>2.0</v>
      </c>
      <c r="Q57" s="19">
        <v>1.0</v>
      </c>
      <c r="R57" s="19">
        <v>1.0</v>
      </c>
      <c r="S57" s="19">
        <v>5.0</v>
      </c>
      <c r="T57" s="19">
        <v>2.0</v>
      </c>
      <c r="U57" s="19">
        <v>3.0</v>
      </c>
      <c r="V57" s="19">
        <v>1.0</v>
      </c>
      <c r="W57" s="19">
        <v>2.0</v>
      </c>
      <c r="X57" s="13">
        <f t="shared" si="14"/>
        <v>40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W60" si="15">SUM(E45:E57)</f>
        <v>193</v>
      </c>
      <c r="F60" s="19">
        <f t="shared" si="15"/>
        <v>179</v>
      </c>
      <c r="G60" s="19">
        <f t="shared" si="15"/>
        <v>164</v>
      </c>
      <c r="H60" s="19">
        <f t="shared" si="15"/>
        <v>179</v>
      </c>
      <c r="I60" s="19">
        <f t="shared" si="15"/>
        <v>159</v>
      </c>
      <c r="J60" s="19">
        <f t="shared" si="15"/>
        <v>162</v>
      </c>
      <c r="K60" s="19">
        <f t="shared" si="15"/>
        <v>169</v>
      </c>
      <c r="L60" s="19">
        <f t="shared" si="15"/>
        <v>134</v>
      </c>
      <c r="M60" s="19">
        <f t="shared" si="15"/>
        <v>137</v>
      </c>
      <c r="N60" s="19">
        <f t="shared" si="15"/>
        <v>173</v>
      </c>
      <c r="O60" s="19">
        <f t="shared" si="15"/>
        <v>156</v>
      </c>
      <c r="P60" s="19">
        <f t="shared" si="15"/>
        <v>113</v>
      </c>
      <c r="Q60" s="19">
        <f t="shared" si="15"/>
        <v>127</v>
      </c>
      <c r="R60" s="19">
        <f t="shared" si="15"/>
        <v>120</v>
      </c>
      <c r="S60" s="19">
        <f t="shared" si="15"/>
        <v>127</v>
      </c>
      <c r="T60" s="19">
        <f t="shared" si="15"/>
        <v>168</v>
      </c>
      <c r="U60" s="19">
        <f t="shared" si="15"/>
        <v>151</v>
      </c>
      <c r="V60" s="19">
        <f t="shared" si="15"/>
        <v>136</v>
      </c>
      <c r="W60" s="19">
        <f t="shared" si="15"/>
        <v>127</v>
      </c>
      <c r="X60" s="13">
        <f t="shared" ref="X60:X62" si="16">SUM(E60:W60)</f>
        <v>2874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34.0</v>
      </c>
      <c r="F61" s="19">
        <v>48.0</v>
      </c>
      <c r="G61" s="19">
        <v>41.0</v>
      </c>
      <c r="H61" s="19">
        <v>31.0</v>
      </c>
      <c r="I61" s="19">
        <v>35.0</v>
      </c>
      <c r="J61" s="19">
        <v>40.0</v>
      </c>
      <c r="K61" s="19">
        <v>39.0</v>
      </c>
      <c r="L61" s="19">
        <v>47.0</v>
      </c>
      <c r="M61" s="19">
        <v>60.0</v>
      </c>
      <c r="N61" s="19">
        <v>40.0</v>
      </c>
      <c r="O61" s="19">
        <v>46.0</v>
      </c>
      <c r="P61" s="19">
        <v>47.0</v>
      </c>
      <c r="Q61" s="19">
        <v>33.0</v>
      </c>
      <c r="R61" s="19">
        <v>41.0</v>
      </c>
      <c r="S61" s="19">
        <v>24.0</v>
      </c>
      <c r="T61" s="19">
        <v>39.0</v>
      </c>
      <c r="U61" s="19">
        <v>37.0</v>
      </c>
      <c r="V61" s="19">
        <v>45.0</v>
      </c>
      <c r="W61" s="19">
        <v>34.0</v>
      </c>
      <c r="X61" s="13">
        <f t="shared" si="16"/>
        <v>761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W62" si="17">SUM(E60:E61)</f>
        <v>227</v>
      </c>
      <c r="F62" s="13">
        <f t="shared" si="17"/>
        <v>227</v>
      </c>
      <c r="G62" s="13">
        <f t="shared" si="17"/>
        <v>205</v>
      </c>
      <c r="H62" s="13">
        <f t="shared" si="17"/>
        <v>210</v>
      </c>
      <c r="I62" s="13">
        <f t="shared" si="17"/>
        <v>194</v>
      </c>
      <c r="J62" s="13">
        <f t="shared" si="17"/>
        <v>202</v>
      </c>
      <c r="K62" s="13">
        <f t="shared" si="17"/>
        <v>208</v>
      </c>
      <c r="L62" s="13">
        <f t="shared" si="17"/>
        <v>181</v>
      </c>
      <c r="M62" s="13">
        <f t="shared" si="17"/>
        <v>197</v>
      </c>
      <c r="N62" s="13">
        <f t="shared" si="17"/>
        <v>213</v>
      </c>
      <c r="O62" s="13">
        <f t="shared" si="17"/>
        <v>202</v>
      </c>
      <c r="P62" s="13">
        <f t="shared" si="17"/>
        <v>160</v>
      </c>
      <c r="Q62" s="13">
        <f t="shared" si="17"/>
        <v>160</v>
      </c>
      <c r="R62" s="13">
        <f t="shared" si="17"/>
        <v>161</v>
      </c>
      <c r="S62" s="13">
        <f t="shared" si="17"/>
        <v>151</v>
      </c>
      <c r="T62" s="13">
        <f t="shared" si="17"/>
        <v>207</v>
      </c>
      <c r="U62" s="13">
        <f t="shared" si="17"/>
        <v>188</v>
      </c>
      <c r="V62" s="13">
        <f t="shared" si="17"/>
        <v>181</v>
      </c>
      <c r="W62" s="13">
        <f t="shared" si="17"/>
        <v>161</v>
      </c>
      <c r="X62" s="13">
        <f t="shared" si="16"/>
        <v>3635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W15 E45:W57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E30&lt;&gt;E46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60:W61">
    <cfRule type="containsBlanks" dxfId="1" priority="10">
      <formula>LEN(TRIM(E60))=0</formula>
    </cfRule>
  </conditionalFormatting>
  <conditionalFormatting sqref="U34:W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13" t="s">
        <v>88</v>
      </c>
      <c r="V13" s="13" t="s">
        <v>89</v>
      </c>
      <c r="W13" s="13" t="s">
        <v>90</v>
      </c>
      <c r="X13" s="13" t="s">
        <v>91</v>
      </c>
      <c r="Y13" s="13" t="s">
        <v>92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127.0</v>
      </c>
      <c r="G14" s="19">
        <v>113.0</v>
      </c>
      <c r="H14" s="19">
        <v>117.0</v>
      </c>
      <c r="I14" s="19">
        <v>117.0</v>
      </c>
      <c r="J14" s="19">
        <v>146.0</v>
      </c>
      <c r="K14" s="19">
        <v>142.0</v>
      </c>
      <c r="L14" s="19">
        <v>125.0</v>
      </c>
      <c r="M14" s="19">
        <v>117.0</v>
      </c>
      <c r="N14" s="19">
        <v>115.0</v>
      </c>
      <c r="O14" s="19">
        <v>133.0</v>
      </c>
      <c r="P14" s="19">
        <v>145.0</v>
      </c>
      <c r="Q14" s="19">
        <v>139.0</v>
      </c>
      <c r="R14" s="19">
        <v>124.0</v>
      </c>
      <c r="S14" s="19">
        <v>142.0</v>
      </c>
      <c r="T14" s="19">
        <v>138.0</v>
      </c>
      <c r="U14" s="19">
        <v>134.0</v>
      </c>
      <c r="V14" s="19">
        <v>133.0</v>
      </c>
      <c r="W14" s="19">
        <v>124.0</v>
      </c>
      <c r="X14" s="19">
        <v>126.0</v>
      </c>
      <c r="Y14" s="19">
        <v>131.0</v>
      </c>
      <c r="Z14" s="13">
        <f t="shared" ref="Z14:Z16" si="1">SUM(E14:Y14)</f>
        <v>2712</v>
      </c>
    </row>
    <row r="15" ht="12.75" customHeight="1">
      <c r="A15" s="18"/>
      <c r="B15" s="26"/>
      <c r="C15" s="27"/>
      <c r="D15" s="19" t="s">
        <v>13</v>
      </c>
      <c r="E15" s="19">
        <v>150.0</v>
      </c>
      <c r="F15" s="19">
        <v>138.0</v>
      </c>
      <c r="G15" s="19">
        <v>145.0</v>
      </c>
      <c r="H15" s="19">
        <v>131.0</v>
      </c>
      <c r="I15" s="19">
        <v>133.0</v>
      </c>
      <c r="J15" s="19">
        <v>145.0</v>
      </c>
      <c r="K15" s="19">
        <v>154.0</v>
      </c>
      <c r="L15" s="19">
        <v>150.0</v>
      </c>
      <c r="M15" s="19">
        <v>130.0</v>
      </c>
      <c r="N15" s="19">
        <v>144.0</v>
      </c>
      <c r="O15" s="19">
        <v>156.0</v>
      </c>
      <c r="P15" s="19">
        <v>147.0</v>
      </c>
      <c r="Q15" s="19">
        <v>146.0</v>
      </c>
      <c r="R15" s="19">
        <v>133.0</v>
      </c>
      <c r="S15" s="19">
        <v>150.0</v>
      </c>
      <c r="T15" s="19">
        <v>156.0</v>
      </c>
      <c r="U15" s="19">
        <v>161.0</v>
      </c>
      <c r="V15" s="19">
        <v>152.0</v>
      </c>
      <c r="W15" s="19">
        <v>145.0</v>
      </c>
      <c r="X15" s="19">
        <v>134.0</v>
      </c>
      <c r="Y15" s="19">
        <v>167.0</v>
      </c>
      <c r="Z15" s="13">
        <f t="shared" si="1"/>
        <v>3067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274</v>
      </c>
      <c r="F16" s="13">
        <f t="shared" si="2"/>
        <v>265</v>
      </c>
      <c r="G16" s="13">
        <f t="shared" si="2"/>
        <v>258</v>
      </c>
      <c r="H16" s="13">
        <f t="shared" si="2"/>
        <v>248</v>
      </c>
      <c r="I16" s="13">
        <f t="shared" si="2"/>
        <v>250</v>
      </c>
      <c r="J16" s="13">
        <f t="shared" si="2"/>
        <v>291</v>
      </c>
      <c r="K16" s="13">
        <f t="shared" si="2"/>
        <v>296</v>
      </c>
      <c r="L16" s="13">
        <f t="shared" si="2"/>
        <v>275</v>
      </c>
      <c r="M16" s="13">
        <f t="shared" si="2"/>
        <v>247</v>
      </c>
      <c r="N16" s="13">
        <f t="shared" si="2"/>
        <v>259</v>
      </c>
      <c r="O16" s="13">
        <f t="shared" si="2"/>
        <v>289</v>
      </c>
      <c r="P16" s="13">
        <f t="shared" si="2"/>
        <v>292</v>
      </c>
      <c r="Q16" s="13">
        <f t="shared" si="2"/>
        <v>285</v>
      </c>
      <c r="R16" s="13">
        <f t="shared" si="2"/>
        <v>257</v>
      </c>
      <c r="S16" s="13">
        <f t="shared" si="2"/>
        <v>292</v>
      </c>
      <c r="T16" s="13">
        <f t="shared" si="2"/>
        <v>294</v>
      </c>
      <c r="U16" s="13">
        <f t="shared" si="2"/>
        <v>295</v>
      </c>
      <c r="V16" s="13">
        <f t="shared" si="2"/>
        <v>285</v>
      </c>
      <c r="W16" s="13">
        <f t="shared" si="2"/>
        <v>269</v>
      </c>
      <c r="X16" s="13">
        <f t="shared" si="2"/>
        <v>260</v>
      </c>
      <c r="Y16" s="13">
        <f t="shared" si="2"/>
        <v>298</v>
      </c>
      <c r="Z16" s="13">
        <f t="shared" si="1"/>
        <v>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74.0</v>
      </c>
      <c r="G19" s="19">
        <v>82.0</v>
      </c>
      <c r="H19" s="19">
        <v>85.0</v>
      </c>
      <c r="I19" s="19">
        <v>89.0</v>
      </c>
      <c r="J19" s="19">
        <v>108.0</v>
      </c>
      <c r="K19" s="19">
        <v>100.0</v>
      </c>
      <c r="L19" s="19">
        <v>96.0</v>
      </c>
      <c r="M19" s="19">
        <v>80.0</v>
      </c>
      <c r="N19" s="19">
        <v>82.0</v>
      </c>
      <c r="O19" s="19">
        <v>100.0</v>
      </c>
      <c r="P19" s="19">
        <v>99.0</v>
      </c>
      <c r="Q19" s="19">
        <v>97.0</v>
      </c>
      <c r="R19" s="19">
        <v>86.0</v>
      </c>
      <c r="S19" s="19">
        <v>87.0</v>
      </c>
      <c r="T19" s="19">
        <v>96.0</v>
      </c>
      <c r="U19" s="19">
        <v>103.0</v>
      </c>
      <c r="V19" s="19">
        <v>103.0</v>
      </c>
      <c r="W19" s="19">
        <v>83.0</v>
      </c>
      <c r="X19" s="19">
        <v>71.0</v>
      </c>
      <c r="Y19" s="19">
        <v>86.0</v>
      </c>
      <c r="Z19" s="13">
        <f t="shared" ref="Z19:Z30" si="3">SUM(E19:Y19)</f>
        <v>1890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104.0</v>
      </c>
      <c r="G20" s="19">
        <v>123.0</v>
      </c>
      <c r="H20" s="19">
        <v>104.0</v>
      </c>
      <c r="I20" s="19">
        <v>98.0</v>
      </c>
      <c r="J20" s="19">
        <v>112.0</v>
      </c>
      <c r="K20" s="19">
        <v>120.0</v>
      </c>
      <c r="L20" s="19">
        <v>107.0</v>
      </c>
      <c r="M20" s="19">
        <v>99.0</v>
      </c>
      <c r="N20" s="19">
        <v>112.0</v>
      </c>
      <c r="O20" s="19">
        <v>124.0</v>
      </c>
      <c r="P20" s="19">
        <v>121.0</v>
      </c>
      <c r="Q20" s="19">
        <v>117.0</v>
      </c>
      <c r="R20" s="19">
        <v>99.0</v>
      </c>
      <c r="S20" s="19">
        <v>109.0</v>
      </c>
      <c r="T20" s="19">
        <v>122.0</v>
      </c>
      <c r="U20" s="19">
        <v>129.0</v>
      </c>
      <c r="V20" s="19">
        <v>126.0</v>
      </c>
      <c r="W20" s="19">
        <v>110.0</v>
      </c>
      <c r="X20" s="19">
        <v>84.0</v>
      </c>
      <c r="Y20" s="19">
        <v>113.0</v>
      </c>
      <c r="Z20" s="13">
        <f t="shared" si="3"/>
        <v>2351</v>
      </c>
    </row>
    <row r="21" ht="12.75" customHeight="1">
      <c r="A21" s="35"/>
      <c r="B21" s="28"/>
      <c r="C21" s="36"/>
      <c r="D21" s="13" t="s">
        <v>14</v>
      </c>
      <c r="E21" s="13">
        <f t="shared" ref="E21:Y21" si="4">SUM(E19:E20)</f>
        <v>201</v>
      </c>
      <c r="F21" s="13">
        <f t="shared" si="4"/>
        <v>178</v>
      </c>
      <c r="G21" s="13">
        <f t="shared" si="4"/>
        <v>205</v>
      </c>
      <c r="H21" s="13">
        <f t="shared" si="4"/>
        <v>189</v>
      </c>
      <c r="I21" s="13">
        <f t="shared" si="4"/>
        <v>187</v>
      </c>
      <c r="J21" s="13">
        <f t="shared" si="4"/>
        <v>220</v>
      </c>
      <c r="K21" s="13">
        <f t="shared" si="4"/>
        <v>220</v>
      </c>
      <c r="L21" s="13">
        <f t="shared" si="4"/>
        <v>203</v>
      </c>
      <c r="M21" s="13">
        <f t="shared" si="4"/>
        <v>179</v>
      </c>
      <c r="N21" s="13">
        <f t="shared" si="4"/>
        <v>194</v>
      </c>
      <c r="O21" s="13">
        <f t="shared" si="4"/>
        <v>224</v>
      </c>
      <c r="P21" s="13">
        <f t="shared" si="4"/>
        <v>220</v>
      </c>
      <c r="Q21" s="13">
        <f t="shared" si="4"/>
        <v>214</v>
      </c>
      <c r="R21" s="13">
        <f t="shared" si="4"/>
        <v>185</v>
      </c>
      <c r="S21" s="13">
        <f t="shared" si="4"/>
        <v>196</v>
      </c>
      <c r="T21" s="13">
        <f t="shared" si="4"/>
        <v>218</v>
      </c>
      <c r="U21" s="13">
        <f t="shared" si="4"/>
        <v>232</v>
      </c>
      <c r="V21" s="13">
        <f t="shared" si="4"/>
        <v>229</v>
      </c>
      <c r="W21" s="13">
        <f t="shared" si="4"/>
        <v>193</v>
      </c>
      <c r="X21" s="13">
        <f t="shared" si="4"/>
        <v>155</v>
      </c>
      <c r="Y21" s="13">
        <f t="shared" si="4"/>
        <v>199</v>
      </c>
      <c r="Z21" s="13">
        <f t="shared" si="3"/>
        <v>4241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2.0</v>
      </c>
      <c r="H22" s="19">
        <v>0.0</v>
      </c>
      <c r="I22" s="19">
        <v>2.0</v>
      </c>
      <c r="J22" s="19">
        <v>1.0</v>
      </c>
      <c r="K22" s="19">
        <v>0.0</v>
      </c>
      <c r="L22" s="19">
        <v>0.0</v>
      </c>
      <c r="M22" s="19">
        <v>0.0</v>
      </c>
      <c r="N22" s="19">
        <v>4.0</v>
      </c>
      <c r="O22" s="19">
        <v>1.0</v>
      </c>
      <c r="P22" s="19">
        <v>3.0</v>
      </c>
      <c r="Q22" s="19">
        <v>3.0</v>
      </c>
      <c r="R22" s="19">
        <v>1.0</v>
      </c>
      <c r="S22" s="19">
        <v>3.0</v>
      </c>
      <c r="T22" s="19">
        <v>3.0</v>
      </c>
      <c r="U22" s="19">
        <v>0.0</v>
      </c>
      <c r="V22" s="19">
        <v>0.0</v>
      </c>
      <c r="W22" s="19">
        <v>1.0</v>
      </c>
      <c r="X22" s="19">
        <v>1.0</v>
      </c>
      <c r="Y22" s="19">
        <v>0.0</v>
      </c>
      <c r="Z22" s="13">
        <f t="shared" si="3"/>
        <v>26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4.0</v>
      </c>
      <c r="H23" s="19">
        <v>0.0</v>
      </c>
      <c r="I23" s="19">
        <v>1.0</v>
      </c>
      <c r="J23" s="19">
        <v>1.0</v>
      </c>
      <c r="K23" s="19">
        <v>0.0</v>
      </c>
      <c r="L23" s="19">
        <v>1.0</v>
      </c>
      <c r="M23" s="19">
        <v>0.0</v>
      </c>
      <c r="N23" s="19">
        <v>3.0</v>
      </c>
      <c r="O23" s="19">
        <v>3.0</v>
      </c>
      <c r="P23" s="19">
        <v>4.0</v>
      </c>
      <c r="Q23" s="19">
        <v>1.0</v>
      </c>
      <c r="R23" s="19">
        <v>1.0</v>
      </c>
      <c r="S23" s="19">
        <v>2.0</v>
      </c>
      <c r="T23" s="19">
        <v>0.0</v>
      </c>
      <c r="U23" s="19">
        <v>0.0</v>
      </c>
      <c r="V23" s="19">
        <v>0.0</v>
      </c>
      <c r="W23" s="19">
        <v>1.0</v>
      </c>
      <c r="X23" s="19">
        <v>1.0</v>
      </c>
      <c r="Y23" s="19">
        <v>0.0</v>
      </c>
      <c r="Z23" s="13">
        <f t="shared" si="3"/>
        <v>23</v>
      </c>
    </row>
    <row r="24" ht="12.75" customHeight="1">
      <c r="A24" s="35"/>
      <c r="B24" s="28"/>
      <c r="C24" s="36"/>
      <c r="D24" s="13" t="s">
        <v>14</v>
      </c>
      <c r="E24" s="13">
        <f t="shared" ref="E24:Y24" si="5">SUM(E22:E23)</f>
        <v>1</v>
      </c>
      <c r="F24" s="13">
        <f t="shared" si="5"/>
        <v>0</v>
      </c>
      <c r="G24" s="13">
        <f t="shared" si="5"/>
        <v>6</v>
      </c>
      <c r="H24" s="13">
        <f t="shared" si="5"/>
        <v>0</v>
      </c>
      <c r="I24" s="13">
        <f t="shared" si="5"/>
        <v>3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7</v>
      </c>
      <c r="O24" s="13">
        <f t="shared" si="5"/>
        <v>4</v>
      </c>
      <c r="P24" s="13">
        <f t="shared" si="5"/>
        <v>7</v>
      </c>
      <c r="Q24" s="13">
        <f t="shared" si="5"/>
        <v>4</v>
      </c>
      <c r="R24" s="13">
        <f t="shared" si="5"/>
        <v>2</v>
      </c>
      <c r="S24" s="13">
        <f t="shared" si="5"/>
        <v>5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5"/>
        <v>2</v>
      </c>
      <c r="Y24" s="13">
        <f t="shared" si="5"/>
        <v>0</v>
      </c>
      <c r="Z24" s="13">
        <f t="shared" si="3"/>
        <v>49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4.0</v>
      </c>
      <c r="G25" s="19">
        <v>5.0</v>
      </c>
      <c r="H25" s="19">
        <v>2.0</v>
      </c>
      <c r="I25" s="19">
        <v>1.0</v>
      </c>
      <c r="J25" s="19">
        <v>1.0</v>
      </c>
      <c r="K25" s="19">
        <v>1.0</v>
      </c>
      <c r="L25" s="19">
        <v>3.0</v>
      </c>
      <c r="M25" s="19">
        <v>2.0</v>
      </c>
      <c r="N25" s="19">
        <v>3.0</v>
      </c>
      <c r="O25" s="19">
        <v>2.0</v>
      </c>
      <c r="P25" s="19">
        <v>5.0</v>
      </c>
      <c r="Q25" s="19">
        <v>1.0</v>
      </c>
      <c r="R25" s="19">
        <v>2.0</v>
      </c>
      <c r="S25" s="19">
        <v>2.0</v>
      </c>
      <c r="T25" s="19">
        <v>0.0</v>
      </c>
      <c r="U25" s="19">
        <v>3.0</v>
      </c>
      <c r="V25" s="19">
        <v>3.0</v>
      </c>
      <c r="W25" s="19">
        <v>6.0</v>
      </c>
      <c r="X25" s="19">
        <v>11.0</v>
      </c>
      <c r="Y25" s="19">
        <v>3.0</v>
      </c>
      <c r="Z25" s="13">
        <f t="shared" si="3"/>
        <v>60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4.0</v>
      </c>
      <c r="G26" s="19">
        <v>1.0</v>
      </c>
      <c r="H26" s="19">
        <v>1.0</v>
      </c>
      <c r="I26" s="19">
        <v>1.0</v>
      </c>
      <c r="J26" s="19">
        <v>4.0</v>
      </c>
      <c r="K26" s="19">
        <v>1.0</v>
      </c>
      <c r="L26" s="19">
        <v>2.0</v>
      </c>
      <c r="M26" s="19">
        <v>5.0</v>
      </c>
      <c r="N26" s="19">
        <v>2.0</v>
      </c>
      <c r="O26" s="19">
        <v>1.0</v>
      </c>
      <c r="P26" s="19">
        <v>5.0</v>
      </c>
      <c r="Q26" s="19">
        <v>4.0</v>
      </c>
      <c r="R26" s="19">
        <v>2.0</v>
      </c>
      <c r="S26" s="19">
        <v>5.0</v>
      </c>
      <c r="T26" s="19">
        <v>0.0</v>
      </c>
      <c r="U26" s="19">
        <v>3.0</v>
      </c>
      <c r="V26" s="19">
        <v>1.0</v>
      </c>
      <c r="W26" s="19">
        <v>4.0</v>
      </c>
      <c r="X26" s="19">
        <v>8.0</v>
      </c>
      <c r="Y26" s="19">
        <v>4.0</v>
      </c>
      <c r="Z26" s="13">
        <f t="shared" si="3"/>
        <v>59</v>
      </c>
    </row>
    <row r="27" ht="12.75" customHeight="1">
      <c r="A27" s="35"/>
      <c r="B27" s="28"/>
      <c r="C27" s="36"/>
      <c r="D27" s="13" t="s">
        <v>14</v>
      </c>
      <c r="E27" s="13">
        <f t="shared" ref="E27:Y27" si="6">SUM(E25:E26)</f>
        <v>1</v>
      </c>
      <c r="F27" s="13">
        <f t="shared" si="6"/>
        <v>8</v>
      </c>
      <c r="G27" s="13">
        <f t="shared" si="6"/>
        <v>6</v>
      </c>
      <c r="H27" s="13">
        <f t="shared" si="6"/>
        <v>3</v>
      </c>
      <c r="I27" s="13">
        <f t="shared" si="6"/>
        <v>2</v>
      </c>
      <c r="J27" s="13">
        <f t="shared" si="6"/>
        <v>5</v>
      </c>
      <c r="K27" s="13">
        <f t="shared" si="6"/>
        <v>2</v>
      </c>
      <c r="L27" s="13">
        <f t="shared" si="6"/>
        <v>5</v>
      </c>
      <c r="M27" s="13">
        <f t="shared" si="6"/>
        <v>7</v>
      </c>
      <c r="N27" s="13">
        <f t="shared" si="6"/>
        <v>5</v>
      </c>
      <c r="O27" s="13">
        <f t="shared" si="6"/>
        <v>3</v>
      </c>
      <c r="P27" s="13">
        <f t="shared" si="6"/>
        <v>10</v>
      </c>
      <c r="Q27" s="13">
        <f t="shared" si="6"/>
        <v>5</v>
      </c>
      <c r="R27" s="13">
        <f t="shared" si="6"/>
        <v>4</v>
      </c>
      <c r="S27" s="13">
        <f t="shared" si="6"/>
        <v>7</v>
      </c>
      <c r="T27" s="13">
        <f t="shared" si="6"/>
        <v>0</v>
      </c>
      <c r="U27" s="13">
        <f t="shared" si="6"/>
        <v>6</v>
      </c>
      <c r="V27" s="13">
        <f t="shared" si="6"/>
        <v>4</v>
      </c>
      <c r="W27" s="13">
        <f t="shared" si="6"/>
        <v>10</v>
      </c>
      <c r="X27" s="13">
        <f t="shared" si="6"/>
        <v>19</v>
      </c>
      <c r="Y27" s="13">
        <f t="shared" si="6"/>
        <v>7</v>
      </c>
      <c r="Z27" s="13">
        <f t="shared" si="3"/>
        <v>119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Y28" si="7">SUM(E19,E22,E25)</f>
        <v>84</v>
      </c>
      <c r="F28" s="13">
        <f t="shared" si="7"/>
        <v>78</v>
      </c>
      <c r="G28" s="13">
        <f t="shared" si="7"/>
        <v>89</v>
      </c>
      <c r="H28" s="13">
        <f t="shared" si="7"/>
        <v>87</v>
      </c>
      <c r="I28" s="13">
        <f t="shared" si="7"/>
        <v>92</v>
      </c>
      <c r="J28" s="13">
        <f t="shared" si="7"/>
        <v>110</v>
      </c>
      <c r="K28" s="13">
        <f t="shared" si="7"/>
        <v>101</v>
      </c>
      <c r="L28" s="13">
        <f t="shared" si="7"/>
        <v>99</v>
      </c>
      <c r="M28" s="13">
        <f t="shared" si="7"/>
        <v>82</v>
      </c>
      <c r="N28" s="13">
        <f t="shared" si="7"/>
        <v>89</v>
      </c>
      <c r="O28" s="13">
        <f t="shared" si="7"/>
        <v>103</v>
      </c>
      <c r="P28" s="13">
        <f t="shared" si="7"/>
        <v>107</v>
      </c>
      <c r="Q28" s="13">
        <f t="shared" si="7"/>
        <v>101</v>
      </c>
      <c r="R28" s="13">
        <f t="shared" si="7"/>
        <v>89</v>
      </c>
      <c r="S28" s="13">
        <f t="shared" si="7"/>
        <v>92</v>
      </c>
      <c r="T28" s="13">
        <f t="shared" si="7"/>
        <v>99</v>
      </c>
      <c r="U28" s="13">
        <f t="shared" si="7"/>
        <v>106</v>
      </c>
      <c r="V28" s="13">
        <f t="shared" si="7"/>
        <v>106</v>
      </c>
      <c r="W28" s="13">
        <f t="shared" si="7"/>
        <v>90</v>
      </c>
      <c r="X28" s="13">
        <f t="shared" si="7"/>
        <v>83</v>
      </c>
      <c r="Y28" s="13">
        <f t="shared" si="7"/>
        <v>89</v>
      </c>
      <c r="Z28" s="13">
        <f t="shared" si="3"/>
        <v>1976</v>
      </c>
    </row>
    <row r="29" ht="12.75" customHeight="1">
      <c r="A29" s="35"/>
      <c r="B29" s="27"/>
      <c r="C29" s="34"/>
      <c r="D29" s="13" t="s">
        <v>13</v>
      </c>
      <c r="E29" s="13">
        <f t="shared" ref="E29:Y29" si="8">SUM(E20,E23,E26)</f>
        <v>119</v>
      </c>
      <c r="F29" s="13">
        <f t="shared" si="8"/>
        <v>108</v>
      </c>
      <c r="G29" s="13">
        <f t="shared" si="8"/>
        <v>128</v>
      </c>
      <c r="H29" s="13">
        <f t="shared" si="8"/>
        <v>105</v>
      </c>
      <c r="I29" s="13">
        <f t="shared" si="8"/>
        <v>100</v>
      </c>
      <c r="J29" s="13">
        <f t="shared" si="8"/>
        <v>117</v>
      </c>
      <c r="K29" s="13">
        <f t="shared" si="8"/>
        <v>121</v>
      </c>
      <c r="L29" s="13">
        <f t="shared" si="8"/>
        <v>110</v>
      </c>
      <c r="M29" s="13">
        <f t="shared" si="8"/>
        <v>104</v>
      </c>
      <c r="N29" s="13">
        <f t="shared" si="8"/>
        <v>117</v>
      </c>
      <c r="O29" s="13">
        <f t="shared" si="8"/>
        <v>128</v>
      </c>
      <c r="P29" s="13">
        <f t="shared" si="8"/>
        <v>130</v>
      </c>
      <c r="Q29" s="13">
        <f t="shared" si="8"/>
        <v>122</v>
      </c>
      <c r="R29" s="13">
        <f t="shared" si="8"/>
        <v>102</v>
      </c>
      <c r="S29" s="13">
        <f t="shared" si="8"/>
        <v>116</v>
      </c>
      <c r="T29" s="13">
        <f t="shared" si="8"/>
        <v>122</v>
      </c>
      <c r="U29" s="13">
        <f t="shared" si="8"/>
        <v>132</v>
      </c>
      <c r="V29" s="13">
        <f t="shared" si="8"/>
        <v>127</v>
      </c>
      <c r="W29" s="13">
        <f t="shared" si="8"/>
        <v>115</v>
      </c>
      <c r="X29" s="13">
        <f t="shared" si="8"/>
        <v>93</v>
      </c>
      <c r="Y29" s="13">
        <f t="shared" si="8"/>
        <v>117</v>
      </c>
      <c r="Z29" s="13">
        <f t="shared" si="3"/>
        <v>2433</v>
      </c>
    </row>
    <row r="30" ht="12.75" customHeight="1">
      <c r="A30" s="35"/>
      <c r="B30" s="28"/>
      <c r="C30" s="36"/>
      <c r="D30" s="13" t="s">
        <v>14</v>
      </c>
      <c r="E30" s="13">
        <f t="shared" ref="E30:Y30" si="9">SUM(E28:E29)</f>
        <v>203</v>
      </c>
      <c r="F30" s="13">
        <f t="shared" si="9"/>
        <v>186</v>
      </c>
      <c r="G30" s="13">
        <f t="shared" si="9"/>
        <v>217</v>
      </c>
      <c r="H30" s="13">
        <f t="shared" si="9"/>
        <v>192</v>
      </c>
      <c r="I30" s="13">
        <f t="shared" si="9"/>
        <v>192</v>
      </c>
      <c r="J30" s="13">
        <f t="shared" si="9"/>
        <v>227</v>
      </c>
      <c r="K30" s="13">
        <f t="shared" si="9"/>
        <v>222</v>
      </c>
      <c r="L30" s="13">
        <f t="shared" si="9"/>
        <v>209</v>
      </c>
      <c r="M30" s="13">
        <f t="shared" si="9"/>
        <v>186</v>
      </c>
      <c r="N30" s="13">
        <f t="shared" si="9"/>
        <v>206</v>
      </c>
      <c r="O30" s="13">
        <f t="shared" si="9"/>
        <v>231</v>
      </c>
      <c r="P30" s="13">
        <f t="shared" si="9"/>
        <v>237</v>
      </c>
      <c r="Q30" s="13">
        <f t="shared" si="9"/>
        <v>223</v>
      </c>
      <c r="R30" s="13">
        <f t="shared" si="9"/>
        <v>191</v>
      </c>
      <c r="S30" s="13">
        <f t="shared" si="9"/>
        <v>208</v>
      </c>
      <c r="T30" s="13">
        <f t="shared" si="9"/>
        <v>221</v>
      </c>
      <c r="U30" s="13">
        <f t="shared" si="9"/>
        <v>238</v>
      </c>
      <c r="V30" s="13">
        <f t="shared" si="9"/>
        <v>233</v>
      </c>
      <c r="W30" s="13">
        <f t="shared" si="9"/>
        <v>205</v>
      </c>
      <c r="X30" s="13">
        <f t="shared" si="9"/>
        <v>176</v>
      </c>
      <c r="Y30" s="13">
        <f t="shared" si="9"/>
        <v>206</v>
      </c>
      <c r="Z30" s="13">
        <f t="shared" si="3"/>
        <v>4409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59"/>
    </row>
    <row r="33" ht="12.75" customHeight="1">
      <c r="A33" s="19">
        <v>1.0</v>
      </c>
      <c r="B33" s="20" t="s">
        <v>85</v>
      </c>
      <c r="C33" s="15"/>
      <c r="D33" s="16"/>
      <c r="E33" s="19">
        <v>280.0</v>
      </c>
      <c r="F33" s="19">
        <v>271.0</v>
      </c>
      <c r="G33" s="19">
        <v>244.0</v>
      </c>
      <c r="H33" s="19">
        <v>253.0</v>
      </c>
      <c r="I33" s="19">
        <v>255.0</v>
      </c>
      <c r="J33" s="19">
        <v>297.0</v>
      </c>
      <c r="K33" s="19">
        <v>302.0</v>
      </c>
      <c r="L33" s="19">
        <v>282.0</v>
      </c>
      <c r="M33" s="19">
        <v>252.0</v>
      </c>
      <c r="N33" s="19">
        <v>265.0</v>
      </c>
      <c r="O33" s="19">
        <v>295.0</v>
      </c>
      <c r="P33" s="19">
        <v>298.0</v>
      </c>
      <c r="Q33" s="19">
        <v>293.0</v>
      </c>
      <c r="R33" s="19">
        <v>263.0</v>
      </c>
      <c r="S33" s="19">
        <v>299.0</v>
      </c>
      <c r="T33" s="19">
        <v>300.0</v>
      </c>
      <c r="U33" s="19">
        <v>291.0</v>
      </c>
      <c r="V33" s="19">
        <v>290.0</v>
      </c>
      <c r="W33" s="19">
        <v>275.0</v>
      </c>
      <c r="X33" s="19">
        <v>245.0</v>
      </c>
      <c r="Y33" s="19">
        <v>304.0</v>
      </c>
      <c r="Z33" s="13">
        <f t="shared" ref="Z33:Z36" si="10">SUM(E33:Y33)</f>
        <v>5854</v>
      </c>
    </row>
    <row r="34" ht="12.75" customHeight="1">
      <c r="A34" s="19">
        <v>2.0</v>
      </c>
      <c r="B34" s="20" t="s">
        <v>28</v>
      </c>
      <c r="C34" s="15"/>
      <c r="D34" s="16"/>
      <c r="E34" s="13">
        <v>203.0</v>
      </c>
      <c r="F34" s="13">
        <v>186.0</v>
      </c>
      <c r="G34" s="13">
        <v>217.0</v>
      </c>
      <c r="H34" s="13">
        <v>192.0</v>
      </c>
      <c r="I34" s="13">
        <v>192.0</v>
      </c>
      <c r="J34" s="13">
        <v>227.0</v>
      </c>
      <c r="K34" s="13">
        <v>222.0</v>
      </c>
      <c r="L34" s="13">
        <v>209.0</v>
      </c>
      <c r="M34" s="13">
        <v>186.0</v>
      </c>
      <c r="N34" s="13">
        <v>206.0</v>
      </c>
      <c r="O34" s="13">
        <v>231.0</v>
      </c>
      <c r="P34" s="13">
        <v>237.0</v>
      </c>
      <c r="Q34" s="13">
        <v>223.0</v>
      </c>
      <c r="R34" s="13">
        <v>191.0</v>
      </c>
      <c r="S34" s="13">
        <v>208.0</v>
      </c>
      <c r="T34" s="13">
        <v>221.0</v>
      </c>
      <c r="U34" s="13">
        <v>238.0</v>
      </c>
      <c r="V34" s="13">
        <v>233.0</v>
      </c>
      <c r="W34" s="13">
        <v>205.0</v>
      </c>
      <c r="X34" s="13">
        <v>176.0</v>
      </c>
      <c r="Y34" s="13">
        <v>206.0</v>
      </c>
      <c r="Z34" s="13">
        <f t="shared" si="10"/>
        <v>4409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31.0</v>
      </c>
      <c r="U35" s="19">
        <v>0.0</v>
      </c>
      <c r="V35" s="19">
        <v>2.0</v>
      </c>
      <c r="W35" s="19">
        <v>0.0</v>
      </c>
      <c r="X35" s="19">
        <v>0.0</v>
      </c>
      <c r="Y35" s="19">
        <v>0.0</v>
      </c>
      <c r="Z35" s="13">
        <f t="shared" si="10"/>
        <v>37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77</v>
      </c>
      <c r="F36" s="13">
        <f t="shared" si="11"/>
        <v>85</v>
      </c>
      <c r="G36" s="13">
        <f t="shared" si="11"/>
        <v>27</v>
      </c>
      <c r="H36" s="13">
        <f t="shared" si="11"/>
        <v>59</v>
      </c>
      <c r="I36" s="13">
        <f t="shared" si="11"/>
        <v>63</v>
      </c>
      <c r="J36" s="13">
        <f t="shared" si="11"/>
        <v>70</v>
      </c>
      <c r="K36" s="13">
        <f t="shared" si="11"/>
        <v>80</v>
      </c>
      <c r="L36" s="13">
        <f t="shared" si="11"/>
        <v>71</v>
      </c>
      <c r="M36" s="13">
        <f t="shared" si="11"/>
        <v>66</v>
      </c>
      <c r="N36" s="13">
        <f t="shared" si="11"/>
        <v>59</v>
      </c>
      <c r="O36" s="13">
        <f t="shared" si="11"/>
        <v>64</v>
      </c>
      <c r="P36" s="13">
        <f t="shared" si="11"/>
        <v>61</v>
      </c>
      <c r="Q36" s="13">
        <f t="shared" si="11"/>
        <v>70</v>
      </c>
      <c r="R36" s="13">
        <f t="shared" si="11"/>
        <v>72</v>
      </c>
      <c r="S36" s="13">
        <f t="shared" si="11"/>
        <v>91</v>
      </c>
      <c r="T36" s="13">
        <f t="shared" si="11"/>
        <v>48</v>
      </c>
      <c r="U36" s="13">
        <f t="shared" si="11"/>
        <v>53</v>
      </c>
      <c r="V36" s="13">
        <f t="shared" si="11"/>
        <v>55</v>
      </c>
      <c r="W36" s="13">
        <f t="shared" si="11"/>
        <v>70</v>
      </c>
      <c r="X36" s="13">
        <f t="shared" si="11"/>
        <v>69</v>
      </c>
      <c r="Y36" s="13">
        <f t="shared" si="11"/>
        <v>98</v>
      </c>
      <c r="Z36" s="13">
        <f t="shared" si="10"/>
        <v>1408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>
        <v>2.0</v>
      </c>
      <c r="Z39" s="13">
        <f t="shared" ref="Z39:Z41" si="12">SUM(E39:Y39)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>
        <v>1.0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13"/>
    </row>
    <row r="45" ht="12.75" customHeight="1">
      <c r="A45" s="30"/>
      <c r="B45" s="47" t="s">
        <v>17</v>
      </c>
      <c r="C45" s="62" t="s">
        <v>38</v>
      </c>
      <c r="D45" s="16"/>
      <c r="E45" s="19">
        <v>7.0</v>
      </c>
      <c r="F45" s="19">
        <v>5.0</v>
      </c>
      <c r="G45" s="19">
        <v>26.0</v>
      </c>
      <c r="H45" s="19">
        <v>10.0</v>
      </c>
      <c r="I45" s="19">
        <v>5.0</v>
      </c>
      <c r="J45" s="19">
        <v>12.0</v>
      </c>
      <c r="K45" s="19">
        <v>11.0</v>
      </c>
      <c r="L45" s="19">
        <v>5.0</v>
      </c>
      <c r="M45" s="19">
        <v>5.0</v>
      </c>
      <c r="N45" s="19">
        <v>12.0</v>
      </c>
      <c r="O45" s="19">
        <v>10.0</v>
      </c>
      <c r="P45" s="19">
        <v>17.0</v>
      </c>
      <c r="Q45" s="19">
        <v>9.0</v>
      </c>
      <c r="R45" s="19">
        <v>8.0</v>
      </c>
      <c r="S45" s="19">
        <v>9.0</v>
      </c>
      <c r="T45" s="19">
        <v>8.0</v>
      </c>
      <c r="U45" s="19">
        <v>6.0</v>
      </c>
      <c r="V45" s="19">
        <v>7.0</v>
      </c>
      <c r="W45" s="19">
        <v>10.0</v>
      </c>
      <c r="X45" s="19">
        <v>3.0</v>
      </c>
      <c r="Y45" s="19">
        <v>17.0</v>
      </c>
      <c r="Z45" s="13">
        <f t="shared" ref="Z45:Z57" si="14">SUM(E45:Y45)</f>
        <v>202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31.0</v>
      </c>
      <c r="F46" s="19">
        <v>25.0</v>
      </c>
      <c r="G46" s="19">
        <v>29.0</v>
      </c>
      <c r="H46" s="19">
        <v>30.0</v>
      </c>
      <c r="I46" s="19">
        <v>36.0</v>
      </c>
      <c r="J46" s="19">
        <v>34.0</v>
      </c>
      <c r="K46" s="19">
        <v>19.0</v>
      </c>
      <c r="L46" s="19">
        <v>35.0</v>
      </c>
      <c r="M46" s="19">
        <v>22.0</v>
      </c>
      <c r="N46" s="19">
        <v>31.0</v>
      </c>
      <c r="O46" s="19">
        <v>35.0</v>
      </c>
      <c r="P46" s="19">
        <v>30.0</v>
      </c>
      <c r="Q46" s="19">
        <v>28.0</v>
      </c>
      <c r="R46" s="19">
        <v>29.0</v>
      </c>
      <c r="S46" s="19">
        <v>33.0</v>
      </c>
      <c r="T46" s="19">
        <v>24.0</v>
      </c>
      <c r="U46" s="19">
        <v>27.0</v>
      </c>
      <c r="V46" s="19">
        <v>33.0</v>
      </c>
      <c r="W46" s="19">
        <v>40.0</v>
      </c>
      <c r="X46" s="19">
        <v>31.0</v>
      </c>
      <c r="Y46" s="19">
        <v>39.0</v>
      </c>
      <c r="Z46" s="13">
        <f t="shared" si="14"/>
        <v>641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16.0</v>
      </c>
      <c r="F47" s="19">
        <v>6.0</v>
      </c>
      <c r="G47" s="19">
        <v>11.0</v>
      </c>
      <c r="H47" s="19">
        <v>11.0</v>
      </c>
      <c r="I47" s="19">
        <v>12.0</v>
      </c>
      <c r="J47" s="19">
        <v>10.0</v>
      </c>
      <c r="K47" s="19">
        <v>15.0</v>
      </c>
      <c r="L47" s="19">
        <v>16.0</v>
      </c>
      <c r="M47" s="19">
        <v>12.0</v>
      </c>
      <c r="N47" s="19">
        <v>13.0</v>
      </c>
      <c r="O47" s="19">
        <v>15.0</v>
      </c>
      <c r="P47" s="19">
        <v>11.0</v>
      </c>
      <c r="Q47" s="19">
        <v>20.0</v>
      </c>
      <c r="R47" s="19">
        <v>7.0</v>
      </c>
      <c r="S47" s="19">
        <v>15.0</v>
      </c>
      <c r="T47" s="19">
        <v>13.0</v>
      </c>
      <c r="U47" s="19">
        <v>16.0</v>
      </c>
      <c r="V47" s="19">
        <v>26.0</v>
      </c>
      <c r="W47" s="19">
        <v>11.0</v>
      </c>
      <c r="X47" s="19">
        <v>10.0</v>
      </c>
      <c r="Y47" s="19">
        <v>7.0</v>
      </c>
      <c r="Z47" s="13">
        <f t="shared" si="14"/>
        <v>273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26.0</v>
      </c>
      <c r="F48" s="19">
        <v>18.0</v>
      </c>
      <c r="G48" s="19">
        <v>25.0</v>
      </c>
      <c r="H48" s="19">
        <v>17.0</v>
      </c>
      <c r="I48" s="19">
        <v>21.0</v>
      </c>
      <c r="J48" s="19">
        <v>16.0</v>
      </c>
      <c r="K48" s="19">
        <v>14.0</v>
      </c>
      <c r="L48" s="19">
        <v>8.0</v>
      </c>
      <c r="M48" s="19">
        <v>18.0</v>
      </c>
      <c r="N48" s="19">
        <v>25.0</v>
      </c>
      <c r="O48" s="19">
        <v>18.0</v>
      </c>
      <c r="P48" s="19">
        <v>16.0</v>
      </c>
      <c r="Q48" s="19">
        <v>28.0</v>
      </c>
      <c r="R48" s="19">
        <v>6.0</v>
      </c>
      <c r="S48" s="19">
        <v>15.0</v>
      </c>
      <c r="T48" s="19">
        <v>15.0</v>
      </c>
      <c r="U48" s="19">
        <v>19.0</v>
      </c>
      <c r="V48" s="19">
        <v>17.0</v>
      </c>
      <c r="W48" s="19">
        <v>17.0</v>
      </c>
      <c r="X48" s="19">
        <v>10.0</v>
      </c>
      <c r="Y48" s="19">
        <v>10.0</v>
      </c>
      <c r="Z48" s="13">
        <f t="shared" si="14"/>
        <v>359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27.0</v>
      </c>
      <c r="F49" s="19">
        <v>23.0</v>
      </c>
      <c r="G49" s="19">
        <v>17.0</v>
      </c>
      <c r="H49" s="19">
        <v>23.0</v>
      </c>
      <c r="I49" s="19">
        <v>13.0</v>
      </c>
      <c r="J49" s="19">
        <v>25.0</v>
      </c>
      <c r="K49" s="19">
        <v>44.0</v>
      </c>
      <c r="L49" s="19">
        <v>29.0</v>
      </c>
      <c r="M49" s="19">
        <v>29.0</v>
      </c>
      <c r="N49" s="19">
        <v>25.0</v>
      </c>
      <c r="O49" s="19">
        <v>50.0</v>
      </c>
      <c r="P49" s="19">
        <v>46.0</v>
      </c>
      <c r="Q49" s="19">
        <v>39.0</v>
      </c>
      <c r="R49" s="19">
        <v>30.0</v>
      </c>
      <c r="S49" s="19">
        <v>40.0</v>
      </c>
      <c r="T49" s="19">
        <v>54.0</v>
      </c>
      <c r="U49" s="19">
        <v>37.0</v>
      </c>
      <c r="V49" s="19">
        <v>46.0</v>
      </c>
      <c r="W49" s="19">
        <v>21.0</v>
      </c>
      <c r="X49" s="19">
        <v>37.0</v>
      </c>
      <c r="Y49" s="19">
        <v>35.0</v>
      </c>
      <c r="Z49" s="13">
        <f t="shared" si="14"/>
        <v>690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13.0</v>
      </c>
      <c r="F50" s="19">
        <v>12.0</v>
      </c>
      <c r="G50" s="19">
        <v>11.0</v>
      </c>
      <c r="H50" s="19">
        <v>10.0</v>
      </c>
      <c r="I50" s="19">
        <v>11.0</v>
      </c>
      <c r="J50" s="19">
        <v>18.0</v>
      </c>
      <c r="K50" s="19">
        <v>12.0</v>
      </c>
      <c r="L50" s="19">
        <v>10.0</v>
      </c>
      <c r="M50" s="19">
        <v>13.0</v>
      </c>
      <c r="N50" s="19">
        <v>10.0</v>
      </c>
      <c r="O50" s="19">
        <v>13.0</v>
      </c>
      <c r="P50" s="19">
        <v>12.0</v>
      </c>
      <c r="Q50" s="19">
        <v>12.0</v>
      </c>
      <c r="R50" s="19">
        <v>12.0</v>
      </c>
      <c r="S50" s="19">
        <v>13.0</v>
      </c>
      <c r="T50" s="19">
        <v>13.0</v>
      </c>
      <c r="U50" s="19">
        <v>12.0</v>
      </c>
      <c r="V50" s="19">
        <v>10.0</v>
      </c>
      <c r="W50" s="19">
        <v>2.0</v>
      </c>
      <c r="X50" s="19">
        <v>7.0</v>
      </c>
      <c r="Y50" s="19">
        <v>11.0</v>
      </c>
      <c r="Z50" s="13">
        <f t="shared" si="14"/>
        <v>237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2.0</v>
      </c>
      <c r="G51" s="19">
        <v>5.0</v>
      </c>
      <c r="H51" s="19">
        <v>4.0</v>
      </c>
      <c r="I51" s="19">
        <v>4.0</v>
      </c>
      <c r="J51" s="19">
        <v>0.0</v>
      </c>
      <c r="K51" s="19">
        <v>2.0</v>
      </c>
      <c r="L51" s="19">
        <v>2.0</v>
      </c>
      <c r="M51" s="19">
        <v>3.0</v>
      </c>
      <c r="N51" s="19">
        <v>4.0</v>
      </c>
      <c r="O51" s="19">
        <v>2.0</v>
      </c>
      <c r="P51" s="19">
        <v>3.0</v>
      </c>
      <c r="Q51" s="19">
        <v>1.0</v>
      </c>
      <c r="R51" s="19">
        <v>3.0</v>
      </c>
      <c r="S51" s="19">
        <v>6.0</v>
      </c>
      <c r="T51" s="19">
        <v>5.0</v>
      </c>
      <c r="U51" s="19">
        <v>2.0</v>
      </c>
      <c r="V51" s="19">
        <v>2.0</v>
      </c>
      <c r="W51" s="19">
        <v>5.0</v>
      </c>
      <c r="X51" s="19">
        <v>1.0</v>
      </c>
      <c r="Y51" s="19">
        <v>2.0</v>
      </c>
      <c r="Z51" s="13">
        <f t="shared" si="14"/>
        <v>59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8.0</v>
      </c>
      <c r="G52" s="19">
        <v>4.0</v>
      </c>
      <c r="H52" s="19">
        <v>5.0</v>
      </c>
      <c r="I52" s="19">
        <v>4.0</v>
      </c>
      <c r="J52" s="19">
        <v>8.0</v>
      </c>
      <c r="K52" s="19">
        <v>8.0</v>
      </c>
      <c r="L52" s="19">
        <v>2.0</v>
      </c>
      <c r="M52" s="19">
        <v>3.0</v>
      </c>
      <c r="N52" s="19">
        <v>6.0</v>
      </c>
      <c r="O52" s="19">
        <v>4.0</v>
      </c>
      <c r="P52" s="19">
        <v>5.0</v>
      </c>
      <c r="Q52" s="19">
        <v>8.0</v>
      </c>
      <c r="R52" s="19">
        <v>11.0</v>
      </c>
      <c r="S52" s="19">
        <v>12.0</v>
      </c>
      <c r="T52" s="19">
        <v>3.0</v>
      </c>
      <c r="U52" s="19">
        <v>8.0</v>
      </c>
      <c r="V52" s="19">
        <v>6.0</v>
      </c>
      <c r="W52" s="19">
        <v>9.0</v>
      </c>
      <c r="X52" s="19">
        <v>6.0</v>
      </c>
      <c r="Y52" s="19">
        <v>9.0</v>
      </c>
      <c r="Z52" s="13">
        <f t="shared" si="14"/>
        <v>133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2.0</v>
      </c>
      <c r="G53" s="19">
        <v>0.0</v>
      </c>
      <c r="H53" s="19">
        <v>1.0</v>
      </c>
      <c r="I53" s="19">
        <v>2.0</v>
      </c>
      <c r="J53" s="19">
        <v>1.0</v>
      </c>
      <c r="K53" s="19">
        <v>3.0</v>
      </c>
      <c r="L53" s="19">
        <v>1.0</v>
      </c>
      <c r="M53" s="19">
        <v>1.0</v>
      </c>
      <c r="N53" s="19">
        <v>3.0</v>
      </c>
      <c r="O53" s="19">
        <v>1.0</v>
      </c>
      <c r="P53" s="19">
        <v>0.0</v>
      </c>
      <c r="Q53" s="19">
        <v>4.0</v>
      </c>
      <c r="R53" s="19">
        <v>6.0</v>
      </c>
      <c r="S53" s="19">
        <v>4.0</v>
      </c>
      <c r="T53" s="19">
        <v>1.0</v>
      </c>
      <c r="U53" s="19">
        <v>2.0</v>
      </c>
      <c r="V53" s="19">
        <v>1.0</v>
      </c>
      <c r="W53" s="19">
        <v>1.0</v>
      </c>
      <c r="X53" s="19">
        <v>4.0</v>
      </c>
      <c r="Y53" s="19">
        <v>3.0</v>
      </c>
      <c r="Z53" s="13">
        <f t="shared" si="14"/>
        <v>41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25.0</v>
      </c>
      <c r="F54" s="19">
        <v>28.0</v>
      </c>
      <c r="G54" s="19">
        <v>26.0</v>
      </c>
      <c r="H54" s="19">
        <v>22.0</v>
      </c>
      <c r="I54" s="19">
        <v>23.0</v>
      </c>
      <c r="J54" s="19">
        <v>43.0</v>
      </c>
      <c r="K54" s="19">
        <v>34.0</v>
      </c>
      <c r="L54" s="19">
        <v>28.0</v>
      </c>
      <c r="M54" s="19">
        <v>22.0</v>
      </c>
      <c r="N54" s="19">
        <v>19.0</v>
      </c>
      <c r="O54" s="19">
        <v>27.0</v>
      </c>
      <c r="P54" s="19">
        <v>42.0</v>
      </c>
      <c r="Q54" s="19">
        <v>23.0</v>
      </c>
      <c r="R54" s="19">
        <v>25.0</v>
      </c>
      <c r="S54" s="19">
        <v>14.0</v>
      </c>
      <c r="T54" s="19">
        <v>32.0</v>
      </c>
      <c r="U54" s="19">
        <v>28.0</v>
      </c>
      <c r="V54" s="19">
        <v>21.0</v>
      </c>
      <c r="W54" s="19">
        <v>31.0</v>
      </c>
      <c r="X54" s="19">
        <v>16.0</v>
      </c>
      <c r="Y54" s="19">
        <v>17.0</v>
      </c>
      <c r="Z54" s="13">
        <f t="shared" si="14"/>
        <v>546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2.0</v>
      </c>
      <c r="F55" s="19">
        <v>6.0</v>
      </c>
      <c r="G55" s="19">
        <v>7.0</v>
      </c>
      <c r="H55" s="19">
        <v>2.0</v>
      </c>
      <c r="I55" s="19">
        <v>0.0</v>
      </c>
      <c r="J55" s="19">
        <v>1.0</v>
      </c>
      <c r="K55" s="19">
        <v>1.0</v>
      </c>
      <c r="L55" s="19">
        <v>1.0</v>
      </c>
      <c r="M55" s="19">
        <v>3.0</v>
      </c>
      <c r="N55" s="19">
        <v>1.0</v>
      </c>
      <c r="O55" s="19">
        <v>2.0</v>
      </c>
      <c r="P55" s="19">
        <v>3.0</v>
      </c>
      <c r="Q55" s="19">
        <v>6.0</v>
      </c>
      <c r="R55" s="19">
        <v>3.0</v>
      </c>
      <c r="S55" s="19">
        <v>4.0</v>
      </c>
      <c r="T55" s="19">
        <v>3.0</v>
      </c>
      <c r="U55" s="19">
        <v>9.0</v>
      </c>
      <c r="V55" s="19">
        <v>4.0</v>
      </c>
      <c r="W55" s="19">
        <v>7.0</v>
      </c>
      <c r="X55" s="19">
        <v>4.0</v>
      </c>
      <c r="Y55" s="19">
        <v>0.0</v>
      </c>
      <c r="Z55" s="13">
        <f t="shared" si="14"/>
        <v>69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17.0</v>
      </c>
      <c r="F56" s="19">
        <v>15.0</v>
      </c>
      <c r="G56" s="19">
        <v>17.0</v>
      </c>
      <c r="H56" s="19">
        <v>13.0</v>
      </c>
      <c r="I56" s="19">
        <v>16.0</v>
      </c>
      <c r="J56" s="19">
        <v>11.0</v>
      </c>
      <c r="K56" s="19">
        <v>14.0</v>
      </c>
      <c r="L56" s="19">
        <v>23.0</v>
      </c>
      <c r="M56" s="19">
        <v>15.0</v>
      </c>
      <c r="N56" s="19">
        <v>18.0</v>
      </c>
      <c r="O56" s="19">
        <v>12.0</v>
      </c>
      <c r="P56" s="19">
        <v>18.0</v>
      </c>
      <c r="Q56" s="19">
        <v>15.0</v>
      </c>
      <c r="R56" s="19">
        <v>16.0</v>
      </c>
      <c r="S56" s="19">
        <v>11.0</v>
      </c>
      <c r="T56" s="19">
        <v>14.0</v>
      </c>
      <c r="U56" s="19">
        <v>17.0</v>
      </c>
      <c r="V56" s="19">
        <v>18.0</v>
      </c>
      <c r="W56" s="19">
        <v>18.0</v>
      </c>
      <c r="X56" s="19">
        <v>6.0</v>
      </c>
      <c r="Y56" s="19">
        <v>23.0</v>
      </c>
      <c r="Z56" s="13">
        <f t="shared" si="14"/>
        <v>327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6.0</v>
      </c>
      <c r="F57" s="19">
        <v>3.0</v>
      </c>
      <c r="G57" s="19">
        <v>1.0</v>
      </c>
      <c r="H57" s="19">
        <v>2.0</v>
      </c>
      <c r="I57" s="19">
        <v>3.0</v>
      </c>
      <c r="J57" s="19">
        <v>6.0</v>
      </c>
      <c r="K57" s="19">
        <v>3.0</v>
      </c>
      <c r="L57" s="19">
        <v>6.0</v>
      </c>
      <c r="M57" s="19">
        <v>6.0</v>
      </c>
      <c r="N57" s="19">
        <v>2.0</v>
      </c>
      <c r="O57" s="19">
        <v>5.0</v>
      </c>
      <c r="P57" s="19">
        <v>3.0</v>
      </c>
      <c r="Q57" s="19">
        <v>3.0</v>
      </c>
      <c r="R57" s="19">
        <v>1.0</v>
      </c>
      <c r="S57" s="19">
        <v>8.0</v>
      </c>
      <c r="T57" s="19">
        <v>3.0</v>
      </c>
      <c r="U57" s="19">
        <v>7.0</v>
      </c>
      <c r="V57" s="19">
        <v>2.0</v>
      </c>
      <c r="W57" s="19">
        <v>4.0</v>
      </c>
      <c r="X57" s="19">
        <v>9.0</v>
      </c>
      <c r="Y57" s="19">
        <v>3.0</v>
      </c>
      <c r="Z57" s="13">
        <f t="shared" si="14"/>
        <v>86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Y60" si="15">SUM(E45:E57)</f>
        <v>175</v>
      </c>
      <c r="F60" s="19">
        <f t="shared" si="15"/>
        <v>153</v>
      </c>
      <c r="G60" s="19">
        <f t="shared" si="15"/>
        <v>179</v>
      </c>
      <c r="H60" s="19">
        <f t="shared" si="15"/>
        <v>150</v>
      </c>
      <c r="I60" s="19">
        <f t="shared" si="15"/>
        <v>150</v>
      </c>
      <c r="J60" s="19">
        <f t="shared" si="15"/>
        <v>185</v>
      </c>
      <c r="K60" s="19">
        <f t="shared" si="15"/>
        <v>180</v>
      </c>
      <c r="L60" s="19">
        <f t="shared" si="15"/>
        <v>166</v>
      </c>
      <c r="M60" s="19">
        <f t="shared" si="15"/>
        <v>152</v>
      </c>
      <c r="N60" s="19">
        <f t="shared" si="15"/>
        <v>169</v>
      </c>
      <c r="O60" s="19">
        <f t="shared" si="15"/>
        <v>194</v>
      </c>
      <c r="P60" s="19">
        <f t="shared" si="15"/>
        <v>206</v>
      </c>
      <c r="Q60" s="19">
        <f t="shared" si="15"/>
        <v>196</v>
      </c>
      <c r="R60" s="19">
        <f t="shared" si="15"/>
        <v>157</v>
      </c>
      <c r="S60" s="19">
        <f t="shared" si="15"/>
        <v>184</v>
      </c>
      <c r="T60" s="19">
        <f t="shared" si="15"/>
        <v>188</v>
      </c>
      <c r="U60" s="19">
        <f t="shared" si="15"/>
        <v>190</v>
      </c>
      <c r="V60" s="19">
        <f t="shared" si="15"/>
        <v>193</v>
      </c>
      <c r="W60" s="19">
        <f t="shared" si="15"/>
        <v>176</v>
      </c>
      <c r="X60" s="19">
        <f t="shared" si="15"/>
        <v>144</v>
      </c>
      <c r="Y60" s="19">
        <f t="shared" si="15"/>
        <v>176</v>
      </c>
      <c r="Z60" s="13">
        <f t="shared" ref="Z60:Z62" si="16">SUM(E60:Y60)</f>
        <v>3663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33.0</v>
      </c>
      <c r="G61" s="19">
        <v>38.0</v>
      </c>
      <c r="H61" s="19">
        <v>42.0</v>
      </c>
      <c r="I61" s="19">
        <v>42.0</v>
      </c>
      <c r="J61" s="19">
        <v>42.0</v>
      </c>
      <c r="K61" s="19">
        <v>42.0</v>
      </c>
      <c r="L61" s="19">
        <v>43.0</v>
      </c>
      <c r="M61" s="19">
        <v>34.0</v>
      </c>
      <c r="N61" s="19">
        <v>37.0</v>
      </c>
      <c r="O61" s="19">
        <v>37.0</v>
      </c>
      <c r="P61" s="19">
        <v>31.0</v>
      </c>
      <c r="Q61" s="19">
        <v>27.0</v>
      </c>
      <c r="R61" s="19">
        <v>34.0</v>
      </c>
      <c r="S61" s="19">
        <v>24.0</v>
      </c>
      <c r="T61" s="19">
        <v>33.0</v>
      </c>
      <c r="U61" s="19">
        <v>48.0</v>
      </c>
      <c r="V61" s="19">
        <v>40.0</v>
      </c>
      <c r="W61" s="19">
        <v>29.0</v>
      </c>
      <c r="X61" s="19">
        <v>32.0</v>
      </c>
      <c r="Y61" s="19">
        <v>30.0</v>
      </c>
      <c r="Z61" s="13">
        <f t="shared" si="16"/>
        <v>746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Y62" si="17">SUM(E60:E61)</f>
        <v>203</v>
      </c>
      <c r="F62" s="13">
        <f t="shared" si="17"/>
        <v>186</v>
      </c>
      <c r="G62" s="13">
        <f t="shared" si="17"/>
        <v>217</v>
      </c>
      <c r="H62" s="13">
        <f t="shared" si="17"/>
        <v>192</v>
      </c>
      <c r="I62" s="13">
        <f t="shared" si="17"/>
        <v>192</v>
      </c>
      <c r="J62" s="13">
        <f t="shared" si="17"/>
        <v>227</v>
      </c>
      <c r="K62" s="13">
        <f t="shared" si="17"/>
        <v>222</v>
      </c>
      <c r="L62" s="13">
        <f t="shared" si="17"/>
        <v>209</v>
      </c>
      <c r="M62" s="13">
        <f t="shared" si="17"/>
        <v>186</v>
      </c>
      <c r="N62" s="13">
        <f t="shared" si="17"/>
        <v>206</v>
      </c>
      <c r="O62" s="13">
        <f t="shared" si="17"/>
        <v>231</v>
      </c>
      <c r="P62" s="13">
        <f t="shared" si="17"/>
        <v>237</v>
      </c>
      <c r="Q62" s="13">
        <f t="shared" si="17"/>
        <v>223</v>
      </c>
      <c r="R62" s="13">
        <f t="shared" si="17"/>
        <v>191</v>
      </c>
      <c r="S62" s="13">
        <f t="shared" si="17"/>
        <v>208</v>
      </c>
      <c r="T62" s="13">
        <f t="shared" si="17"/>
        <v>221</v>
      </c>
      <c r="U62" s="13">
        <f t="shared" si="17"/>
        <v>238</v>
      </c>
      <c r="V62" s="13">
        <f t="shared" si="17"/>
        <v>233</v>
      </c>
      <c r="W62" s="13">
        <f t="shared" si="17"/>
        <v>205</v>
      </c>
      <c r="X62" s="13">
        <f t="shared" si="17"/>
        <v>176</v>
      </c>
      <c r="Y62" s="13">
        <f t="shared" si="17"/>
        <v>206</v>
      </c>
      <c r="Z62" s="13">
        <f t="shared" si="16"/>
        <v>4409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Y15 E45:Y57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E30&lt;&gt;E46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60:Y61">
    <cfRule type="containsBlanks" dxfId="1" priority="10">
      <formula>LEN(TRIM(E60))=0</formula>
    </cfRule>
  </conditionalFormatting>
  <conditionalFormatting sqref="U34:Y34">
    <cfRule type="expression" dxfId="0" priority="11">
      <formula>U34&lt;&gt;U46</formula>
    </cfRule>
  </conditionalFormatting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</cols>
  <sheetData>
    <row r="1" ht="12.75" customHeight="1"/>
    <row r="2" ht="12.75" customHeight="1">
      <c r="C2" s="8" t="s">
        <v>0</v>
      </c>
      <c r="D2" s="8" t="s">
        <v>3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87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111.0</v>
      </c>
      <c r="G14" s="19">
        <v>121.0</v>
      </c>
      <c r="H14" s="19">
        <v>146.0</v>
      </c>
      <c r="I14" s="19">
        <v>125.0</v>
      </c>
      <c r="J14" s="19">
        <v>129.0</v>
      </c>
      <c r="K14" s="19">
        <v>136.0</v>
      </c>
      <c r="L14" s="19">
        <v>138.0</v>
      </c>
      <c r="M14" s="19">
        <v>138.0</v>
      </c>
      <c r="N14" s="19">
        <v>154.0</v>
      </c>
      <c r="O14" s="19">
        <v>130.0</v>
      </c>
      <c r="P14" s="19">
        <v>131.0</v>
      </c>
      <c r="Q14" s="19">
        <v>103.0</v>
      </c>
      <c r="R14" s="19">
        <v>140.0</v>
      </c>
      <c r="S14" s="19">
        <v>99.0</v>
      </c>
      <c r="T14" s="19">
        <v>118.0</v>
      </c>
      <c r="U14" s="13">
        <f t="shared" ref="U14:U16" si="1">SUM(E14:T14)</f>
        <v>2065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104.0</v>
      </c>
      <c r="G15" s="19">
        <v>115.0</v>
      </c>
      <c r="H15" s="19">
        <v>139.0</v>
      </c>
      <c r="I15" s="19">
        <v>138.0</v>
      </c>
      <c r="J15" s="19">
        <v>136.0</v>
      </c>
      <c r="K15" s="19">
        <v>151.0</v>
      </c>
      <c r="L15" s="19">
        <v>146.0</v>
      </c>
      <c r="M15" s="19">
        <v>146.0</v>
      </c>
      <c r="N15" s="19">
        <v>137.0</v>
      </c>
      <c r="O15" s="19">
        <v>148.0</v>
      </c>
      <c r="P15" s="19">
        <v>146.0</v>
      </c>
      <c r="Q15" s="19">
        <v>114.0</v>
      </c>
      <c r="R15" s="19">
        <v>139.0</v>
      </c>
      <c r="S15" s="19">
        <v>106.0</v>
      </c>
      <c r="T15" s="19">
        <v>125.0</v>
      </c>
      <c r="U15" s="13">
        <f t="shared" si="1"/>
        <v>2120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276</v>
      </c>
      <c r="F16" s="13">
        <f t="shared" si="2"/>
        <v>215</v>
      </c>
      <c r="G16" s="13">
        <f t="shared" si="2"/>
        <v>236</v>
      </c>
      <c r="H16" s="13">
        <f t="shared" si="2"/>
        <v>285</v>
      </c>
      <c r="I16" s="13">
        <f t="shared" si="2"/>
        <v>263</v>
      </c>
      <c r="J16" s="13">
        <f t="shared" si="2"/>
        <v>265</v>
      </c>
      <c r="K16" s="13">
        <f t="shared" si="2"/>
        <v>287</v>
      </c>
      <c r="L16" s="13">
        <f t="shared" si="2"/>
        <v>284</v>
      </c>
      <c r="M16" s="13">
        <f t="shared" si="2"/>
        <v>284</v>
      </c>
      <c r="N16" s="13">
        <f t="shared" si="2"/>
        <v>291</v>
      </c>
      <c r="O16" s="13">
        <f t="shared" si="2"/>
        <v>278</v>
      </c>
      <c r="P16" s="13">
        <f t="shared" si="2"/>
        <v>277</v>
      </c>
      <c r="Q16" s="13">
        <f t="shared" si="2"/>
        <v>217</v>
      </c>
      <c r="R16" s="13">
        <f t="shared" si="2"/>
        <v>279</v>
      </c>
      <c r="S16" s="13">
        <f t="shared" si="2"/>
        <v>205</v>
      </c>
      <c r="T16" s="13">
        <f t="shared" si="2"/>
        <v>243</v>
      </c>
      <c r="U16" s="13">
        <f t="shared" si="1"/>
        <v>4185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99.0</v>
      </c>
      <c r="F19" s="19">
        <v>80.0</v>
      </c>
      <c r="G19" s="19">
        <v>85.0</v>
      </c>
      <c r="H19" s="19">
        <v>96.0</v>
      </c>
      <c r="I19" s="19">
        <v>89.0</v>
      </c>
      <c r="J19" s="19">
        <v>100.0</v>
      </c>
      <c r="K19" s="19">
        <v>95.0</v>
      </c>
      <c r="L19" s="19">
        <v>89.0</v>
      </c>
      <c r="M19" s="19">
        <v>91.0</v>
      </c>
      <c r="N19" s="19">
        <v>120.0</v>
      </c>
      <c r="O19" s="19">
        <v>89.0</v>
      </c>
      <c r="P19" s="19">
        <v>93.0</v>
      </c>
      <c r="Q19" s="19">
        <v>82.0</v>
      </c>
      <c r="R19" s="19">
        <v>105.0</v>
      </c>
      <c r="S19" s="19">
        <v>71.0</v>
      </c>
      <c r="T19" s="19">
        <v>98.0</v>
      </c>
      <c r="U19" s="13">
        <f t="shared" ref="U19:U30" si="3">SUM(E19:T19)</f>
        <v>1482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87.0</v>
      </c>
      <c r="G20" s="19">
        <v>90.0</v>
      </c>
      <c r="H20" s="19">
        <v>109.0</v>
      </c>
      <c r="I20" s="19">
        <v>107.0</v>
      </c>
      <c r="J20" s="19">
        <v>106.0</v>
      </c>
      <c r="K20" s="19">
        <v>119.0</v>
      </c>
      <c r="L20" s="19">
        <v>114.0</v>
      </c>
      <c r="M20" s="19">
        <v>109.0</v>
      </c>
      <c r="N20" s="19">
        <v>129.0</v>
      </c>
      <c r="O20" s="19">
        <v>105.0</v>
      </c>
      <c r="P20" s="19">
        <v>129.0</v>
      </c>
      <c r="Q20" s="19">
        <v>100.0</v>
      </c>
      <c r="R20" s="19">
        <v>118.0</v>
      </c>
      <c r="S20" s="19">
        <v>90.0</v>
      </c>
      <c r="T20" s="19">
        <v>103.0</v>
      </c>
      <c r="U20" s="13">
        <f t="shared" si="3"/>
        <v>1725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209</v>
      </c>
      <c r="F21" s="13">
        <f t="shared" si="4"/>
        <v>167</v>
      </c>
      <c r="G21" s="13">
        <f t="shared" si="4"/>
        <v>175</v>
      </c>
      <c r="H21" s="13">
        <f t="shared" si="4"/>
        <v>205</v>
      </c>
      <c r="I21" s="13">
        <f t="shared" si="4"/>
        <v>196</v>
      </c>
      <c r="J21" s="13">
        <f t="shared" si="4"/>
        <v>206</v>
      </c>
      <c r="K21" s="13">
        <f t="shared" si="4"/>
        <v>214</v>
      </c>
      <c r="L21" s="13">
        <f t="shared" si="4"/>
        <v>203</v>
      </c>
      <c r="M21" s="13">
        <f t="shared" si="4"/>
        <v>200</v>
      </c>
      <c r="N21" s="13">
        <f t="shared" si="4"/>
        <v>249</v>
      </c>
      <c r="O21" s="13">
        <f t="shared" si="4"/>
        <v>194</v>
      </c>
      <c r="P21" s="13">
        <f t="shared" si="4"/>
        <v>222</v>
      </c>
      <c r="Q21" s="13">
        <f t="shared" si="4"/>
        <v>182</v>
      </c>
      <c r="R21" s="13">
        <f t="shared" si="4"/>
        <v>223</v>
      </c>
      <c r="S21" s="13">
        <f t="shared" si="4"/>
        <v>161</v>
      </c>
      <c r="T21" s="13">
        <f t="shared" si="4"/>
        <v>201</v>
      </c>
      <c r="U21" s="13">
        <f t="shared" si="3"/>
        <v>3207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2.0</v>
      </c>
      <c r="T22" s="19">
        <v>0.0</v>
      </c>
      <c r="U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0.0</v>
      </c>
      <c r="Q23" s="19">
        <v>1.0</v>
      </c>
      <c r="R23" s="19">
        <v>0.0</v>
      </c>
      <c r="S23" s="19">
        <v>2.0</v>
      </c>
      <c r="T23" s="19">
        <v>0.0</v>
      </c>
      <c r="U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4</v>
      </c>
      <c r="T24" s="13">
        <f t="shared" si="5"/>
        <v>0</v>
      </c>
      <c r="U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2.0</v>
      </c>
      <c r="K25" s="19">
        <v>2.0</v>
      </c>
      <c r="L25" s="19">
        <v>0.0</v>
      </c>
      <c r="M25" s="19">
        <v>1.0</v>
      </c>
      <c r="N25" s="19">
        <v>3.0</v>
      </c>
      <c r="O25" s="19">
        <v>1.0</v>
      </c>
      <c r="P25" s="19">
        <v>0.0</v>
      </c>
      <c r="Q25" s="19">
        <v>0.0</v>
      </c>
      <c r="R25" s="19">
        <v>4.0</v>
      </c>
      <c r="S25" s="19">
        <v>2.0</v>
      </c>
      <c r="T25" s="19">
        <v>3.0</v>
      </c>
      <c r="U25" s="13">
        <f t="shared" si="3"/>
        <v>19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1.0</v>
      </c>
      <c r="I26" s="19">
        <v>4.0</v>
      </c>
      <c r="J26" s="19">
        <v>2.0</v>
      </c>
      <c r="K26" s="19">
        <v>1.0</v>
      </c>
      <c r="L26" s="19">
        <v>2.0</v>
      </c>
      <c r="M26" s="19">
        <v>5.0</v>
      </c>
      <c r="N26" s="19">
        <v>2.0</v>
      </c>
      <c r="O26" s="19">
        <v>0.0</v>
      </c>
      <c r="P26" s="19">
        <v>1.0</v>
      </c>
      <c r="Q26" s="19">
        <v>4.0</v>
      </c>
      <c r="R26" s="19">
        <v>6.0</v>
      </c>
      <c r="S26" s="19">
        <v>3.0</v>
      </c>
      <c r="T26" s="19">
        <v>2.0</v>
      </c>
      <c r="U26" s="13">
        <f t="shared" si="3"/>
        <v>34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4</v>
      </c>
      <c r="J27" s="13">
        <f t="shared" si="6"/>
        <v>4</v>
      </c>
      <c r="K27" s="13">
        <f t="shared" si="6"/>
        <v>3</v>
      </c>
      <c r="L27" s="13">
        <f t="shared" si="6"/>
        <v>2</v>
      </c>
      <c r="M27" s="13">
        <f t="shared" si="6"/>
        <v>6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4</v>
      </c>
      <c r="R27" s="13">
        <f t="shared" si="6"/>
        <v>10</v>
      </c>
      <c r="S27" s="13">
        <f t="shared" si="6"/>
        <v>5</v>
      </c>
      <c r="T27" s="13">
        <f t="shared" si="6"/>
        <v>5</v>
      </c>
      <c r="U27" s="13">
        <f t="shared" si="3"/>
        <v>53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100</v>
      </c>
      <c r="F28" s="13">
        <f t="shared" si="7"/>
        <v>82</v>
      </c>
      <c r="G28" s="13">
        <f t="shared" si="7"/>
        <v>85</v>
      </c>
      <c r="H28" s="13">
        <f t="shared" si="7"/>
        <v>96</v>
      </c>
      <c r="I28" s="13">
        <f t="shared" si="7"/>
        <v>89</v>
      </c>
      <c r="J28" s="13">
        <f t="shared" si="7"/>
        <v>102</v>
      </c>
      <c r="K28" s="13">
        <f t="shared" si="7"/>
        <v>97</v>
      </c>
      <c r="L28" s="13">
        <f t="shared" si="7"/>
        <v>89</v>
      </c>
      <c r="M28" s="13">
        <f t="shared" si="7"/>
        <v>92</v>
      </c>
      <c r="N28" s="13">
        <f t="shared" si="7"/>
        <v>123</v>
      </c>
      <c r="O28" s="13">
        <f t="shared" si="7"/>
        <v>90</v>
      </c>
      <c r="P28" s="13">
        <f t="shared" si="7"/>
        <v>93</v>
      </c>
      <c r="Q28" s="13">
        <f t="shared" si="7"/>
        <v>82</v>
      </c>
      <c r="R28" s="13">
        <f t="shared" si="7"/>
        <v>109</v>
      </c>
      <c r="S28" s="13">
        <f t="shared" si="7"/>
        <v>75</v>
      </c>
      <c r="T28" s="13">
        <f t="shared" si="7"/>
        <v>101</v>
      </c>
      <c r="U28" s="13">
        <f t="shared" si="3"/>
        <v>1505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111</v>
      </c>
      <c r="F29" s="13">
        <f t="shared" si="8"/>
        <v>87</v>
      </c>
      <c r="G29" s="13">
        <f t="shared" si="8"/>
        <v>90</v>
      </c>
      <c r="H29" s="13">
        <f t="shared" si="8"/>
        <v>110</v>
      </c>
      <c r="I29" s="13">
        <f t="shared" si="8"/>
        <v>111</v>
      </c>
      <c r="J29" s="13">
        <f t="shared" si="8"/>
        <v>108</v>
      </c>
      <c r="K29" s="13">
        <f t="shared" si="8"/>
        <v>120</v>
      </c>
      <c r="L29" s="13">
        <f t="shared" si="8"/>
        <v>116</v>
      </c>
      <c r="M29" s="13">
        <f t="shared" si="8"/>
        <v>114</v>
      </c>
      <c r="N29" s="13">
        <f t="shared" si="8"/>
        <v>133</v>
      </c>
      <c r="O29" s="13">
        <f t="shared" si="8"/>
        <v>105</v>
      </c>
      <c r="P29" s="13">
        <f t="shared" si="8"/>
        <v>130</v>
      </c>
      <c r="Q29" s="13">
        <f t="shared" si="8"/>
        <v>105</v>
      </c>
      <c r="R29" s="13">
        <f t="shared" si="8"/>
        <v>124</v>
      </c>
      <c r="S29" s="13">
        <f t="shared" si="8"/>
        <v>95</v>
      </c>
      <c r="T29" s="13">
        <f t="shared" si="8"/>
        <v>105</v>
      </c>
      <c r="U29" s="13">
        <f t="shared" si="3"/>
        <v>1764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211</v>
      </c>
      <c r="F30" s="13">
        <f t="shared" si="9"/>
        <v>169</v>
      </c>
      <c r="G30" s="13">
        <f t="shared" si="9"/>
        <v>175</v>
      </c>
      <c r="H30" s="13">
        <f t="shared" si="9"/>
        <v>206</v>
      </c>
      <c r="I30" s="13">
        <f t="shared" si="9"/>
        <v>200</v>
      </c>
      <c r="J30" s="13">
        <f t="shared" si="9"/>
        <v>210</v>
      </c>
      <c r="K30" s="13">
        <f t="shared" si="9"/>
        <v>217</v>
      </c>
      <c r="L30" s="13">
        <f t="shared" si="9"/>
        <v>205</v>
      </c>
      <c r="M30" s="13">
        <f t="shared" si="9"/>
        <v>206</v>
      </c>
      <c r="N30" s="13">
        <f t="shared" si="9"/>
        <v>256</v>
      </c>
      <c r="O30" s="13">
        <f t="shared" si="9"/>
        <v>195</v>
      </c>
      <c r="P30" s="13">
        <f t="shared" si="9"/>
        <v>223</v>
      </c>
      <c r="Q30" s="13">
        <f t="shared" si="9"/>
        <v>187</v>
      </c>
      <c r="R30" s="13">
        <f t="shared" si="9"/>
        <v>233</v>
      </c>
      <c r="S30" s="13">
        <f t="shared" si="9"/>
        <v>170</v>
      </c>
      <c r="T30" s="13">
        <f t="shared" si="9"/>
        <v>206</v>
      </c>
      <c r="U30" s="13">
        <f t="shared" si="3"/>
        <v>3269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59"/>
    </row>
    <row r="33" ht="12.75" customHeight="1">
      <c r="A33" s="19">
        <v>1.0</v>
      </c>
      <c r="B33" s="20" t="s">
        <v>85</v>
      </c>
      <c r="C33" s="15"/>
      <c r="D33" s="16"/>
      <c r="E33" s="19">
        <v>282.0</v>
      </c>
      <c r="F33" s="19">
        <v>220.0</v>
      </c>
      <c r="G33" s="19">
        <v>241.0</v>
      </c>
      <c r="H33" s="19">
        <v>292.0</v>
      </c>
      <c r="I33" s="19">
        <v>269.0</v>
      </c>
      <c r="J33" s="19">
        <v>271.0</v>
      </c>
      <c r="K33" s="19">
        <v>293.0</v>
      </c>
      <c r="L33" s="19">
        <v>290.0</v>
      </c>
      <c r="M33" s="19">
        <v>290.0</v>
      </c>
      <c r="N33" s="19">
        <v>297.0</v>
      </c>
      <c r="O33" s="19">
        <v>284.0</v>
      </c>
      <c r="P33" s="19">
        <v>283.0</v>
      </c>
      <c r="Q33" s="19">
        <v>222.0</v>
      </c>
      <c r="R33" s="19">
        <v>284.0</v>
      </c>
      <c r="S33" s="19">
        <v>211.0</v>
      </c>
      <c r="T33" s="19">
        <v>248.0</v>
      </c>
      <c r="U33" s="13">
        <f t="shared" ref="U33:U36" si="10">SUM(E33:T33)</f>
        <v>4277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169.0</v>
      </c>
      <c r="G34" s="13">
        <v>175.0</v>
      </c>
      <c r="H34" s="13">
        <v>206.0</v>
      </c>
      <c r="I34" s="13">
        <v>200.0</v>
      </c>
      <c r="J34" s="13">
        <v>210.0</v>
      </c>
      <c r="K34" s="13">
        <v>217.0</v>
      </c>
      <c r="L34" s="13">
        <v>205.0</v>
      </c>
      <c r="M34" s="13">
        <v>206.0</v>
      </c>
      <c r="N34" s="13">
        <v>256.0</v>
      </c>
      <c r="O34" s="13">
        <v>195.0</v>
      </c>
      <c r="P34" s="13">
        <v>223.0</v>
      </c>
      <c r="Q34" s="13">
        <v>187.0</v>
      </c>
      <c r="R34" s="13">
        <v>233.0</v>
      </c>
      <c r="S34" s="13">
        <v>170.0</v>
      </c>
      <c r="T34" s="13">
        <v>206.0</v>
      </c>
      <c r="U34" s="13">
        <f t="shared" si="10"/>
        <v>3269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71</v>
      </c>
      <c r="F36" s="13">
        <f t="shared" si="11"/>
        <v>51</v>
      </c>
      <c r="G36" s="13">
        <f t="shared" si="11"/>
        <v>66</v>
      </c>
      <c r="H36" s="13">
        <f t="shared" si="11"/>
        <v>86</v>
      </c>
      <c r="I36" s="13">
        <f t="shared" si="11"/>
        <v>69</v>
      </c>
      <c r="J36" s="13">
        <f t="shared" si="11"/>
        <v>61</v>
      </c>
      <c r="K36" s="13">
        <f t="shared" si="11"/>
        <v>76</v>
      </c>
      <c r="L36" s="13">
        <f t="shared" si="11"/>
        <v>85</v>
      </c>
      <c r="M36" s="13">
        <f t="shared" si="11"/>
        <v>84</v>
      </c>
      <c r="N36" s="13">
        <f t="shared" si="11"/>
        <v>41</v>
      </c>
      <c r="O36" s="13">
        <f t="shared" si="11"/>
        <v>89</v>
      </c>
      <c r="P36" s="13">
        <f t="shared" si="11"/>
        <v>60</v>
      </c>
      <c r="Q36" s="13">
        <f t="shared" si="11"/>
        <v>35</v>
      </c>
      <c r="R36" s="13">
        <f t="shared" si="11"/>
        <v>51</v>
      </c>
      <c r="S36" s="13">
        <f t="shared" si="11"/>
        <v>40</v>
      </c>
      <c r="T36" s="13">
        <f t="shared" si="11"/>
        <v>42</v>
      </c>
      <c r="U36" s="13">
        <f t="shared" si="10"/>
        <v>1007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61"/>
      <c r="S37" s="61"/>
      <c r="T37" s="61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/>
      <c r="J39" s="19"/>
      <c r="K39" s="19">
        <v>1.0</v>
      </c>
      <c r="L39" s="19"/>
      <c r="M39" s="19"/>
      <c r="N39" s="19"/>
      <c r="O39" s="19"/>
      <c r="P39" s="19">
        <v>1.0</v>
      </c>
      <c r="Q39" s="19">
        <v>2.0</v>
      </c>
      <c r="R39" s="19"/>
      <c r="S39" s="19">
        <v>1.0</v>
      </c>
      <c r="T39" s="19"/>
      <c r="U39" s="13">
        <f t="shared" ref="U39:U41" si="12">SUM(E39:T39)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/>
      <c r="H40" s="19"/>
      <c r="I40" s="19"/>
      <c r="J40" s="19"/>
      <c r="K40" s="19">
        <v>1.0</v>
      </c>
      <c r="L40" s="19"/>
      <c r="M40" s="19"/>
      <c r="N40" s="19"/>
      <c r="O40" s="19">
        <v>1.0</v>
      </c>
      <c r="P40" s="19"/>
      <c r="Q40" s="19">
        <v>2.0</v>
      </c>
      <c r="R40" s="19"/>
      <c r="S40" s="19">
        <v>6.0</v>
      </c>
      <c r="T40" s="19"/>
      <c r="U40" s="13">
        <f t="shared" si="12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3"/>
        <v>7</v>
      </c>
      <c r="T41" s="13">
        <f t="shared" si="13"/>
        <v>0</v>
      </c>
      <c r="U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3"/>
    </row>
    <row r="45" ht="12.75" customHeight="1">
      <c r="A45" s="30"/>
      <c r="B45" s="47" t="s">
        <v>17</v>
      </c>
      <c r="C45" s="62" t="s">
        <v>38</v>
      </c>
      <c r="D45" s="16"/>
      <c r="E45" s="19">
        <v>21.0</v>
      </c>
      <c r="F45" s="19">
        <v>7.0</v>
      </c>
      <c r="G45" s="19">
        <v>10.0</v>
      </c>
      <c r="H45" s="19">
        <v>14.0</v>
      </c>
      <c r="I45" s="19">
        <v>11.0</v>
      </c>
      <c r="J45" s="19">
        <v>14.0</v>
      </c>
      <c r="K45" s="19">
        <v>18.0</v>
      </c>
      <c r="L45" s="19">
        <v>11.0</v>
      </c>
      <c r="M45" s="19">
        <v>12.0</v>
      </c>
      <c r="N45" s="19">
        <v>16.0</v>
      </c>
      <c r="O45" s="19">
        <v>6.0</v>
      </c>
      <c r="P45" s="19">
        <v>19.0</v>
      </c>
      <c r="Q45" s="19">
        <v>17.0</v>
      </c>
      <c r="R45" s="19">
        <v>18.0</v>
      </c>
      <c r="S45" s="19">
        <v>14.0</v>
      </c>
      <c r="T45" s="19">
        <v>20.0</v>
      </c>
      <c r="U45" s="13">
        <f t="shared" ref="U45:U57" si="14">SUM(E45:T45)</f>
        <v>228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28.0</v>
      </c>
      <c r="F46" s="19">
        <v>30.0</v>
      </c>
      <c r="G46" s="19">
        <v>22.0</v>
      </c>
      <c r="H46" s="19">
        <v>28.0</v>
      </c>
      <c r="I46" s="19">
        <v>28.0</v>
      </c>
      <c r="J46" s="19">
        <v>22.0</v>
      </c>
      <c r="K46" s="19">
        <v>25.0</v>
      </c>
      <c r="L46" s="19">
        <v>28.0</v>
      </c>
      <c r="M46" s="19">
        <v>24.0</v>
      </c>
      <c r="N46" s="19">
        <v>31.0</v>
      </c>
      <c r="O46" s="19">
        <v>32.0</v>
      </c>
      <c r="P46" s="19">
        <v>27.0</v>
      </c>
      <c r="Q46" s="19">
        <v>15.0</v>
      </c>
      <c r="R46" s="19">
        <v>44.0</v>
      </c>
      <c r="S46" s="19">
        <v>28.0</v>
      </c>
      <c r="T46" s="19">
        <v>30.0</v>
      </c>
      <c r="U46" s="13">
        <f t="shared" si="14"/>
        <v>442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9.0</v>
      </c>
      <c r="F47" s="19">
        <v>8.0</v>
      </c>
      <c r="G47" s="19">
        <v>10.0</v>
      </c>
      <c r="H47" s="19">
        <v>13.0</v>
      </c>
      <c r="I47" s="19">
        <v>16.0</v>
      </c>
      <c r="J47" s="19">
        <v>16.0</v>
      </c>
      <c r="K47" s="19">
        <v>6.0</v>
      </c>
      <c r="L47" s="19">
        <v>15.0</v>
      </c>
      <c r="M47" s="19">
        <v>7.0</v>
      </c>
      <c r="N47" s="19">
        <v>20.0</v>
      </c>
      <c r="O47" s="19">
        <v>11.0</v>
      </c>
      <c r="P47" s="19">
        <v>15.0</v>
      </c>
      <c r="Q47" s="19">
        <v>9.0</v>
      </c>
      <c r="R47" s="19">
        <v>10.0</v>
      </c>
      <c r="S47" s="19">
        <v>5.0</v>
      </c>
      <c r="T47" s="19">
        <v>18.0</v>
      </c>
      <c r="U47" s="13">
        <f t="shared" si="14"/>
        <v>188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24.0</v>
      </c>
      <c r="F48" s="19">
        <v>23.0</v>
      </c>
      <c r="G48" s="19">
        <v>16.0</v>
      </c>
      <c r="H48" s="19">
        <v>21.0</v>
      </c>
      <c r="I48" s="19">
        <v>20.0</v>
      </c>
      <c r="J48" s="19">
        <v>14.0</v>
      </c>
      <c r="K48" s="19">
        <v>26.0</v>
      </c>
      <c r="L48" s="19">
        <v>15.0</v>
      </c>
      <c r="M48" s="19">
        <v>23.0</v>
      </c>
      <c r="N48" s="19">
        <v>28.0</v>
      </c>
      <c r="O48" s="19">
        <v>18.0</v>
      </c>
      <c r="P48" s="19">
        <v>28.0</v>
      </c>
      <c r="Q48" s="19">
        <v>25.0</v>
      </c>
      <c r="R48" s="19">
        <v>28.0</v>
      </c>
      <c r="S48" s="19">
        <v>20.0</v>
      </c>
      <c r="T48" s="19">
        <v>9.0</v>
      </c>
      <c r="U48" s="13">
        <f t="shared" si="14"/>
        <v>338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12.0</v>
      </c>
      <c r="F49" s="19">
        <v>11.0</v>
      </c>
      <c r="G49" s="19">
        <v>17.0</v>
      </c>
      <c r="H49" s="19">
        <v>26.0</v>
      </c>
      <c r="I49" s="19">
        <v>16.0</v>
      </c>
      <c r="J49" s="19">
        <v>22.0</v>
      </c>
      <c r="K49" s="19">
        <v>19.0</v>
      </c>
      <c r="L49" s="19">
        <v>32.0</v>
      </c>
      <c r="M49" s="19">
        <v>27.0</v>
      </c>
      <c r="N49" s="19">
        <v>25.0</v>
      </c>
      <c r="O49" s="19">
        <v>21.0</v>
      </c>
      <c r="P49" s="19">
        <v>15.0</v>
      </c>
      <c r="Q49" s="19">
        <v>18.0</v>
      </c>
      <c r="R49" s="19">
        <v>9.0</v>
      </c>
      <c r="S49" s="19">
        <v>26.0</v>
      </c>
      <c r="T49" s="19">
        <v>19.0</v>
      </c>
      <c r="U49" s="13">
        <f t="shared" si="14"/>
        <v>315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15.0</v>
      </c>
      <c r="F50" s="19">
        <v>11.0</v>
      </c>
      <c r="G50" s="19">
        <v>17.0</v>
      </c>
      <c r="H50" s="19">
        <v>11.0</v>
      </c>
      <c r="I50" s="19">
        <v>18.0</v>
      </c>
      <c r="J50" s="19">
        <v>16.0</v>
      </c>
      <c r="K50" s="19">
        <v>13.0</v>
      </c>
      <c r="L50" s="19">
        <v>8.0</v>
      </c>
      <c r="M50" s="19">
        <v>12.0</v>
      </c>
      <c r="N50" s="19">
        <v>14.0</v>
      </c>
      <c r="O50" s="19">
        <v>4.0</v>
      </c>
      <c r="P50" s="19">
        <v>10.0</v>
      </c>
      <c r="Q50" s="19">
        <v>10.0</v>
      </c>
      <c r="R50" s="19">
        <v>13.0</v>
      </c>
      <c r="S50" s="19">
        <v>9.0</v>
      </c>
      <c r="T50" s="19">
        <v>14.0</v>
      </c>
      <c r="U50" s="13">
        <f t="shared" si="14"/>
        <v>195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6.0</v>
      </c>
      <c r="F51" s="19">
        <v>1.0</v>
      </c>
      <c r="G51" s="19">
        <v>3.0</v>
      </c>
      <c r="H51" s="19">
        <v>2.0</v>
      </c>
      <c r="I51" s="19">
        <v>2.0</v>
      </c>
      <c r="J51" s="19">
        <v>4.0</v>
      </c>
      <c r="K51" s="19">
        <v>4.0</v>
      </c>
      <c r="L51" s="19">
        <v>2.0</v>
      </c>
      <c r="M51" s="19">
        <v>2.0</v>
      </c>
      <c r="N51" s="19">
        <v>9.0</v>
      </c>
      <c r="O51" s="19">
        <v>1.0</v>
      </c>
      <c r="P51" s="19">
        <v>3.0</v>
      </c>
      <c r="Q51" s="19">
        <v>2.0</v>
      </c>
      <c r="R51" s="19">
        <v>2.0</v>
      </c>
      <c r="S51" s="19">
        <v>0.0</v>
      </c>
      <c r="T51" s="19">
        <v>2.0</v>
      </c>
      <c r="U51" s="13">
        <f t="shared" si="14"/>
        <v>45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10.0</v>
      </c>
      <c r="F52" s="19">
        <v>1.0</v>
      </c>
      <c r="G52" s="19">
        <v>3.0</v>
      </c>
      <c r="H52" s="19">
        <v>7.0</v>
      </c>
      <c r="I52" s="19">
        <v>2.0</v>
      </c>
      <c r="J52" s="19">
        <v>8.0</v>
      </c>
      <c r="K52" s="19">
        <v>0.0</v>
      </c>
      <c r="L52" s="19">
        <v>6.0</v>
      </c>
      <c r="M52" s="19">
        <v>4.0</v>
      </c>
      <c r="N52" s="19">
        <v>6.0</v>
      </c>
      <c r="O52" s="19">
        <v>1.0</v>
      </c>
      <c r="P52" s="19">
        <v>3.0</v>
      </c>
      <c r="Q52" s="19">
        <v>6.0</v>
      </c>
      <c r="R52" s="19">
        <v>1.0</v>
      </c>
      <c r="S52" s="19">
        <v>1.0</v>
      </c>
      <c r="T52" s="19">
        <v>6.0</v>
      </c>
      <c r="U52" s="13">
        <f t="shared" si="14"/>
        <v>65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2.0</v>
      </c>
      <c r="F53" s="19">
        <v>0.0</v>
      </c>
      <c r="G53" s="19">
        <v>4.0</v>
      </c>
      <c r="H53" s="19">
        <v>2.0</v>
      </c>
      <c r="I53" s="19">
        <v>0.0</v>
      </c>
      <c r="J53" s="19">
        <v>2.0</v>
      </c>
      <c r="K53" s="19">
        <v>1.0</v>
      </c>
      <c r="L53" s="19">
        <v>1.0</v>
      </c>
      <c r="M53" s="19">
        <v>1.0</v>
      </c>
      <c r="N53" s="19">
        <v>0.0</v>
      </c>
      <c r="O53" s="19">
        <v>1.0</v>
      </c>
      <c r="P53" s="19">
        <v>1.0</v>
      </c>
      <c r="Q53" s="19">
        <v>1.0</v>
      </c>
      <c r="R53" s="19">
        <v>1.0</v>
      </c>
      <c r="S53" s="19">
        <v>0.0</v>
      </c>
      <c r="T53" s="19">
        <v>0.0</v>
      </c>
      <c r="U53" s="13">
        <f t="shared" si="14"/>
        <v>17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23.0</v>
      </c>
      <c r="F54" s="19">
        <v>21.0</v>
      </c>
      <c r="G54" s="19">
        <v>13.0</v>
      </c>
      <c r="H54" s="19">
        <v>20.0</v>
      </c>
      <c r="I54" s="19">
        <v>17.0</v>
      </c>
      <c r="J54" s="19">
        <v>21.0</v>
      </c>
      <c r="K54" s="19">
        <v>33.0</v>
      </c>
      <c r="L54" s="19">
        <v>27.0</v>
      </c>
      <c r="M54" s="19">
        <v>24.0</v>
      </c>
      <c r="N54" s="19">
        <v>35.0</v>
      </c>
      <c r="O54" s="19">
        <v>24.0</v>
      </c>
      <c r="P54" s="19">
        <v>27.0</v>
      </c>
      <c r="Q54" s="19">
        <v>20.0</v>
      </c>
      <c r="R54" s="19">
        <v>22.0</v>
      </c>
      <c r="S54" s="19">
        <v>16.0</v>
      </c>
      <c r="T54" s="19">
        <v>13.0</v>
      </c>
      <c r="U54" s="13">
        <f t="shared" si="14"/>
        <v>356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0.0</v>
      </c>
      <c r="G55" s="19">
        <v>2.0</v>
      </c>
      <c r="H55" s="19">
        <v>3.0</v>
      </c>
      <c r="I55" s="19">
        <v>0.0</v>
      </c>
      <c r="J55" s="19">
        <v>2.0</v>
      </c>
      <c r="K55" s="19">
        <v>1.0</v>
      </c>
      <c r="L55" s="19">
        <v>4.0</v>
      </c>
      <c r="M55" s="19">
        <v>4.0</v>
      </c>
      <c r="N55" s="19">
        <v>4.0</v>
      </c>
      <c r="O55" s="19">
        <v>1.0</v>
      </c>
      <c r="P55" s="19">
        <v>0.0</v>
      </c>
      <c r="Q55" s="19">
        <v>2.0</v>
      </c>
      <c r="R55" s="19">
        <v>3.0</v>
      </c>
      <c r="S55" s="19">
        <v>0.0</v>
      </c>
      <c r="T55" s="19">
        <v>1.0</v>
      </c>
      <c r="U55" s="13">
        <f t="shared" si="14"/>
        <v>27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16.0</v>
      </c>
      <c r="F56" s="19">
        <v>14.0</v>
      </c>
      <c r="G56" s="19">
        <v>17.0</v>
      </c>
      <c r="H56" s="19">
        <v>24.0</v>
      </c>
      <c r="I56" s="19">
        <v>22.0</v>
      </c>
      <c r="J56" s="19">
        <v>24.0</v>
      </c>
      <c r="K56" s="19">
        <v>23.0</v>
      </c>
      <c r="L56" s="19">
        <v>18.0</v>
      </c>
      <c r="M56" s="19">
        <v>24.0</v>
      </c>
      <c r="N56" s="19">
        <v>27.0</v>
      </c>
      <c r="O56" s="19">
        <v>22.0</v>
      </c>
      <c r="P56" s="19">
        <v>27.0</v>
      </c>
      <c r="Q56" s="19">
        <v>21.0</v>
      </c>
      <c r="R56" s="19">
        <v>27.0</v>
      </c>
      <c r="S56" s="19">
        <v>17.0</v>
      </c>
      <c r="T56" s="19">
        <v>16.0</v>
      </c>
      <c r="U56" s="13">
        <f t="shared" si="14"/>
        <v>339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2.0</v>
      </c>
      <c r="F57" s="19">
        <v>2.0</v>
      </c>
      <c r="G57" s="19">
        <v>1.0</v>
      </c>
      <c r="H57" s="19">
        <v>2.0</v>
      </c>
      <c r="I57" s="19">
        <v>6.0</v>
      </c>
      <c r="J57" s="19">
        <v>2.0</v>
      </c>
      <c r="K57" s="19">
        <v>1.0</v>
      </c>
      <c r="L57" s="19">
        <v>1.0</v>
      </c>
      <c r="M57" s="19">
        <v>3.0</v>
      </c>
      <c r="N57" s="19">
        <v>1.0</v>
      </c>
      <c r="O57" s="19">
        <v>1.0</v>
      </c>
      <c r="P57" s="19">
        <v>5.0</v>
      </c>
      <c r="Q57" s="19">
        <v>3.0</v>
      </c>
      <c r="R57" s="19">
        <v>3.0</v>
      </c>
      <c r="S57" s="19">
        <v>3.0</v>
      </c>
      <c r="T57" s="19">
        <v>2.0</v>
      </c>
      <c r="U57" s="13">
        <f t="shared" si="14"/>
        <v>38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T60" si="15">SUM(E45:E57)</f>
        <v>168</v>
      </c>
      <c r="F60" s="19">
        <f t="shared" si="15"/>
        <v>129</v>
      </c>
      <c r="G60" s="19">
        <f t="shared" si="15"/>
        <v>135</v>
      </c>
      <c r="H60" s="19">
        <f t="shared" si="15"/>
        <v>173</v>
      </c>
      <c r="I60" s="19">
        <f t="shared" si="15"/>
        <v>158</v>
      </c>
      <c r="J60" s="19">
        <f t="shared" si="15"/>
        <v>167</v>
      </c>
      <c r="K60" s="19">
        <f t="shared" si="15"/>
        <v>170</v>
      </c>
      <c r="L60" s="19">
        <f t="shared" si="15"/>
        <v>168</v>
      </c>
      <c r="M60" s="19">
        <f t="shared" si="15"/>
        <v>167</v>
      </c>
      <c r="N60" s="19">
        <f t="shared" si="15"/>
        <v>216</v>
      </c>
      <c r="O60" s="19">
        <f t="shared" si="15"/>
        <v>143</v>
      </c>
      <c r="P60" s="19">
        <f t="shared" si="15"/>
        <v>180</v>
      </c>
      <c r="Q60" s="19">
        <f t="shared" si="15"/>
        <v>149</v>
      </c>
      <c r="R60" s="19">
        <f t="shared" si="15"/>
        <v>181</v>
      </c>
      <c r="S60" s="19">
        <f t="shared" si="15"/>
        <v>139</v>
      </c>
      <c r="T60" s="19">
        <f t="shared" si="15"/>
        <v>150</v>
      </c>
      <c r="U60" s="13">
        <f t="shared" ref="U60:U62" si="16">SUM(E60:T60)</f>
        <v>2593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43.0</v>
      </c>
      <c r="F61" s="19">
        <v>40.0</v>
      </c>
      <c r="G61" s="19">
        <v>40.0</v>
      </c>
      <c r="H61" s="19">
        <v>33.0</v>
      </c>
      <c r="I61" s="19">
        <v>42.0</v>
      </c>
      <c r="J61" s="19">
        <v>43.0</v>
      </c>
      <c r="K61" s="19">
        <v>47.0</v>
      </c>
      <c r="L61" s="19">
        <v>37.0</v>
      </c>
      <c r="M61" s="19">
        <v>39.0</v>
      </c>
      <c r="N61" s="19">
        <v>40.0</v>
      </c>
      <c r="O61" s="19">
        <v>52.0</v>
      </c>
      <c r="P61" s="19">
        <v>43.0</v>
      </c>
      <c r="Q61" s="19">
        <v>38.0</v>
      </c>
      <c r="R61" s="19">
        <v>52.0</v>
      </c>
      <c r="S61" s="19">
        <v>31.0</v>
      </c>
      <c r="T61" s="19">
        <v>56.0</v>
      </c>
      <c r="U61" s="13">
        <f t="shared" si="16"/>
        <v>676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T62" si="17">SUM(E60:E61)</f>
        <v>211</v>
      </c>
      <c r="F62" s="13">
        <f t="shared" si="17"/>
        <v>169</v>
      </c>
      <c r="G62" s="13">
        <f t="shared" si="17"/>
        <v>175</v>
      </c>
      <c r="H62" s="13">
        <f t="shared" si="17"/>
        <v>206</v>
      </c>
      <c r="I62" s="13">
        <f t="shared" si="17"/>
        <v>200</v>
      </c>
      <c r="J62" s="13">
        <f t="shared" si="17"/>
        <v>210</v>
      </c>
      <c r="K62" s="13">
        <f t="shared" si="17"/>
        <v>217</v>
      </c>
      <c r="L62" s="13">
        <f t="shared" si="17"/>
        <v>205</v>
      </c>
      <c r="M62" s="13">
        <f t="shared" si="17"/>
        <v>206</v>
      </c>
      <c r="N62" s="13">
        <f t="shared" si="17"/>
        <v>256</v>
      </c>
      <c r="O62" s="13">
        <f t="shared" si="17"/>
        <v>195</v>
      </c>
      <c r="P62" s="13">
        <f t="shared" si="17"/>
        <v>223</v>
      </c>
      <c r="Q62" s="13">
        <f t="shared" si="17"/>
        <v>187</v>
      </c>
      <c r="R62" s="13">
        <f t="shared" si="17"/>
        <v>233</v>
      </c>
      <c r="S62" s="13">
        <f t="shared" si="17"/>
        <v>170</v>
      </c>
      <c r="T62" s="13">
        <f t="shared" si="17"/>
        <v>206</v>
      </c>
      <c r="U62" s="13">
        <f t="shared" si="16"/>
        <v>3269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E34&lt;&gt;#REF!</formula>
    </cfRule>
  </conditionalFormatting>
  <conditionalFormatting sqref="E14:T15 E45:T57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E30&lt;&gt;E46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60:T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