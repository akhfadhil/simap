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ENCULUK" sheetId="2" r:id="rId5"/>
    <sheet state="visible" name="CLURING" sheetId="3" r:id="rId6"/>
    <sheet state="visible" name="KALIPLOSO" sheetId="4" r:id="rId7"/>
    <sheet state="visible" name="PLAMPANGREJO" sheetId="5" r:id="rId8"/>
    <sheet state="visible" name="SARIMULYO" sheetId="6" r:id="rId9"/>
    <sheet state="visible" name="SEMBULUNG" sheetId="7" r:id="rId10"/>
    <sheet state="visible" name="SRATEN" sheetId="8" r:id="rId11"/>
    <sheet state="visible" name="TAMANAGUNG" sheetId="9" r:id="rId12"/>
    <sheet state="visible" name="TAMPO" sheetId="10" r:id="rId13"/>
  </sheets>
  <definedNames/>
  <calcPr/>
  <extLst>
    <ext uri="GoogleSheetsCustomDataVersion2">
      <go:sheetsCustomData xmlns:go="http://customooxmlschemas.google.com/" r:id="rId14" roundtripDataChecksum="xad2bljU9WqxXyauVRJtmQNUxpoxOapRrsfEUrFcWTg="/>
    </ext>
  </extLst>
</workbook>
</file>

<file path=xl/sharedStrings.xml><?xml version="1.0" encoding="utf-8"?>
<sst xmlns="http://schemas.openxmlformats.org/spreadsheetml/2006/main" count="1111" uniqueCount="118">
  <si>
    <t>Kecamatan</t>
  </si>
  <si>
    <t>BANGOREJO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</si>
  <si>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</si>
  <si>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</si>
  <si>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</si>
  <si>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</si>
  <si>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</si>
  <si>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</si>
  <si>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</si>
  <si>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</si>
  <si>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</si>
  <si>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</si>
  <si>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</si>
  <si>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</si>
  <si>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</si>
  <si>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</si>
  <si>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</si>
  <si>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</si>
  <si>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</si>
  <si>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</si>
  <si>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</si>
  <si>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</si>
  <si>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</si>
  <si>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</si>
  <si>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</si>
  <si>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</si>
  <si>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</si>
  <si>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</si>
  <si>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</si>
  <si>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</si>
  <si>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</si>
  <si>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</si>
  <si>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</si>
  <si>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</si>
  <si>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</si>
  <si>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</si>
  <si>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</si>
  <si>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</si>
  <si>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</si>
  <si>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</si>
  <si>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</si>
  <si>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</si>
  <si>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</si>
  <si>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</si>
  <si>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</si>
  <si>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</si>
  <si>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</si>
  <si>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</si>
  <si>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</si>
  <si>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</si>
  <si>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</si>
  <si>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</si>
  <si>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</si>
  <si>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</si>
  <si>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</si>
  <si>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</si>
  <si>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</si>
  <si>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</si>
  <si>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</si>
  <si>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</si>
  <si>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</si>
  <si>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</si>
  <si>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</si>
  <si>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</si>
  <si>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</si>
  <si>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</si>
  <si>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</si>
  <si>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</si>
  <si>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CLURING</t>
  </si>
  <si>
    <t>Kelurahan</t>
  </si>
  <si>
    <t>BENCULUK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</si>
  <si>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</si>
  <si>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</si>
  <si>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</si>
  <si>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</si>
  <si>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</si>
  <si>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</si>
  <si>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</si>
  <si>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</si>
  <si>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</si>
  <si>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</si>
  <si>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</si>
  <si>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</si>
  <si>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</si>
  <si>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</si>
  <si>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</si>
  <si>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</si>
  <si>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</si>
  <si>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</si>
  <si>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</si>
  <si>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</si>
  <si>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</si>
  <si>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</si>
  <si>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</si>
  <si>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</si>
  <si>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</si>
  <si>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</si>
  <si>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</si>
  <si>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</si>
  <si>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</si>
  <si>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</si>
  <si>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</si>
  <si>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</si>
  <si>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</si>
  <si>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</si>
  <si>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</si>
  <si>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</si>
  <si>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</si>
  <si>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</si>
  <si>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</si>
  <si>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</si>
  <si>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KALIPLOSO</t>
  </si>
  <si>
    <t>PLAMPANGREJO</t>
  </si>
  <si>
    <t>SARIMULYO</t>
  </si>
  <si>
    <t>SEMBULUNG</t>
  </si>
  <si>
    <t>SRATEN</t>
  </si>
  <si>
    <t>TAMANAGUNG</t>
  </si>
  <si>
    <t>TAMPO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</si>
</sst>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  <font>
      <b/>
      <color theme="1"/>
      <name val="Bookman Old Style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00B050"/>
        <bgColor rgb="FF00B05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10" numFmtId="0" xfId="0" applyBorder="1" applyFont="1"/>
    <xf borderId="1" fillId="3" fontId="9" numFmtId="0" xfId="0" applyAlignment="1" applyBorder="1" applyFill="1" applyFont="1">
      <alignment horizontal="center"/>
    </xf>
    <xf borderId="1" fillId="4" fontId="9" numFmtId="0" xfId="0" applyAlignment="1" applyBorder="1" applyFill="1" applyFont="1">
      <alignment horizontal="center"/>
    </xf>
    <xf borderId="2" fillId="0" fontId="10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BENCULUK!AS14+CLURING!AL14+KALIPLOSO!Q14+PLAMPANGREJO!AE14+SARIMULYO!AA14+SEMBULUNG!AC14+SRATEN!AB14</f>
        <v>23919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BENCULUK!AS15+CLURING!AL15+KALIPLOSO!Q15+PLAMPANGREJO!AE15+SARIMULYO!AA15+SEMBULUNG!AC15+SRATEN!AB15</f>
        <v>24124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48043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BENCULUK!AS19+CLURING!AL19+KALIPLOSO!Q19+PLAMPANGREJO!AE19+SARIMULYO!AA19+SEMBULUNG!AC19+SRATEN!AB19+TAMANAGUNG!AH19+TAMPO!AB19</f>
        <v>22885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BENCULUK!AS20+CLURING!AL20+KALIPLOSO!Q20+PLAMPANGREJO!AE20+SARIMULYO!AA20+SEMBULUNG!AC20+SRATEN!AB20+TAMANAGUNG!AH20+TAMPO!AB20</f>
        <v>24362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47247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BENCULUK!AS22+CLURING!AL22+KALIPLOSO!Q22+PLAMPANGREJO!AE22+SARIMULYO!AA22+SEMBULUNG!AC22+SRATEN!AB22+TAMANAGUNG!AH22+TAMPO!AB22</f>
        <v>31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BENCULUK!AS23+CLURING!AL23+KALIPLOSO!Q23+PLAMPANGREJO!AE23+SARIMULYO!AA23+SEMBULUNG!AC23+SRATEN!AB23+TAMANAGUNG!AH23+TAMPO!AB23</f>
        <v>30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61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BENCULUK!AS25+CLURING!AL25+KALIPLOSO!Q25+PLAMPANGREJO!AE25+SARIMULYO!AA25+SEMBULUNG!AC25+SRATEN!AB25+TAMANAGUNG!AH25+TAMPO!AB25</f>
        <v>228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BENCULUK!AS26+CLURING!AL26+KALIPLOSO!Q26+PLAMPANGREJO!AE26+SARIMULYO!AA26+SEMBULUNG!AC26+SRATEN!AB26+TAMANAGUNG!AH26+TAMPO!AB26</f>
        <v>287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515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23144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24679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47823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BENCULUK!AS33+CLURING!AL33+KALIPLOSO!Q33+PLAMPANGREJO!AE33+SARIMULYO!AA33+SEMBULUNG!AC33+SRATEN!AB33+TAMANAGUNG!AH33+TAMPO!AB33</f>
        <v>62718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BENCULUK!AS34+CLURING!AL34+KALIPLOSO!Q34+PLAMPANGREJO!AE34+SARIMULYO!AA34+SEMBULUNG!AC34+SRATEN!AB34+TAMANAGUNG!AH34+TAMPO!AB34</f>
        <v>47825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BENCULUK!AS35+CLURING!AL35+KALIPLOSO!Q35+PLAMPANGREJO!AE35+SARIMULYO!AA35+SEMBULUNG!AC35+SRATEN!AB35+TAMANAGUNG!AH35+TAMPO!AB35</f>
        <v>70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14823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BENCULUK!AS39+CLURING!AL39+KALIPLOSO!Q39+PLAMPANGREJO!AE39+SARIMULYO!AA39+SEMBULUNG!AC39+SRATEN!AB39+TAMANAGUNG!AH39+TAMPO!AB39</f>
        <v>125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BENCULUK!AS40+CLURING!AL40+KALIPLOSO!Q40+PLAMPANGREJO!AE40+SARIMULYO!AA40+SEMBULUNG!AC40+SRATEN!AB40+TAMANAGUNG!AH40+TAMPO!AB40</f>
        <v>149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274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BENCULUK!AS45+CLURING!AL45+KALIPLOSO!Q45+PLAMPANGREJO!AE45+SARIMULYO!AA45+SEMBULUNG!AC45+SRATEN!AB45+TAMANAGUNG!AH45+TAMPO!AB45</f>
        <v>2454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39</v>
      </c>
      <c r="D46" s="16"/>
      <c r="E46" s="24">
        <f>BENCULUK!AS46+CLURING!AL46+KALIPLOSO!Q46+PLAMPANGREJO!AE46+SARIMULYO!AA46+SEMBULUNG!AC46+SRATEN!AB46+TAMANAGUNG!AH46+TAMPO!AB46</f>
        <v>5011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40</v>
      </c>
      <c r="D47" s="16"/>
      <c r="E47" s="24">
        <f>BENCULUK!AS47+CLURING!AL47+KALIPLOSO!Q47+PLAMPANGREJO!AE47+SARIMULYO!AA47+SEMBULUNG!AC47+SRATEN!AB47+TAMANAGUNG!AH47+TAMPO!AB47</f>
        <v>2339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41</v>
      </c>
      <c r="D48" s="16"/>
      <c r="E48" s="24">
        <f>BENCULUK!AS48+CLURING!AL48+KALIPLOSO!Q48+PLAMPANGREJO!AE48+SARIMULYO!AA48+SEMBULUNG!AC48+SRATEN!AB48+TAMANAGUNG!AH48+TAMPO!AB48</f>
        <v>3932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42</v>
      </c>
      <c r="C49" s="48" t="s">
        <v>43</v>
      </c>
      <c r="D49" s="16"/>
      <c r="E49" s="24">
        <f>BENCULUK!AS49+CLURING!AL49+KALIPLOSO!Q49+PLAMPANGREJO!AE49+SARIMULYO!AA49+SEMBULUNG!AC49+SRATEN!AB49+TAMANAGUNG!AH49+TAMPO!AB49</f>
        <v>3091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44</v>
      </c>
      <c r="C50" s="48" t="s">
        <v>45</v>
      </c>
      <c r="D50" s="16"/>
      <c r="E50" s="24">
        <f>BENCULUK!AS50+CLURING!AL50+KALIPLOSO!Q50+PLAMPANGREJO!AE50+SARIMULYO!AA50+SEMBULUNG!AC50+SRATEN!AB50+TAMANAGUNG!AH50+TAMPO!AB50</f>
        <v>2433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46</v>
      </c>
      <c r="C51" s="48" t="s">
        <v>47</v>
      </c>
      <c r="D51" s="16"/>
      <c r="E51" s="24">
        <f>BENCULUK!AS51+CLURING!AL51+KALIPLOSO!Q51+PLAMPANGREJO!AE51+SARIMULYO!AA51+SEMBULUNG!AC51+SRATEN!AB51+TAMANAGUNG!AH51+TAMPO!AB51</f>
        <v>472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48</v>
      </c>
      <c r="C52" s="48" t="s">
        <v>49</v>
      </c>
      <c r="D52" s="16"/>
      <c r="E52" s="24">
        <f>BENCULUK!AS52+CLURING!AL52+KALIPLOSO!Q52+PLAMPANGREJO!AE52+SARIMULYO!AA52+SEMBULUNG!AC52+SRATEN!AB52+TAMANAGUNG!AH52+TAMPO!AB52</f>
        <v>583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50</v>
      </c>
      <c r="C53" s="48" t="s">
        <v>51</v>
      </c>
      <c r="D53" s="16"/>
      <c r="E53" s="24">
        <f>BENCULUK!AS53+CLURING!AL53+KALIPLOSO!Q53+PLAMPANGREJO!AE53+SARIMULYO!AA53+SEMBULUNG!AC53+SRATEN!AB53+TAMANAGUNG!AH53+TAMPO!AB53</f>
        <v>152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52</v>
      </c>
      <c r="C54" s="48" t="s">
        <v>53</v>
      </c>
      <c r="D54" s="16"/>
      <c r="E54" s="24">
        <f>BENCULUK!AS54+CLURING!AL54+KALIPLOSO!Q54+PLAMPANGREJO!AE54+SARIMULYO!AA54+SEMBULUNG!AC54+SRATEN!AB54+TAMANAGUNG!AH54+TAMPO!AB54</f>
        <v>4826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54</v>
      </c>
      <c r="C55" s="48" t="s">
        <v>55</v>
      </c>
      <c r="D55" s="16"/>
      <c r="E55" s="24">
        <f>BENCULUK!AS55+CLURING!AL55+KALIPLOSO!Q55+PLAMPANGREJO!AE55+SARIMULYO!AA55+SEMBULUNG!AC55+SRATEN!AB55+TAMANAGUNG!AH55+TAMPO!AB55</f>
        <v>202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56</v>
      </c>
      <c r="C56" s="48" t="s">
        <v>57</v>
      </c>
      <c r="D56" s="16"/>
      <c r="E56" s="24">
        <f>BENCULUK!AS56+CLURING!AL56+KALIPLOSO!Q56+PLAMPANGREJO!AE56+SARIMULYO!AA56+SEMBULUNG!AC56+SRATEN!AB56+TAMANAGUNG!AH56+TAMPO!AB56</f>
        <v>4854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58</v>
      </c>
      <c r="C57" s="48" t="s">
        <v>59</v>
      </c>
      <c r="D57" s="16"/>
      <c r="E57" s="24">
        <f>BENCULUK!AS57+CLURING!AL57+KALIPLOSO!Q57+PLAMPANGREJO!AE57+SARIMULYO!AA57+SEMBULUNG!AC57+SRATEN!AB57+TAMANAGUNG!AH57+TAMPO!AB57</f>
        <v>373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62</v>
      </c>
      <c r="C60" s="54" t="s">
        <v>63</v>
      </c>
      <c r="D60" s="16"/>
      <c r="E60" s="24">
        <f>BENCULUK!AS60+CLURING!AL60+KALIPLOSO!Q60+PLAMPANGREJO!AE60+SARIMULYO!AA60+SEMBULUNG!AC60+SRATEN!AB60+TAMANAGUNG!AH60+TAMPO!AB60</f>
        <v>39991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64</v>
      </c>
      <c r="C61" s="54" t="s">
        <v>65</v>
      </c>
      <c r="D61" s="16"/>
      <c r="E61" s="24">
        <f>BENCULUK!AS61+CLURING!AL61+KALIPLOSO!Q61+PLAMPANGREJO!AE61+SARIMULYO!AA61+SEMBULUNG!AC61+SRATEN!AB61+TAMANAGUNG!AH61+TAMPO!AB61</f>
        <v>7506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66</v>
      </c>
      <c r="C62" s="54" t="s">
        <v>67</v>
      </c>
      <c r="D62" s="16"/>
      <c r="E62" s="13">
        <f>SUM(E60:E61)</f>
        <v>47497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4" width="8.71"/>
    <col customWidth="1" min="45" max="45" width="13.29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70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13" t="s">
        <v>98</v>
      </c>
      <c r="AG13" s="13" t="s">
        <v>99</v>
      </c>
      <c r="AH13" s="13" t="s">
        <v>100</v>
      </c>
      <c r="AI13" s="13" t="s">
        <v>101</v>
      </c>
      <c r="AJ13" s="13" t="s">
        <v>102</v>
      </c>
      <c r="AK13" s="13" t="s">
        <v>103</v>
      </c>
      <c r="AL13" s="13" t="s">
        <v>104</v>
      </c>
      <c r="AM13" s="13" t="s">
        <v>105</v>
      </c>
      <c r="AN13" s="13" t="s">
        <v>106</v>
      </c>
      <c r="AO13" s="13" t="s">
        <v>107</v>
      </c>
      <c r="AP13" s="13" t="s">
        <v>108</v>
      </c>
      <c r="AQ13" s="13" t="s">
        <v>109</v>
      </c>
      <c r="AR13" s="13" t="s">
        <v>110</v>
      </c>
      <c r="A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122.0</v>
      </c>
      <c r="G14" s="19">
        <v>131.0</v>
      </c>
      <c r="H14" s="19">
        <v>114.0</v>
      </c>
      <c r="I14" s="19">
        <v>125.0</v>
      </c>
      <c r="J14" s="19">
        <v>123.0</v>
      </c>
      <c r="K14" s="19">
        <v>119.0</v>
      </c>
      <c r="L14" s="19">
        <v>115.0</v>
      </c>
      <c r="M14" s="19">
        <v>138.0</v>
      </c>
      <c r="N14" s="19">
        <v>121.0</v>
      </c>
      <c r="O14" s="19">
        <v>126.0</v>
      </c>
      <c r="P14" s="19">
        <v>124.0</v>
      </c>
      <c r="Q14" s="19">
        <v>141.0</v>
      </c>
      <c r="R14" s="19">
        <v>144.0</v>
      </c>
      <c r="S14" s="19">
        <v>139.0</v>
      </c>
      <c r="T14" s="19">
        <v>124.0</v>
      </c>
      <c r="U14" s="19">
        <v>123.0</v>
      </c>
      <c r="V14" s="19">
        <v>119.0</v>
      </c>
      <c r="W14" s="19">
        <v>123.0</v>
      </c>
      <c r="X14" s="19">
        <v>134.0</v>
      </c>
      <c r="Y14" s="19">
        <v>129.0</v>
      </c>
      <c r="Z14" s="19">
        <v>139.0</v>
      </c>
      <c r="AA14" s="19">
        <v>138.0</v>
      </c>
      <c r="AB14" s="19">
        <v>118.0</v>
      </c>
      <c r="AC14" s="19">
        <v>140.0</v>
      </c>
      <c r="AD14" s="19">
        <v>136.0</v>
      </c>
      <c r="AE14" s="19">
        <v>153.0</v>
      </c>
      <c r="AF14" s="19">
        <v>141.0</v>
      </c>
      <c r="AG14" s="19">
        <v>133.0</v>
      </c>
      <c r="AH14" s="19">
        <v>131.0</v>
      </c>
      <c r="AI14" s="19">
        <v>135.0</v>
      </c>
      <c r="AJ14" s="19">
        <v>127.0</v>
      </c>
      <c r="AK14" s="19">
        <v>141.0</v>
      </c>
      <c r="AL14" s="19">
        <v>127.0</v>
      </c>
      <c r="AM14" s="19">
        <v>130.0</v>
      </c>
      <c r="AN14" s="19">
        <v>132.0</v>
      </c>
      <c r="AO14" s="19">
        <v>125.0</v>
      </c>
      <c r="AP14" s="19">
        <v>143.0</v>
      </c>
      <c r="AQ14" s="19">
        <v>146.0</v>
      </c>
      <c r="AR14" s="19">
        <v>130.0</v>
      </c>
      <c r="AS14" s="13">
        <f t="shared" ref="AS14:AS16" si="1">SUM(E14:AR14)</f>
        <v>5235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131.0</v>
      </c>
      <c r="G15" s="19">
        <v>122.0</v>
      </c>
      <c r="H15" s="19">
        <v>141.0</v>
      </c>
      <c r="I15" s="19">
        <v>121.0</v>
      </c>
      <c r="J15" s="19">
        <v>120.0</v>
      </c>
      <c r="K15" s="19">
        <v>126.0</v>
      </c>
      <c r="L15" s="19">
        <v>120.0</v>
      </c>
      <c r="M15" s="19">
        <v>134.0</v>
      </c>
      <c r="N15" s="19">
        <v>138.0</v>
      </c>
      <c r="O15" s="19">
        <v>125.0</v>
      </c>
      <c r="P15" s="19">
        <v>144.0</v>
      </c>
      <c r="Q15" s="19">
        <v>142.0</v>
      </c>
      <c r="R15" s="19">
        <v>133.0</v>
      </c>
      <c r="S15" s="19">
        <v>141.0</v>
      </c>
      <c r="T15" s="19">
        <v>137.0</v>
      </c>
      <c r="U15" s="19">
        <v>129.0</v>
      </c>
      <c r="V15" s="19">
        <v>113.0</v>
      </c>
      <c r="W15" s="19">
        <v>146.0</v>
      </c>
      <c r="X15" s="19">
        <v>131.0</v>
      </c>
      <c r="Y15" s="19">
        <v>146.0</v>
      </c>
      <c r="Z15" s="19">
        <v>145.0</v>
      </c>
      <c r="AA15" s="19">
        <v>142.0</v>
      </c>
      <c r="AB15" s="19">
        <v>132.0</v>
      </c>
      <c r="AC15" s="19">
        <v>123.0</v>
      </c>
      <c r="AD15" s="19">
        <v>136.0</v>
      </c>
      <c r="AE15" s="19">
        <v>136.0</v>
      </c>
      <c r="AF15" s="19">
        <v>143.0</v>
      </c>
      <c r="AG15" s="19">
        <v>137.0</v>
      </c>
      <c r="AH15" s="19">
        <v>122.0</v>
      </c>
      <c r="AI15" s="19">
        <v>131.0</v>
      </c>
      <c r="AJ15" s="19">
        <v>123.0</v>
      </c>
      <c r="AK15" s="19">
        <v>125.0</v>
      </c>
      <c r="AL15" s="19">
        <v>130.0</v>
      </c>
      <c r="AM15" s="19">
        <v>135.0</v>
      </c>
      <c r="AN15" s="19">
        <v>133.0</v>
      </c>
      <c r="AO15" s="19">
        <v>132.0</v>
      </c>
      <c r="AP15" s="19">
        <v>147.0</v>
      </c>
      <c r="AQ15" s="19">
        <v>126.0</v>
      </c>
      <c r="AR15" s="19">
        <v>140.0</v>
      </c>
      <c r="AS15" s="13">
        <f t="shared" si="1"/>
        <v>5301</v>
      </c>
    </row>
    <row r="16" ht="12.75" customHeight="1">
      <c r="A16" s="25"/>
      <c r="B16" s="21"/>
      <c r="C16" s="28"/>
      <c r="D16" s="13" t="s">
        <v>14</v>
      </c>
      <c r="E16" s="13">
        <v>259.0</v>
      </c>
      <c r="F16" s="13">
        <v>253.0</v>
      </c>
      <c r="G16" s="13">
        <v>253.0</v>
      </c>
      <c r="H16" s="13">
        <v>255.0</v>
      </c>
      <c r="I16" s="13">
        <v>246.0</v>
      </c>
      <c r="J16" s="13">
        <v>243.0</v>
      </c>
      <c r="K16" s="13">
        <v>245.0</v>
      </c>
      <c r="L16" s="13">
        <v>235.0</v>
      </c>
      <c r="M16" s="13">
        <v>272.0</v>
      </c>
      <c r="N16" s="13">
        <v>259.0</v>
      </c>
      <c r="O16" s="13">
        <v>251.0</v>
      </c>
      <c r="P16" s="13">
        <v>268.0</v>
      </c>
      <c r="Q16" s="13">
        <v>283.0</v>
      </c>
      <c r="R16" s="13">
        <v>277.0</v>
      </c>
      <c r="S16" s="13">
        <v>280.0</v>
      </c>
      <c r="T16" s="13">
        <v>261.0</v>
      </c>
      <c r="U16" s="13">
        <v>252.0</v>
      </c>
      <c r="V16" s="13">
        <v>232.0</v>
      </c>
      <c r="W16" s="13">
        <v>269.0</v>
      </c>
      <c r="X16" s="13">
        <v>265.0</v>
      </c>
      <c r="Y16" s="13">
        <v>275.0</v>
      </c>
      <c r="Z16" s="13">
        <v>284.0</v>
      </c>
      <c r="AA16" s="13">
        <v>280.0</v>
      </c>
      <c r="AB16" s="13">
        <v>250.0</v>
      </c>
      <c r="AC16" s="13">
        <v>263.0</v>
      </c>
      <c r="AD16" s="13">
        <v>272.0</v>
      </c>
      <c r="AE16" s="13">
        <v>289.0</v>
      </c>
      <c r="AF16" s="13">
        <v>284.0</v>
      </c>
      <c r="AG16" s="13">
        <v>270.0</v>
      </c>
      <c r="AH16" s="13">
        <v>253.0</v>
      </c>
      <c r="AI16" s="13">
        <v>266.0</v>
      </c>
      <c r="AJ16" s="13">
        <v>250.0</v>
      </c>
      <c r="AK16" s="13">
        <v>266.0</v>
      </c>
      <c r="AL16" s="13">
        <v>257.0</v>
      </c>
      <c r="AM16" s="13">
        <v>265.0</v>
      </c>
      <c r="AN16" s="13">
        <v>265.0</v>
      </c>
      <c r="AO16" s="13">
        <v>257.0</v>
      </c>
      <c r="AP16" s="13">
        <v>290.0</v>
      </c>
      <c r="AQ16" s="13">
        <v>272.0</v>
      </c>
      <c r="AR16" s="13">
        <v>270.0</v>
      </c>
      <c r="AS16" s="13">
        <f t="shared" si="1"/>
        <v>10536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98.0</v>
      </c>
      <c r="G19" s="19">
        <v>88.0</v>
      </c>
      <c r="H19" s="19">
        <v>84.0</v>
      </c>
      <c r="I19" s="19">
        <v>89.0</v>
      </c>
      <c r="J19" s="19">
        <v>83.0</v>
      </c>
      <c r="K19" s="19">
        <v>79.0</v>
      </c>
      <c r="L19" s="19">
        <v>92.0</v>
      </c>
      <c r="M19" s="19">
        <v>94.0</v>
      </c>
      <c r="N19" s="19">
        <v>87.0</v>
      </c>
      <c r="O19" s="19">
        <v>92.0</v>
      </c>
      <c r="P19" s="19">
        <v>81.0</v>
      </c>
      <c r="Q19" s="19">
        <v>98.0</v>
      </c>
      <c r="R19" s="19">
        <v>91.0</v>
      </c>
      <c r="S19" s="19">
        <v>102.0</v>
      </c>
      <c r="T19" s="19">
        <v>99.0</v>
      </c>
      <c r="U19" s="19">
        <v>85.0</v>
      </c>
      <c r="V19" s="19">
        <v>77.0</v>
      </c>
      <c r="W19" s="19">
        <v>97.0</v>
      </c>
      <c r="X19" s="19">
        <v>100.0</v>
      </c>
      <c r="Y19" s="19">
        <v>86.0</v>
      </c>
      <c r="Z19" s="19">
        <v>106.0</v>
      </c>
      <c r="AA19" s="19">
        <v>104.0</v>
      </c>
      <c r="AB19" s="19">
        <v>89.0</v>
      </c>
      <c r="AC19" s="19">
        <v>103.0</v>
      </c>
      <c r="AD19" s="19">
        <v>120.0</v>
      </c>
      <c r="AE19" s="19">
        <v>118.0</v>
      </c>
      <c r="AF19" s="19">
        <v>112.0</v>
      </c>
      <c r="AG19" s="19">
        <v>110.0</v>
      </c>
      <c r="AH19" s="19">
        <v>92.0</v>
      </c>
      <c r="AI19" s="19">
        <v>109.0</v>
      </c>
      <c r="AJ19" s="19">
        <v>92.0</v>
      </c>
      <c r="AK19" s="19">
        <v>108.0</v>
      </c>
      <c r="AL19" s="19">
        <v>99.0</v>
      </c>
      <c r="AM19" s="19">
        <v>93.0</v>
      </c>
      <c r="AN19" s="19">
        <v>113.0</v>
      </c>
      <c r="AO19" s="19">
        <v>96.0</v>
      </c>
      <c r="AP19" s="19">
        <v>111.0</v>
      </c>
      <c r="AQ19" s="19">
        <v>92.0</v>
      </c>
      <c r="AR19" s="19">
        <v>90.0</v>
      </c>
      <c r="AS19" s="13">
        <f t="shared" ref="AS19:AS30" si="2">SUM(E19:AR19)</f>
        <v>3865</v>
      </c>
    </row>
    <row r="20" ht="12.75" customHeight="1">
      <c r="A20" s="33"/>
      <c r="B20" s="27"/>
      <c r="C20" s="34"/>
      <c r="D20" s="19" t="s">
        <v>13</v>
      </c>
      <c r="E20" s="19">
        <v>92.0</v>
      </c>
      <c r="F20" s="19">
        <v>93.0</v>
      </c>
      <c r="G20" s="19">
        <v>89.0</v>
      </c>
      <c r="H20" s="19">
        <v>114.0</v>
      </c>
      <c r="I20" s="19">
        <v>98.0</v>
      </c>
      <c r="J20" s="19">
        <v>82.0</v>
      </c>
      <c r="K20" s="19">
        <v>86.0</v>
      </c>
      <c r="L20" s="19">
        <v>87.0</v>
      </c>
      <c r="M20" s="19">
        <v>104.0</v>
      </c>
      <c r="N20" s="19">
        <v>103.0</v>
      </c>
      <c r="O20" s="19">
        <v>97.0</v>
      </c>
      <c r="P20" s="19">
        <v>92.0</v>
      </c>
      <c r="Q20" s="19">
        <v>99.0</v>
      </c>
      <c r="R20" s="19">
        <v>85.0</v>
      </c>
      <c r="S20" s="19">
        <v>119.0</v>
      </c>
      <c r="T20" s="19">
        <v>108.0</v>
      </c>
      <c r="U20" s="19">
        <v>103.0</v>
      </c>
      <c r="V20" s="19">
        <v>79.0</v>
      </c>
      <c r="W20" s="19">
        <v>118.0</v>
      </c>
      <c r="X20" s="19">
        <v>108.0</v>
      </c>
      <c r="Y20" s="19">
        <v>115.0</v>
      </c>
      <c r="Z20" s="19">
        <v>116.0</v>
      </c>
      <c r="AA20" s="19">
        <v>124.0</v>
      </c>
      <c r="AB20" s="19">
        <v>101.0</v>
      </c>
      <c r="AC20" s="19">
        <v>94.0</v>
      </c>
      <c r="AD20" s="19">
        <v>118.0</v>
      </c>
      <c r="AE20" s="19">
        <v>113.0</v>
      </c>
      <c r="AF20" s="19">
        <v>117.0</v>
      </c>
      <c r="AG20" s="19">
        <v>112.0</v>
      </c>
      <c r="AH20" s="19">
        <v>91.0</v>
      </c>
      <c r="AI20" s="19">
        <v>111.0</v>
      </c>
      <c r="AJ20" s="19">
        <v>105.0</v>
      </c>
      <c r="AK20" s="19">
        <v>109.0</v>
      </c>
      <c r="AL20" s="19">
        <v>105.0</v>
      </c>
      <c r="AM20" s="19">
        <v>105.0</v>
      </c>
      <c r="AN20" s="19">
        <v>120.0</v>
      </c>
      <c r="AO20" s="19">
        <v>104.0</v>
      </c>
      <c r="AP20" s="19">
        <v>120.0</v>
      </c>
      <c r="AQ20" s="19">
        <v>101.0</v>
      </c>
      <c r="AR20" s="19">
        <v>106.0</v>
      </c>
      <c r="AS20" s="13">
        <f t="shared" si="2"/>
        <v>4143</v>
      </c>
    </row>
    <row r="21" ht="12.75" customHeight="1">
      <c r="A21" s="35"/>
      <c r="B21" s="28"/>
      <c r="C21" s="36"/>
      <c r="D21" s="13" t="s">
        <v>14</v>
      </c>
      <c r="E21" s="13">
        <v>198.0</v>
      </c>
      <c r="F21" s="13">
        <v>191.0</v>
      </c>
      <c r="G21" s="13">
        <v>177.0</v>
      </c>
      <c r="H21" s="13">
        <v>198.0</v>
      </c>
      <c r="I21" s="13">
        <v>187.0</v>
      </c>
      <c r="J21" s="13">
        <v>165.0</v>
      </c>
      <c r="K21" s="13">
        <v>165.0</v>
      </c>
      <c r="L21" s="13">
        <v>179.0</v>
      </c>
      <c r="M21" s="13">
        <v>198.0</v>
      </c>
      <c r="N21" s="13">
        <v>190.0</v>
      </c>
      <c r="O21" s="13">
        <v>189.0</v>
      </c>
      <c r="P21" s="13">
        <v>173.0</v>
      </c>
      <c r="Q21" s="13">
        <v>197.0</v>
      </c>
      <c r="R21" s="13">
        <v>176.0</v>
      </c>
      <c r="S21" s="13">
        <v>221.0</v>
      </c>
      <c r="T21" s="13">
        <v>207.0</v>
      </c>
      <c r="U21" s="13">
        <v>188.0</v>
      </c>
      <c r="V21" s="13">
        <v>156.0</v>
      </c>
      <c r="W21" s="13">
        <v>215.0</v>
      </c>
      <c r="X21" s="13">
        <v>208.0</v>
      </c>
      <c r="Y21" s="13">
        <v>201.0</v>
      </c>
      <c r="Z21" s="13">
        <v>222.0</v>
      </c>
      <c r="AA21" s="13">
        <v>228.0</v>
      </c>
      <c r="AB21" s="13">
        <v>190.0</v>
      </c>
      <c r="AC21" s="13">
        <v>197.0</v>
      </c>
      <c r="AD21" s="13">
        <v>238.0</v>
      </c>
      <c r="AE21" s="13">
        <v>231.0</v>
      </c>
      <c r="AF21" s="13">
        <v>229.0</v>
      </c>
      <c r="AG21" s="13">
        <v>222.0</v>
      </c>
      <c r="AH21" s="13">
        <v>183.0</v>
      </c>
      <c r="AI21" s="13">
        <v>220.0</v>
      </c>
      <c r="AJ21" s="13">
        <v>197.0</v>
      </c>
      <c r="AK21" s="13">
        <v>217.0</v>
      </c>
      <c r="AL21" s="13">
        <v>204.0</v>
      </c>
      <c r="AM21" s="13">
        <v>198.0</v>
      </c>
      <c r="AN21" s="13">
        <v>233.0</v>
      </c>
      <c r="AO21" s="13">
        <v>200.0</v>
      </c>
      <c r="AP21" s="13">
        <v>231.0</v>
      </c>
      <c r="AQ21" s="13">
        <v>193.0</v>
      </c>
      <c r="AR21" s="13">
        <v>196.0</v>
      </c>
      <c r="AS21" s="13">
        <f t="shared" si="2"/>
        <v>8008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1.0</v>
      </c>
      <c r="Y22" s="19">
        <v>0.0</v>
      </c>
      <c r="Z22" s="19">
        <v>1.0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3">
        <f t="shared" si="2"/>
        <v>5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3.0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3">
        <f t="shared" si="2"/>
        <v>4</v>
      </c>
    </row>
    <row r="24" ht="12.75" customHeight="1">
      <c r="A24" s="35"/>
      <c r="B24" s="28"/>
      <c r="C24" s="36"/>
      <c r="D24" s="13" t="s">
        <v>14</v>
      </c>
      <c r="E24" s="13">
        <v>2.0</v>
      </c>
      <c r="F24" s="13">
        <v>0.0</v>
      </c>
      <c r="G24" s="13">
        <v>1.0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4.0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1.0</v>
      </c>
      <c r="Y24" s="13">
        <v>0.0</v>
      </c>
      <c r="Z24" s="13">
        <v>1.0</v>
      </c>
      <c r="AA24" s="13">
        <v>0.0</v>
      </c>
      <c r="AB24" s="13">
        <v>0.0</v>
      </c>
      <c r="AC24" s="13">
        <v>0.0</v>
      </c>
      <c r="AD24" s="13">
        <v>0.0</v>
      </c>
      <c r="AE24" s="13">
        <v>0.0</v>
      </c>
      <c r="AF24" s="13">
        <v>0.0</v>
      </c>
      <c r="AG24" s="13">
        <v>0.0</v>
      </c>
      <c r="AH24" s="13">
        <v>0.0</v>
      </c>
      <c r="AI24" s="13">
        <v>0.0</v>
      </c>
      <c r="AJ24" s="13">
        <v>0.0</v>
      </c>
      <c r="AK24" s="13">
        <v>0.0</v>
      </c>
      <c r="AL24" s="13">
        <v>0.0</v>
      </c>
      <c r="AM24" s="13">
        <v>0.0</v>
      </c>
      <c r="AN24" s="13">
        <v>0.0</v>
      </c>
      <c r="AO24" s="13">
        <v>0.0</v>
      </c>
      <c r="AP24" s="13">
        <v>0.0</v>
      </c>
      <c r="AQ24" s="13">
        <v>0.0</v>
      </c>
      <c r="AR24" s="13">
        <v>0.0</v>
      </c>
      <c r="AS24" s="13">
        <f t="shared" si="2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0.0</v>
      </c>
      <c r="H25" s="19">
        <v>1.0</v>
      </c>
      <c r="I25" s="19">
        <v>0.0</v>
      </c>
      <c r="J25" s="19">
        <v>1.0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2.0</v>
      </c>
      <c r="R25" s="19">
        <v>0.0</v>
      </c>
      <c r="S25" s="19">
        <v>0.0</v>
      </c>
      <c r="T25" s="19">
        <v>5.0</v>
      </c>
      <c r="U25" s="19">
        <v>0.0</v>
      </c>
      <c r="V25" s="19">
        <v>0.0</v>
      </c>
      <c r="W25" s="19">
        <v>0.0</v>
      </c>
      <c r="X25" s="19">
        <v>0.0</v>
      </c>
      <c r="Y25" s="19">
        <v>2.0</v>
      </c>
      <c r="Z25" s="19">
        <v>1.0</v>
      </c>
      <c r="AA25" s="19">
        <v>4.0</v>
      </c>
      <c r="AB25" s="19">
        <v>1.0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3.0</v>
      </c>
      <c r="AI25" s="19">
        <v>0.0</v>
      </c>
      <c r="AJ25" s="19">
        <v>0.0</v>
      </c>
      <c r="AK25" s="19">
        <v>0.0</v>
      </c>
      <c r="AL25" s="19">
        <v>1.0</v>
      </c>
      <c r="AM25" s="19">
        <v>1.0</v>
      </c>
      <c r="AN25" s="19">
        <v>1.0</v>
      </c>
      <c r="AO25" s="19">
        <v>0.0</v>
      </c>
      <c r="AP25" s="19">
        <v>1.0</v>
      </c>
      <c r="AQ25" s="19">
        <v>1.0</v>
      </c>
      <c r="AR25" s="19">
        <v>0.0</v>
      </c>
      <c r="AS25" s="13">
        <f t="shared" si="2"/>
        <v>29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9">
        <v>0.0</v>
      </c>
      <c r="O26" s="19">
        <v>1.0</v>
      </c>
      <c r="P26" s="19">
        <v>1.0</v>
      </c>
      <c r="Q26" s="19">
        <v>3.0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3.0</v>
      </c>
      <c r="Z26" s="19">
        <v>0.0</v>
      </c>
      <c r="AA26" s="19">
        <v>1.0</v>
      </c>
      <c r="AB26" s="19">
        <v>2.0</v>
      </c>
      <c r="AC26" s="19">
        <v>2.0</v>
      </c>
      <c r="AD26" s="19">
        <v>0.0</v>
      </c>
      <c r="AE26" s="19">
        <v>0.0</v>
      </c>
      <c r="AF26" s="19">
        <v>0.0</v>
      </c>
      <c r="AG26" s="19">
        <v>0.0</v>
      </c>
      <c r="AH26" s="19">
        <v>1.0</v>
      </c>
      <c r="AI26" s="19">
        <v>1.0</v>
      </c>
      <c r="AJ26" s="19">
        <v>0.0</v>
      </c>
      <c r="AK26" s="19">
        <v>0.0</v>
      </c>
      <c r="AL26" s="19">
        <v>0.0</v>
      </c>
      <c r="AM26" s="19">
        <v>1.0</v>
      </c>
      <c r="AN26" s="19">
        <v>2.0</v>
      </c>
      <c r="AO26" s="19">
        <v>0.0</v>
      </c>
      <c r="AP26" s="19">
        <v>1.0</v>
      </c>
      <c r="AQ26" s="19">
        <v>3.0</v>
      </c>
      <c r="AR26" s="19">
        <v>0.0</v>
      </c>
      <c r="AS26" s="13">
        <f t="shared" si="2"/>
        <v>27</v>
      </c>
    </row>
    <row r="27" ht="12.75" customHeight="1">
      <c r="A27" s="35"/>
      <c r="B27" s="28"/>
      <c r="C27" s="36"/>
      <c r="D27" s="13" t="s">
        <v>14</v>
      </c>
      <c r="E27" s="13">
        <v>6.0</v>
      </c>
      <c r="F27" s="13">
        <v>0.0</v>
      </c>
      <c r="G27" s="13">
        <v>0.0</v>
      </c>
      <c r="H27" s="13">
        <v>2.0</v>
      </c>
      <c r="I27" s="13">
        <v>0.0</v>
      </c>
      <c r="J27" s="13">
        <v>1.0</v>
      </c>
      <c r="K27" s="13">
        <v>1.0</v>
      </c>
      <c r="L27" s="13">
        <v>0.0</v>
      </c>
      <c r="M27" s="13">
        <v>0.0</v>
      </c>
      <c r="N27" s="13">
        <v>0.0</v>
      </c>
      <c r="O27" s="13">
        <v>2.0</v>
      </c>
      <c r="P27" s="13">
        <v>1.0</v>
      </c>
      <c r="Q27" s="13">
        <v>5.0</v>
      </c>
      <c r="R27" s="13">
        <v>0.0</v>
      </c>
      <c r="S27" s="13">
        <v>0.0</v>
      </c>
      <c r="T27" s="13">
        <v>5.0</v>
      </c>
      <c r="U27" s="13">
        <v>0.0</v>
      </c>
      <c r="V27" s="13">
        <v>0.0</v>
      </c>
      <c r="W27" s="13">
        <v>0.0</v>
      </c>
      <c r="X27" s="13">
        <v>0.0</v>
      </c>
      <c r="Y27" s="13">
        <v>5.0</v>
      </c>
      <c r="Z27" s="13">
        <v>1.0</v>
      </c>
      <c r="AA27" s="13">
        <v>5.0</v>
      </c>
      <c r="AB27" s="13">
        <v>3.0</v>
      </c>
      <c r="AC27" s="13">
        <v>2.0</v>
      </c>
      <c r="AD27" s="13">
        <v>0.0</v>
      </c>
      <c r="AE27" s="13">
        <v>0.0</v>
      </c>
      <c r="AF27" s="13">
        <v>0.0</v>
      </c>
      <c r="AG27" s="13">
        <v>0.0</v>
      </c>
      <c r="AH27" s="13">
        <v>4.0</v>
      </c>
      <c r="AI27" s="13">
        <v>1.0</v>
      </c>
      <c r="AJ27" s="13">
        <v>0.0</v>
      </c>
      <c r="AK27" s="13">
        <v>0.0</v>
      </c>
      <c r="AL27" s="13">
        <v>1.0</v>
      </c>
      <c r="AM27" s="13">
        <v>2.0</v>
      </c>
      <c r="AN27" s="13">
        <v>3.0</v>
      </c>
      <c r="AO27" s="13">
        <v>0.0</v>
      </c>
      <c r="AP27" s="13">
        <v>2.0</v>
      </c>
      <c r="AQ27" s="13">
        <v>4.0</v>
      </c>
      <c r="AR27" s="13">
        <v>0.0</v>
      </c>
      <c r="AS27" s="13">
        <f t="shared" si="2"/>
        <v>56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110.0</v>
      </c>
      <c r="F28" s="13">
        <v>98.0</v>
      </c>
      <c r="G28" s="13">
        <v>89.0</v>
      </c>
      <c r="H28" s="13">
        <v>85.0</v>
      </c>
      <c r="I28" s="13">
        <v>89.0</v>
      </c>
      <c r="J28" s="13">
        <v>84.0</v>
      </c>
      <c r="K28" s="13">
        <v>79.0</v>
      </c>
      <c r="L28" s="13">
        <v>92.0</v>
      </c>
      <c r="M28" s="13">
        <v>94.0</v>
      </c>
      <c r="N28" s="13">
        <v>87.0</v>
      </c>
      <c r="O28" s="13">
        <v>94.0</v>
      </c>
      <c r="P28" s="13">
        <v>81.0</v>
      </c>
      <c r="Q28" s="13">
        <v>100.0</v>
      </c>
      <c r="R28" s="13">
        <v>91.0</v>
      </c>
      <c r="S28" s="13">
        <v>102.0</v>
      </c>
      <c r="T28" s="13">
        <v>104.0</v>
      </c>
      <c r="U28" s="13">
        <v>85.0</v>
      </c>
      <c r="V28" s="13">
        <v>77.0</v>
      </c>
      <c r="W28" s="13">
        <v>97.0</v>
      </c>
      <c r="X28" s="13">
        <v>101.0</v>
      </c>
      <c r="Y28" s="13">
        <v>88.0</v>
      </c>
      <c r="Z28" s="13">
        <v>108.0</v>
      </c>
      <c r="AA28" s="13">
        <v>108.0</v>
      </c>
      <c r="AB28" s="13">
        <v>90.0</v>
      </c>
      <c r="AC28" s="13">
        <v>103.0</v>
      </c>
      <c r="AD28" s="13">
        <v>120.0</v>
      </c>
      <c r="AE28" s="13">
        <v>118.0</v>
      </c>
      <c r="AF28" s="13">
        <v>112.0</v>
      </c>
      <c r="AG28" s="13">
        <v>110.0</v>
      </c>
      <c r="AH28" s="13">
        <v>95.0</v>
      </c>
      <c r="AI28" s="13">
        <v>109.0</v>
      </c>
      <c r="AJ28" s="13">
        <v>92.0</v>
      </c>
      <c r="AK28" s="13">
        <v>108.0</v>
      </c>
      <c r="AL28" s="13">
        <v>100.0</v>
      </c>
      <c r="AM28" s="13">
        <v>94.0</v>
      </c>
      <c r="AN28" s="13">
        <v>114.0</v>
      </c>
      <c r="AO28" s="13">
        <v>96.0</v>
      </c>
      <c r="AP28" s="13">
        <v>112.0</v>
      </c>
      <c r="AQ28" s="13">
        <v>93.0</v>
      </c>
      <c r="AR28" s="13">
        <v>90.0</v>
      </c>
      <c r="AS28" s="13">
        <f t="shared" si="2"/>
        <v>3899</v>
      </c>
    </row>
    <row r="29" ht="12.75" customHeight="1">
      <c r="A29" s="35"/>
      <c r="B29" s="27"/>
      <c r="C29" s="34"/>
      <c r="D29" s="13" t="s">
        <v>13</v>
      </c>
      <c r="E29" s="13">
        <v>96.0</v>
      </c>
      <c r="F29" s="13">
        <v>93.0</v>
      </c>
      <c r="G29" s="13">
        <v>89.0</v>
      </c>
      <c r="H29" s="13">
        <v>115.0</v>
      </c>
      <c r="I29" s="13">
        <v>98.0</v>
      </c>
      <c r="J29" s="13">
        <v>82.0</v>
      </c>
      <c r="K29" s="13">
        <v>87.0</v>
      </c>
      <c r="L29" s="13">
        <v>87.0</v>
      </c>
      <c r="M29" s="13">
        <v>104.0</v>
      </c>
      <c r="N29" s="13">
        <v>103.0</v>
      </c>
      <c r="O29" s="13">
        <v>101.0</v>
      </c>
      <c r="P29" s="13">
        <v>93.0</v>
      </c>
      <c r="Q29" s="13">
        <v>102.0</v>
      </c>
      <c r="R29" s="13">
        <v>85.0</v>
      </c>
      <c r="S29" s="13">
        <v>119.0</v>
      </c>
      <c r="T29" s="13">
        <v>108.0</v>
      </c>
      <c r="U29" s="13">
        <v>103.0</v>
      </c>
      <c r="V29" s="13">
        <v>79.0</v>
      </c>
      <c r="W29" s="13">
        <v>118.0</v>
      </c>
      <c r="X29" s="13">
        <v>108.0</v>
      </c>
      <c r="Y29" s="13">
        <v>118.0</v>
      </c>
      <c r="Z29" s="13">
        <v>116.0</v>
      </c>
      <c r="AA29" s="13">
        <v>125.0</v>
      </c>
      <c r="AB29" s="13">
        <v>103.0</v>
      </c>
      <c r="AC29" s="13">
        <v>96.0</v>
      </c>
      <c r="AD29" s="13">
        <v>118.0</v>
      </c>
      <c r="AE29" s="13">
        <v>113.0</v>
      </c>
      <c r="AF29" s="13">
        <v>117.0</v>
      </c>
      <c r="AG29" s="13">
        <v>112.0</v>
      </c>
      <c r="AH29" s="13">
        <v>92.0</v>
      </c>
      <c r="AI29" s="13">
        <v>112.0</v>
      </c>
      <c r="AJ29" s="13">
        <v>105.0</v>
      </c>
      <c r="AK29" s="13">
        <v>109.0</v>
      </c>
      <c r="AL29" s="13">
        <v>105.0</v>
      </c>
      <c r="AM29" s="13">
        <v>106.0</v>
      </c>
      <c r="AN29" s="13">
        <v>122.0</v>
      </c>
      <c r="AO29" s="13">
        <v>104.0</v>
      </c>
      <c r="AP29" s="13">
        <v>121.0</v>
      </c>
      <c r="AQ29" s="13">
        <v>104.0</v>
      </c>
      <c r="AR29" s="13">
        <v>106.0</v>
      </c>
      <c r="AS29" s="13">
        <f t="shared" si="2"/>
        <v>4174</v>
      </c>
    </row>
    <row r="30" ht="12.75" customHeight="1">
      <c r="A30" s="35"/>
      <c r="B30" s="28"/>
      <c r="C30" s="36"/>
      <c r="D30" s="13" t="s">
        <v>14</v>
      </c>
      <c r="E30" s="13">
        <v>206.0</v>
      </c>
      <c r="F30" s="13">
        <v>191.0</v>
      </c>
      <c r="G30" s="13">
        <v>178.0</v>
      </c>
      <c r="H30" s="13">
        <v>200.0</v>
      </c>
      <c r="I30" s="13">
        <v>187.0</v>
      </c>
      <c r="J30" s="13">
        <v>166.0</v>
      </c>
      <c r="K30" s="13">
        <v>166.0</v>
      </c>
      <c r="L30" s="13">
        <v>179.0</v>
      </c>
      <c r="M30" s="13">
        <v>198.0</v>
      </c>
      <c r="N30" s="13">
        <v>190.0</v>
      </c>
      <c r="O30" s="13">
        <v>195.0</v>
      </c>
      <c r="P30" s="13">
        <v>174.0</v>
      </c>
      <c r="Q30" s="13">
        <v>202.0</v>
      </c>
      <c r="R30" s="13">
        <v>176.0</v>
      </c>
      <c r="S30" s="13">
        <v>221.0</v>
      </c>
      <c r="T30" s="13">
        <f t="shared" ref="T30:AR30" si="3">SUM(T28:T29)</f>
        <v>212</v>
      </c>
      <c r="U30" s="13">
        <f t="shared" si="3"/>
        <v>188</v>
      </c>
      <c r="V30" s="13">
        <f t="shared" si="3"/>
        <v>156</v>
      </c>
      <c r="W30" s="13">
        <f t="shared" si="3"/>
        <v>215</v>
      </c>
      <c r="X30" s="13">
        <f t="shared" si="3"/>
        <v>209</v>
      </c>
      <c r="Y30" s="13">
        <f t="shared" si="3"/>
        <v>206</v>
      </c>
      <c r="Z30" s="13">
        <f t="shared" si="3"/>
        <v>224</v>
      </c>
      <c r="AA30" s="13">
        <f t="shared" si="3"/>
        <v>233</v>
      </c>
      <c r="AB30" s="13">
        <f t="shared" si="3"/>
        <v>193</v>
      </c>
      <c r="AC30" s="13">
        <f t="shared" si="3"/>
        <v>199</v>
      </c>
      <c r="AD30" s="13">
        <f t="shared" si="3"/>
        <v>238</v>
      </c>
      <c r="AE30" s="13">
        <f t="shared" si="3"/>
        <v>231</v>
      </c>
      <c r="AF30" s="13">
        <f t="shared" si="3"/>
        <v>229</v>
      </c>
      <c r="AG30" s="13">
        <f t="shared" si="3"/>
        <v>222</v>
      </c>
      <c r="AH30" s="13">
        <f t="shared" si="3"/>
        <v>187</v>
      </c>
      <c r="AI30" s="13">
        <f t="shared" si="3"/>
        <v>221</v>
      </c>
      <c r="AJ30" s="13">
        <f t="shared" si="3"/>
        <v>197</v>
      </c>
      <c r="AK30" s="13">
        <f t="shared" si="3"/>
        <v>217</v>
      </c>
      <c r="AL30" s="13">
        <f t="shared" si="3"/>
        <v>205</v>
      </c>
      <c r="AM30" s="13">
        <f t="shared" si="3"/>
        <v>200</v>
      </c>
      <c r="AN30" s="13">
        <f t="shared" si="3"/>
        <v>236</v>
      </c>
      <c r="AO30" s="13">
        <f t="shared" si="3"/>
        <v>200</v>
      </c>
      <c r="AP30" s="13">
        <f t="shared" si="3"/>
        <v>233</v>
      </c>
      <c r="AQ30" s="13">
        <f t="shared" si="3"/>
        <v>197</v>
      </c>
      <c r="AR30" s="13">
        <f t="shared" si="3"/>
        <v>196</v>
      </c>
      <c r="AS30" s="13">
        <f t="shared" si="2"/>
        <v>8073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59"/>
    </row>
    <row r="33" ht="12.75" customHeight="1">
      <c r="A33" s="19">
        <v>1.0</v>
      </c>
      <c r="B33" s="20" t="s">
        <v>27</v>
      </c>
      <c r="C33" s="15"/>
      <c r="D33" s="16"/>
      <c r="E33" s="19">
        <v>265.0</v>
      </c>
      <c r="F33" s="19">
        <v>259.0</v>
      </c>
      <c r="G33" s="19">
        <v>259.0</v>
      </c>
      <c r="H33" s="19">
        <v>261.0</v>
      </c>
      <c r="I33" s="19">
        <v>251.0</v>
      </c>
      <c r="J33" s="19">
        <v>248.0</v>
      </c>
      <c r="K33" s="19">
        <v>250.0</v>
      </c>
      <c r="L33" s="19">
        <v>240.0</v>
      </c>
      <c r="M33" s="19">
        <v>278.0</v>
      </c>
      <c r="N33" s="19">
        <v>265.0</v>
      </c>
      <c r="O33" s="19">
        <v>257.0</v>
      </c>
      <c r="P33" s="19">
        <v>274.0</v>
      </c>
      <c r="Q33" s="19">
        <v>289.0</v>
      </c>
      <c r="R33" s="19">
        <v>283.0</v>
      </c>
      <c r="S33" s="19">
        <v>286.0</v>
      </c>
      <c r="T33" s="19">
        <v>267.0</v>
      </c>
      <c r="U33" s="19">
        <v>258.0</v>
      </c>
      <c r="V33" s="19">
        <v>237.0</v>
      </c>
      <c r="W33" s="19">
        <v>277.0</v>
      </c>
      <c r="X33" s="19">
        <v>272.0</v>
      </c>
      <c r="Y33" s="19">
        <v>281.0</v>
      </c>
      <c r="Z33" s="19">
        <v>290.0</v>
      </c>
      <c r="AA33" s="19">
        <v>287.0</v>
      </c>
      <c r="AB33" s="19">
        <v>255.0</v>
      </c>
      <c r="AC33" s="19">
        <v>271.0</v>
      </c>
      <c r="AD33" s="19">
        <v>278.0</v>
      </c>
      <c r="AE33" s="19">
        <v>295.0</v>
      </c>
      <c r="AF33" s="19">
        <v>291.0</v>
      </c>
      <c r="AG33" s="19">
        <v>277.0</v>
      </c>
      <c r="AH33" s="19">
        <v>259.0</v>
      </c>
      <c r="AI33" s="19">
        <v>276.0</v>
      </c>
      <c r="AJ33" s="19">
        <v>255.0</v>
      </c>
      <c r="AK33" s="19">
        <v>272.0</v>
      </c>
      <c r="AL33" s="19">
        <v>265.0</v>
      </c>
      <c r="AM33" s="19">
        <v>271.0</v>
      </c>
      <c r="AN33" s="19">
        <v>271.0</v>
      </c>
      <c r="AO33" s="19">
        <v>253.0</v>
      </c>
      <c r="AP33" s="19">
        <v>296.0</v>
      </c>
      <c r="AQ33" s="19">
        <v>282.0</v>
      </c>
      <c r="AR33" s="19">
        <v>275.0</v>
      </c>
      <c r="AS33" s="13">
        <f t="shared" ref="AS33:AS36" si="4">SUM(E33:AR33)</f>
        <v>10776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191.0</v>
      </c>
      <c r="G34" s="13">
        <v>178.0</v>
      </c>
      <c r="H34" s="13">
        <v>200.0</v>
      </c>
      <c r="I34" s="13">
        <v>187.0</v>
      </c>
      <c r="J34" s="13">
        <v>166.0</v>
      </c>
      <c r="K34" s="13">
        <v>166.0</v>
      </c>
      <c r="L34" s="13">
        <v>179.0</v>
      </c>
      <c r="M34" s="13">
        <v>198.0</v>
      </c>
      <c r="N34" s="13">
        <v>190.0</v>
      </c>
      <c r="O34" s="13">
        <v>195.0</v>
      </c>
      <c r="P34" s="13">
        <v>174.0</v>
      </c>
      <c r="Q34" s="13">
        <v>202.0</v>
      </c>
      <c r="R34" s="13">
        <v>176.0</v>
      </c>
      <c r="S34" s="13">
        <v>221.0</v>
      </c>
      <c r="T34" s="13">
        <v>212.0</v>
      </c>
      <c r="U34" s="13">
        <v>188.0</v>
      </c>
      <c r="V34" s="13">
        <v>156.0</v>
      </c>
      <c r="W34" s="13">
        <v>215.0</v>
      </c>
      <c r="X34" s="13">
        <v>209.0</v>
      </c>
      <c r="Y34" s="13">
        <v>206.0</v>
      </c>
      <c r="Z34" s="13">
        <v>224.0</v>
      </c>
      <c r="AA34" s="13">
        <v>233.0</v>
      </c>
      <c r="AB34" s="13">
        <v>193.0</v>
      </c>
      <c r="AC34" s="13">
        <v>199.0</v>
      </c>
      <c r="AD34" s="13">
        <v>238.0</v>
      </c>
      <c r="AE34" s="13">
        <v>231.0</v>
      </c>
      <c r="AF34" s="13">
        <v>229.0</v>
      </c>
      <c r="AG34" s="13">
        <v>222.0</v>
      </c>
      <c r="AH34" s="13">
        <v>187.0</v>
      </c>
      <c r="AI34" s="13">
        <v>221.0</v>
      </c>
      <c r="AJ34" s="13">
        <v>197.0</v>
      </c>
      <c r="AK34" s="13">
        <v>217.0</v>
      </c>
      <c r="AL34" s="13">
        <v>205.0</v>
      </c>
      <c r="AM34" s="13">
        <v>200.0</v>
      </c>
      <c r="AN34" s="13">
        <v>236.0</v>
      </c>
      <c r="AO34" s="13">
        <v>200.0</v>
      </c>
      <c r="AP34" s="13">
        <v>233.0</v>
      </c>
      <c r="AQ34" s="13">
        <v>197.0</v>
      </c>
      <c r="AR34" s="13">
        <v>196.0</v>
      </c>
      <c r="AS34" s="13">
        <f t="shared" si="4"/>
        <v>8073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9">
        <v>0.0</v>
      </c>
      <c r="X35" s="19">
        <v>1.0</v>
      </c>
      <c r="Y35" s="19">
        <v>0.0</v>
      </c>
      <c r="Z35" s="19">
        <v>1.0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1.0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1.0</v>
      </c>
      <c r="AR35" s="19">
        <v>0.0</v>
      </c>
      <c r="AS35" s="13">
        <f t="shared" si="4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v>58.0</v>
      </c>
      <c r="F36" s="13">
        <v>68.0</v>
      </c>
      <c r="G36" s="13">
        <v>81.0</v>
      </c>
      <c r="H36" s="13">
        <v>61.0</v>
      </c>
      <c r="I36" s="13">
        <v>64.0</v>
      </c>
      <c r="J36" s="13">
        <v>82.0</v>
      </c>
      <c r="K36" s="13">
        <v>84.0</v>
      </c>
      <c r="L36" s="13">
        <v>61.0</v>
      </c>
      <c r="M36" s="13">
        <v>80.0</v>
      </c>
      <c r="N36" s="13">
        <v>75.0</v>
      </c>
      <c r="O36" s="13">
        <v>62.0</v>
      </c>
      <c r="P36" s="13">
        <v>99.0</v>
      </c>
      <c r="Q36" s="13">
        <v>87.0</v>
      </c>
      <c r="R36" s="13">
        <v>107.0</v>
      </c>
      <c r="S36" s="13">
        <v>65.0</v>
      </c>
      <c r="T36" s="13">
        <v>54.0</v>
      </c>
      <c r="U36" s="13">
        <v>70.0</v>
      </c>
      <c r="V36" s="13">
        <v>81.0</v>
      </c>
      <c r="W36" s="13">
        <v>62.0</v>
      </c>
      <c r="X36" s="13">
        <v>62.0</v>
      </c>
      <c r="Y36" s="13">
        <v>75.0</v>
      </c>
      <c r="Z36" s="13">
        <v>65.0</v>
      </c>
      <c r="AA36" s="13">
        <v>54.0</v>
      </c>
      <c r="AB36" s="13">
        <v>62.0</v>
      </c>
      <c r="AC36" s="13">
        <v>72.0</v>
      </c>
      <c r="AD36" s="13">
        <v>40.0</v>
      </c>
      <c r="AE36" s="13">
        <v>64.0</v>
      </c>
      <c r="AF36" s="13">
        <v>62.0</v>
      </c>
      <c r="AG36" s="13">
        <v>55.0</v>
      </c>
      <c r="AH36" s="13">
        <v>71.0</v>
      </c>
      <c r="AI36" s="13">
        <v>55.0</v>
      </c>
      <c r="AJ36" s="13">
        <v>58.0</v>
      </c>
      <c r="AK36" s="13">
        <v>55.0</v>
      </c>
      <c r="AL36" s="13">
        <v>60.0</v>
      </c>
      <c r="AM36" s="13">
        <v>71.0</v>
      </c>
      <c r="AN36" s="13">
        <v>35.0</v>
      </c>
      <c r="AO36" s="13">
        <v>53.0</v>
      </c>
      <c r="AP36" s="13">
        <v>63.0</v>
      </c>
      <c r="AQ36" s="13">
        <v>84.0</v>
      </c>
      <c r="AR36" s="13">
        <v>79.0</v>
      </c>
      <c r="AS36" s="13">
        <f t="shared" si="4"/>
        <v>2696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1.0</v>
      </c>
      <c r="Y39" s="19">
        <v>0.0</v>
      </c>
      <c r="Z39" s="19">
        <v>1.0</v>
      </c>
      <c r="AA39" s="19">
        <v>0.0</v>
      </c>
      <c r="AB39" s="19">
        <v>1.0</v>
      </c>
      <c r="AC39" s="19">
        <v>1.0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9">
        <v>0.0</v>
      </c>
      <c r="AJ39" s="19">
        <v>0.0</v>
      </c>
      <c r="AK39" s="19">
        <v>0.0</v>
      </c>
      <c r="AL39" s="19">
        <v>1.0</v>
      </c>
      <c r="AM39" s="19">
        <v>0.0</v>
      </c>
      <c r="AN39" s="19">
        <v>3.0</v>
      </c>
      <c r="AO39" s="19">
        <v>0.0</v>
      </c>
      <c r="AP39" s="19">
        <v>0.0</v>
      </c>
      <c r="AQ39" s="19">
        <v>0.0</v>
      </c>
      <c r="AR39" s="19">
        <v>0.0</v>
      </c>
      <c r="AS39" s="13">
        <f t="shared" ref="AS39:AS41" si="5">SUM(E39:AR39)</f>
        <v>10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9">
        <v>4.0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1.0</v>
      </c>
      <c r="AM40" s="19">
        <v>0.0</v>
      </c>
      <c r="AN40" s="19">
        <v>9.0</v>
      </c>
      <c r="AO40" s="19">
        <v>0.0</v>
      </c>
      <c r="AP40" s="19">
        <v>0.0</v>
      </c>
      <c r="AQ40" s="19">
        <v>0.0</v>
      </c>
      <c r="AR40" s="19">
        <v>0.0</v>
      </c>
      <c r="AS40" s="13">
        <f t="shared" si="5"/>
        <v>17</v>
      </c>
    </row>
    <row r="41" ht="12.75" customHeight="1">
      <c r="A41" s="41"/>
      <c r="B41" s="44"/>
      <c r="C41" s="28"/>
      <c r="D41" s="13" t="s">
        <v>14</v>
      </c>
      <c r="E41" s="13">
        <v>0.0</v>
      </c>
      <c r="F41" s="13">
        <v>1.0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0.0</v>
      </c>
      <c r="O41" s="13">
        <v>0.0</v>
      </c>
      <c r="P41" s="13">
        <v>1.0</v>
      </c>
      <c r="Q41" s="13">
        <v>0.0</v>
      </c>
      <c r="R41" s="13">
        <v>0.0</v>
      </c>
      <c r="S41" s="13">
        <v>0.0</v>
      </c>
      <c r="T41" s="13">
        <v>0.0</v>
      </c>
      <c r="U41" s="13">
        <v>0.0</v>
      </c>
      <c r="V41" s="13">
        <v>0.0</v>
      </c>
      <c r="W41" s="13">
        <v>0.0</v>
      </c>
      <c r="X41" s="13">
        <v>2.0</v>
      </c>
      <c r="Y41" s="13">
        <v>0.0</v>
      </c>
      <c r="Z41" s="13">
        <v>5.0</v>
      </c>
      <c r="AA41" s="13">
        <v>0.0</v>
      </c>
      <c r="AB41" s="13">
        <v>2.0</v>
      </c>
      <c r="AC41" s="13">
        <v>1.0</v>
      </c>
      <c r="AD41" s="13">
        <v>0.0</v>
      </c>
      <c r="AE41" s="13">
        <v>0.0</v>
      </c>
      <c r="AF41" s="13">
        <v>0.0</v>
      </c>
      <c r="AG41" s="13">
        <v>1.0</v>
      </c>
      <c r="AH41" s="13">
        <v>0.0</v>
      </c>
      <c r="AI41" s="13">
        <v>0.0</v>
      </c>
      <c r="AJ41" s="13">
        <v>0.0</v>
      </c>
      <c r="AK41" s="13">
        <v>0.0</v>
      </c>
      <c r="AL41" s="13">
        <v>2.0</v>
      </c>
      <c r="AM41" s="13">
        <v>0.0</v>
      </c>
      <c r="AN41" s="13">
        <v>12.0</v>
      </c>
      <c r="AO41" s="13">
        <v>0.0</v>
      </c>
      <c r="AP41" s="13">
        <v>0.0</v>
      </c>
      <c r="AQ41" s="13">
        <v>0.0</v>
      </c>
      <c r="AR41" s="13">
        <v>0.0</v>
      </c>
      <c r="AS41" s="13">
        <f t="shared" si="5"/>
        <v>27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9"/>
      <c r="AD42" s="58"/>
      <c r="AE42" s="19"/>
      <c r="AF42" s="58"/>
      <c r="AG42" s="19"/>
      <c r="AH42" s="58"/>
      <c r="AI42" s="19"/>
      <c r="AJ42" s="58"/>
      <c r="AK42" s="19"/>
      <c r="AL42" s="58"/>
      <c r="AM42" s="19"/>
      <c r="AN42" s="58"/>
      <c r="AO42" s="19"/>
      <c r="AP42" s="58"/>
      <c r="AQ42" s="19"/>
      <c r="AR42" s="58"/>
      <c r="A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  <c r="AD43" s="60"/>
      <c r="AE43" s="13"/>
      <c r="AF43" s="60"/>
      <c r="AG43" s="13"/>
      <c r="AH43" s="60"/>
      <c r="AI43" s="13"/>
      <c r="AJ43" s="60"/>
      <c r="AK43" s="13"/>
      <c r="AL43" s="60"/>
      <c r="AM43" s="13"/>
      <c r="AN43" s="60"/>
      <c r="AO43" s="13"/>
      <c r="AP43" s="60"/>
      <c r="AQ43" s="13"/>
      <c r="AR43" s="60"/>
      <c r="A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9"/>
      <c r="AD44" s="58"/>
      <c r="AE44" s="19"/>
      <c r="AF44" s="58"/>
      <c r="AG44" s="19"/>
      <c r="AH44" s="58"/>
      <c r="AI44" s="19"/>
      <c r="AJ44" s="58"/>
      <c r="AK44" s="19"/>
      <c r="AL44" s="58"/>
      <c r="AM44" s="19"/>
      <c r="AN44" s="58"/>
      <c r="AO44" s="19"/>
      <c r="AP44" s="58"/>
      <c r="AQ44" s="19"/>
      <c r="AR44" s="58"/>
      <c r="AS44" s="13"/>
    </row>
    <row r="45" ht="12.75" customHeight="1">
      <c r="A45" s="30"/>
      <c r="B45" s="47" t="s">
        <v>17</v>
      </c>
      <c r="C45" s="62" t="s">
        <v>38</v>
      </c>
      <c r="D45" s="16"/>
      <c r="E45" s="19">
        <v>11.0</v>
      </c>
      <c r="F45" s="19">
        <v>11.0</v>
      </c>
      <c r="G45" s="19">
        <v>11.0</v>
      </c>
      <c r="H45" s="19">
        <v>14.0</v>
      </c>
      <c r="I45" s="19">
        <v>6.0</v>
      </c>
      <c r="J45" s="19">
        <v>11.0</v>
      </c>
      <c r="K45" s="19">
        <v>10.0</v>
      </c>
      <c r="L45" s="19">
        <v>5.0</v>
      </c>
      <c r="M45" s="19">
        <v>8.0</v>
      </c>
      <c r="N45" s="19">
        <v>6.0</v>
      </c>
      <c r="O45" s="19">
        <v>8.0</v>
      </c>
      <c r="P45" s="19">
        <v>14.0</v>
      </c>
      <c r="Q45" s="19">
        <v>18.0</v>
      </c>
      <c r="R45" s="19">
        <v>18.0</v>
      </c>
      <c r="S45" s="19">
        <v>8.0</v>
      </c>
      <c r="T45" s="19">
        <v>13.0</v>
      </c>
      <c r="U45" s="19">
        <v>9.0</v>
      </c>
      <c r="V45" s="19">
        <v>7.0</v>
      </c>
      <c r="W45" s="19">
        <v>10.0</v>
      </c>
      <c r="X45" s="19">
        <v>9.0</v>
      </c>
      <c r="Y45" s="19">
        <v>13.0</v>
      </c>
      <c r="Z45" s="19">
        <v>7.0</v>
      </c>
      <c r="AA45" s="19">
        <v>11.0</v>
      </c>
      <c r="AB45" s="19">
        <v>11.0</v>
      </c>
      <c r="AC45" s="19">
        <v>19.0</v>
      </c>
      <c r="AD45" s="19">
        <v>19.0</v>
      </c>
      <c r="AE45" s="19">
        <v>17.0</v>
      </c>
      <c r="AF45" s="19">
        <v>19.0</v>
      </c>
      <c r="AG45" s="19">
        <v>20.0</v>
      </c>
      <c r="AH45" s="19">
        <v>19.0</v>
      </c>
      <c r="AI45" s="19">
        <v>12.0</v>
      </c>
      <c r="AJ45" s="19">
        <v>7.0</v>
      </c>
      <c r="AK45" s="19">
        <v>31.0</v>
      </c>
      <c r="AL45" s="19">
        <v>13.0</v>
      </c>
      <c r="AM45" s="19">
        <v>22.0</v>
      </c>
      <c r="AN45" s="19">
        <v>25.0</v>
      </c>
      <c r="AO45" s="19">
        <v>21.0</v>
      </c>
      <c r="AP45" s="19">
        <v>19.0</v>
      </c>
      <c r="AQ45" s="19">
        <v>21.0</v>
      </c>
      <c r="AR45" s="19">
        <v>7.0</v>
      </c>
      <c r="AS45" s="13">
        <f t="shared" ref="AS45:AS57" si="6">SUM(E45:AR45)</f>
        <v>540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19.0</v>
      </c>
      <c r="F46" s="19">
        <v>27.0</v>
      </c>
      <c r="G46" s="19">
        <v>23.0</v>
      </c>
      <c r="H46" s="19">
        <v>26.0</v>
      </c>
      <c r="I46" s="19">
        <v>25.0</v>
      </c>
      <c r="J46" s="19">
        <v>12.0</v>
      </c>
      <c r="K46" s="19">
        <v>23.0</v>
      </c>
      <c r="L46" s="19">
        <v>23.0</v>
      </c>
      <c r="M46" s="19">
        <v>15.0</v>
      </c>
      <c r="N46" s="19">
        <v>19.0</v>
      </c>
      <c r="O46" s="19">
        <v>31.0</v>
      </c>
      <c r="P46" s="19">
        <v>21.0</v>
      </c>
      <c r="Q46" s="19">
        <v>28.0</v>
      </c>
      <c r="R46" s="19">
        <v>27.0</v>
      </c>
      <c r="S46" s="19">
        <v>23.0</v>
      </c>
      <c r="T46" s="19">
        <v>28.0</v>
      </c>
      <c r="U46" s="19">
        <v>24.0</v>
      </c>
      <c r="V46" s="19">
        <v>25.0</v>
      </c>
      <c r="W46" s="19">
        <v>23.0</v>
      </c>
      <c r="X46" s="19">
        <v>34.0</v>
      </c>
      <c r="Y46" s="19">
        <v>34.0</v>
      </c>
      <c r="Z46" s="19">
        <v>38.0</v>
      </c>
      <c r="AA46" s="19">
        <v>41.0</v>
      </c>
      <c r="AB46" s="19">
        <v>19.0</v>
      </c>
      <c r="AC46" s="19">
        <v>24.0</v>
      </c>
      <c r="AD46" s="19">
        <v>25.0</v>
      </c>
      <c r="AE46" s="19">
        <v>30.0</v>
      </c>
      <c r="AF46" s="19">
        <v>31.0</v>
      </c>
      <c r="AG46" s="19">
        <v>24.0</v>
      </c>
      <c r="AH46" s="19">
        <v>24.0</v>
      </c>
      <c r="AI46" s="19">
        <v>25.0</v>
      </c>
      <c r="AJ46" s="19">
        <v>28.0</v>
      </c>
      <c r="AK46" s="19">
        <v>23.0</v>
      </c>
      <c r="AL46" s="19">
        <v>21.0</v>
      </c>
      <c r="AM46" s="19">
        <v>21.0</v>
      </c>
      <c r="AN46" s="19">
        <v>21.0</v>
      </c>
      <c r="AO46" s="19">
        <v>31.0</v>
      </c>
      <c r="AP46" s="19">
        <v>27.0</v>
      </c>
      <c r="AQ46" s="19">
        <v>27.0</v>
      </c>
      <c r="AR46" s="19">
        <v>22.0</v>
      </c>
      <c r="AS46" s="13">
        <f t="shared" si="6"/>
        <v>1012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14.0</v>
      </c>
      <c r="F47" s="19">
        <v>14.0</v>
      </c>
      <c r="G47" s="19">
        <v>11.0</v>
      </c>
      <c r="H47" s="19">
        <v>12.0</v>
      </c>
      <c r="I47" s="19">
        <v>11.0</v>
      </c>
      <c r="J47" s="19">
        <v>8.0</v>
      </c>
      <c r="K47" s="19">
        <v>12.0</v>
      </c>
      <c r="L47" s="19">
        <v>14.0</v>
      </c>
      <c r="M47" s="19">
        <v>10.0</v>
      </c>
      <c r="N47" s="19">
        <v>13.0</v>
      </c>
      <c r="O47" s="19">
        <v>3.0</v>
      </c>
      <c r="P47" s="19">
        <v>15.0</v>
      </c>
      <c r="Q47" s="19">
        <v>12.0</v>
      </c>
      <c r="R47" s="19">
        <v>10.0</v>
      </c>
      <c r="S47" s="19">
        <v>8.0</v>
      </c>
      <c r="T47" s="19">
        <v>17.0</v>
      </c>
      <c r="U47" s="19">
        <v>13.0</v>
      </c>
      <c r="V47" s="19">
        <v>8.0</v>
      </c>
      <c r="W47" s="19">
        <v>11.0</v>
      </c>
      <c r="X47" s="19">
        <v>7.0</v>
      </c>
      <c r="Y47" s="19">
        <v>14.0</v>
      </c>
      <c r="Z47" s="19">
        <v>14.0</v>
      </c>
      <c r="AA47" s="19">
        <v>16.0</v>
      </c>
      <c r="AB47" s="19">
        <v>10.0</v>
      </c>
      <c r="AC47" s="19">
        <v>15.0</v>
      </c>
      <c r="AD47" s="19">
        <v>12.0</v>
      </c>
      <c r="AE47" s="19">
        <v>17.0</v>
      </c>
      <c r="AF47" s="19">
        <v>8.0</v>
      </c>
      <c r="AG47" s="19">
        <v>26.0</v>
      </c>
      <c r="AH47" s="19">
        <v>18.0</v>
      </c>
      <c r="AI47" s="19">
        <v>18.0</v>
      </c>
      <c r="AJ47" s="19">
        <v>26.0</v>
      </c>
      <c r="AK47" s="19">
        <v>16.0</v>
      </c>
      <c r="AL47" s="19">
        <v>17.0</v>
      </c>
      <c r="AM47" s="19">
        <v>21.0</v>
      </c>
      <c r="AN47" s="19">
        <v>13.0</v>
      </c>
      <c r="AO47" s="19">
        <v>5.0</v>
      </c>
      <c r="AP47" s="19">
        <v>16.0</v>
      </c>
      <c r="AQ47" s="19">
        <v>27.0</v>
      </c>
      <c r="AR47" s="19">
        <v>10.0</v>
      </c>
      <c r="AS47" s="13">
        <f t="shared" si="6"/>
        <v>542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20.0</v>
      </c>
      <c r="F48" s="19">
        <v>18.0</v>
      </c>
      <c r="G48" s="19">
        <v>23.0</v>
      </c>
      <c r="H48" s="19">
        <v>22.0</v>
      </c>
      <c r="I48" s="19">
        <v>19.0</v>
      </c>
      <c r="J48" s="19">
        <v>16.0</v>
      </c>
      <c r="K48" s="19">
        <v>21.0</v>
      </c>
      <c r="L48" s="19">
        <v>27.0</v>
      </c>
      <c r="M48" s="19">
        <v>19.0</v>
      </c>
      <c r="N48" s="19">
        <v>25.0</v>
      </c>
      <c r="O48" s="19">
        <v>21.0</v>
      </c>
      <c r="P48" s="19">
        <v>17.0</v>
      </c>
      <c r="Q48" s="19">
        <v>14.0</v>
      </c>
      <c r="R48" s="19">
        <v>13.0</v>
      </c>
      <c r="S48" s="19">
        <v>22.0</v>
      </c>
      <c r="T48" s="19">
        <v>27.0</v>
      </c>
      <c r="U48" s="19">
        <v>24.0</v>
      </c>
      <c r="V48" s="19">
        <v>16.0</v>
      </c>
      <c r="W48" s="19">
        <v>25.0</v>
      </c>
      <c r="X48" s="19">
        <v>18.0</v>
      </c>
      <c r="Y48" s="19">
        <v>18.0</v>
      </c>
      <c r="Z48" s="19">
        <v>17.0</v>
      </c>
      <c r="AA48" s="19">
        <v>17.0</v>
      </c>
      <c r="AB48" s="19">
        <v>16.0</v>
      </c>
      <c r="AC48" s="19">
        <v>19.0</v>
      </c>
      <c r="AD48" s="19">
        <v>34.0</v>
      </c>
      <c r="AE48" s="19">
        <v>22.0</v>
      </c>
      <c r="AF48" s="19">
        <v>16.0</v>
      </c>
      <c r="AG48" s="19">
        <v>32.0</v>
      </c>
      <c r="AH48" s="19">
        <v>13.0</v>
      </c>
      <c r="AI48" s="19">
        <v>41.0</v>
      </c>
      <c r="AJ48" s="19">
        <v>21.0</v>
      </c>
      <c r="AK48" s="19">
        <v>25.0</v>
      </c>
      <c r="AL48" s="19">
        <v>26.0</v>
      </c>
      <c r="AM48" s="19">
        <v>21.0</v>
      </c>
      <c r="AN48" s="19">
        <v>30.0</v>
      </c>
      <c r="AO48" s="19">
        <v>22.0</v>
      </c>
      <c r="AP48" s="19">
        <v>25.0</v>
      </c>
      <c r="AQ48" s="19">
        <v>22.0</v>
      </c>
      <c r="AR48" s="19">
        <v>16.0</v>
      </c>
      <c r="AS48" s="13">
        <f t="shared" si="6"/>
        <v>860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19.0</v>
      </c>
      <c r="F49" s="19">
        <v>18.0</v>
      </c>
      <c r="G49" s="19">
        <v>28.0</v>
      </c>
      <c r="H49" s="19">
        <v>20.0</v>
      </c>
      <c r="I49" s="19">
        <v>17.0</v>
      </c>
      <c r="J49" s="19">
        <v>11.0</v>
      </c>
      <c r="K49" s="19">
        <v>12.0</v>
      </c>
      <c r="L49" s="19">
        <v>8.0</v>
      </c>
      <c r="M49" s="19">
        <v>16.0</v>
      </c>
      <c r="N49" s="19">
        <v>15.0</v>
      </c>
      <c r="O49" s="19">
        <v>21.0</v>
      </c>
      <c r="P49" s="19">
        <v>7.0</v>
      </c>
      <c r="Q49" s="19">
        <v>14.0</v>
      </c>
      <c r="R49" s="19">
        <v>15.0</v>
      </c>
      <c r="S49" s="19">
        <v>20.0</v>
      </c>
      <c r="T49" s="19">
        <v>15.0</v>
      </c>
      <c r="U49" s="19">
        <v>22.0</v>
      </c>
      <c r="V49" s="19">
        <v>10.0</v>
      </c>
      <c r="W49" s="19">
        <v>14.0</v>
      </c>
      <c r="X49" s="19">
        <v>27.0</v>
      </c>
      <c r="Y49" s="19">
        <v>22.0</v>
      </c>
      <c r="Z49" s="19">
        <v>22.0</v>
      </c>
      <c r="AA49" s="19">
        <v>21.0</v>
      </c>
      <c r="AB49" s="19">
        <v>20.0</v>
      </c>
      <c r="AC49" s="19">
        <v>11.0</v>
      </c>
      <c r="AD49" s="19">
        <v>16.0</v>
      </c>
      <c r="AE49" s="19">
        <v>18.0</v>
      </c>
      <c r="AF49" s="19">
        <v>23.0</v>
      </c>
      <c r="AG49" s="19">
        <v>11.0</v>
      </c>
      <c r="AH49" s="19">
        <v>16.0</v>
      </c>
      <c r="AI49" s="19">
        <v>16.0</v>
      </c>
      <c r="AJ49" s="19">
        <v>11.0</v>
      </c>
      <c r="AK49" s="19">
        <v>20.0</v>
      </c>
      <c r="AL49" s="19">
        <v>15.0</v>
      </c>
      <c r="AM49" s="19">
        <v>13.0</v>
      </c>
      <c r="AN49" s="19">
        <v>12.0</v>
      </c>
      <c r="AO49" s="19">
        <v>17.0</v>
      </c>
      <c r="AP49" s="19">
        <v>25.0</v>
      </c>
      <c r="AQ49" s="19">
        <v>32.0</v>
      </c>
      <c r="AR49" s="19">
        <v>23.0</v>
      </c>
      <c r="AS49" s="13">
        <f t="shared" si="6"/>
        <v>693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14.0</v>
      </c>
      <c r="F50" s="19">
        <v>8.0</v>
      </c>
      <c r="G50" s="19">
        <v>7.0</v>
      </c>
      <c r="H50" s="19">
        <v>10.0</v>
      </c>
      <c r="I50" s="19">
        <v>8.0</v>
      </c>
      <c r="J50" s="19">
        <v>9.0</v>
      </c>
      <c r="K50" s="19">
        <v>12.0</v>
      </c>
      <c r="L50" s="19">
        <v>17.0</v>
      </c>
      <c r="M50" s="19">
        <v>18.0</v>
      </c>
      <c r="N50" s="19">
        <v>10.0</v>
      </c>
      <c r="O50" s="19">
        <v>11.0</v>
      </c>
      <c r="P50" s="19">
        <v>9.0</v>
      </c>
      <c r="Q50" s="19">
        <v>11.0</v>
      </c>
      <c r="R50" s="19">
        <v>11.0</v>
      </c>
      <c r="S50" s="19">
        <v>15.0</v>
      </c>
      <c r="T50" s="19">
        <v>11.0</v>
      </c>
      <c r="U50" s="19">
        <v>11.0</v>
      </c>
      <c r="V50" s="19">
        <v>9.0</v>
      </c>
      <c r="W50" s="19">
        <v>11.0</v>
      </c>
      <c r="X50" s="19">
        <v>17.0</v>
      </c>
      <c r="Y50" s="19">
        <v>17.0</v>
      </c>
      <c r="Z50" s="19">
        <v>20.0</v>
      </c>
      <c r="AA50" s="19">
        <v>19.0</v>
      </c>
      <c r="AB50" s="19">
        <v>20.0</v>
      </c>
      <c r="AC50" s="19">
        <v>14.0</v>
      </c>
      <c r="AD50" s="19">
        <v>24.0</v>
      </c>
      <c r="AE50" s="19">
        <v>26.0</v>
      </c>
      <c r="AF50" s="19">
        <v>27.0</v>
      </c>
      <c r="AG50" s="19">
        <v>24.0</v>
      </c>
      <c r="AH50" s="19">
        <v>13.0</v>
      </c>
      <c r="AI50" s="19">
        <v>8.0</v>
      </c>
      <c r="AJ50" s="19">
        <v>22.0</v>
      </c>
      <c r="AK50" s="19">
        <v>7.0</v>
      </c>
      <c r="AL50" s="19">
        <v>11.0</v>
      </c>
      <c r="AM50" s="19">
        <v>10.0</v>
      </c>
      <c r="AN50" s="19">
        <v>9.0</v>
      </c>
      <c r="AO50" s="19">
        <v>10.0</v>
      </c>
      <c r="AP50" s="19">
        <v>17.0</v>
      </c>
      <c r="AQ50" s="19">
        <v>8.0</v>
      </c>
      <c r="AR50" s="19">
        <v>10.0</v>
      </c>
      <c r="AS50" s="13">
        <f t="shared" si="6"/>
        <v>545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3.0</v>
      </c>
      <c r="F51" s="19">
        <v>1.0</v>
      </c>
      <c r="G51" s="19">
        <v>0.0</v>
      </c>
      <c r="H51" s="19">
        <v>7.0</v>
      </c>
      <c r="I51" s="19">
        <v>2.0</v>
      </c>
      <c r="J51" s="19">
        <v>4.0</v>
      </c>
      <c r="K51" s="19">
        <v>1.0</v>
      </c>
      <c r="L51" s="19">
        <v>1.0</v>
      </c>
      <c r="M51" s="19">
        <v>1.0</v>
      </c>
      <c r="N51" s="19">
        <v>3.0</v>
      </c>
      <c r="O51" s="19">
        <v>5.0</v>
      </c>
      <c r="P51" s="19">
        <v>5.0</v>
      </c>
      <c r="Q51" s="19">
        <v>2.0</v>
      </c>
      <c r="R51" s="19">
        <v>2.0</v>
      </c>
      <c r="S51" s="19">
        <v>2.0</v>
      </c>
      <c r="T51" s="19">
        <v>0.0</v>
      </c>
      <c r="U51" s="19">
        <v>2.0</v>
      </c>
      <c r="V51" s="19">
        <v>3.0</v>
      </c>
      <c r="W51" s="19">
        <v>3.0</v>
      </c>
      <c r="X51" s="19">
        <v>2.0</v>
      </c>
      <c r="Y51" s="19">
        <v>0.0</v>
      </c>
      <c r="Z51" s="19">
        <v>3.0</v>
      </c>
      <c r="AA51" s="19">
        <v>4.0</v>
      </c>
      <c r="AB51" s="19">
        <v>4.0</v>
      </c>
      <c r="AC51" s="19">
        <v>1.0</v>
      </c>
      <c r="AD51" s="19">
        <v>4.0</v>
      </c>
      <c r="AE51" s="19">
        <v>3.0</v>
      </c>
      <c r="AF51" s="19">
        <v>1.0</v>
      </c>
      <c r="AG51" s="19">
        <v>0.0</v>
      </c>
      <c r="AH51" s="19">
        <v>1.0</v>
      </c>
      <c r="AI51" s="19">
        <v>0.0</v>
      </c>
      <c r="AJ51" s="19">
        <v>4.0</v>
      </c>
      <c r="AK51" s="19">
        <v>0.0</v>
      </c>
      <c r="AL51" s="19">
        <v>1.0</v>
      </c>
      <c r="AM51" s="19">
        <v>2.0</v>
      </c>
      <c r="AN51" s="19">
        <v>2.0</v>
      </c>
      <c r="AO51" s="19">
        <v>9.0</v>
      </c>
      <c r="AP51" s="19">
        <v>3.0</v>
      </c>
      <c r="AQ51" s="19">
        <v>1.0</v>
      </c>
      <c r="AR51" s="19">
        <v>3.0</v>
      </c>
      <c r="AS51" s="13">
        <f t="shared" si="6"/>
        <v>95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8.0</v>
      </c>
      <c r="F52" s="19">
        <v>3.0</v>
      </c>
      <c r="G52" s="19">
        <v>1.0</v>
      </c>
      <c r="H52" s="19">
        <v>6.0</v>
      </c>
      <c r="I52" s="19">
        <v>3.0</v>
      </c>
      <c r="J52" s="19">
        <v>4.0</v>
      </c>
      <c r="K52" s="19">
        <v>1.0</v>
      </c>
      <c r="L52" s="19">
        <v>1.0</v>
      </c>
      <c r="M52" s="19">
        <v>6.0</v>
      </c>
      <c r="N52" s="19">
        <v>4.0</v>
      </c>
      <c r="O52" s="19">
        <v>4.0</v>
      </c>
      <c r="P52" s="19">
        <v>4.0</v>
      </c>
      <c r="Q52" s="19">
        <v>3.0</v>
      </c>
      <c r="R52" s="19">
        <v>2.0</v>
      </c>
      <c r="S52" s="19">
        <v>1.0</v>
      </c>
      <c r="T52" s="19">
        <v>5.0</v>
      </c>
      <c r="U52" s="19">
        <v>5.0</v>
      </c>
      <c r="V52" s="19">
        <v>2.0</v>
      </c>
      <c r="W52" s="19">
        <v>3.0</v>
      </c>
      <c r="X52" s="19">
        <v>5.0</v>
      </c>
      <c r="Y52" s="19">
        <v>4.0</v>
      </c>
      <c r="Z52" s="19">
        <v>0.0</v>
      </c>
      <c r="AA52" s="19">
        <v>7.0</v>
      </c>
      <c r="AB52" s="19">
        <v>1.0</v>
      </c>
      <c r="AC52" s="19">
        <v>3.0</v>
      </c>
      <c r="AD52" s="19">
        <v>4.0</v>
      </c>
      <c r="AE52" s="19">
        <v>3.0</v>
      </c>
      <c r="AF52" s="19">
        <v>3.0</v>
      </c>
      <c r="AG52" s="19">
        <v>2.0</v>
      </c>
      <c r="AH52" s="19">
        <v>0.0</v>
      </c>
      <c r="AI52" s="19">
        <v>1.0</v>
      </c>
      <c r="AJ52" s="19">
        <v>1.0</v>
      </c>
      <c r="AK52" s="19">
        <v>2.0</v>
      </c>
      <c r="AL52" s="19">
        <v>2.0</v>
      </c>
      <c r="AM52" s="19">
        <v>0.0</v>
      </c>
      <c r="AN52" s="19">
        <v>4.0</v>
      </c>
      <c r="AO52" s="19">
        <v>3.0</v>
      </c>
      <c r="AP52" s="19">
        <v>3.0</v>
      </c>
      <c r="AQ52" s="19">
        <v>1.0</v>
      </c>
      <c r="AR52" s="19">
        <v>2.0</v>
      </c>
      <c r="AS52" s="13">
        <f t="shared" si="6"/>
        <v>117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1.0</v>
      </c>
      <c r="G53" s="19">
        <v>1.0</v>
      </c>
      <c r="H53" s="19">
        <v>0.0</v>
      </c>
      <c r="I53" s="19">
        <v>1.0</v>
      </c>
      <c r="J53" s="19">
        <v>0.0</v>
      </c>
      <c r="K53" s="19">
        <v>1.0</v>
      </c>
      <c r="L53" s="19">
        <v>2.0</v>
      </c>
      <c r="M53" s="19">
        <v>1.0</v>
      </c>
      <c r="N53" s="19">
        <v>3.0</v>
      </c>
      <c r="O53" s="19">
        <v>0.0</v>
      </c>
      <c r="P53" s="19">
        <v>2.0</v>
      </c>
      <c r="Q53" s="19">
        <v>1.0</v>
      </c>
      <c r="R53" s="19">
        <v>0.0</v>
      </c>
      <c r="S53" s="19">
        <v>2.0</v>
      </c>
      <c r="T53" s="19">
        <v>1.0</v>
      </c>
      <c r="U53" s="19">
        <v>2.0</v>
      </c>
      <c r="V53" s="19">
        <v>1.0</v>
      </c>
      <c r="W53" s="19">
        <v>0.0</v>
      </c>
      <c r="X53" s="19">
        <v>1.0</v>
      </c>
      <c r="Y53" s="19">
        <v>0.0</v>
      </c>
      <c r="Z53" s="19">
        <v>2.0</v>
      </c>
      <c r="AA53" s="19">
        <v>3.0</v>
      </c>
      <c r="AB53" s="19">
        <v>0.0</v>
      </c>
      <c r="AC53" s="19">
        <v>0.0</v>
      </c>
      <c r="AD53" s="19">
        <v>0.0</v>
      </c>
      <c r="AE53" s="19">
        <v>0.0</v>
      </c>
      <c r="AF53" s="19">
        <v>1.0</v>
      </c>
      <c r="AG53" s="19">
        <v>0.0</v>
      </c>
      <c r="AH53" s="19">
        <v>0.0</v>
      </c>
      <c r="AI53" s="19">
        <v>1.0</v>
      </c>
      <c r="AJ53" s="19">
        <v>0.0</v>
      </c>
      <c r="AK53" s="19">
        <v>1.0</v>
      </c>
      <c r="AL53" s="19">
        <v>2.0</v>
      </c>
      <c r="AM53" s="19">
        <v>1.0</v>
      </c>
      <c r="AN53" s="19">
        <v>1.0</v>
      </c>
      <c r="AO53" s="19">
        <v>2.0</v>
      </c>
      <c r="AP53" s="19">
        <v>1.0</v>
      </c>
      <c r="AQ53" s="19">
        <v>1.0</v>
      </c>
      <c r="AR53" s="19">
        <v>1.0</v>
      </c>
      <c r="AS53" s="13">
        <f t="shared" si="6"/>
        <v>37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26.0</v>
      </c>
      <c r="F54" s="19">
        <v>29.0</v>
      </c>
      <c r="G54" s="19">
        <v>17.0</v>
      </c>
      <c r="H54" s="19">
        <v>29.0</v>
      </c>
      <c r="I54" s="19">
        <v>13.0</v>
      </c>
      <c r="J54" s="19">
        <v>22.0</v>
      </c>
      <c r="K54" s="19">
        <v>20.0</v>
      </c>
      <c r="L54" s="19">
        <v>15.0</v>
      </c>
      <c r="M54" s="19">
        <v>28.0</v>
      </c>
      <c r="N54" s="19">
        <v>16.0</v>
      </c>
      <c r="O54" s="19">
        <v>21.0</v>
      </c>
      <c r="P54" s="19">
        <v>27.0</v>
      </c>
      <c r="Q54" s="19">
        <v>17.0</v>
      </c>
      <c r="R54" s="19">
        <v>22.0</v>
      </c>
      <c r="S54" s="19">
        <v>31.0</v>
      </c>
      <c r="T54" s="19">
        <v>19.0</v>
      </c>
      <c r="U54" s="19">
        <v>14.0</v>
      </c>
      <c r="V54" s="19">
        <v>18.0</v>
      </c>
      <c r="W54" s="19">
        <v>31.0</v>
      </c>
      <c r="X54" s="19">
        <v>32.0</v>
      </c>
      <c r="Y54" s="19">
        <v>25.0</v>
      </c>
      <c r="Z54" s="19">
        <v>26.0</v>
      </c>
      <c r="AA54" s="19">
        <v>33.0</v>
      </c>
      <c r="AB54" s="19">
        <v>25.0</v>
      </c>
      <c r="AC54" s="19">
        <v>37.0</v>
      </c>
      <c r="AD54" s="19">
        <v>38.0</v>
      </c>
      <c r="AE54" s="19">
        <v>28.0</v>
      </c>
      <c r="AF54" s="19">
        <v>21.0</v>
      </c>
      <c r="AG54" s="19">
        <v>23.0</v>
      </c>
      <c r="AH54" s="19">
        <v>21.0</v>
      </c>
      <c r="AI54" s="19">
        <v>28.0</v>
      </c>
      <c r="AJ54" s="19">
        <v>23.0</v>
      </c>
      <c r="AK54" s="19">
        <v>30.0</v>
      </c>
      <c r="AL54" s="19">
        <v>31.0</v>
      </c>
      <c r="AM54" s="19">
        <v>35.0</v>
      </c>
      <c r="AN54" s="19">
        <v>44.0</v>
      </c>
      <c r="AO54" s="19">
        <v>33.0</v>
      </c>
      <c r="AP54" s="19">
        <v>30.0</v>
      </c>
      <c r="AQ54" s="19">
        <v>18.0</v>
      </c>
      <c r="AR54" s="19">
        <v>28.0</v>
      </c>
      <c r="AS54" s="13">
        <f t="shared" si="6"/>
        <v>1024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0.0</v>
      </c>
      <c r="F55" s="19">
        <v>2.0</v>
      </c>
      <c r="G55" s="19">
        <v>2.0</v>
      </c>
      <c r="H55" s="19">
        <v>3.0</v>
      </c>
      <c r="I55" s="19">
        <v>1.0</v>
      </c>
      <c r="J55" s="19">
        <v>0.0</v>
      </c>
      <c r="K55" s="19">
        <v>0.0</v>
      </c>
      <c r="L55" s="19">
        <v>1.0</v>
      </c>
      <c r="M55" s="19">
        <v>4.0</v>
      </c>
      <c r="N55" s="19">
        <v>0.0</v>
      </c>
      <c r="O55" s="19">
        <v>1.0</v>
      </c>
      <c r="P55" s="19">
        <v>3.0</v>
      </c>
      <c r="Q55" s="19">
        <v>1.0</v>
      </c>
      <c r="R55" s="19">
        <v>2.0</v>
      </c>
      <c r="S55" s="19">
        <v>1.0</v>
      </c>
      <c r="T55" s="19">
        <v>3.0</v>
      </c>
      <c r="U55" s="19">
        <v>4.0</v>
      </c>
      <c r="V55" s="19">
        <v>1.0</v>
      </c>
      <c r="W55" s="19">
        <v>1.0</v>
      </c>
      <c r="X55" s="19">
        <v>3.0</v>
      </c>
      <c r="Y55" s="19">
        <v>1.0</v>
      </c>
      <c r="Z55" s="19">
        <v>2.0</v>
      </c>
      <c r="AA55" s="19">
        <v>1.0</v>
      </c>
      <c r="AB55" s="19">
        <v>0.0</v>
      </c>
      <c r="AC55" s="19">
        <v>1.0</v>
      </c>
      <c r="AD55" s="19">
        <v>1.0</v>
      </c>
      <c r="AE55" s="19">
        <v>1.0</v>
      </c>
      <c r="AF55" s="19">
        <v>1.0</v>
      </c>
      <c r="AG55" s="19">
        <v>1.0</v>
      </c>
      <c r="AH55" s="19">
        <v>1.0</v>
      </c>
      <c r="AI55" s="19">
        <v>2.0</v>
      </c>
      <c r="AJ55" s="19">
        <v>1.0</v>
      </c>
      <c r="AK55" s="19">
        <v>1.0</v>
      </c>
      <c r="AL55" s="19">
        <v>0.0</v>
      </c>
      <c r="AM55" s="19">
        <v>1.0</v>
      </c>
      <c r="AN55" s="19">
        <v>1.0</v>
      </c>
      <c r="AO55" s="19">
        <v>0.0</v>
      </c>
      <c r="AP55" s="19">
        <v>2.0</v>
      </c>
      <c r="AQ55" s="19">
        <v>0.0</v>
      </c>
      <c r="AR55" s="19">
        <v>2.0</v>
      </c>
      <c r="AS55" s="13">
        <f t="shared" si="6"/>
        <v>53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16.0</v>
      </c>
      <c r="F56" s="19">
        <v>24.0</v>
      </c>
      <c r="G56" s="19">
        <v>23.0</v>
      </c>
      <c r="H56" s="19">
        <v>20.0</v>
      </c>
      <c r="I56" s="19">
        <v>17.0</v>
      </c>
      <c r="J56" s="19">
        <v>21.0</v>
      </c>
      <c r="K56" s="19">
        <v>18.0</v>
      </c>
      <c r="L56" s="19">
        <v>19.0</v>
      </c>
      <c r="M56" s="19">
        <v>24.0</v>
      </c>
      <c r="N56" s="19">
        <v>20.0</v>
      </c>
      <c r="O56" s="19">
        <v>13.0</v>
      </c>
      <c r="P56" s="19">
        <v>16.0</v>
      </c>
      <c r="Q56" s="19">
        <v>12.0</v>
      </c>
      <c r="R56" s="19">
        <v>16.0</v>
      </c>
      <c r="S56" s="19">
        <v>27.0</v>
      </c>
      <c r="T56" s="19">
        <v>26.0</v>
      </c>
      <c r="U56" s="19">
        <v>19.0</v>
      </c>
      <c r="V56" s="19">
        <v>20.0</v>
      </c>
      <c r="W56" s="19">
        <v>32.0</v>
      </c>
      <c r="X56" s="19">
        <v>18.0</v>
      </c>
      <c r="Y56" s="19">
        <v>19.0</v>
      </c>
      <c r="Z56" s="19">
        <v>34.0</v>
      </c>
      <c r="AA56" s="19">
        <v>22.0</v>
      </c>
      <c r="AB56" s="19">
        <v>34.0</v>
      </c>
      <c r="AC56" s="19">
        <v>27.0</v>
      </c>
      <c r="AD56" s="19">
        <v>29.0</v>
      </c>
      <c r="AE56" s="19">
        <v>31.0</v>
      </c>
      <c r="AF56" s="19">
        <v>46.0</v>
      </c>
      <c r="AG56" s="19">
        <v>39.0</v>
      </c>
      <c r="AH56" s="19">
        <v>41.0</v>
      </c>
      <c r="AI56" s="19">
        <v>33.0</v>
      </c>
      <c r="AJ56" s="19">
        <v>38.0</v>
      </c>
      <c r="AK56" s="19">
        <v>40.0</v>
      </c>
      <c r="AL56" s="19">
        <v>49.0</v>
      </c>
      <c r="AM56" s="19">
        <v>36.0</v>
      </c>
      <c r="AN56" s="19">
        <v>45.0</v>
      </c>
      <c r="AO56" s="19">
        <v>27.0</v>
      </c>
      <c r="AP56" s="19">
        <v>36.0</v>
      </c>
      <c r="AQ56" s="19">
        <v>17.0</v>
      </c>
      <c r="AR56" s="19">
        <v>32.0</v>
      </c>
      <c r="AS56" s="13">
        <f t="shared" si="6"/>
        <v>1076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5.0</v>
      </c>
      <c r="F57" s="19">
        <v>1.0</v>
      </c>
      <c r="G57" s="19">
        <v>0.0</v>
      </c>
      <c r="H57" s="19">
        <v>3.0</v>
      </c>
      <c r="I57" s="19">
        <v>1.0</v>
      </c>
      <c r="J57" s="19">
        <v>2.0</v>
      </c>
      <c r="K57" s="19">
        <v>4.0</v>
      </c>
      <c r="L57" s="19">
        <v>1.0</v>
      </c>
      <c r="M57" s="19">
        <v>1.0</v>
      </c>
      <c r="N57" s="19">
        <v>1.0</v>
      </c>
      <c r="O57" s="19">
        <v>3.0</v>
      </c>
      <c r="P57" s="19">
        <v>2.0</v>
      </c>
      <c r="Q57" s="19">
        <v>7.0</v>
      </c>
      <c r="R57" s="19">
        <v>0.0</v>
      </c>
      <c r="S57" s="19">
        <v>0.0</v>
      </c>
      <c r="T57" s="19">
        <v>1.0</v>
      </c>
      <c r="U57" s="19">
        <v>1.0</v>
      </c>
      <c r="V57" s="19">
        <v>1.0</v>
      </c>
      <c r="W57" s="19">
        <v>6.0</v>
      </c>
      <c r="X57" s="19">
        <v>2.0</v>
      </c>
      <c r="Y57" s="19">
        <v>4.0</v>
      </c>
      <c r="Z57" s="19">
        <v>3.0</v>
      </c>
      <c r="AA57" s="19">
        <v>1.0</v>
      </c>
      <c r="AB57" s="19">
        <v>0.0</v>
      </c>
      <c r="AC57" s="19">
        <v>3.0</v>
      </c>
      <c r="AD57" s="19">
        <v>2.0</v>
      </c>
      <c r="AE57" s="19">
        <v>1.0</v>
      </c>
      <c r="AF57" s="19">
        <v>0.0</v>
      </c>
      <c r="AG57" s="19">
        <v>0.0</v>
      </c>
      <c r="AH57" s="19">
        <v>2.0</v>
      </c>
      <c r="AI57" s="19">
        <v>6.0</v>
      </c>
      <c r="AJ57" s="19">
        <v>0.0</v>
      </c>
      <c r="AK57" s="19">
        <v>2.0</v>
      </c>
      <c r="AL57" s="19">
        <v>3.0</v>
      </c>
      <c r="AM57" s="19">
        <v>4.0</v>
      </c>
      <c r="AN57" s="19">
        <v>1.0</v>
      </c>
      <c r="AO57" s="19">
        <v>0.0</v>
      </c>
      <c r="AP57" s="19">
        <v>4.0</v>
      </c>
      <c r="AQ57" s="19">
        <v>4.0</v>
      </c>
      <c r="AR57" s="19">
        <v>4.0</v>
      </c>
      <c r="AS57" s="13">
        <f t="shared" si="6"/>
        <v>86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13"/>
    </row>
    <row r="60" ht="12.75" customHeight="1">
      <c r="A60" s="42"/>
      <c r="B60" s="53" t="s">
        <v>62</v>
      </c>
      <c r="C60" s="54" t="s">
        <v>63</v>
      </c>
      <c r="D60" s="16"/>
      <c r="E60" s="19">
        <v>155.0</v>
      </c>
      <c r="F60" s="19">
        <v>157.0</v>
      </c>
      <c r="G60" s="19">
        <v>147.0</v>
      </c>
      <c r="H60" s="19">
        <v>172.0</v>
      </c>
      <c r="I60" s="19">
        <v>124.0</v>
      </c>
      <c r="J60" s="19">
        <v>120.0</v>
      </c>
      <c r="K60" s="19">
        <v>135.0</v>
      </c>
      <c r="L60" s="19">
        <v>134.0</v>
      </c>
      <c r="M60" s="19">
        <v>151.0</v>
      </c>
      <c r="N60" s="19">
        <v>135.0</v>
      </c>
      <c r="O60" s="19">
        <v>142.0</v>
      </c>
      <c r="P60" s="19">
        <v>142.0</v>
      </c>
      <c r="Q60" s="19">
        <v>140.0</v>
      </c>
      <c r="R60" s="19">
        <v>138.0</v>
      </c>
      <c r="S60" s="19">
        <v>160.0</v>
      </c>
      <c r="T60" s="19">
        <v>166.0</v>
      </c>
      <c r="U60" s="19">
        <v>150.0</v>
      </c>
      <c r="V60" s="19">
        <v>121.0</v>
      </c>
      <c r="W60" s="19">
        <v>170.0</v>
      </c>
      <c r="X60" s="19">
        <v>175.0</v>
      </c>
      <c r="Y60" s="19">
        <v>171.0</v>
      </c>
      <c r="Z60" s="19">
        <v>188.0</v>
      </c>
      <c r="AA60" s="19">
        <v>196.0</v>
      </c>
      <c r="AB60" s="19">
        <v>160.0</v>
      </c>
      <c r="AC60" s="19">
        <v>174.0</v>
      </c>
      <c r="AD60" s="19">
        <v>208.0</v>
      </c>
      <c r="AE60" s="19">
        <v>197.0</v>
      </c>
      <c r="AF60" s="19">
        <v>197.0</v>
      </c>
      <c r="AG60" s="19">
        <v>202.0</v>
      </c>
      <c r="AH60" s="19">
        <v>169.0</v>
      </c>
      <c r="AI60" s="19">
        <v>191.0</v>
      </c>
      <c r="AJ60" s="19">
        <v>182.0</v>
      </c>
      <c r="AK60" s="19">
        <v>198.0</v>
      </c>
      <c r="AL60" s="19">
        <v>191.0</v>
      </c>
      <c r="AM60" s="19">
        <v>187.0</v>
      </c>
      <c r="AN60" s="19">
        <v>208.0</v>
      </c>
      <c r="AO60" s="19">
        <v>180.0</v>
      </c>
      <c r="AP60" s="19">
        <v>208.0</v>
      </c>
      <c r="AQ60" s="19">
        <v>179.0</v>
      </c>
      <c r="AR60" s="19">
        <v>160.0</v>
      </c>
      <c r="AS60" s="13">
        <f t="shared" ref="AS60:AS62" si="7">SUM(E60:AR60)</f>
        <v>6680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51.0</v>
      </c>
      <c r="F61" s="19">
        <v>34.0</v>
      </c>
      <c r="G61" s="19">
        <v>31.0</v>
      </c>
      <c r="H61" s="19">
        <v>28.0</v>
      </c>
      <c r="I61" s="19">
        <v>63.0</v>
      </c>
      <c r="J61" s="19">
        <v>46.0</v>
      </c>
      <c r="K61" s="19">
        <v>31.0</v>
      </c>
      <c r="L61" s="19">
        <v>45.0</v>
      </c>
      <c r="M61" s="19">
        <v>47.0</v>
      </c>
      <c r="N61" s="19">
        <v>55.0</v>
      </c>
      <c r="O61" s="19">
        <v>53.0</v>
      </c>
      <c r="P61" s="19">
        <v>32.0</v>
      </c>
      <c r="Q61" s="19">
        <v>62.0</v>
      </c>
      <c r="R61" s="19">
        <v>38.0</v>
      </c>
      <c r="S61" s="19">
        <v>61.0</v>
      </c>
      <c r="T61" s="19">
        <v>46.0</v>
      </c>
      <c r="U61" s="19">
        <v>38.0</v>
      </c>
      <c r="V61" s="19">
        <v>35.0</v>
      </c>
      <c r="W61" s="19">
        <v>45.0</v>
      </c>
      <c r="X61" s="19">
        <v>34.0</v>
      </c>
      <c r="Y61" s="19">
        <v>35.0</v>
      </c>
      <c r="Z61" s="19">
        <v>36.0</v>
      </c>
      <c r="AA61" s="19">
        <v>37.0</v>
      </c>
      <c r="AB61" s="19">
        <v>33.0</v>
      </c>
      <c r="AC61" s="19">
        <v>25.0</v>
      </c>
      <c r="AD61" s="19">
        <v>30.0</v>
      </c>
      <c r="AE61" s="19">
        <v>34.0</v>
      </c>
      <c r="AF61" s="19">
        <v>32.0</v>
      </c>
      <c r="AG61" s="19">
        <v>20.0</v>
      </c>
      <c r="AH61" s="19">
        <v>18.0</v>
      </c>
      <c r="AI61" s="19">
        <v>30.0</v>
      </c>
      <c r="AJ61" s="19">
        <v>15.0</v>
      </c>
      <c r="AK61" s="19">
        <v>19.0</v>
      </c>
      <c r="AL61" s="19">
        <v>14.0</v>
      </c>
      <c r="AM61" s="19">
        <v>13.0</v>
      </c>
      <c r="AN61" s="19">
        <v>28.0</v>
      </c>
      <c r="AO61" s="19">
        <v>20.0</v>
      </c>
      <c r="AP61" s="19">
        <v>25.0</v>
      </c>
      <c r="AQ61" s="19">
        <v>18.0</v>
      </c>
      <c r="AR61" s="19">
        <v>36.0</v>
      </c>
      <c r="AS61" s="13">
        <f t="shared" si="7"/>
        <v>1393</v>
      </c>
    </row>
    <row r="62" ht="12.75" customHeight="1">
      <c r="A62" s="41"/>
      <c r="B62" s="53" t="s">
        <v>66</v>
      </c>
      <c r="C62" s="54" t="s">
        <v>67</v>
      </c>
      <c r="D62" s="16"/>
      <c r="E62" s="13">
        <v>206.0</v>
      </c>
      <c r="F62" s="13">
        <v>191.0</v>
      </c>
      <c r="G62" s="13">
        <v>178.0</v>
      </c>
      <c r="H62" s="13">
        <v>200.0</v>
      </c>
      <c r="I62" s="13">
        <v>187.0</v>
      </c>
      <c r="J62" s="13">
        <v>166.0</v>
      </c>
      <c r="K62" s="13">
        <v>166.0</v>
      </c>
      <c r="L62" s="13">
        <v>179.0</v>
      </c>
      <c r="M62" s="13">
        <v>198.0</v>
      </c>
      <c r="N62" s="13">
        <v>190.0</v>
      </c>
      <c r="O62" s="13">
        <v>195.0</v>
      </c>
      <c r="P62" s="13">
        <v>174.0</v>
      </c>
      <c r="Q62" s="13">
        <v>202.0</v>
      </c>
      <c r="R62" s="13">
        <v>176.0</v>
      </c>
      <c r="S62" s="13">
        <v>221.0</v>
      </c>
      <c r="T62" s="13">
        <v>212.0</v>
      </c>
      <c r="U62" s="13">
        <v>188.0</v>
      </c>
      <c r="V62" s="13">
        <v>156.0</v>
      </c>
      <c r="W62" s="13">
        <v>215.0</v>
      </c>
      <c r="X62" s="13">
        <v>209.0</v>
      </c>
      <c r="Y62" s="13">
        <v>206.0</v>
      </c>
      <c r="Z62" s="13">
        <v>224.0</v>
      </c>
      <c r="AA62" s="13">
        <v>233.0</v>
      </c>
      <c r="AB62" s="13">
        <v>193.0</v>
      </c>
      <c r="AC62" s="13">
        <v>199.0</v>
      </c>
      <c r="AD62" s="13">
        <v>238.0</v>
      </c>
      <c r="AE62" s="13">
        <v>231.0</v>
      </c>
      <c r="AF62" s="13">
        <v>229.0</v>
      </c>
      <c r="AG62" s="13">
        <v>222.0</v>
      </c>
      <c r="AH62" s="13">
        <v>187.0</v>
      </c>
      <c r="AI62" s="13">
        <v>221.0</v>
      </c>
      <c r="AJ62" s="13">
        <v>197.0</v>
      </c>
      <c r="AK62" s="13">
        <v>217.0</v>
      </c>
      <c r="AL62" s="13">
        <v>205.0</v>
      </c>
      <c r="AM62" s="13">
        <v>200.0</v>
      </c>
      <c r="AN62" s="13">
        <v>236.0</v>
      </c>
      <c r="AO62" s="13">
        <v>200.0</v>
      </c>
      <c r="AP62" s="13">
        <v>233.0</v>
      </c>
      <c r="AQ62" s="13">
        <v>197.0</v>
      </c>
      <c r="AR62" s="13">
        <v>196.0</v>
      </c>
      <c r="AS62" s="13">
        <f t="shared" si="7"/>
        <v>8073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R12"/>
    <mergeCell ref="AS12:A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R15 E45:AR57">
    <cfRule type="containsBlanks" dxfId="1" priority="2">
      <formula>LEN(TRIM(E14))=0</formula>
    </cfRule>
  </conditionalFormatting>
  <conditionalFormatting sqref="E19:AR20">
    <cfRule type="containsBlanks" dxfId="1" priority="3">
      <formula>LEN(TRIM(E19))=0</formula>
    </cfRule>
  </conditionalFormatting>
  <conditionalFormatting sqref="E22:AR23 E25:AR26 E33:AR33 E35:AR35 E39:AR40">
    <cfRule type="containsBlanks" dxfId="1" priority="4">
      <formula>LEN(TRIM(E22))=0</formula>
    </cfRule>
  </conditionalFormatting>
  <conditionalFormatting sqref="E30:AR30">
    <cfRule type="expression" dxfId="0" priority="5">
      <formula>E30&lt;&gt;E46</formula>
    </cfRule>
  </conditionalFormatting>
  <conditionalFormatting sqref="E30:AR30">
    <cfRule type="expression" dxfId="0" priority="6">
      <formula>E30&lt;&gt;E34</formula>
    </cfRule>
  </conditionalFormatting>
  <conditionalFormatting sqref="E34:AR34">
    <cfRule type="expression" dxfId="2" priority="7">
      <formula>E30&lt;&gt;E34</formula>
    </cfRule>
  </conditionalFormatting>
  <conditionalFormatting sqref="E34:AR34">
    <cfRule type="expression" dxfId="3" priority="8">
      <formula>E30=E34</formula>
    </cfRule>
  </conditionalFormatting>
  <conditionalFormatting sqref="E34:AR34">
    <cfRule type="expression" dxfId="0" priority="9">
      <formula>E34&lt;&gt;E30</formula>
    </cfRule>
  </conditionalFormatting>
  <conditionalFormatting sqref="E60:AR61">
    <cfRule type="containsBlanks" dxfId="1" priority="10">
      <formula>LEN(TRIM(E60))=0</formula>
    </cfRule>
  </conditionalFormatting>
  <conditionalFormatting sqref="U34:AR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7" width="8.71"/>
    <col customWidth="1" min="38" max="38" width="13.29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13" t="s">
        <v>98</v>
      </c>
      <c r="AG13" s="13" t="s">
        <v>99</v>
      </c>
      <c r="AH13" s="13" t="s">
        <v>100</v>
      </c>
      <c r="AI13" s="13" t="s">
        <v>101</v>
      </c>
      <c r="AJ13" s="13" t="s">
        <v>102</v>
      </c>
      <c r="AK13" s="13" t="s">
        <v>103</v>
      </c>
      <c r="AL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136.0</v>
      </c>
      <c r="G14" s="19">
        <v>145.0</v>
      </c>
      <c r="H14" s="19">
        <v>148.0</v>
      </c>
      <c r="I14" s="19">
        <v>114.0</v>
      </c>
      <c r="J14" s="19">
        <v>134.0</v>
      </c>
      <c r="K14" s="19">
        <v>130.0</v>
      </c>
      <c r="L14" s="19">
        <v>136.0</v>
      </c>
      <c r="M14" s="19">
        <v>132.0</v>
      </c>
      <c r="N14" s="19">
        <v>123.0</v>
      </c>
      <c r="O14" s="19">
        <v>117.0</v>
      </c>
      <c r="P14" s="19">
        <v>133.0</v>
      </c>
      <c r="Q14" s="19">
        <v>130.0</v>
      </c>
      <c r="R14" s="19">
        <v>132.0</v>
      </c>
      <c r="S14" s="19">
        <v>145.0</v>
      </c>
      <c r="T14" s="19">
        <v>128.0</v>
      </c>
      <c r="U14" s="19">
        <v>136.0</v>
      </c>
      <c r="V14" s="19">
        <v>122.0</v>
      </c>
      <c r="W14" s="19">
        <v>135.0</v>
      </c>
      <c r="X14" s="19">
        <v>135.0</v>
      </c>
      <c r="Y14" s="19">
        <v>141.0</v>
      </c>
      <c r="Z14" s="19">
        <v>133.0</v>
      </c>
      <c r="AA14" s="19">
        <v>142.0</v>
      </c>
      <c r="AB14" s="19">
        <v>158.0</v>
      </c>
      <c r="AC14" s="19">
        <v>141.0</v>
      </c>
      <c r="AD14" s="19">
        <v>146.0</v>
      </c>
      <c r="AE14" s="19">
        <v>131.0</v>
      </c>
      <c r="AF14" s="19">
        <v>140.0</v>
      </c>
      <c r="AG14" s="19">
        <v>134.0</v>
      </c>
      <c r="AH14" s="19">
        <v>133.0</v>
      </c>
      <c r="AI14" s="19">
        <v>121.0</v>
      </c>
      <c r="AJ14" s="19">
        <v>131.0</v>
      </c>
      <c r="AK14" s="19">
        <v>134.0</v>
      </c>
      <c r="AL14" s="13">
        <f t="shared" ref="AL14:AL16" si="1">SUM(E14:AK14)</f>
        <v>4432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128.0</v>
      </c>
      <c r="G15" s="19">
        <v>154.0</v>
      </c>
      <c r="H15" s="19">
        <v>150.0</v>
      </c>
      <c r="I15" s="19">
        <v>139.0</v>
      </c>
      <c r="J15" s="19">
        <v>132.0</v>
      </c>
      <c r="K15" s="19">
        <v>136.0</v>
      </c>
      <c r="L15" s="19">
        <v>129.0</v>
      </c>
      <c r="M15" s="19">
        <v>126.0</v>
      </c>
      <c r="N15" s="19">
        <v>136.0</v>
      </c>
      <c r="O15" s="19">
        <v>124.0</v>
      </c>
      <c r="P15" s="19">
        <v>141.0</v>
      </c>
      <c r="Q15" s="19">
        <v>129.0</v>
      </c>
      <c r="R15" s="19">
        <v>122.0</v>
      </c>
      <c r="S15" s="19">
        <v>141.0</v>
      </c>
      <c r="T15" s="19">
        <v>122.0</v>
      </c>
      <c r="U15" s="19">
        <v>132.0</v>
      </c>
      <c r="V15" s="19">
        <v>129.0</v>
      </c>
      <c r="W15" s="19">
        <v>134.0</v>
      </c>
      <c r="X15" s="19">
        <v>137.0</v>
      </c>
      <c r="Y15" s="19">
        <v>131.0</v>
      </c>
      <c r="Z15" s="19">
        <v>129.0</v>
      </c>
      <c r="AA15" s="19">
        <v>150.0</v>
      </c>
      <c r="AB15" s="19">
        <v>132.0</v>
      </c>
      <c r="AC15" s="19">
        <v>146.0</v>
      </c>
      <c r="AD15" s="19">
        <v>146.0</v>
      </c>
      <c r="AE15" s="19">
        <v>146.0</v>
      </c>
      <c r="AF15" s="19">
        <v>131.0</v>
      </c>
      <c r="AG15" s="19">
        <v>136.0</v>
      </c>
      <c r="AH15" s="19">
        <v>138.0</v>
      </c>
      <c r="AI15" s="19">
        <v>146.0</v>
      </c>
      <c r="AJ15" s="19">
        <v>140.0</v>
      </c>
      <c r="AK15" s="19">
        <v>132.0</v>
      </c>
      <c r="AL15" s="13">
        <f t="shared" si="1"/>
        <v>4482</v>
      </c>
    </row>
    <row r="16" ht="12.75" customHeight="1">
      <c r="A16" s="25"/>
      <c r="B16" s="21"/>
      <c r="C16" s="28"/>
      <c r="D16" s="13" t="s">
        <v>14</v>
      </c>
      <c r="E16" s="13">
        <v>274.0</v>
      </c>
      <c r="F16" s="13">
        <v>264.0</v>
      </c>
      <c r="G16" s="13">
        <v>299.0</v>
      </c>
      <c r="H16" s="13">
        <v>298.0</v>
      </c>
      <c r="I16" s="13">
        <v>253.0</v>
      </c>
      <c r="J16" s="13">
        <v>266.0</v>
      </c>
      <c r="K16" s="13">
        <v>266.0</v>
      </c>
      <c r="L16" s="13">
        <v>265.0</v>
      </c>
      <c r="M16" s="13">
        <v>258.0</v>
      </c>
      <c r="N16" s="13">
        <v>259.0</v>
      </c>
      <c r="O16" s="13">
        <v>241.0</v>
      </c>
      <c r="P16" s="13">
        <v>274.0</v>
      </c>
      <c r="Q16" s="13">
        <v>259.0</v>
      </c>
      <c r="R16" s="13">
        <v>254.0</v>
      </c>
      <c r="S16" s="13">
        <v>286.0</v>
      </c>
      <c r="T16" s="13">
        <v>250.0</v>
      </c>
      <c r="U16" s="13">
        <v>268.0</v>
      </c>
      <c r="V16" s="13">
        <v>251.0</v>
      </c>
      <c r="W16" s="13">
        <v>269.0</v>
      </c>
      <c r="X16" s="13">
        <v>272.0</v>
      </c>
      <c r="Y16" s="13">
        <v>272.0</v>
      </c>
      <c r="Z16" s="13">
        <v>262.0</v>
      </c>
      <c r="AA16" s="13">
        <v>292.0</v>
      </c>
      <c r="AB16" s="13">
        <v>290.0</v>
      </c>
      <c r="AC16" s="13">
        <v>287.0</v>
      </c>
      <c r="AD16" s="13">
        <v>292.0</v>
      </c>
      <c r="AE16" s="13">
        <v>277.0</v>
      </c>
      <c r="AF16" s="13">
        <v>271.0</v>
      </c>
      <c r="AG16" s="13">
        <v>270.0</v>
      </c>
      <c r="AH16" s="13">
        <v>271.0</v>
      </c>
      <c r="AI16" s="13">
        <v>267.0</v>
      </c>
      <c r="AJ16" s="13">
        <f t="shared" ref="AJ16:AK16" si="2">SUM(AJ14:AJ15)</f>
        <v>271</v>
      </c>
      <c r="AK16" s="13">
        <f t="shared" si="2"/>
        <v>266</v>
      </c>
      <c r="AL16" s="13">
        <f t="shared" si="1"/>
        <v>8914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91.0</v>
      </c>
      <c r="G19" s="19">
        <v>115.0</v>
      </c>
      <c r="H19" s="19">
        <v>156.0</v>
      </c>
      <c r="I19" s="19">
        <v>75.0</v>
      </c>
      <c r="J19" s="19">
        <v>99.0</v>
      </c>
      <c r="K19" s="19">
        <v>86.0</v>
      </c>
      <c r="L19" s="19">
        <v>95.0</v>
      </c>
      <c r="M19" s="19">
        <v>93.0</v>
      </c>
      <c r="N19" s="19">
        <v>101.0</v>
      </c>
      <c r="O19" s="19">
        <v>68.0</v>
      </c>
      <c r="P19" s="19">
        <v>101.0</v>
      </c>
      <c r="Q19" s="19">
        <v>76.0</v>
      </c>
      <c r="R19" s="19">
        <v>101.0</v>
      </c>
      <c r="S19" s="19">
        <v>96.0</v>
      </c>
      <c r="T19" s="19">
        <v>92.0</v>
      </c>
      <c r="U19" s="19">
        <v>106.0</v>
      </c>
      <c r="V19" s="19">
        <v>95.0</v>
      </c>
      <c r="W19" s="19">
        <v>98.0</v>
      </c>
      <c r="X19" s="19">
        <v>102.0</v>
      </c>
      <c r="Y19" s="19">
        <v>104.0</v>
      </c>
      <c r="Z19" s="19">
        <v>102.0</v>
      </c>
      <c r="AA19" s="19">
        <v>107.0</v>
      </c>
      <c r="AB19" s="19">
        <v>109.0</v>
      </c>
      <c r="AC19" s="19">
        <v>107.0</v>
      </c>
      <c r="AD19" s="19">
        <v>104.0</v>
      </c>
      <c r="AE19" s="19">
        <v>112.0</v>
      </c>
      <c r="AF19" s="19">
        <v>111.0</v>
      </c>
      <c r="AG19" s="19">
        <v>108.0</v>
      </c>
      <c r="AH19" s="19">
        <v>104.0</v>
      </c>
      <c r="AI19" s="19">
        <v>100.0</v>
      </c>
      <c r="AJ19" s="19">
        <v>97.0</v>
      </c>
      <c r="AK19" s="19">
        <v>105.0</v>
      </c>
      <c r="AL19" s="13">
        <f t="shared" ref="AL19:AL30" si="3">SUM(E19:AK19)</f>
        <v>3314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103.0</v>
      </c>
      <c r="G20" s="19">
        <v>123.0</v>
      </c>
      <c r="H20" s="19">
        <v>90.0</v>
      </c>
      <c r="I20" s="19">
        <v>92.0</v>
      </c>
      <c r="J20" s="19">
        <v>103.0</v>
      </c>
      <c r="K20" s="19">
        <v>98.0</v>
      </c>
      <c r="L20" s="19">
        <v>101.0</v>
      </c>
      <c r="M20" s="19">
        <v>98.0</v>
      </c>
      <c r="N20" s="19">
        <v>118.0</v>
      </c>
      <c r="O20" s="19">
        <v>86.0</v>
      </c>
      <c r="P20" s="19">
        <v>115.0</v>
      </c>
      <c r="Q20" s="19">
        <v>92.0</v>
      </c>
      <c r="R20" s="19">
        <v>98.0</v>
      </c>
      <c r="S20" s="19">
        <v>103.0</v>
      </c>
      <c r="T20" s="19">
        <v>95.0</v>
      </c>
      <c r="U20" s="19">
        <v>108.0</v>
      </c>
      <c r="V20" s="19">
        <v>108.0</v>
      </c>
      <c r="W20" s="19">
        <v>101.0</v>
      </c>
      <c r="X20" s="19">
        <v>108.0</v>
      </c>
      <c r="Y20" s="19">
        <v>102.0</v>
      </c>
      <c r="Z20" s="19">
        <v>103.0</v>
      </c>
      <c r="AA20" s="19">
        <v>112.0</v>
      </c>
      <c r="AB20" s="19">
        <v>104.0</v>
      </c>
      <c r="AC20" s="19">
        <v>109.0</v>
      </c>
      <c r="AD20" s="19">
        <v>117.0</v>
      </c>
      <c r="AE20" s="19">
        <v>120.0</v>
      </c>
      <c r="AF20" s="19">
        <v>107.0</v>
      </c>
      <c r="AG20" s="19">
        <v>106.0</v>
      </c>
      <c r="AH20" s="19">
        <v>108.0</v>
      </c>
      <c r="AI20" s="19">
        <v>119.0</v>
      </c>
      <c r="AJ20" s="19">
        <v>118.0</v>
      </c>
      <c r="AK20" s="19">
        <v>106.0</v>
      </c>
      <c r="AL20" s="13">
        <f t="shared" si="3"/>
        <v>3473</v>
      </c>
    </row>
    <row r="21" ht="12.75" customHeight="1">
      <c r="A21" s="35"/>
      <c r="B21" s="28"/>
      <c r="C21" s="36"/>
      <c r="D21" s="13" t="s">
        <v>14</v>
      </c>
      <c r="E21" s="13">
        <v>200.0</v>
      </c>
      <c r="F21" s="13">
        <v>194.0</v>
      </c>
      <c r="G21" s="13">
        <v>238.0</v>
      </c>
      <c r="H21" s="13">
        <v>246.0</v>
      </c>
      <c r="I21" s="13">
        <v>167.0</v>
      </c>
      <c r="J21" s="13">
        <v>202.0</v>
      </c>
      <c r="K21" s="13">
        <v>184.0</v>
      </c>
      <c r="L21" s="13">
        <v>196.0</v>
      </c>
      <c r="M21" s="13">
        <v>191.0</v>
      </c>
      <c r="N21" s="13">
        <v>219.0</v>
      </c>
      <c r="O21" s="13">
        <v>154.0</v>
      </c>
      <c r="P21" s="13">
        <v>216.0</v>
      </c>
      <c r="Q21" s="13">
        <v>168.0</v>
      </c>
      <c r="R21" s="13">
        <v>199.0</v>
      </c>
      <c r="S21" s="13">
        <v>199.0</v>
      </c>
      <c r="T21" s="13">
        <v>187.0</v>
      </c>
      <c r="U21" s="13">
        <v>214.0</v>
      </c>
      <c r="V21" s="13">
        <v>203.0</v>
      </c>
      <c r="W21" s="13">
        <v>199.0</v>
      </c>
      <c r="X21" s="13">
        <v>210.0</v>
      </c>
      <c r="Y21" s="13">
        <v>206.0</v>
      </c>
      <c r="Z21" s="13">
        <v>205.0</v>
      </c>
      <c r="AA21" s="13">
        <v>219.0</v>
      </c>
      <c r="AB21" s="13">
        <v>213.0</v>
      </c>
      <c r="AC21" s="13">
        <v>216.0</v>
      </c>
      <c r="AD21" s="13">
        <v>221.0</v>
      </c>
      <c r="AE21" s="13">
        <v>232.0</v>
      </c>
      <c r="AF21" s="13">
        <v>218.0</v>
      </c>
      <c r="AG21" s="13">
        <v>214.0</v>
      </c>
      <c r="AH21" s="13">
        <v>212.0</v>
      </c>
      <c r="AI21" s="13">
        <f t="shared" ref="AI21:AK21" si="4">SUM(AI19:AI20)</f>
        <v>219</v>
      </c>
      <c r="AJ21" s="13">
        <f t="shared" si="4"/>
        <v>215</v>
      </c>
      <c r="AK21" s="13">
        <f t="shared" si="4"/>
        <v>211</v>
      </c>
      <c r="AL21" s="13">
        <f t="shared" si="3"/>
        <v>6787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1.0</v>
      </c>
      <c r="O22" s="19">
        <v>2.0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1.0</v>
      </c>
      <c r="O23" s="19">
        <v>2.0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2.0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1.0</v>
      </c>
      <c r="M24" s="13">
        <v>1.0</v>
      </c>
      <c r="N24" s="13">
        <v>2.0</v>
      </c>
      <c r="O24" s="13">
        <v>4.0</v>
      </c>
      <c r="P24" s="13">
        <v>0.0</v>
      </c>
      <c r="Q24" s="13">
        <v>0.0</v>
      </c>
      <c r="R24" s="13">
        <v>0.0</v>
      </c>
      <c r="S24" s="13">
        <v>0.0</v>
      </c>
      <c r="T24" s="13">
        <v>2.0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3">
        <v>0.0</v>
      </c>
      <c r="AF24" s="13">
        <v>0.0</v>
      </c>
      <c r="AG24" s="13">
        <v>0.0</v>
      </c>
      <c r="AH24" s="13">
        <v>0.0</v>
      </c>
      <c r="AI24" s="13">
        <f t="shared" ref="AI24:AK24" si="5">SUM(AI22:AI23)</f>
        <v>0</v>
      </c>
      <c r="AJ24" s="13">
        <f t="shared" si="5"/>
        <v>0</v>
      </c>
      <c r="AK24" s="13">
        <f t="shared" si="5"/>
        <v>0</v>
      </c>
      <c r="AL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3.0</v>
      </c>
      <c r="I25" s="19">
        <v>0.0</v>
      </c>
      <c r="J25" s="19">
        <v>4.0</v>
      </c>
      <c r="K25" s="19">
        <v>1.0</v>
      </c>
      <c r="L25" s="19">
        <v>1.0</v>
      </c>
      <c r="M25" s="19">
        <v>0.0</v>
      </c>
      <c r="N25" s="19">
        <v>3.0</v>
      </c>
      <c r="O25" s="19">
        <v>1.0</v>
      </c>
      <c r="P25" s="19">
        <v>2.0</v>
      </c>
      <c r="Q25" s="19">
        <v>1.0</v>
      </c>
      <c r="R25" s="19">
        <v>4.0</v>
      </c>
      <c r="S25" s="19">
        <v>2.0</v>
      </c>
      <c r="T25" s="19">
        <v>1.0</v>
      </c>
      <c r="U25" s="19">
        <v>0.0</v>
      </c>
      <c r="V25" s="19">
        <v>1.0</v>
      </c>
      <c r="W25" s="19">
        <v>0.0</v>
      </c>
      <c r="X25" s="19">
        <v>0.0</v>
      </c>
      <c r="Y25" s="19">
        <v>1.0</v>
      </c>
      <c r="Z25" s="19">
        <v>1.0</v>
      </c>
      <c r="AA25" s="19">
        <v>0.0</v>
      </c>
      <c r="AB25" s="19">
        <v>1.0</v>
      </c>
      <c r="AC25" s="19">
        <v>2.0</v>
      </c>
      <c r="AD25" s="19">
        <v>1.0</v>
      </c>
      <c r="AE25" s="19">
        <v>2.0</v>
      </c>
      <c r="AF25" s="19">
        <v>5.0</v>
      </c>
      <c r="AG25" s="19">
        <v>3.0</v>
      </c>
      <c r="AH25" s="19">
        <v>0.0</v>
      </c>
      <c r="AI25" s="19">
        <v>3.0</v>
      </c>
      <c r="AJ25" s="19">
        <v>2.0</v>
      </c>
      <c r="AK25" s="19">
        <v>3.0</v>
      </c>
      <c r="AL25" s="13">
        <f t="shared" si="3"/>
        <v>50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3.0</v>
      </c>
      <c r="I26" s="19">
        <v>1.0</v>
      </c>
      <c r="J26" s="19">
        <v>2.0</v>
      </c>
      <c r="K26" s="19">
        <v>2.0</v>
      </c>
      <c r="L26" s="19">
        <v>3.0</v>
      </c>
      <c r="M26" s="19">
        <v>1.0</v>
      </c>
      <c r="N26" s="19">
        <v>3.0</v>
      </c>
      <c r="O26" s="19">
        <v>2.0</v>
      </c>
      <c r="P26" s="19">
        <v>3.0</v>
      </c>
      <c r="Q26" s="19">
        <v>4.0</v>
      </c>
      <c r="R26" s="19">
        <v>1.0</v>
      </c>
      <c r="S26" s="19">
        <v>0.0</v>
      </c>
      <c r="T26" s="19">
        <v>0.0</v>
      </c>
      <c r="U26" s="19">
        <v>2.0</v>
      </c>
      <c r="V26" s="19">
        <v>1.0</v>
      </c>
      <c r="W26" s="19">
        <v>0.0</v>
      </c>
      <c r="X26" s="19">
        <v>0.0</v>
      </c>
      <c r="Y26" s="19">
        <v>1.0</v>
      </c>
      <c r="Z26" s="19">
        <v>5.0</v>
      </c>
      <c r="AA26" s="19">
        <v>1.0</v>
      </c>
      <c r="AB26" s="19">
        <v>3.0</v>
      </c>
      <c r="AC26" s="19">
        <v>1.0</v>
      </c>
      <c r="AD26" s="19">
        <v>4.0</v>
      </c>
      <c r="AE26" s="19">
        <v>3.0</v>
      </c>
      <c r="AF26" s="19">
        <v>3.0</v>
      </c>
      <c r="AG26" s="19">
        <v>2.0</v>
      </c>
      <c r="AH26" s="19">
        <v>0.0</v>
      </c>
      <c r="AI26" s="19">
        <v>3.0</v>
      </c>
      <c r="AJ26" s="19">
        <v>4.0</v>
      </c>
      <c r="AK26" s="19">
        <v>5.0</v>
      </c>
      <c r="AL26" s="13">
        <f t="shared" si="3"/>
        <v>66</v>
      </c>
    </row>
    <row r="27" ht="12.75" customHeight="1">
      <c r="A27" s="35"/>
      <c r="B27" s="28"/>
      <c r="C27" s="36"/>
      <c r="D27" s="13" t="s">
        <v>14</v>
      </c>
      <c r="E27" s="13">
        <v>2.0</v>
      </c>
      <c r="F27" s="13">
        <v>1.0</v>
      </c>
      <c r="G27" s="13">
        <v>2.0</v>
      </c>
      <c r="H27" s="13">
        <v>6.0</v>
      </c>
      <c r="I27" s="13">
        <v>1.0</v>
      </c>
      <c r="J27" s="13">
        <v>6.0</v>
      </c>
      <c r="K27" s="13">
        <v>3.0</v>
      </c>
      <c r="L27" s="13">
        <v>4.0</v>
      </c>
      <c r="M27" s="13">
        <v>1.0</v>
      </c>
      <c r="N27" s="13">
        <v>6.0</v>
      </c>
      <c r="O27" s="13">
        <v>3.0</v>
      </c>
      <c r="P27" s="13">
        <v>5.0</v>
      </c>
      <c r="Q27" s="13">
        <v>5.0</v>
      </c>
      <c r="R27" s="13">
        <v>5.0</v>
      </c>
      <c r="S27" s="13">
        <v>2.0</v>
      </c>
      <c r="T27" s="13">
        <v>1.0</v>
      </c>
      <c r="U27" s="13">
        <v>2.0</v>
      </c>
      <c r="V27" s="13">
        <v>2.0</v>
      </c>
      <c r="W27" s="13">
        <v>0.0</v>
      </c>
      <c r="X27" s="13">
        <v>0.0</v>
      </c>
      <c r="Y27" s="13">
        <v>2.0</v>
      </c>
      <c r="Z27" s="13">
        <v>6.0</v>
      </c>
      <c r="AA27" s="13">
        <v>1.0</v>
      </c>
      <c r="AB27" s="13">
        <v>4.0</v>
      </c>
      <c r="AC27" s="13">
        <v>3.0</v>
      </c>
      <c r="AD27" s="13">
        <v>5.0</v>
      </c>
      <c r="AE27" s="13">
        <v>5.0</v>
      </c>
      <c r="AF27" s="13">
        <v>8.0</v>
      </c>
      <c r="AG27" s="13">
        <v>5.0</v>
      </c>
      <c r="AH27" s="13">
        <v>0.0</v>
      </c>
      <c r="AI27" s="13">
        <f t="shared" ref="AI27:AK27" si="6">SUM(AI25:AI26)</f>
        <v>6</v>
      </c>
      <c r="AJ27" s="13">
        <f t="shared" si="6"/>
        <v>6</v>
      </c>
      <c r="AK27" s="13">
        <f t="shared" si="6"/>
        <v>8</v>
      </c>
      <c r="AL27" s="13">
        <f t="shared" si="3"/>
        <v>116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98.0</v>
      </c>
      <c r="F28" s="13">
        <v>92.0</v>
      </c>
      <c r="G28" s="13">
        <v>117.0</v>
      </c>
      <c r="H28" s="13">
        <v>159.0</v>
      </c>
      <c r="I28" s="13">
        <v>75.0</v>
      </c>
      <c r="J28" s="13">
        <v>103.0</v>
      </c>
      <c r="K28" s="13">
        <v>87.0</v>
      </c>
      <c r="L28" s="13">
        <v>96.0</v>
      </c>
      <c r="M28" s="13">
        <v>94.0</v>
      </c>
      <c r="N28" s="13">
        <v>105.0</v>
      </c>
      <c r="O28" s="13">
        <v>71.0</v>
      </c>
      <c r="P28" s="13">
        <v>103.0</v>
      </c>
      <c r="Q28" s="13">
        <v>77.0</v>
      </c>
      <c r="R28" s="13">
        <v>105.0</v>
      </c>
      <c r="S28" s="13">
        <v>98.0</v>
      </c>
      <c r="T28" s="13">
        <v>94.0</v>
      </c>
      <c r="U28" s="13">
        <v>106.0</v>
      </c>
      <c r="V28" s="13">
        <v>96.0</v>
      </c>
      <c r="W28" s="13">
        <v>98.0</v>
      </c>
      <c r="X28" s="13">
        <v>102.0</v>
      </c>
      <c r="Y28" s="13">
        <v>105.0</v>
      </c>
      <c r="Z28" s="13">
        <v>103.0</v>
      </c>
      <c r="AA28" s="13">
        <v>107.0</v>
      </c>
      <c r="AB28" s="13">
        <v>110.0</v>
      </c>
      <c r="AC28" s="13">
        <v>109.0</v>
      </c>
      <c r="AD28" s="13">
        <v>105.0</v>
      </c>
      <c r="AE28" s="13">
        <v>114.0</v>
      </c>
      <c r="AF28" s="13">
        <v>116.0</v>
      </c>
      <c r="AG28" s="13">
        <v>111.0</v>
      </c>
      <c r="AH28" s="13">
        <v>104.0</v>
      </c>
      <c r="AI28" s="13">
        <f t="shared" ref="AI28:AK28" si="7">SUM(AI19,AI22,AI25)</f>
        <v>103</v>
      </c>
      <c r="AJ28" s="13">
        <f t="shared" si="7"/>
        <v>99</v>
      </c>
      <c r="AK28" s="13">
        <f t="shared" si="7"/>
        <v>108</v>
      </c>
      <c r="AL28" s="13">
        <f t="shared" si="3"/>
        <v>3370</v>
      </c>
    </row>
    <row r="29" ht="12.75" customHeight="1">
      <c r="A29" s="35"/>
      <c r="B29" s="27"/>
      <c r="C29" s="34"/>
      <c r="D29" s="13" t="s">
        <v>13</v>
      </c>
      <c r="E29" s="13">
        <v>104.0</v>
      </c>
      <c r="F29" s="13">
        <v>105.0</v>
      </c>
      <c r="G29" s="13">
        <v>123.0</v>
      </c>
      <c r="H29" s="13">
        <v>93.0</v>
      </c>
      <c r="I29" s="13">
        <v>93.0</v>
      </c>
      <c r="J29" s="13">
        <v>105.0</v>
      </c>
      <c r="K29" s="13">
        <v>100.0</v>
      </c>
      <c r="L29" s="13">
        <v>105.0</v>
      </c>
      <c r="M29" s="13">
        <v>99.0</v>
      </c>
      <c r="N29" s="13">
        <v>122.0</v>
      </c>
      <c r="O29" s="13">
        <v>90.0</v>
      </c>
      <c r="P29" s="13">
        <v>118.0</v>
      </c>
      <c r="Q29" s="13">
        <v>96.0</v>
      </c>
      <c r="R29" s="13">
        <v>99.0</v>
      </c>
      <c r="S29" s="13">
        <v>103.0</v>
      </c>
      <c r="T29" s="13">
        <v>96.0</v>
      </c>
      <c r="U29" s="13">
        <v>110.0</v>
      </c>
      <c r="V29" s="13">
        <v>109.0</v>
      </c>
      <c r="W29" s="13">
        <v>101.0</v>
      </c>
      <c r="X29" s="13">
        <v>108.0</v>
      </c>
      <c r="Y29" s="13">
        <v>103.0</v>
      </c>
      <c r="Z29" s="13">
        <v>108.0</v>
      </c>
      <c r="AA29" s="13">
        <v>113.0</v>
      </c>
      <c r="AB29" s="13">
        <v>107.0</v>
      </c>
      <c r="AC29" s="13">
        <v>110.0</v>
      </c>
      <c r="AD29" s="13">
        <v>121.0</v>
      </c>
      <c r="AE29" s="13">
        <v>123.0</v>
      </c>
      <c r="AF29" s="13">
        <v>110.0</v>
      </c>
      <c r="AG29" s="13">
        <v>108.0</v>
      </c>
      <c r="AH29" s="13">
        <v>108.0</v>
      </c>
      <c r="AI29" s="13">
        <f t="shared" ref="AI29:AK29" si="8">SUM(AI20,AI23,AI26)</f>
        <v>122</v>
      </c>
      <c r="AJ29" s="13">
        <f t="shared" si="8"/>
        <v>122</v>
      </c>
      <c r="AK29" s="13">
        <f t="shared" si="8"/>
        <v>111</v>
      </c>
      <c r="AL29" s="13">
        <f t="shared" si="3"/>
        <v>3545</v>
      </c>
    </row>
    <row r="30" ht="12.75" customHeight="1">
      <c r="A30" s="35"/>
      <c r="B30" s="28"/>
      <c r="C30" s="36"/>
      <c r="D30" s="13" t="s">
        <v>14</v>
      </c>
      <c r="E30" s="13">
        <v>202.0</v>
      </c>
      <c r="F30" s="13">
        <v>197.0</v>
      </c>
      <c r="G30" s="13">
        <v>240.0</v>
      </c>
      <c r="H30" s="13">
        <v>252.0</v>
      </c>
      <c r="I30" s="13">
        <v>168.0</v>
      </c>
      <c r="J30" s="13">
        <v>208.0</v>
      </c>
      <c r="K30" s="13">
        <v>187.0</v>
      </c>
      <c r="L30" s="13">
        <v>201.0</v>
      </c>
      <c r="M30" s="13">
        <v>193.0</v>
      </c>
      <c r="N30" s="13">
        <v>227.0</v>
      </c>
      <c r="O30" s="13">
        <v>161.0</v>
      </c>
      <c r="P30" s="13">
        <v>221.0</v>
      </c>
      <c r="Q30" s="13">
        <v>173.0</v>
      </c>
      <c r="R30" s="13">
        <v>204.0</v>
      </c>
      <c r="S30" s="13">
        <v>201.0</v>
      </c>
      <c r="T30" s="13">
        <v>190.0</v>
      </c>
      <c r="U30" s="13">
        <v>216.0</v>
      </c>
      <c r="V30" s="13">
        <v>205.0</v>
      </c>
      <c r="W30" s="13">
        <v>199.0</v>
      </c>
      <c r="X30" s="13">
        <v>210.0</v>
      </c>
      <c r="Y30" s="13">
        <v>208.0</v>
      </c>
      <c r="Z30" s="13">
        <v>211.0</v>
      </c>
      <c r="AA30" s="13">
        <v>220.0</v>
      </c>
      <c r="AB30" s="13">
        <v>217.0</v>
      </c>
      <c r="AC30" s="13">
        <v>219.0</v>
      </c>
      <c r="AD30" s="13">
        <v>226.0</v>
      </c>
      <c r="AE30" s="13">
        <v>237.0</v>
      </c>
      <c r="AF30" s="13">
        <v>226.0</v>
      </c>
      <c r="AG30" s="13">
        <v>219.0</v>
      </c>
      <c r="AH30" s="13">
        <v>212.0</v>
      </c>
      <c r="AI30" s="13">
        <f t="shared" ref="AI30:AK30" si="9">SUM(AI28:AI29)</f>
        <v>225</v>
      </c>
      <c r="AJ30" s="13">
        <f t="shared" si="9"/>
        <v>221</v>
      </c>
      <c r="AK30" s="13">
        <f t="shared" si="9"/>
        <v>219</v>
      </c>
      <c r="AL30" s="13">
        <f t="shared" si="3"/>
        <v>6915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59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270.0</v>
      </c>
      <c r="G33" s="19">
        <v>305.0</v>
      </c>
      <c r="H33" s="19">
        <v>305.0</v>
      </c>
      <c r="I33" s="19">
        <v>259.0</v>
      </c>
      <c r="J33" s="19">
        <v>271.0</v>
      </c>
      <c r="K33" s="19">
        <v>272.0</v>
      </c>
      <c r="L33" s="19">
        <v>271.0</v>
      </c>
      <c r="M33" s="19">
        <v>266.0</v>
      </c>
      <c r="N33" s="19">
        <v>262.0</v>
      </c>
      <c r="O33" s="19">
        <v>246.0</v>
      </c>
      <c r="P33" s="19">
        <v>270.0</v>
      </c>
      <c r="Q33" s="19">
        <v>265.0</v>
      </c>
      <c r="R33" s="19">
        <v>261.0</v>
      </c>
      <c r="S33" s="19">
        <v>292.0</v>
      </c>
      <c r="T33" s="19">
        <v>255.0</v>
      </c>
      <c r="U33" s="19">
        <v>274.0</v>
      </c>
      <c r="V33" s="19">
        <v>258.0</v>
      </c>
      <c r="W33" s="19">
        <v>265.0</v>
      </c>
      <c r="X33" s="19">
        <v>278.0</v>
      </c>
      <c r="Y33" s="19">
        <v>278.0</v>
      </c>
      <c r="Z33" s="19">
        <v>270.0</v>
      </c>
      <c r="AA33" s="19">
        <v>298.0</v>
      </c>
      <c r="AB33" s="19">
        <v>296.0</v>
      </c>
      <c r="AC33" s="19">
        <v>293.0</v>
      </c>
      <c r="AD33" s="19">
        <v>298.0</v>
      </c>
      <c r="AE33" s="19">
        <v>283.0</v>
      </c>
      <c r="AF33" s="19">
        <v>278.0</v>
      </c>
      <c r="AG33" s="19">
        <v>277.0</v>
      </c>
      <c r="AH33" s="19">
        <v>277.0</v>
      </c>
      <c r="AI33" s="19">
        <v>263.0</v>
      </c>
      <c r="AJ33" s="19">
        <v>277.0</v>
      </c>
      <c r="AK33" s="19">
        <v>272.0</v>
      </c>
      <c r="AL33" s="13">
        <f t="shared" ref="AL33:AL36" si="10">SUM(E33:AK33)</f>
        <v>9085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197.0</v>
      </c>
      <c r="G34" s="13">
        <v>240.0</v>
      </c>
      <c r="H34" s="13">
        <v>252.0</v>
      </c>
      <c r="I34" s="13">
        <v>168.0</v>
      </c>
      <c r="J34" s="13">
        <v>208.0</v>
      </c>
      <c r="K34" s="13">
        <v>187.0</v>
      </c>
      <c r="L34" s="13">
        <v>201.0</v>
      </c>
      <c r="M34" s="13">
        <v>193.0</v>
      </c>
      <c r="N34" s="13">
        <v>227.0</v>
      </c>
      <c r="O34" s="13">
        <v>161.0</v>
      </c>
      <c r="P34" s="13">
        <v>221.0</v>
      </c>
      <c r="Q34" s="13">
        <v>173.0</v>
      </c>
      <c r="R34" s="13">
        <v>204.0</v>
      </c>
      <c r="S34" s="13">
        <v>201.0</v>
      </c>
      <c r="T34" s="13">
        <v>190.0</v>
      </c>
      <c r="U34" s="13">
        <v>216.0</v>
      </c>
      <c r="V34" s="13">
        <v>205.0</v>
      </c>
      <c r="W34" s="13">
        <v>199.0</v>
      </c>
      <c r="X34" s="13">
        <v>210.0</v>
      </c>
      <c r="Y34" s="13">
        <v>208.0</v>
      </c>
      <c r="Z34" s="13">
        <v>211.0</v>
      </c>
      <c r="AA34" s="13">
        <v>220.0</v>
      </c>
      <c r="AB34" s="13">
        <v>217.0</v>
      </c>
      <c r="AC34" s="13">
        <v>219.0</v>
      </c>
      <c r="AD34" s="13">
        <v>226.0</v>
      </c>
      <c r="AE34" s="13">
        <v>237.0</v>
      </c>
      <c r="AF34" s="13">
        <v>226.0</v>
      </c>
      <c r="AG34" s="13">
        <v>219.0</v>
      </c>
      <c r="AH34" s="13">
        <v>212.0</v>
      </c>
      <c r="AI34" s="13">
        <v>225.0</v>
      </c>
      <c r="AJ34" s="13">
        <v>221.0</v>
      </c>
      <c r="AK34" s="13">
        <v>219.0</v>
      </c>
      <c r="AL34" s="13">
        <f t="shared" si="10"/>
        <v>6915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3.0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2.0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9">
        <v>1.0</v>
      </c>
      <c r="AD35" s="19">
        <v>0.0</v>
      </c>
      <c r="AE35" s="19">
        <v>1.0</v>
      </c>
      <c r="AF35" s="19">
        <v>0.0</v>
      </c>
      <c r="AG35" s="19">
        <v>0.0</v>
      </c>
      <c r="AH35" s="19">
        <v>0.0</v>
      </c>
      <c r="AI35" s="19">
        <v>1.0</v>
      </c>
      <c r="AJ35" s="19">
        <v>0.0</v>
      </c>
      <c r="AK35" s="19">
        <v>0.0</v>
      </c>
      <c r="AL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v>77.0</v>
      </c>
      <c r="F36" s="13">
        <v>73.0</v>
      </c>
      <c r="G36" s="13">
        <v>65.0</v>
      </c>
      <c r="H36" s="13">
        <v>53.0</v>
      </c>
      <c r="I36" s="13">
        <v>91.0</v>
      </c>
      <c r="J36" s="13">
        <v>62.0</v>
      </c>
      <c r="K36" s="13">
        <v>85.0</v>
      </c>
      <c r="L36" s="13">
        <v>70.0</v>
      </c>
      <c r="M36" s="13">
        <v>70.0</v>
      </c>
      <c r="N36" s="13">
        <v>35.0</v>
      </c>
      <c r="O36" s="13">
        <v>85.0</v>
      </c>
      <c r="P36" s="13">
        <v>49.0</v>
      </c>
      <c r="Q36" s="13">
        <v>92.0</v>
      </c>
      <c r="R36" s="13">
        <v>57.0</v>
      </c>
      <c r="S36" s="13">
        <v>89.0</v>
      </c>
      <c r="T36" s="13">
        <v>65.0</v>
      </c>
      <c r="U36" s="13">
        <v>58.0</v>
      </c>
      <c r="V36" s="13">
        <v>53.0</v>
      </c>
      <c r="W36" s="13">
        <v>66.0</v>
      </c>
      <c r="X36" s="13">
        <v>68.0</v>
      </c>
      <c r="Y36" s="13">
        <v>70.0</v>
      </c>
      <c r="Z36" s="13">
        <v>58.0</v>
      </c>
      <c r="AA36" s="13">
        <v>78.0</v>
      </c>
      <c r="AB36" s="13">
        <v>79.0</v>
      </c>
      <c r="AC36" s="13">
        <v>73.0</v>
      </c>
      <c r="AD36" s="13">
        <v>72.0</v>
      </c>
      <c r="AE36" s="13">
        <v>45.0</v>
      </c>
      <c r="AF36" s="13">
        <v>52.0</v>
      </c>
      <c r="AG36" s="13">
        <v>58.0</v>
      </c>
      <c r="AH36" s="13">
        <v>65.0</v>
      </c>
      <c r="AI36" s="13">
        <f t="shared" ref="AI36:AK36" si="11">AI33-(AI34+AI35)</f>
        <v>37</v>
      </c>
      <c r="AJ36" s="13">
        <f t="shared" si="11"/>
        <v>56</v>
      </c>
      <c r="AK36" s="13">
        <f t="shared" si="11"/>
        <v>53</v>
      </c>
      <c r="AL36" s="13">
        <f t="shared" si="10"/>
        <v>2159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2.0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2.0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3">
        <f t="shared" ref="AL39:AL41" si="12">SUM(E39:AK39)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1.0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v>0.0</v>
      </c>
      <c r="F41" s="13">
        <v>0.0</v>
      </c>
      <c r="G41" s="13">
        <v>2.0</v>
      </c>
      <c r="H41" s="13">
        <v>0.0</v>
      </c>
      <c r="I41" s="13">
        <v>0.0</v>
      </c>
      <c r="J41" s="13">
        <v>3.0</v>
      </c>
      <c r="K41" s="13">
        <v>0.0</v>
      </c>
      <c r="L41" s="13">
        <v>0.0</v>
      </c>
      <c r="M41" s="13">
        <v>1.0</v>
      </c>
      <c r="N41" s="13">
        <v>0.0</v>
      </c>
      <c r="O41" s="13">
        <v>0.0</v>
      </c>
      <c r="P41" s="13">
        <v>0.0</v>
      </c>
      <c r="Q41" s="13">
        <v>0.0</v>
      </c>
      <c r="R41" s="13">
        <v>0.0</v>
      </c>
      <c r="S41" s="13">
        <v>0.0</v>
      </c>
      <c r="T41" s="13">
        <v>0.0</v>
      </c>
      <c r="U41" s="13">
        <v>0.0</v>
      </c>
      <c r="V41" s="13">
        <v>0.0</v>
      </c>
      <c r="W41" s="13">
        <v>1.0</v>
      </c>
      <c r="X41" s="13">
        <v>0.0</v>
      </c>
      <c r="Y41" s="13">
        <v>0.0</v>
      </c>
      <c r="Z41" s="13">
        <v>3.0</v>
      </c>
      <c r="AA41" s="13">
        <v>0.0</v>
      </c>
      <c r="AB41" s="13">
        <v>0.0</v>
      </c>
      <c r="AC41" s="13">
        <v>0.0</v>
      </c>
      <c r="AD41" s="13">
        <v>0.0</v>
      </c>
      <c r="AE41" s="13">
        <v>0.0</v>
      </c>
      <c r="AF41" s="13">
        <v>1.0</v>
      </c>
      <c r="AG41" s="13">
        <v>0.0</v>
      </c>
      <c r="AH41" s="13">
        <v>0.0</v>
      </c>
      <c r="AI41" s="13">
        <f t="shared" ref="AI41:AK41" si="13">SUM(AI39:AI40)</f>
        <v>0</v>
      </c>
      <c r="AJ41" s="13">
        <f t="shared" si="13"/>
        <v>0</v>
      </c>
      <c r="AK41" s="13">
        <f t="shared" si="13"/>
        <v>0</v>
      </c>
      <c r="AL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9"/>
      <c r="AD42" s="58"/>
      <c r="AE42" s="19"/>
      <c r="AF42" s="58"/>
      <c r="AG42" s="19"/>
      <c r="AH42" s="58"/>
      <c r="AI42" s="19"/>
      <c r="AJ42" s="58"/>
      <c r="AK42" s="19"/>
      <c r="A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  <c r="AD43" s="60"/>
      <c r="AE43" s="13"/>
      <c r="AF43" s="60"/>
      <c r="AG43" s="13"/>
      <c r="AH43" s="60"/>
      <c r="AI43" s="13"/>
      <c r="AJ43" s="60"/>
      <c r="AK43" s="13"/>
      <c r="A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9"/>
      <c r="AD44" s="58"/>
      <c r="AE44" s="19"/>
      <c r="AF44" s="58"/>
      <c r="AG44" s="19"/>
      <c r="AH44" s="58"/>
      <c r="AI44" s="19"/>
      <c r="AJ44" s="58"/>
      <c r="AK44" s="19"/>
      <c r="AL44" s="13"/>
    </row>
    <row r="45" ht="12.75" customHeight="1">
      <c r="A45" s="30"/>
      <c r="B45" s="47" t="s">
        <v>17</v>
      </c>
      <c r="C45" s="62" t="s">
        <v>38</v>
      </c>
      <c r="D45" s="16"/>
      <c r="E45" s="19">
        <v>12.0</v>
      </c>
      <c r="F45" s="19">
        <v>9.0</v>
      </c>
      <c r="G45" s="19">
        <v>13.0</v>
      </c>
      <c r="H45" s="19">
        <v>18.0</v>
      </c>
      <c r="I45" s="19">
        <v>10.0</v>
      </c>
      <c r="J45" s="19">
        <v>14.0</v>
      </c>
      <c r="K45" s="19">
        <v>9.0</v>
      </c>
      <c r="L45" s="19">
        <v>23.0</v>
      </c>
      <c r="M45" s="19">
        <v>14.0</v>
      </c>
      <c r="N45" s="19">
        <v>22.0</v>
      </c>
      <c r="O45" s="19">
        <v>10.0</v>
      </c>
      <c r="P45" s="19">
        <v>23.0</v>
      </c>
      <c r="Q45" s="19">
        <v>18.0</v>
      </c>
      <c r="R45" s="19">
        <v>5.0</v>
      </c>
      <c r="S45" s="19">
        <v>22.0</v>
      </c>
      <c r="T45" s="19">
        <v>14.0</v>
      </c>
      <c r="U45" s="19">
        <v>10.0</v>
      </c>
      <c r="V45" s="19">
        <v>18.0</v>
      </c>
      <c r="W45" s="19">
        <v>14.0</v>
      </c>
      <c r="X45" s="19">
        <v>21.0</v>
      </c>
      <c r="Y45" s="19">
        <v>8.0</v>
      </c>
      <c r="Z45" s="19">
        <v>32.0</v>
      </c>
      <c r="AA45" s="19">
        <v>18.0</v>
      </c>
      <c r="AB45" s="19">
        <v>19.0</v>
      </c>
      <c r="AC45" s="19">
        <v>6.0</v>
      </c>
      <c r="AD45" s="19">
        <v>10.0</v>
      </c>
      <c r="AE45" s="19">
        <v>13.0</v>
      </c>
      <c r="AF45" s="19">
        <v>9.0</v>
      </c>
      <c r="AG45" s="19">
        <v>10.0</v>
      </c>
      <c r="AH45" s="19">
        <v>8.0</v>
      </c>
      <c r="AI45" s="19">
        <v>15.0</v>
      </c>
      <c r="AJ45" s="19">
        <v>18.0</v>
      </c>
      <c r="AK45" s="19">
        <v>45.0</v>
      </c>
      <c r="AL45" s="13">
        <f t="shared" ref="AL45:AL57" si="14">SUM(E45:AK45)</f>
        <v>510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25.0</v>
      </c>
      <c r="F46" s="19">
        <v>39.0</v>
      </c>
      <c r="G46" s="19">
        <v>33.0</v>
      </c>
      <c r="H46" s="19">
        <v>28.0</v>
      </c>
      <c r="I46" s="19">
        <v>18.0</v>
      </c>
      <c r="J46" s="19">
        <v>37.0</v>
      </c>
      <c r="K46" s="19">
        <v>24.0</v>
      </c>
      <c r="L46" s="19">
        <v>30.0</v>
      </c>
      <c r="M46" s="19">
        <v>16.0</v>
      </c>
      <c r="N46" s="19">
        <v>20.0</v>
      </c>
      <c r="O46" s="19">
        <v>14.0</v>
      </c>
      <c r="P46" s="19">
        <v>23.0</v>
      </c>
      <c r="Q46" s="19">
        <v>23.0</v>
      </c>
      <c r="R46" s="19">
        <v>32.0</v>
      </c>
      <c r="S46" s="19">
        <v>20.0</v>
      </c>
      <c r="T46" s="19">
        <v>38.0</v>
      </c>
      <c r="U46" s="19">
        <v>23.0</v>
      </c>
      <c r="V46" s="19">
        <v>30.0</v>
      </c>
      <c r="W46" s="19">
        <v>18.0</v>
      </c>
      <c r="X46" s="19">
        <v>18.0</v>
      </c>
      <c r="Y46" s="19">
        <v>23.0</v>
      </c>
      <c r="Z46" s="19">
        <v>19.0</v>
      </c>
      <c r="AA46" s="19">
        <v>32.0</v>
      </c>
      <c r="AB46" s="19">
        <v>30.0</v>
      </c>
      <c r="AC46" s="19">
        <v>26.0</v>
      </c>
      <c r="AD46" s="19">
        <v>35.0</v>
      </c>
      <c r="AE46" s="19">
        <v>34.0</v>
      </c>
      <c r="AF46" s="19">
        <v>21.0</v>
      </c>
      <c r="AG46" s="19">
        <v>25.0</v>
      </c>
      <c r="AH46" s="19">
        <v>30.0</v>
      </c>
      <c r="AI46" s="19">
        <v>38.0</v>
      </c>
      <c r="AJ46" s="19">
        <v>30.0</v>
      </c>
      <c r="AK46" s="19">
        <v>27.0</v>
      </c>
      <c r="AL46" s="13">
        <f t="shared" si="14"/>
        <v>879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12.0</v>
      </c>
      <c r="F47" s="19">
        <v>13.0</v>
      </c>
      <c r="G47" s="19">
        <v>12.0</v>
      </c>
      <c r="H47" s="19">
        <v>19.0</v>
      </c>
      <c r="I47" s="19">
        <v>9.0</v>
      </c>
      <c r="J47" s="19">
        <v>10.0</v>
      </c>
      <c r="K47" s="19">
        <v>11.0</v>
      </c>
      <c r="L47" s="19">
        <v>11.0</v>
      </c>
      <c r="M47" s="19">
        <v>5.0</v>
      </c>
      <c r="N47" s="19">
        <v>6.0</v>
      </c>
      <c r="O47" s="19">
        <v>10.0</v>
      </c>
      <c r="P47" s="19">
        <v>14.0</v>
      </c>
      <c r="Q47" s="19">
        <v>7.0</v>
      </c>
      <c r="R47" s="19">
        <v>26.0</v>
      </c>
      <c r="S47" s="19">
        <v>16.0</v>
      </c>
      <c r="T47" s="19">
        <v>8.0</v>
      </c>
      <c r="U47" s="19">
        <v>16.0</v>
      </c>
      <c r="V47" s="19">
        <v>15.0</v>
      </c>
      <c r="W47" s="19">
        <v>15.0</v>
      </c>
      <c r="X47" s="19">
        <v>26.0</v>
      </c>
      <c r="Y47" s="19">
        <v>24.0</v>
      </c>
      <c r="Z47" s="19">
        <v>25.0</v>
      </c>
      <c r="AA47" s="19">
        <v>18.0</v>
      </c>
      <c r="AB47" s="19">
        <v>11.0</v>
      </c>
      <c r="AC47" s="19">
        <v>20.0</v>
      </c>
      <c r="AD47" s="19">
        <v>22.0</v>
      </c>
      <c r="AE47" s="19">
        <v>15.0</v>
      </c>
      <c r="AF47" s="19">
        <v>19.0</v>
      </c>
      <c r="AG47" s="19">
        <v>14.0</v>
      </c>
      <c r="AH47" s="19">
        <v>15.0</v>
      </c>
      <c r="AI47" s="19">
        <v>11.0</v>
      </c>
      <c r="AJ47" s="19">
        <v>20.0</v>
      </c>
      <c r="AK47" s="19">
        <v>14.0</v>
      </c>
      <c r="AL47" s="13">
        <f t="shared" si="14"/>
        <v>489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26.0</v>
      </c>
      <c r="F48" s="19">
        <v>22.0</v>
      </c>
      <c r="G48" s="19">
        <v>29.0</v>
      </c>
      <c r="H48" s="19">
        <v>26.0</v>
      </c>
      <c r="I48" s="19">
        <v>19.0</v>
      </c>
      <c r="J48" s="19">
        <v>24.0</v>
      </c>
      <c r="K48" s="19">
        <v>20.0</v>
      </c>
      <c r="L48" s="19">
        <v>21.0</v>
      </c>
      <c r="M48" s="19">
        <v>19.0</v>
      </c>
      <c r="N48" s="19">
        <v>15.0</v>
      </c>
      <c r="O48" s="19">
        <v>13.0</v>
      </c>
      <c r="P48" s="19">
        <v>24.0</v>
      </c>
      <c r="Q48" s="19">
        <v>19.0</v>
      </c>
      <c r="R48" s="19">
        <v>13.0</v>
      </c>
      <c r="S48" s="19">
        <v>27.0</v>
      </c>
      <c r="T48" s="19">
        <v>22.0</v>
      </c>
      <c r="U48" s="19">
        <v>23.0</v>
      </c>
      <c r="V48" s="19">
        <v>32.0</v>
      </c>
      <c r="W48" s="19">
        <v>22.0</v>
      </c>
      <c r="X48" s="19">
        <v>19.0</v>
      </c>
      <c r="Y48" s="19">
        <v>29.0</v>
      </c>
      <c r="Z48" s="19">
        <v>31.0</v>
      </c>
      <c r="AA48" s="19">
        <v>25.0</v>
      </c>
      <c r="AB48" s="19">
        <v>38.0</v>
      </c>
      <c r="AC48" s="19">
        <v>26.0</v>
      </c>
      <c r="AD48" s="19">
        <v>21.0</v>
      </c>
      <c r="AE48" s="19">
        <v>22.0</v>
      </c>
      <c r="AF48" s="19">
        <v>25.0</v>
      </c>
      <c r="AG48" s="19">
        <v>20.0</v>
      </c>
      <c r="AH48" s="19">
        <v>31.0</v>
      </c>
      <c r="AI48" s="19">
        <v>28.0</v>
      </c>
      <c r="AJ48" s="19">
        <v>25.0</v>
      </c>
      <c r="AK48" s="19">
        <v>15.0</v>
      </c>
      <c r="AL48" s="13">
        <f t="shared" si="14"/>
        <v>771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20.0</v>
      </c>
      <c r="F49" s="19">
        <v>25.0</v>
      </c>
      <c r="G49" s="19">
        <v>26.0</v>
      </c>
      <c r="H49" s="19">
        <v>34.0</v>
      </c>
      <c r="I49" s="19">
        <v>15.0</v>
      </c>
      <c r="J49" s="19">
        <v>24.0</v>
      </c>
      <c r="K49" s="19">
        <v>17.0</v>
      </c>
      <c r="L49" s="19">
        <v>14.0</v>
      </c>
      <c r="M49" s="19">
        <v>31.0</v>
      </c>
      <c r="N49" s="19">
        <v>69.0</v>
      </c>
      <c r="O49" s="19">
        <v>22.0</v>
      </c>
      <c r="P49" s="19">
        <v>24.0</v>
      </c>
      <c r="Q49" s="19">
        <v>15.0</v>
      </c>
      <c r="R49" s="19">
        <v>18.0</v>
      </c>
      <c r="S49" s="19">
        <v>15.0</v>
      </c>
      <c r="T49" s="19">
        <v>10.0</v>
      </c>
      <c r="U49" s="19">
        <v>9.0</v>
      </c>
      <c r="V49" s="19">
        <v>15.0</v>
      </c>
      <c r="W49" s="19">
        <v>17.0</v>
      </c>
      <c r="X49" s="19">
        <v>16.0</v>
      </c>
      <c r="Y49" s="19">
        <v>19.0</v>
      </c>
      <c r="Z49" s="19">
        <v>12.0</v>
      </c>
      <c r="AA49" s="19">
        <v>15.0</v>
      </c>
      <c r="AB49" s="19">
        <v>22.0</v>
      </c>
      <c r="AC49" s="19">
        <v>15.0</v>
      </c>
      <c r="AD49" s="19">
        <v>13.0</v>
      </c>
      <c r="AE49" s="19">
        <v>16.0</v>
      </c>
      <c r="AF49" s="19">
        <v>16.0</v>
      </c>
      <c r="AG49" s="19">
        <v>13.0</v>
      </c>
      <c r="AH49" s="19">
        <v>9.0</v>
      </c>
      <c r="AI49" s="19">
        <v>23.0</v>
      </c>
      <c r="AJ49" s="19">
        <v>17.0</v>
      </c>
      <c r="AK49" s="19">
        <v>13.0</v>
      </c>
      <c r="AL49" s="13">
        <f t="shared" si="14"/>
        <v>639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6.0</v>
      </c>
      <c r="F50" s="19">
        <v>7.0</v>
      </c>
      <c r="G50" s="19">
        <v>5.0</v>
      </c>
      <c r="H50" s="19">
        <v>14.0</v>
      </c>
      <c r="I50" s="19">
        <v>10.0</v>
      </c>
      <c r="J50" s="19">
        <v>8.0</v>
      </c>
      <c r="K50" s="19">
        <v>8.0</v>
      </c>
      <c r="L50" s="19">
        <v>7.0</v>
      </c>
      <c r="M50" s="19">
        <v>12.0</v>
      </c>
      <c r="N50" s="19">
        <v>7.0</v>
      </c>
      <c r="O50" s="19">
        <v>9.0</v>
      </c>
      <c r="P50" s="19">
        <v>10.0</v>
      </c>
      <c r="Q50" s="19">
        <v>10.0</v>
      </c>
      <c r="R50" s="19">
        <v>12.0</v>
      </c>
      <c r="S50" s="19">
        <v>10.0</v>
      </c>
      <c r="T50" s="19">
        <v>15.0</v>
      </c>
      <c r="U50" s="19">
        <v>7.0</v>
      </c>
      <c r="V50" s="19">
        <v>11.0</v>
      </c>
      <c r="W50" s="19">
        <v>10.0</v>
      </c>
      <c r="X50" s="19">
        <v>7.0</v>
      </c>
      <c r="Y50" s="19">
        <v>8.0</v>
      </c>
      <c r="Z50" s="19">
        <v>4.0</v>
      </c>
      <c r="AA50" s="19">
        <v>7.0</v>
      </c>
      <c r="AB50" s="19">
        <v>9.0</v>
      </c>
      <c r="AC50" s="19">
        <v>11.0</v>
      </c>
      <c r="AD50" s="19">
        <v>11.0</v>
      </c>
      <c r="AE50" s="19">
        <v>9.0</v>
      </c>
      <c r="AF50" s="19">
        <v>5.0</v>
      </c>
      <c r="AG50" s="19">
        <v>13.0</v>
      </c>
      <c r="AH50" s="19">
        <v>7.0</v>
      </c>
      <c r="AI50" s="19">
        <v>10.0</v>
      </c>
      <c r="AJ50" s="19">
        <v>5.0</v>
      </c>
      <c r="AK50" s="19">
        <v>7.0</v>
      </c>
      <c r="AL50" s="13">
        <f t="shared" si="14"/>
        <v>291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5.0</v>
      </c>
      <c r="F51" s="19">
        <v>3.0</v>
      </c>
      <c r="G51" s="19">
        <v>1.0</v>
      </c>
      <c r="H51" s="19">
        <v>2.0</v>
      </c>
      <c r="I51" s="19">
        <v>2.0</v>
      </c>
      <c r="J51" s="19">
        <v>2.0</v>
      </c>
      <c r="K51" s="19">
        <v>3.0</v>
      </c>
      <c r="L51" s="19">
        <v>1.0</v>
      </c>
      <c r="M51" s="19">
        <v>2.0</v>
      </c>
      <c r="N51" s="19">
        <v>3.0</v>
      </c>
      <c r="O51" s="19">
        <v>3.0</v>
      </c>
      <c r="P51" s="19">
        <v>1.0</v>
      </c>
      <c r="Q51" s="19">
        <v>4.0</v>
      </c>
      <c r="R51" s="19">
        <v>3.0</v>
      </c>
      <c r="S51" s="19">
        <v>0.0</v>
      </c>
      <c r="T51" s="19">
        <v>2.0</v>
      </c>
      <c r="U51" s="19">
        <v>2.0</v>
      </c>
      <c r="V51" s="19">
        <v>0.0</v>
      </c>
      <c r="W51" s="19">
        <v>2.0</v>
      </c>
      <c r="X51" s="19">
        <v>4.0</v>
      </c>
      <c r="Y51" s="19">
        <v>3.0</v>
      </c>
      <c r="Z51" s="19">
        <v>3.0</v>
      </c>
      <c r="AA51" s="19">
        <v>9.0</v>
      </c>
      <c r="AB51" s="19">
        <v>3.0</v>
      </c>
      <c r="AC51" s="19">
        <v>2.0</v>
      </c>
      <c r="AD51" s="19">
        <v>6.0</v>
      </c>
      <c r="AE51" s="19">
        <v>1.0</v>
      </c>
      <c r="AF51" s="19">
        <v>2.0</v>
      </c>
      <c r="AG51" s="19">
        <v>2.0</v>
      </c>
      <c r="AH51" s="19">
        <v>2.0</v>
      </c>
      <c r="AI51" s="19">
        <v>4.0</v>
      </c>
      <c r="AJ51" s="19">
        <v>4.0</v>
      </c>
      <c r="AK51" s="19">
        <v>7.0</v>
      </c>
      <c r="AL51" s="13">
        <f t="shared" si="14"/>
        <v>93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9.0</v>
      </c>
      <c r="F52" s="19">
        <v>4.0</v>
      </c>
      <c r="G52" s="19">
        <v>11.0</v>
      </c>
      <c r="H52" s="19">
        <v>2.0</v>
      </c>
      <c r="I52" s="19">
        <v>1.0</v>
      </c>
      <c r="J52" s="19">
        <v>4.0</v>
      </c>
      <c r="K52" s="19">
        <v>3.0</v>
      </c>
      <c r="L52" s="19">
        <v>0.0</v>
      </c>
      <c r="M52" s="19">
        <v>2.0</v>
      </c>
      <c r="N52" s="19">
        <v>2.0</v>
      </c>
      <c r="O52" s="19">
        <v>3.0</v>
      </c>
      <c r="P52" s="19">
        <v>3.0</v>
      </c>
      <c r="Q52" s="19">
        <v>2.0</v>
      </c>
      <c r="R52" s="19">
        <v>4.0</v>
      </c>
      <c r="S52" s="19">
        <v>2.0</v>
      </c>
      <c r="T52" s="19">
        <v>0.0</v>
      </c>
      <c r="U52" s="19">
        <v>3.0</v>
      </c>
      <c r="V52" s="19">
        <v>6.0</v>
      </c>
      <c r="W52" s="19">
        <v>13.0</v>
      </c>
      <c r="X52" s="19">
        <v>6.0</v>
      </c>
      <c r="Y52" s="19">
        <v>8.0</v>
      </c>
      <c r="Z52" s="19">
        <v>3.0</v>
      </c>
      <c r="AA52" s="19">
        <v>2.0</v>
      </c>
      <c r="AB52" s="19">
        <v>9.0</v>
      </c>
      <c r="AC52" s="19">
        <v>4.0</v>
      </c>
      <c r="AD52" s="19">
        <v>5.0</v>
      </c>
      <c r="AE52" s="19">
        <v>3.0</v>
      </c>
      <c r="AF52" s="19">
        <v>1.0</v>
      </c>
      <c r="AG52" s="19">
        <v>7.0</v>
      </c>
      <c r="AH52" s="19">
        <v>1.0</v>
      </c>
      <c r="AI52" s="19">
        <v>5.0</v>
      </c>
      <c r="AJ52" s="19">
        <v>7.0</v>
      </c>
      <c r="AK52" s="19">
        <v>2.0</v>
      </c>
      <c r="AL52" s="13">
        <f t="shared" si="14"/>
        <v>137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2.0</v>
      </c>
      <c r="F53" s="19">
        <v>2.0</v>
      </c>
      <c r="G53" s="19">
        <v>2.0</v>
      </c>
      <c r="H53" s="19">
        <v>1.0</v>
      </c>
      <c r="I53" s="19">
        <v>0.0</v>
      </c>
      <c r="J53" s="19">
        <v>1.0</v>
      </c>
      <c r="K53" s="19">
        <v>1.0</v>
      </c>
      <c r="L53" s="19">
        <v>1.0</v>
      </c>
      <c r="M53" s="19">
        <v>3.0</v>
      </c>
      <c r="N53" s="19">
        <v>0.0</v>
      </c>
      <c r="O53" s="19">
        <v>4.0</v>
      </c>
      <c r="P53" s="19">
        <v>0.0</v>
      </c>
      <c r="Q53" s="19">
        <v>0.0</v>
      </c>
      <c r="R53" s="19">
        <v>0.0</v>
      </c>
      <c r="S53" s="19">
        <v>1.0</v>
      </c>
      <c r="T53" s="19">
        <v>0.0</v>
      </c>
      <c r="U53" s="19">
        <v>0.0</v>
      </c>
      <c r="V53" s="19">
        <v>1.0</v>
      </c>
      <c r="W53" s="19">
        <v>1.0</v>
      </c>
      <c r="X53" s="19">
        <v>1.0</v>
      </c>
      <c r="Y53" s="19">
        <v>0.0</v>
      </c>
      <c r="Z53" s="19">
        <v>0.0</v>
      </c>
      <c r="AA53" s="19">
        <v>2.0</v>
      </c>
      <c r="AB53" s="19">
        <v>3.0</v>
      </c>
      <c r="AC53" s="19">
        <v>1.0</v>
      </c>
      <c r="AD53" s="19">
        <v>3.0</v>
      </c>
      <c r="AE53" s="19">
        <v>0.0</v>
      </c>
      <c r="AF53" s="19">
        <v>0.0</v>
      </c>
      <c r="AG53" s="19">
        <v>1.0</v>
      </c>
      <c r="AH53" s="19">
        <v>2.0</v>
      </c>
      <c r="AI53" s="19">
        <v>0.0</v>
      </c>
      <c r="AJ53" s="19">
        <v>3.0</v>
      </c>
      <c r="AK53" s="19">
        <v>0.0</v>
      </c>
      <c r="AL53" s="13">
        <f t="shared" si="14"/>
        <v>36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23.0</v>
      </c>
      <c r="F54" s="19">
        <v>23.0</v>
      </c>
      <c r="G54" s="19">
        <v>27.0</v>
      </c>
      <c r="H54" s="19">
        <v>32.0</v>
      </c>
      <c r="I54" s="19">
        <v>17.0</v>
      </c>
      <c r="J54" s="19">
        <v>24.0</v>
      </c>
      <c r="K54" s="19">
        <v>14.0</v>
      </c>
      <c r="L54" s="19">
        <v>35.0</v>
      </c>
      <c r="M54" s="19">
        <v>20.0</v>
      </c>
      <c r="N54" s="19">
        <v>22.0</v>
      </c>
      <c r="O54" s="19">
        <v>24.0</v>
      </c>
      <c r="P54" s="19">
        <v>40.0</v>
      </c>
      <c r="Q54" s="19">
        <v>22.0</v>
      </c>
      <c r="R54" s="19">
        <v>25.0</v>
      </c>
      <c r="S54" s="19">
        <v>26.0</v>
      </c>
      <c r="T54" s="19">
        <v>31.0</v>
      </c>
      <c r="U54" s="19">
        <v>38.0</v>
      </c>
      <c r="V54" s="19">
        <v>36.0</v>
      </c>
      <c r="W54" s="19">
        <v>23.0</v>
      </c>
      <c r="X54" s="19">
        <v>36.0</v>
      </c>
      <c r="Y54" s="19">
        <v>38.0</v>
      </c>
      <c r="Z54" s="19">
        <v>28.0</v>
      </c>
      <c r="AA54" s="19">
        <v>30.0</v>
      </c>
      <c r="AB54" s="19">
        <v>19.0</v>
      </c>
      <c r="AC54" s="19">
        <v>34.0</v>
      </c>
      <c r="AD54" s="19">
        <v>38.0</v>
      </c>
      <c r="AE54" s="19">
        <v>48.0</v>
      </c>
      <c r="AF54" s="19">
        <v>41.0</v>
      </c>
      <c r="AG54" s="19">
        <v>29.0</v>
      </c>
      <c r="AH54" s="19">
        <v>34.0</v>
      </c>
      <c r="AI54" s="19">
        <v>30.0</v>
      </c>
      <c r="AJ54" s="19">
        <v>38.0</v>
      </c>
      <c r="AK54" s="19">
        <v>34.0</v>
      </c>
      <c r="AL54" s="13">
        <f t="shared" si="14"/>
        <v>979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2.0</v>
      </c>
      <c r="F55" s="19">
        <v>2.0</v>
      </c>
      <c r="G55" s="19">
        <v>0.0</v>
      </c>
      <c r="H55" s="19">
        <v>4.0</v>
      </c>
      <c r="I55" s="19">
        <v>0.0</v>
      </c>
      <c r="J55" s="19">
        <v>2.0</v>
      </c>
      <c r="K55" s="19">
        <v>0.0</v>
      </c>
      <c r="L55" s="19">
        <v>3.0</v>
      </c>
      <c r="M55" s="19">
        <v>0.0</v>
      </c>
      <c r="N55" s="19">
        <v>1.0</v>
      </c>
      <c r="O55" s="19">
        <v>2.0</v>
      </c>
      <c r="P55" s="19">
        <v>2.0</v>
      </c>
      <c r="Q55" s="19">
        <v>1.0</v>
      </c>
      <c r="R55" s="19">
        <v>3.0</v>
      </c>
      <c r="S55" s="19">
        <v>0.0</v>
      </c>
      <c r="T55" s="19">
        <v>1.0</v>
      </c>
      <c r="U55" s="19">
        <v>1.0</v>
      </c>
      <c r="V55" s="19">
        <v>1.0</v>
      </c>
      <c r="W55" s="19">
        <v>0.0</v>
      </c>
      <c r="X55" s="19">
        <v>2.0</v>
      </c>
      <c r="Y55" s="19">
        <v>6.0</v>
      </c>
      <c r="Z55" s="19">
        <v>0.0</v>
      </c>
      <c r="AA55" s="19">
        <v>4.0</v>
      </c>
      <c r="AB55" s="19">
        <v>2.0</v>
      </c>
      <c r="AC55" s="19">
        <v>3.0</v>
      </c>
      <c r="AD55" s="19">
        <v>1.0</v>
      </c>
      <c r="AE55" s="19">
        <v>1.0</v>
      </c>
      <c r="AF55" s="19">
        <v>0.0</v>
      </c>
      <c r="AG55" s="19">
        <v>1.0</v>
      </c>
      <c r="AH55" s="19">
        <v>0.0</v>
      </c>
      <c r="AI55" s="19">
        <v>3.0</v>
      </c>
      <c r="AJ55" s="19">
        <v>1.0</v>
      </c>
      <c r="AK55" s="19">
        <v>0.0</v>
      </c>
      <c r="AL55" s="13">
        <f t="shared" si="14"/>
        <v>49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24.0</v>
      </c>
      <c r="F56" s="19">
        <v>11.0</v>
      </c>
      <c r="G56" s="19">
        <v>25.0</v>
      </c>
      <c r="H56" s="19">
        <v>31.0</v>
      </c>
      <c r="I56" s="19">
        <v>28.0</v>
      </c>
      <c r="J56" s="19">
        <v>19.0</v>
      </c>
      <c r="K56" s="19">
        <v>29.0</v>
      </c>
      <c r="L56" s="19">
        <v>26.0</v>
      </c>
      <c r="M56" s="19">
        <v>22.0</v>
      </c>
      <c r="N56" s="19">
        <v>17.0</v>
      </c>
      <c r="O56" s="19">
        <v>13.0</v>
      </c>
      <c r="P56" s="19">
        <v>28.0</v>
      </c>
      <c r="Q56" s="19">
        <v>21.0</v>
      </c>
      <c r="R56" s="19">
        <v>27.0</v>
      </c>
      <c r="S56" s="19">
        <v>24.0</v>
      </c>
      <c r="T56" s="19">
        <v>24.0</v>
      </c>
      <c r="U56" s="19">
        <v>23.0</v>
      </c>
      <c r="V56" s="19">
        <v>26.0</v>
      </c>
      <c r="W56" s="19">
        <v>23.0</v>
      </c>
      <c r="X56" s="19">
        <v>17.0</v>
      </c>
      <c r="Y56" s="19">
        <v>17.0</v>
      </c>
      <c r="Z56" s="19">
        <v>33.0</v>
      </c>
      <c r="AA56" s="19">
        <v>31.0</v>
      </c>
      <c r="AB56" s="19">
        <v>21.0</v>
      </c>
      <c r="AC56" s="19">
        <v>34.0</v>
      </c>
      <c r="AD56" s="19">
        <v>27.0</v>
      </c>
      <c r="AE56" s="19">
        <v>41.0</v>
      </c>
      <c r="AF56" s="19">
        <v>37.0</v>
      </c>
      <c r="AG56" s="19">
        <v>36.0</v>
      </c>
      <c r="AH56" s="19">
        <v>37.0</v>
      </c>
      <c r="AI56" s="19">
        <v>25.0</v>
      </c>
      <c r="AJ56" s="19">
        <v>17.0</v>
      </c>
      <c r="AK56" s="19">
        <v>34.0</v>
      </c>
      <c r="AL56" s="13">
        <f t="shared" si="14"/>
        <v>848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0.0</v>
      </c>
      <c r="F57" s="19">
        <v>2.0</v>
      </c>
      <c r="G57" s="19">
        <v>8.0</v>
      </c>
      <c r="H57" s="19">
        <v>2.0</v>
      </c>
      <c r="I57" s="19">
        <v>2.0</v>
      </c>
      <c r="J57" s="19">
        <v>2.0</v>
      </c>
      <c r="K57" s="19">
        <v>6.0</v>
      </c>
      <c r="L57" s="19">
        <v>2.0</v>
      </c>
      <c r="M57" s="19">
        <v>1.0</v>
      </c>
      <c r="N57" s="19">
        <v>0.0</v>
      </c>
      <c r="O57" s="19">
        <v>4.0</v>
      </c>
      <c r="P57" s="19">
        <v>4.0</v>
      </c>
      <c r="Q57" s="19">
        <v>3.0</v>
      </c>
      <c r="R57" s="19">
        <v>1.0</v>
      </c>
      <c r="S57" s="19">
        <v>4.0</v>
      </c>
      <c r="T57" s="19">
        <v>1.0</v>
      </c>
      <c r="U57" s="19">
        <v>2.0</v>
      </c>
      <c r="V57" s="19">
        <v>1.0</v>
      </c>
      <c r="W57" s="19">
        <v>3.0</v>
      </c>
      <c r="X57" s="19">
        <v>5.0</v>
      </c>
      <c r="Y57" s="19">
        <v>2.0</v>
      </c>
      <c r="Z57" s="19">
        <v>0.0</v>
      </c>
      <c r="AA57" s="19">
        <v>2.0</v>
      </c>
      <c r="AB57" s="19">
        <v>5.0</v>
      </c>
      <c r="AC57" s="19">
        <v>2.0</v>
      </c>
      <c r="AD57" s="19">
        <v>3.0</v>
      </c>
      <c r="AE57" s="19">
        <v>4.0</v>
      </c>
      <c r="AF57" s="19">
        <v>3.0</v>
      </c>
      <c r="AG57" s="19">
        <v>4.0</v>
      </c>
      <c r="AH57" s="19">
        <v>0.0</v>
      </c>
      <c r="AI57" s="19">
        <v>4.0</v>
      </c>
      <c r="AJ57" s="19">
        <v>1.0</v>
      </c>
      <c r="AK57" s="19">
        <v>1.0</v>
      </c>
      <c r="AL57" s="13">
        <f t="shared" si="14"/>
        <v>84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13"/>
    </row>
    <row r="60" ht="12.75" customHeight="1">
      <c r="A60" s="42"/>
      <c r="B60" s="53" t="s">
        <v>62</v>
      </c>
      <c r="C60" s="54" t="s">
        <v>63</v>
      </c>
      <c r="D60" s="16"/>
      <c r="E60" s="19">
        <v>166.0</v>
      </c>
      <c r="F60" s="19">
        <v>162.0</v>
      </c>
      <c r="G60" s="19">
        <v>192.0</v>
      </c>
      <c r="H60" s="19">
        <v>213.0</v>
      </c>
      <c r="I60" s="19">
        <v>131.0</v>
      </c>
      <c r="J60" s="19">
        <v>171.0</v>
      </c>
      <c r="K60" s="19">
        <v>145.0</v>
      </c>
      <c r="L60" s="19">
        <v>174.0</v>
      </c>
      <c r="M60" s="19">
        <v>147.0</v>
      </c>
      <c r="N60" s="19">
        <v>184.0</v>
      </c>
      <c r="O60" s="19">
        <v>131.0</v>
      </c>
      <c r="P60" s="19">
        <v>196.0</v>
      </c>
      <c r="Q60" s="19">
        <v>145.0</v>
      </c>
      <c r="R60" s="19">
        <v>169.0</v>
      </c>
      <c r="S60" s="19">
        <v>167.0</v>
      </c>
      <c r="T60" s="19">
        <v>166.0</v>
      </c>
      <c r="U60" s="19">
        <v>157.0</v>
      </c>
      <c r="V60" s="19">
        <v>192.0</v>
      </c>
      <c r="W60" s="19">
        <v>161.0</v>
      </c>
      <c r="X60" s="19">
        <v>178.0</v>
      </c>
      <c r="Y60" s="19">
        <v>185.0</v>
      </c>
      <c r="Z60" s="19">
        <v>190.0</v>
      </c>
      <c r="AA60" s="19">
        <v>195.0</v>
      </c>
      <c r="AB60" s="19">
        <v>191.0</v>
      </c>
      <c r="AC60" s="19">
        <v>184.0</v>
      </c>
      <c r="AD60" s="19">
        <v>195.0</v>
      </c>
      <c r="AE60" s="19">
        <v>207.0</v>
      </c>
      <c r="AF60" s="19">
        <v>179.0</v>
      </c>
      <c r="AG60" s="19">
        <v>175.0</v>
      </c>
      <c r="AH60" s="19">
        <v>176.0</v>
      </c>
      <c r="AI60" s="19">
        <f t="shared" ref="AI60:AK60" si="15">SUM(AI45:AI57)</f>
        <v>196</v>
      </c>
      <c r="AJ60" s="19">
        <f t="shared" si="15"/>
        <v>186</v>
      </c>
      <c r="AK60" s="19">
        <f t="shared" si="15"/>
        <v>199</v>
      </c>
      <c r="AL60" s="13">
        <f t="shared" ref="AL60:AL62" si="16">SUM(E60:AK60)</f>
        <v>5805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36.0</v>
      </c>
      <c r="F61" s="19">
        <v>35.0</v>
      </c>
      <c r="G61" s="19">
        <v>48.0</v>
      </c>
      <c r="H61" s="19">
        <v>39.0</v>
      </c>
      <c r="I61" s="19">
        <v>37.0</v>
      </c>
      <c r="J61" s="19">
        <v>37.0</v>
      </c>
      <c r="K61" s="19">
        <v>42.0</v>
      </c>
      <c r="L61" s="19">
        <v>27.0</v>
      </c>
      <c r="M61" s="19">
        <v>46.0</v>
      </c>
      <c r="N61" s="19">
        <v>43.0</v>
      </c>
      <c r="O61" s="19">
        <v>30.0</v>
      </c>
      <c r="P61" s="19">
        <v>25.0</v>
      </c>
      <c r="Q61" s="19">
        <v>28.0</v>
      </c>
      <c r="R61" s="19">
        <v>35.0</v>
      </c>
      <c r="S61" s="19">
        <v>34.0</v>
      </c>
      <c r="T61" s="19">
        <v>24.0</v>
      </c>
      <c r="U61" s="19">
        <v>59.0</v>
      </c>
      <c r="V61" s="19">
        <v>13.0</v>
      </c>
      <c r="W61" s="19">
        <v>38.0</v>
      </c>
      <c r="X61" s="19">
        <v>32.0</v>
      </c>
      <c r="Y61" s="19">
        <v>23.0</v>
      </c>
      <c r="Z61" s="19">
        <v>21.0</v>
      </c>
      <c r="AA61" s="19">
        <v>25.0</v>
      </c>
      <c r="AB61" s="19">
        <v>26.0</v>
      </c>
      <c r="AC61" s="19">
        <v>35.0</v>
      </c>
      <c r="AD61" s="19">
        <v>31.0</v>
      </c>
      <c r="AE61" s="19">
        <v>30.0</v>
      </c>
      <c r="AF61" s="19">
        <v>47.0</v>
      </c>
      <c r="AG61" s="19">
        <v>44.0</v>
      </c>
      <c r="AH61" s="19">
        <v>36.0</v>
      </c>
      <c r="AI61" s="19">
        <v>29.0</v>
      </c>
      <c r="AJ61" s="19">
        <v>35.0</v>
      </c>
      <c r="AK61" s="19">
        <v>20.0</v>
      </c>
      <c r="AL61" s="13">
        <f t="shared" si="16"/>
        <v>1110</v>
      </c>
    </row>
    <row r="62" ht="12.75" customHeight="1">
      <c r="A62" s="41"/>
      <c r="B62" s="53" t="s">
        <v>66</v>
      </c>
      <c r="C62" s="54" t="s">
        <v>67</v>
      </c>
      <c r="D62" s="16"/>
      <c r="E62" s="13">
        <v>202.0</v>
      </c>
      <c r="F62" s="13">
        <v>197.0</v>
      </c>
      <c r="G62" s="13">
        <v>240.0</v>
      </c>
      <c r="H62" s="13">
        <v>252.0</v>
      </c>
      <c r="I62" s="13">
        <v>168.0</v>
      </c>
      <c r="J62" s="13">
        <v>208.0</v>
      </c>
      <c r="K62" s="13">
        <v>187.0</v>
      </c>
      <c r="L62" s="13">
        <v>201.0</v>
      </c>
      <c r="M62" s="13">
        <v>193.0</v>
      </c>
      <c r="N62" s="13">
        <v>227.0</v>
      </c>
      <c r="O62" s="13">
        <v>161.0</v>
      </c>
      <c r="P62" s="13">
        <v>221.0</v>
      </c>
      <c r="Q62" s="13">
        <v>173.0</v>
      </c>
      <c r="R62" s="13">
        <v>204.0</v>
      </c>
      <c r="S62" s="13">
        <v>201.0</v>
      </c>
      <c r="T62" s="13">
        <v>190.0</v>
      </c>
      <c r="U62" s="13">
        <v>216.0</v>
      </c>
      <c r="V62" s="13">
        <v>205.0</v>
      </c>
      <c r="W62" s="13">
        <v>199.0</v>
      </c>
      <c r="X62" s="13">
        <v>210.0</v>
      </c>
      <c r="Y62" s="13">
        <v>208.0</v>
      </c>
      <c r="Z62" s="13">
        <v>211.0</v>
      </c>
      <c r="AA62" s="13">
        <v>220.0</v>
      </c>
      <c r="AB62" s="13">
        <v>217.0</v>
      </c>
      <c r="AC62" s="13">
        <v>219.0</v>
      </c>
      <c r="AD62" s="13">
        <v>226.0</v>
      </c>
      <c r="AE62" s="13">
        <v>237.0</v>
      </c>
      <c r="AF62" s="13">
        <v>226.0</v>
      </c>
      <c r="AG62" s="13">
        <v>219.0</v>
      </c>
      <c r="AH62" s="13">
        <v>212.0</v>
      </c>
      <c r="AI62" s="13">
        <f t="shared" ref="AI62:AK62" si="17">SUM(AI60:AI61)</f>
        <v>225</v>
      </c>
      <c r="AJ62" s="13">
        <f t="shared" si="17"/>
        <v>221</v>
      </c>
      <c r="AK62" s="13">
        <f t="shared" si="17"/>
        <v>219</v>
      </c>
      <c r="AL62" s="13">
        <f t="shared" si="16"/>
        <v>6915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K15 E45:AK57">
    <cfRule type="containsBlanks" dxfId="1" priority="2">
      <formula>LEN(TRIM(E14))=0</formula>
    </cfRule>
  </conditionalFormatting>
  <conditionalFormatting sqref="E19:AK20">
    <cfRule type="containsBlanks" dxfId="1" priority="3">
      <formula>LEN(TRIM(E19))=0</formula>
    </cfRule>
  </conditionalFormatting>
  <conditionalFormatting sqref="E22:AK23 E25:AK26 E33:AK33 E35:AK35 E39:AK40">
    <cfRule type="containsBlanks" dxfId="1" priority="4">
      <formula>LEN(TRIM(E22))=0</formula>
    </cfRule>
  </conditionalFormatting>
  <conditionalFormatting sqref="E30:AK30">
    <cfRule type="expression" dxfId="0" priority="5">
      <formula>E30&lt;&gt;E46</formula>
    </cfRule>
  </conditionalFormatting>
  <conditionalFormatting sqref="E30:AK30">
    <cfRule type="expression" dxfId="0" priority="6">
      <formula>E30&lt;&gt;E34</formula>
    </cfRule>
  </conditionalFormatting>
  <conditionalFormatting sqref="E34:AK34">
    <cfRule type="expression" dxfId="2" priority="7">
      <formula>E30&lt;&gt;E34</formula>
    </cfRule>
  </conditionalFormatting>
  <conditionalFormatting sqref="E34:AK34">
    <cfRule type="expression" dxfId="3" priority="8">
      <formula>E30=E34</formula>
    </cfRule>
  </conditionalFormatting>
  <conditionalFormatting sqref="E34:AK34">
    <cfRule type="expression" dxfId="0" priority="9">
      <formula>E34&lt;&gt;E30</formula>
    </cfRule>
  </conditionalFormatting>
  <conditionalFormatting sqref="E60:AK61">
    <cfRule type="containsBlanks" dxfId="1" priority="10">
      <formula>LEN(TRIM(E60))=0</formula>
    </cfRule>
  </conditionalFormatting>
  <conditionalFormatting sqref="U34:AK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111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152.0</v>
      </c>
      <c r="G14" s="19">
        <v>135.0</v>
      </c>
      <c r="H14" s="19">
        <v>160.0</v>
      </c>
      <c r="I14" s="19">
        <v>142.0</v>
      </c>
      <c r="J14" s="19">
        <v>143.0</v>
      </c>
      <c r="K14" s="19">
        <v>128.0</v>
      </c>
      <c r="L14" s="19">
        <v>122.0</v>
      </c>
      <c r="M14" s="19">
        <v>107.0</v>
      </c>
      <c r="N14" s="19">
        <v>132.0</v>
      </c>
      <c r="O14" s="19">
        <v>142.0</v>
      </c>
      <c r="P14" s="19">
        <v>144.0</v>
      </c>
      <c r="Q14" s="13">
        <f t="shared" ref="Q14:Q16" si="1">SUM(E14:P14)</f>
        <v>1644</v>
      </c>
    </row>
    <row r="15" ht="12.75" customHeight="1">
      <c r="A15" s="18"/>
      <c r="B15" s="26"/>
      <c r="C15" s="27"/>
      <c r="D15" s="19" t="s">
        <v>13</v>
      </c>
      <c r="E15" s="19">
        <v>149.0</v>
      </c>
      <c r="F15" s="19">
        <v>144.0</v>
      </c>
      <c r="G15" s="19">
        <v>156.0</v>
      </c>
      <c r="H15" s="19">
        <v>137.0</v>
      </c>
      <c r="I15" s="19">
        <v>149.0</v>
      </c>
      <c r="J15" s="19">
        <v>143.0</v>
      </c>
      <c r="K15" s="19">
        <v>117.0</v>
      </c>
      <c r="L15" s="19">
        <v>122.0</v>
      </c>
      <c r="M15" s="19">
        <v>98.0</v>
      </c>
      <c r="N15" s="19">
        <v>124.0</v>
      </c>
      <c r="O15" s="19">
        <v>147.0</v>
      </c>
      <c r="P15" s="19">
        <v>150.0</v>
      </c>
      <c r="Q15" s="13">
        <f t="shared" si="1"/>
        <v>1636</v>
      </c>
    </row>
    <row r="16" ht="12.75" customHeight="1">
      <c r="A16" s="25"/>
      <c r="B16" s="21"/>
      <c r="C16" s="28"/>
      <c r="D16" s="13" t="s">
        <v>14</v>
      </c>
      <c r="E16" s="13">
        <f t="shared" ref="E16:P16" si="2">SUM(E14:E15)</f>
        <v>286</v>
      </c>
      <c r="F16" s="13">
        <f t="shared" si="2"/>
        <v>296</v>
      </c>
      <c r="G16" s="13">
        <f t="shared" si="2"/>
        <v>291</v>
      </c>
      <c r="H16" s="13">
        <f t="shared" si="2"/>
        <v>297</v>
      </c>
      <c r="I16" s="13">
        <f t="shared" si="2"/>
        <v>291</v>
      </c>
      <c r="J16" s="13">
        <f t="shared" si="2"/>
        <v>286</v>
      </c>
      <c r="K16" s="13">
        <f t="shared" si="2"/>
        <v>245</v>
      </c>
      <c r="L16" s="13">
        <f t="shared" si="2"/>
        <v>244</v>
      </c>
      <c r="M16" s="13">
        <f t="shared" si="2"/>
        <v>205</v>
      </c>
      <c r="N16" s="13">
        <f t="shared" si="2"/>
        <v>256</v>
      </c>
      <c r="O16" s="13">
        <f t="shared" si="2"/>
        <v>289</v>
      </c>
      <c r="P16" s="13">
        <f t="shared" si="2"/>
        <v>294</v>
      </c>
      <c r="Q16" s="13">
        <f t="shared" si="1"/>
        <v>3280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81.0</v>
      </c>
      <c r="F19" s="19">
        <v>107.0</v>
      </c>
      <c r="G19" s="19">
        <v>100.0</v>
      </c>
      <c r="H19" s="19">
        <v>113.0</v>
      </c>
      <c r="I19" s="19">
        <v>121.0</v>
      </c>
      <c r="J19" s="19">
        <v>113.0</v>
      </c>
      <c r="K19" s="19">
        <v>103.0</v>
      </c>
      <c r="L19" s="19">
        <v>97.0</v>
      </c>
      <c r="M19" s="19">
        <v>75.0</v>
      </c>
      <c r="N19" s="19">
        <v>114.0</v>
      </c>
      <c r="O19" s="19">
        <v>116.0</v>
      </c>
      <c r="P19" s="19">
        <v>112.0</v>
      </c>
      <c r="Q19" s="13">
        <f t="shared" ref="Q19:Q30" si="3">SUM(E19:P19)</f>
        <v>1252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117.0</v>
      </c>
      <c r="G20" s="19">
        <v>124.0</v>
      </c>
      <c r="H20" s="19">
        <v>127.0</v>
      </c>
      <c r="I20" s="19">
        <v>121.0</v>
      </c>
      <c r="J20" s="19">
        <v>117.0</v>
      </c>
      <c r="K20" s="19">
        <v>94.0</v>
      </c>
      <c r="L20" s="19">
        <v>95.0</v>
      </c>
      <c r="M20" s="19">
        <v>71.0</v>
      </c>
      <c r="N20" s="19">
        <v>87.0</v>
      </c>
      <c r="O20" s="19">
        <v>127.0</v>
      </c>
      <c r="P20" s="19">
        <v>123.0</v>
      </c>
      <c r="Q20" s="13">
        <f t="shared" si="3"/>
        <v>1315</v>
      </c>
    </row>
    <row r="21" ht="12.75" customHeight="1">
      <c r="A21" s="35"/>
      <c r="B21" s="28"/>
      <c r="C21" s="36"/>
      <c r="D21" s="13" t="s">
        <v>14</v>
      </c>
      <c r="E21" s="13">
        <v>193.0</v>
      </c>
      <c r="F21" s="13">
        <v>224.0</v>
      </c>
      <c r="G21" s="13">
        <v>224.0</v>
      </c>
      <c r="H21" s="13">
        <v>240.0</v>
      </c>
      <c r="I21" s="13">
        <v>242.0</v>
      </c>
      <c r="J21" s="13">
        <v>230.0</v>
      </c>
      <c r="K21" s="13">
        <v>197.0</v>
      </c>
      <c r="L21" s="13">
        <v>192.0</v>
      </c>
      <c r="M21" s="13">
        <v>146.0</v>
      </c>
      <c r="N21" s="13">
        <v>201.0</v>
      </c>
      <c r="O21" s="13">
        <v>243.0</v>
      </c>
      <c r="P21" s="13">
        <v>235.0</v>
      </c>
      <c r="Q21" s="13">
        <f t="shared" si="3"/>
        <v>2567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3.0</v>
      </c>
      <c r="G24" s="13">
        <v>0.0</v>
      </c>
      <c r="H24" s="13">
        <v>0.0</v>
      </c>
      <c r="I24" s="13">
        <v>1.0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1.0</v>
      </c>
      <c r="Q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0.0</v>
      </c>
      <c r="I25" s="19">
        <v>1.0</v>
      </c>
      <c r="J25" s="19">
        <v>1.0</v>
      </c>
      <c r="K25" s="19">
        <v>1.0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2.0</v>
      </c>
      <c r="H26" s="19">
        <v>0.0</v>
      </c>
      <c r="I26" s="19">
        <v>2.0</v>
      </c>
      <c r="J26" s="19">
        <v>3.0</v>
      </c>
      <c r="K26" s="19">
        <v>2.0</v>
      </c>
      <c r="L26" s="19">
        <v>0.0</v>
      </c>
      <c r="M26" s="19">
        <v>2.0</v>
      </c>
      <c r="N26" s="19">
        <v>0.0</v>
      </c>
      <c r="O26" s="19">
        <v>0.0</v>
      </c>
      <c r="P26" s="19">
        <v>0.0</v>
      </c>
      <c r="Q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v>3.0</v>
      </c>
      <c r="F27" s="13">
        <v>2.0</v>
      </c>
      <c r="G27" s="13">
        <v>2.0</v>
      </c>
      <c r="H27" s="13">
        <v>0.0</v>
      </c>
      <c r="I27" s="13">
        <v>3.0</v>
      </c>
      <c r="J27" s="13">
        <v>4.0</v>
      </c>
      <c r="K27" s="13">
        <v>3.0</v>
      </c>
      <c r="L27" s="13">
        <v>0.0</v>
      </c>
      <c r="M27" s="13">
        <v>3.0</v>
      </c>
      <c r="N27" s="13">
        <v>0.0</v>
      </c>
      <c r="O27" s="13">
        <v>0.0</v>
      </c>
      <c r="P27" s="13">
        <v>0.0</v>
      </c>
      <c r="Q27" s="13">
        <f t="shared" si="3"/>
        <v>20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82.0</v>
      </c>
      <c r="F28" s="13">
        <v>109.0</v>
      </c>
      <c r="G28" s="13">
        <v>100.0</v>
      </c>
      <c r="H28" s="13">
        <v>113.0</v>
      </c>
      <c r="I28" s="13">
        <v>122.0</v>
      </c>
      <c r="J28" s="13">
        <v>114.0</v>
      </c>
      <c r="K28" s="13">
        <v>104.0</v>
      </c>
      <c r="L28" s="13">
        <v>97.0</v>
      </c>
      <c r="M28" s="13">
        <v>76.0</v>
      </c>
      <c r="N28" s="13">
        <v>114.0</v>
      </c>
      <c r="O28" s="13">
        <v>116.0</v>
      </c>
      <c r="P28" s="13">
        <v>112.0</v>
      </c>
      <c r="Q28" s="13">
        <f t="shared" si="3"/>
        <v>1259</v>
      </c>
    </row>
    <row r="29" ht="12.75" customHeight="1">
      <c r="A29" s="35"/>
      <c r="B29" s="27"/>
      <c r="C29" s="34"/>
      <c r="D29" s="13" t="s">
        <v>13</v>
      </c>
      <c r="E29" s="13">
        <v>114.0</v>
      </c>
      <c r="F29" s="13">
        <v>120.0</v>
      </c>
      <c r="G29" s="13">
        <v>126.0</v>
      </c>
      <c r="H29" s="13">
        <v>127.0</v>
      </c>
      <c r="I29" s="13">
        <v>124.0</v>
      </c>
      <c r="J29" s="13">
        <v>120.0</v>
      </c>
      <c r="K29" s="13">
        <v>96.0</v>
      </c>
      <c r="L29" s="13">
        <v>95.0</v>
      </c>
      <c r="M29" s="13">
        <v>73.0</v>
      </c>
      <c r="N29" s="13">
        <v>87.0</v>
      </c>
      <c r="O29" s="13">
        <v>127.0</v>
      </c>
      <c r="P29" s="13">
        <v>124.0</v>
      </c>
      <c r="Q29" s="13">
        <f t="shared" si="3"/>
        <v>1333</v>
      </c>
    </row>
    <row r="30" ht="12.75" customHeight="1">
      <c r="A30" s="35"/>
      <c r="B30" s="28"/>
      <c r="C30" s="36"/>
      <c r="D30" s="13" t="s">
        <v>14</v>
      </c>
      <c r="E30" s="13">
        <f t="shared" ref="E30:P30" si="4">SUM(E28:E29)</f>
        <v>196</v>
      </c>
      <c r="F30" s="13">
        <f t="shared" si="4"/>
        <v>229</v>
      </c>
      <c r="G30" s="13">
        <f t="shared" si="4"/>
        <v>226</v>
      </c>
      <c r="H30" s="13">
        <f t="shared" si="4"/>
        <v>240</v>
      </c>
      <c r="I30" s="13">
        <f t="shared" si="4"/>
        <v>246</v>
      </c>
      <c r="J30" s="13">
        <f t="shared" si="4"/>
        <v>234</v>
      </c>
      <c r="K30" s="13">
        <f t="shared" si="4"/>
        <v>200</v>
      </c>
      <c r="L30" s="13">
        <f t="shared" si="4"/>
        <v>192</v>
      </c>
      <c r="M30" s="13">
        <f t="shared" si="4"/>
        <v>149</v>
      </c>
      <c r="N30" s="13">
        <f t="shared" si="4"/>
        <v>201</v>
      </c>
      <c r="O30" s="13">
        <f t="shared" si="4"/>
        <v>243</v>
      </c>
      <c r="P30" s="13">
        <f t="shared" si="4"/>
        <v>236</v>
      </c>
      <c r="Q30" s="13">
        <f t="shared" si="3"/>
        <v>2592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59"/>
    </row>
    <row r="33" ht="12.75" customHeight="1">
      <c r="A33" s="19">
        <v>1.0</v>
      </c>
      <c r="B33" s="20" t="s">
        <v>27</v>
      </c>
      <c r="C33" s="15"/>
      <c r="D33" s="16"/>
      <c r="E33" s="19">
        <v>303.0</v>
      </c>
      <c r="F33" s="19">
        <v>294.0</v>
      </c>
      <c r="G33" s="19">
        <v>300.0</v>
      </c>
      <c r="H33" s="19">
        <v>301.0</v>
      </c>
      <c r="I33" s="19">
        <v>290.0</v>
      </c>
      <c r="J33" s="19">
        <v>292.0</v>
      </c>
      <c r="K33" s="19">
        <v>254.0</v>
      </c>
      <c r="L33" s="19">
        <v>249.0</v>
      </c>
      <c r="M33" s="19">
        <v>211.0</v>
      </c>
      <c r="N33" s="19">
        <v>262.0</v>
      </c>
      <c r="O33" s="19">
        <v>295.0</v>
      </c>
      <c r="P33" s="19">
        <v>300.0</v>
      </c>
      <c r="Q33" s="13">
        <f t="shared" ref="Q33:Q36" si="5">SUM(E33:P33)</f>
        <v>3351</v>
      </c>
    </row>
    <row r="34" ht="12.75" customHeight="1">
      <c r="A34" s="19">
        <v>2.0</v>
      </c>
      <c r="B34" s="20" t="s">
        <v>28</v>
      </c>
      <c r="C34" s="15"/>
      <c r="D34" s="16"/>
      <c r="E34" s="13">
        <v>196.0</v>
      </c>
      <c r="F34" s="13">
        <v>229.0</v>
      </c>
      <c r="G34" s="13">
        <v>226.0</v>
      </c>
      <c r="H34" s="13">
        <v>240.0</v>
      </c>
      <c r="I34" s="13">
        <v>246.0</v>
      </c>
      <c r="J34" s="13">
        <v>234.0</v>
      </c>
      <c r="K34" s="13">
        <v>200.0</v>
      </c>
      <c r="L34" s="13">
        <v>192.0</v>
      </c>
      <c r="M34" s="13">
        <v>149.0</v>
      </c>
      <c r="N34" s="13">
        <v>201.0</v>
      </c>
      <c r="O34" s="13">
        <v>243.0</v>
      </c>
      <c r="P34" s="13">
        <v>236.0</v>
      </c>
      <c r="Q34" s="13">
        <f t="shared" si="5"/>
        <v>2592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3">
        <f t="shared" si="5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v>107.0</v>
      </c>
      <c r="F36" s="13">
        <v>65.0</v>
      </c>
      <c r="G36" s="13">
        <v>74.0</v>
      </c>
      <c r="H36" s="13">
        <v>61.0</v>
      </c>
      <c r="I36" s="13">
        <v>44.0</v>
      </c>
      <c r="J36" s="13">
        <v>58.0</v>
      </c>
      <c r="K36" s="13">
        <v>54.0</v>
      </c>
      <c r="L36" s="13">
        <v>57.0</v>
      </c>
      <c r="M36" s="13">
        <v>61.0</v>
      </c>
      <c r="N36" s="13">
        <v>61.0</v>
      </c>
      <c r="O36" s="13">
        <v>52.0</v>
      </c>
      <c r="P36" s="13">
        <v>64.0</v>
      </c>
      <c r="Q36" s="13">
        <f t="shared" si="5"/>
        <v>758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3">
        <f t="shared" ref="Q39:Q41" si="6">SUM(E39:P39)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3">
        <f t="shared" si="6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P41" si="7">SUM(E39:E40)</f>
        <v>0</v>
      </c>
      <c r="F41" s="13">
        <f t="shared" si="7"/>
        <v>0</v>
      </c>
      <c r="G41" s="13">
        <f t="shared" si="7"/>
        <v>0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0</v>
      </c>
      <c r="L41" s="13">
        <f t="shared" si="7"/>
        <v>0</v>
      </c>
      <c r="M41" s="13">
        <f t="shared" si="7"/>
        <v>0</v>
      </c>
      <c r="N41" s="13">
        <f t="shared" si="7"/>
        <v>0</v>
      </c>
      <c r="O41" s="13">
        <f t="shared" si="7"/>
        <v>0</v>
      </c>
      <c r="P41" s="13">
        <f t="shared" si="7"/>
        <v>0</v>
      </c>
      <c r="Q41" s="13">
        <f t="shared" si="6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3"/>
    </row>
    <row r="45" ht="12.75" customHeight="1">
      <c r="A45" s="30"/>
      <c r="B45" s="47" t="s">
        <v>17</v>
      </c>
      <c r="C45" s="62" t="s">
        <v>38</v>
      </c>
      <c r="D45" s="16"/>
      <c r="E45" s="19">
        <v>29.0</v>
      </c>
      <c r="F45" s="19">
        <v>9.0</v>
      </c>
      <c r="G45" s="19">
        <v>37.0</v>
      </c>
      <c r="H45" s="19">
        <v>20.0</v>
      </c>
      <c r="I45" s="19">
        <v>24.0</v>
      </c>
      <c r="J45" s="19">
        <v>19.0</v>
      </c>
      <c r="K45" s="19">
        <v>15.0</v>
      </c>
      <c r="L45" s="19">
        <v>20.0</v>
      </c>
      <c r="M45" s="19">
        <v>10.0</v>
      </c>
      <c r="N45" s="19">
        <v>21.0</v>
      </c>
      <c r="O45" s="19">
        <v>19.0</v>
      </c>
      <c r="P45" s="19">
        <v>16.0</v>
      </c>
      <c r="Q45" s="13">
        <f t="shared" ref="Q45:Q57" si="8">SUM(E45:P45)</f>
        <v>239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28.0</v>
      </c>
      <c r="F46" s="19">
        <v>85.0</v>
      </c>
      <c r="G46" s="19">
        <v>37.0</v>
      </c>
      <c r="H46" s="19">
        <v>41.0</v>
      </c>
      <c r="I46" s="19">
        <v>40.0</v>
      </c>
      <c r="J46" s="19">
        <v>28.0</v>
      </c>
      <c r="K46" s="19">
        <v>13.0</v>
      </c>
      <c r="L46" s="19">
        <v>23.0</v>
      </c>
      <c r="M46" s="19">
        <v>16.0</v>
      </c>
      <c r="N46" s="19">
        <v>30.0</v>
      </c>
      <c r="O46" s="19">
        <v>41.0</v>
      </c>
      <c r="P46" s="19">
        <v>22.0</v>
      </c>
      <c r="Q46" s="13">
        <f t="shared" si="8"/>
        <v>404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13.0</v>
      </c>
      <c r="F47" s="19">
        <v>9.0</v>
      </c>
      <c r="G47" s="19">
        <v>14.0</v>
      </c>
      <c r="H47" s="19">
        <v>10.0</v>
      </c>
      <c r="I47" s="19">
        <v>13.0</v>
      </c>
      <c r="J47" s="19">
        <v>12.0</v>
      </c>
      <c r="K47" s="19">
        <v>6.0</v>
      </c>
      <c r="L47" s="19">
        <v>4.0</v>
      </c>
      <c r="M47" s="19">
        <v>7.0</v>
      </c>
      <c r="N47" s="19">
        <v>18.0</v>
      </c>
      <c r="O47" s="19">
        <v>23.0</v>
      </c>
      <c r="P47" s="19">
        <v>37.0</v>
      </c>
      <c r="Q47" s="13">
        <f t="shared" si="8"/>
        <v>166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26.0</v>
      </c>
      <c r="F48" s="19">
        <v>26.0</v>
      </c>
      <c r="G48" s="19">
        <v>25.0</v>
      </c>
      <c r="H48" s="19">
        <v>27.0</v>
      </c>
      <c r="I48" s="19">
        <v>22.0</v>
      </c>
      <c r="J48" s="19">
        <v>25.0</v>
      </c>
      <c r="K48" s="19">
        <v>18.0</v>
      </c>
      <c r="L48" s="19">
        <v>18.0</v>
      </c>
      <c r="M48" s="19">
        <v>9.0</v>
      </c>
      <c r="N48" s="19">
        <v>23.0</v>
      </c>
      <c r="O48" s="19">
        <v>29.0</v>
      </c>
      <c r="P48" s="19">
        <v>21.0</v>
      </c>
      <c r="Q48" s="13">
        <f t="shared" si="8"/>
        <v>269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15.0</v>
      </c>
      <c r="F49" s="19">
        <v>17.0</v>
      </c>
      <c r="G49" s="19">
        <v>19.0</v>
      </c>
      <c r="H49" s="19">
        <v>9.0</v>
      </c>
      <c r="I49" s="19">
        <v>24.0</v>
      </c>
      <c r="J49" s="19">
        <v>23.0</v>
      </c>
      <c r="K49" s="19">
        <v>83.0</v>
      </c>
      <c r="L49" s="19">
        <v>68.0</v>
      </c>
      <c r="M49" s="19">
        <v>51.0</v>
      </c>
      <c r="N49" s="19">
        <v>17.0</v>
      </c>
      <c r="O49" s="19">
        <v>11.0</v>
      </c>
      <c r="P49" s="19">
        <v>9.0</v>
      </c>
      <c r="Q49" s="13">
        <f t="shared" si="8"/>
        <v>346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11.0</v>
      </c>
      <c r="F50" s="19">
        <v>6.0</v>
      </c>
      <c r="G50" s="19">
        <v>13.0</v>
      </c>
      <c r="H50" s="19">
        <v>4.0</v>
      </c>
      <c r="I50" s="19">
        <v>12.0</v>
      </c>
      <c r="J50" s="19">
        <v>14.0</v>
      </c>
      <c r="K50" s="19">
        <v>2.0</v>
      </c>
      <c r="L50" s="19">
        <v>3.0</v>
      </c>
      <c r="M50" s="19">
        <v>3.0</v>
      </c>
      <c r="N50" s="19">
        <v>6.0</v>
      </c>
      <c r="O50" s="19">
        <v>15.0</v>
      </c>
      <c r="P50" s="19">
        <v>18.0</v>
      </c>
      <c r="Q50" s="13">
        <f t="shared" si="8"/>
        <v>107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6.0</v>
      </c>
      <c r="F51" s="19">
        <v>3.0</v>
      </c>
      <c r="G51" s="19">
        <v>3.0</v>
      </c>
      <c r="H51" s="19">
        <v>3.0</v>
      </c>
      <c r="I51" s="19">
        <v>5.0</v>
      </c>
      <c r="J51" s="19">
        <v>4.0</v>
      </c>
      <c r="K51" s="19">
        <v>2.0</v>
      </c>
      <c r="L51" s="19">
        <v>4.0</v>
      </c>
      <c r="M51" s="19">
        <v>1.0</v>
      </c>
      <c r="N51" s="19">
        <v>3.0</v>
      </c>
      <c r="O51" s="19">
        <v>8.0</v>
      </c>
      <c r="P51" s="19">
        <v>3.0</v>
      </c>
      <c r="Q51" s="13">
        <f t="shared" si="8"/>
        <v>45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10.0</v>
      </c>
      <c r="F52" s="19">
        <v>3.0</v>
      </c>
      <c r="G52" s="19">
        <v>3.0</v>
      </c>
      <c r="H52" s="19">
        <v>3.0</v>
      </c>
      <c r="I52" s="19">
        <v>1.0</v>
      </c>
      <c r="J52" s="19">
        <v>3.0</v>
      </c>
      <c r="K52" s="19">
        <v>3.0</v>
      </c>
      <c r="L52" s="19">
        <v>5.0</v>
      </c>
      <c r="M52" s="19">
        <v>4.0</v>
      </c>
      <c r="N52" s="19">
        <v>0.0</v>
      </c>
      <c r="O52" s="19">
        <v>1.0</v>
      </c>
      <c r="P52" s="19">
        <v>2.0</v>
      </c>
      <c r="Q52" s="13">
        <f t="shared" si="8"/>
        <v>38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1.0</v>
      </c>
      <c r="G53" s="19">
        <v>0.0</v>
      </c>
      <c r="H53" s="19">
        <v>3.0</v>
      </c>
      <c r="I53" s="19">
        <v>1.0</v>
      </c>
      <c r="J53" s="19">
        <v>2.0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3">
        <f t="shared" si="8"/>
        <v>8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19.0</v>
      </c>
      <c r="F54" s="19">
        <v>22.0</v>
      </c>
      <c r="G54" s="19">
        <v>13.0</v>
      </c>
      <c r="H54" s="19">
        <v>39.0</v>
      </c>
      <c r="I54" s="19">
        <v>41.0</v>
      </c>
      <c r="J54" s="19">
        <v>38.0</v>
      </c>
      <c r="K54" s="19">
        <v>25.0</v>
      </c>
      <c r="L54" s="19">
        <v>10.0</v>
      </c>
      <c r="M54" s="19">
        <v>14.0</v>
      </c>
      <c r="N54" s="19">
        <v>15.0</v>
      </c>
      <c r="O54" s="19">
        <v>32.0</v>
      </c>
      <c r="P54" s="19">
        <v>29.0</v>
      </c>
      <c r="Q54" s="13">
        <f t="shared" si="8"/>
        <v>297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0.0</v>
      </c>
      <c r="F55" s="19">
        <v>2.0</v>
      </c>
      <c r="G55" s="19">
        <v>0.0</v>
      </c>
      <c r="H55" s="19">
        <v>2.0</v>
      </c>
      <c r="I55" s="19">
        <v>1.0</v>
      </c>
      <c r="J55" s="19">
        <v>1.0</v>
      </c>
      <c r="K55" s="19">
        <v>1.0</v>
      </c>
      <c r="L55" s="19">
        <v>1.0</v>
      </c>
      <c r="M55" s="19">
        <v>2.0</v>
      </c>
      <c r="N55" s="19">
        <v>0.0</v>
      </c>
      <c r="O55" s="19">
        <v>2.0</v>
      </c>
      <c r="P55" s="19">
        <v>2.0</v>
      </c>
      <c r="Q55" s="13">
        <f t="shared" si="8"/>
        <v>14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23.0</v>
      </c>
      <c r="F56" s="19">
        <v>19.0</v>
      </c>
      <c r="G56" s="19">
        <v>22.0</v>
      </c>
      <c r="H56" s="19">
        <v>30.0</v>
      </c>
      <c r="I56" s="19">
        <v>34.0</v>
      </c>
      <c r="J56" s="19">
        <v>43.0</v>
      </c>
      <c r="K56" s="19">
        <v>24.0</v>
      </c>
      <c r="L56" s="19">
        <v>20.0</v>
      </c>
      <c r="M56" s="19">
        <v>11.0</v>
      </c>
      <c r="N56" s="19">
        <v>12.0</v>
      </c>
      <c r="O56" s="19">
        <v>29.0</v>
      </c>
      <c r="P56" s="19">
        <v>35.0</v>
      </c>
      <c r="Q56" s="13">
        <f t="shared" si="8"/>
        <v>302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2.0</v>
      </c>
      <c r="G57" s="19">
        <v>4.0</v>
      </c>
      <c r="H57" s="19">
        <v>5.0</v>
      </c>
      <c r="I57" s="19">
        <v>1.0</v>
      </c>
      <c r="J57" s="19">
        <v>1.0</v>
      </c>
      <c r="K57" s="19">
        <v>2.0</v>
      </c>
      <c r="L57" s="19">
        <v>0.0</v>
      </c>
      <c r="M57" s="19">
        <v>0.0</v>
      </c>
      <c r="N57" s="19">
        <v>2.0</v>
      </c>
      <c r="O57" s="19">
        <v>4.0</v>
      </c>
      <c r="P57" s="19">
        <v>3.0</v>
      </c>
      <c r="Q57" s="13">
        <f t="shared" si="8"/>
        <v>25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P60" si="9">SUM(E45:E57)</f>
        <v>182</v>
      </c>
      <c r="F60" s="19">
        <f t="shared" si="9"/>
        <v>204</v>
      </c>
      <c r="G60" s="19">
        <f t="shared" si="9"/>
        <v>190</v>
      </c>
      <c r="H60" s="19">
        <f t="shared" si="9"/>
        <v>196</v>
      </c>
      <c r="I60" s="19">
        <f t="shared" si="9"/>
        <v>219</v>
      </c>
      <c r="J60" s="19">
        <f t="shared" si="9"/>
        <v>213</v>
      </c>
      <c r="K60" s="19">
        <f t="shared" si="9"/>
        <v>194</v>
      </c>
      <c r="L60" s="19">
        <f t="shared" si="9"/>
        <v>176</v>
      </c>
      <c r="M60" s="19">
        <f t="shared" si="9"/>
        <v>128</v>
      </c>
      <c r="N60" s="19">
        <f t="shared" si="9"/>
        <v>147</v>
      </c>
      <c r="O60" s="19">
        <f t="shared" si="9"/>
        <v>214</v>
      </c>
      <c r="P60" s="19">
        <f t="shared" si="9"/>
        <v>197</v>
      </c>
      <c r="Q60" s="13">
        <f t="shared" ref="Q60:Q62" si="10">SUM(E60:P60)</f>
        <v>2260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14.0</v>
      </c>
      <c r="F61" s="19">
        <v>25.0</v>
      </c>
      <c r="G61" s="19">
        <v>36.0</v>
      </c>
      <c r="H61" s="19">
        <v>44.0</v>
      </c>
      <c r="I61" s="19">
        <v>27.0</v>
      </c>
      <c r="J61" s="19">
        <v>21.0</v>
      </c>
      <c r="K61" s="19">
        <v>6.0</v>
      </c>
      <c r="L61" s="19">
        <v>16.0</v>
      </c>
      <c r="M61" s="19">
        <v>21.0</v>
      </c>
      <c r="N61" s="19">
        <v>54.0</v>
      </c>
      <c r="O61" s="19">
        <v>29.0</v>
      </c>
      <c r="P61" s="19">
        <v>39.0</v>
      </c>
      <c r="Q61" s="13">
        <f t="shared" si="10"/>
        <v>332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P62" si="11">SUM(E60:E61)</f>
        <v>196</v>
      </c>
      <c r="F62" s="13">
        <f t="shared" si="11"/>
        <v>229</v>
      </c>
      <c r="G62" s="13">
        <f t="shared" si="11"/>
        <v>226</v>
      </c>
      <c r="H62" s="13">
        <f t="shared" si="11"/>
        <v>240</v>
      </c>
      <c r="I62" s="13">
        <f t="shared" si="11"/>
        <v>246</v>
      </c>
      <c r="J62" s="13">
        <f t="shared" si="11"/>
        <v>234</v>
      </c>
      <c r="K62" s="13">
        <f t="shared" si="11"/>
        <v>200</v>
      </c>
      <c r="L62" s="13">
        <f t="shared" si="11"/>
        <v>192</v>
      </c>
      <c r="M62" s="13">
        <f t="shared" si="11"/>
        <v>149</v>
      </c>
      <c r="N62" s="13">
        <f t="shared" si="11"/>
        <v>201</v>
      </c>
      <c r="O62" s="13">
        <f t="shared" si="11"/>
        <v>243</v>
      </c>
      <c r="P62" s="13">
        <f t="shared" si="11"/>
        <v>236</v>
      </c>
      <c r="Q62" s="13">
        <f t="shared" si="10"/>
        <v>2592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P34">
    <cfRule type="expression" dxfId="0" priority="1">
      <formula>E34&lt;&gt;#REF!</formula>
    </cfRule>
  </conditionalFormatting>
  <conditionalFormatting sqref="E14:P15 E45:P57">
    <cfRule type="containsBlanks" dxfId="1" priority="2">
      <formula>LEN(TRIM(E14))=0</formula>
    </cfRule>
  </conditionalFormatting>
  <conditionalFormatting sqref="E19:P20">
    <cfRule type="containsBlanks" dxfId="1" priority="3">
      <formula>LEN(TRIM(E19))=0</formula>
    </cfRule>
  </conditionalFormatting>
  <conditionalFormatting sqref="E22:P23 E25:P26 E33:P33 E35:P35 E39:P40">
    <cfRule type="containsBlanks" dxfId="1" priority="4">
      <formula>LEN(TRIM(E22))=0</formula>
    </cfRule>
  </conditionalFormatting>
  <conditionalFormatting sqref="E30:P30">
    <cfRule type="expression" dxfId="0" priority="5">
      <formula>E30&lt;&gt;E46</formula>
    </cfRule>
  </conditionalFormatting>
  <conditionalFormatting sqref="E30:P30">
    <cfRule type="expression" dxfId="0" priority="6">
      <formula>E30&lt;&gt;E34</formula>
    </cfRule>
  </conditionalFormatting>
  <conditionalFormatting sqref="E34:P34">
    <cfRule type="expression" dxfId="2" priority="7">
      <formula>E30&lt;&gt;E34</formula>
    </cfRule>
  </conditionalFormatting>
  <conditionalFormatting sqref="E34:P34">
    <cfRule type="expression" dxfId="3" priority="8">
      <formula>E30=E34</formula>
    </cfRule>
  </conditionalFormatting>
  <conditionalFormatting sqref="E34:P34">
    <cfRule type="expression" dxfId="0" priority="9">
      <formula>E34&lt;&gt;E30</formula>
    </cfRule>
  </conditionalFormatting>
  <conditionalFormatting sqref="E60:P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112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141.0</v>
      </c>
      <c r="G14" s="19">
        <v>138.0</v>
      </c>
      <c r="H14" s="19">
        <v>130.0</v>
      </c>
      <c r="I14" s="19">
        <v>137.0</v>
      </c>
      <c r="J14" s="19">
        <v>101.0</v>
      </c>
      <c r="K14" s="19">
        <v>144.0</v>
      </c>
      <c r="L14" s="19">
        <v>119.0</v>
      </c>
      <c r="M14" s="19">
        <v>133.0</v>
      </c>
      <c r="N14" s="19">
        <v>116.0</v>
      </c>
      <c r="O14" s="19">
        <v>121.0</v>
      </c>
      <c r="P14" s="19">
        <v>145.0</v>
      </c>
      <c r="Q14" s="19">
        <v>148.0</v>
      </c>
      <c r="R14" s="19">
        <v>147.0</v>
      </c>
      <c r="S14" s="19">
        <v>130.0</v>
      </c>
      <c r="T14" s="19">
        <v>136.0</v>
      </c>
      <c r="U14" s="19">
        <v>150.0</v>
      </c>
      <c r="V14" s="19">
        <v>157.0</v>
      </c>
      <c r="W14" s="19">
        <v>148.0</v>
      </c>
      <c r="X14" s="19">
        <v>143.0</v>
      </c>
      <c r="Y14" s="19">
        <v>152.0</v>
      </c>
      <c r="Z14" s="19">
        <v>138.0</v>
      </c>
      <c r="AA14" s="19">
        <v>120.0</v>
      </c>
      <c r="AB14" s="19">
        <v>109.0</v>
      </c>
      <c r="AC14" s="19">
        <v>130.0</v>
      </c>
      <c r="AD14" s="19">
        <v>107.0</v>
      </c>
      <c r="AE14" s="13">
        <f t="shared" ref="AE14:AE16" si="1">SUM(E14:AD14)</f>
        <v>3468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137.0</v>
      </c>
      <c r="G15" s="19">
        <v>148.0</v>
      </c>
      <c r="H15" s="19">
        <v>121.0</v>
      </c>
      <c r="I15" s="19">
        <v>128.0</v>
      </c>
      <c r="J15" s="19">
        <v>105.0</v>
      </c>
      <c r="K15" s="19">
        <v>140.0</v>
      </c>
      <c r="L15" s="19">
        <v>128.0</v>
      </c>
      <c r="M15" s="19">
        <v>134.0</v>
      </c>
      <c r="N15" s="19">
        <v>125.0</v>
      </c>
      <c r="O15" s="19">
        <v>122.0</v>
      </c>
      <c r="P15" s="19">
        <v>133.0</v>
      </c>
      <c r="Q15" s="19">
        <v>150.0</v>
      </c>
      <c r="R15" s="19">
        <v>145.0</v>
      </c>
      <c r="S15" s="19">
        <v>134.0</v>
      </c>
      <c r="T15" s="19">
        <v>141.0</v>
      </c>
      <c r="U15" s="19">
        <v>134.0</v>
      </c>
      <c r="V15" s="19">
        <v>141.0</v>
      </c>
      <c r="W15" s="19">
        <v>143.0</v>
      </c>
      <c r="X15" s="19">
        <v>151.0</v>
      </c>
      <c r="Y15" s="19">
        <v>143.0</v>
      </c>
      <c r="Z15" s="19">
        <v>150.0</v>
      </c>
      <c r="AA15" s="19">
        <v>128.0</v>
      </c>
      <c r="AB15" s="19">
        <v>109.0</v>
      </c>
      <c r="AC15" s="19">
        <v>139.0</v>
      </c>
      <c r="AD15" s="19">
        <v>119.0</v>
      </c>
      <c r="AE15" s="13">
        <f t="shared" si="1"/>
        <v>3478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258</v>
      </c>
      <c r="F16" s="13">
        <f t="shared" si="2"/>
        <v>278</v>
      </c>
      <c r="G16" s="13">
        <f t="shared" si="2"/>
        <v>286</v>
      </c>
      <c r="H16" s="13">
        <f t="shared" si="2"/>
        <v>251</v>
      </c>
      <c r="I16" s="13">
        <f t="shared" si="2"/>
        <v>265</v>
      </c>
      <c r="J16" s="13">
        <f t="shared" si="2"/>
        <v>206</v>
      </c>
      <c r="K16" s="13">
        <f t="shared" si="2"/>
        <v>284</v>
      </c>
      <c r="L16" s="13">
        <f t="shared" si="2"/>
        <v>247</v>
      </c>
      <c r="M16" s="13">
        <f t="shared" si="2"/>
        <v>267</v>
      </c>
      <c r="N16" s="13">
        <f t="shared" si="2"/>
        <v>241</v>
      </c>
      <c r="O16" s="13">
        <f t="shared" si="2"/>
        <v>243</v>
      </c>
      <c r="P16" s="13">
        <f t="shared" si="2"/>
        <v>278</v>
      </c>
      <c r="Q16" s="13">
        <f t="shared" si="2"/>
        <v>298</v>
      </c>
      <c r="R16" s="13">
        <f t="shared" si="2"/>
        <v>292</v>
      </c>
      <c r="S16" s="13">
        <f t="shared" si="2"/>
        <v>264</v>
      </c>
      <c r="T16" s="13">
        <f t="shared" si="2"/>
        <v>277</v>
      </c>
      <c r="U16" s="13">
        <f t="shared" si="2"/>
        <v>284</v>
      </c>
      <c r="V16" s="13">
        <f t="shared" si="2"/>
        <v>298</v>
      </c>
      <c r="W16" s="13">
        <f t="shared" si="2"/>
        <v>291</v>
      </c>
      <c r="X16" s="13">
        <f t="shared" si="2"/>
        <v>294</v>
      </c>
      <c r="Y16" s="13">
        <f t="shared" si="2"/>
        <v>295</v>
      </c>
      <c r="Z16" s="13">
        <f t="shared" si="2"/>
        <v>288</v>
      </c>
      <c r="AA16" s="13">
        <f t="shared" si="2"/>
        <v>248</v>
      </c>
      <c r="AB16" s="13">
        <f t="shared" si="2"/>
        <v>218</v>
      </c>
      <c r="AC16" s="13">
        <f t="shared" si="2"/>
        <v>269</v>
      </c>
      <c r="AD16" s="13">
        <f t="shared" si="2"/>
        <v>226</v>
      </c>
      <c r="AE16" s="13">
        <f t="shared" si="1"/>
        <v>6946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106.0</v>
      </c>
      <c r="G19" s="19">
        <v>117.0</v>
      </c>
      <c r="H19" s="19">
        <v>94.0</v>
      </c>
      <c r="I19" s="19">
        <v>103.0</v>
      </c>
      <c r="J19" s="19">
        <v>80.0</v>
      </c>
      <c r="K19" s="19">
        <v>116.0</v>
      </c>
      <c r="L19" s="19">
        <v>89.0</v>
      </c>
      <c r="M19" s="19">
        <v>90.0</v>
      </c>
      <c r="N19" s="19">
        <v>93.0</v>
      </c>
      <c r="O19" s="19">
        <v>93.0</v>
      </c>
      <c r="P19" s="19">
        <v>109.0</v>
      </c>
      <c r="Q19" s="19">
        <v>114.0</v>
      </c>
      <c r="R19" s="19">
        <v>118.0</v>
      </c>
      <c r="S19" s="19">
        <v>96.0</v>
      </c>
      <c r="T19" s="19">
        <v>102.0</v>
      </c>
      <c r="U19" s="19">
        <v>106.0</v>
      </c>
      <c r="V19" s="19">
        <v>125.0</v>
      </c>
      <c r="W19" s="19">
        <v>119.0</v>
      </c>
      <c r="X19" s="19">
        <v>113.0</v>
      </c>
      <c r="Y19" s="19">
        <v>112.0</v>
      </c>
      <c r="Z19" s="19">
        <v>96.0</v>
      </c>
      <c r="AA19" s="19">
        <v>91.0</v>
      </c>
      <c r="AB19" s="19">
        <v>88.0</v>
      </c>
      <c r="AC19" s="19">
        <v>107.0</v>
      </c>
      <c r="AD19" s="19">
        <v>84.0</v>
      </c>
      <c r="AE19" s="13">
        <f t="shared" ref="AE19:AE30" si="3">SUM(E19:AD19)</f>
        <v>2661</v>
      </c>
    </row>
    <row r="20" ht="12.75" customHeight="1">
      <c r="A20" s="33"/>
      <c r="B20" s="27"/>
      <c r="C20" s="34"/>
      <c r="D20" s="19" t="s">
        <v>13</v>
      </c>
      <c r="E20" s="19">
        <v>108.0</v>
      </c>
      <c r="F20" s="19">
        <v>106.0</v>
      </c>
      <c r="G20" s="19">
        <v>117.0</v>
      </c>
      <c r="H20" s="19">
        <v>98.0</v>
      </c>
      <c r="I20" s="19">
        <v>105.0</v>
      </c>
      <c r="J20" s="19">
        <v>85.0</v>
      </c>
      <c r="K20" s="19">
        <v>119.0</v>
      </c>
      <c r="L20" s="19">
        <v>107.0</v>
      </c>
      <c r="M20" s="19">
        <v>110.0</v>
      </c>
      <c r="N20" s="19">
        <v>98.0</v>
      </c>
      <c r="O20" s="19">
        <v>100.0</v>
      </c>
      <c r="P20" s="19">
        <v>102.0</v>
      </c>
      <c r="Q20" s="19">
        <v>126.0</v>
      </c>
      <c r="R20" s="19">
        <v>114.0</v>
      </c>
      <c r="S20" s="19">
        <v>106.0</v>
      </c>
      <c r="T20" s="19">
        <v>106.0</v>
      </c>
      <c r="U20" s="19">
        <v>116.0</v>
      </c>
      <c r="V20" s="19">
        <v>110.0</v>
      </c>
      <c r="W20" s="19">
        <v>113.0</v>
      </c>
      <c r="X20" s="19">
        <v>107.0</v>
      </c>
      <c r="Y20" s="19">
        <v>101.0</v>
      </c>
      <c r="Z20" s="19">
        <v>113.0</v>
      </c>
      <c r="AA20" s="19">
        <v>97.0</v>
      </c>
      <c r="AB20" s="19">
        <v>87.0</v>
      </c>
      <c r="AC20" s="19">
        <v>112.0</v>
      </c>
      <c r="AD20" s="19">
        <v>96.0</v>
      </c>
      <c r="AE20" s="13">
        <f t="shared" si="3"/>
        <v>2759</v>
      </c>
    </row>
    <row r="21" ht="12.75" customHeight="1">
      <c r="A21" s="35"/>
      <c r="B21" s="28"/>
      <c r="C21" s="36"/>
      <c r="D21" s="13" t="s">
        <v>14</v>
      </c>
      <c r="E21" s="13">
        <v>208.0</v>
      </c>
      <c r="F21" s="13">
        <v>212.0</v>
      </c>
      <c r="G21" s="13">
        <v>234.0</v>
      </c>
      <c r="H21" s="13">
        <v>192.0</v>
      </c>
      <c r="I21" s="13">
        <v>208.0</v>
      </c>
      <c r="J21" s="13">
        <v>165.0</v>
      </c>
      <c r="K21" s="13">
        <v>235.0</v>
      </c>
      <c r="L21" s="13">
        <v>196.0</v>
      </c>
      <c r="M21" s="13">
        <v>200.0</v>
      </c>
      <c r="N21" s="13">
        <v>191.0</v>
      </c>
      <c r="O21" s="13">
        <v>193.0</v>
      </c>
      <c r="P21" s="13">
        <v>211.0</v>
      </c>
      <c r="Q21" s="13">
        <v>240.0</v>
      </c>
      <c r="R21" s="13">
        <v>232.0</v>
      </c>
      <c r="S21" s="13">
        <v>202.0</v>
      </c>
      <c r="T21" s="13">
        <f t="shared" ref="T21:AD21" si="4">SUM(T19:T20)</f>
        <v>208</v>
      </c>
      <c r="U21" s="13">
        <f t="shared" si="4"/>
        <v>222</v>
      </c>
      <c r="V21" s="13">
        <f t="shared" si="4"/>
        <v>235</v>
      </c>
      <c r="W21" s="13">
        <f t="shared" si="4"/>
        <v>232</v>
      </c>
      <c r="X21" s="13">
        <f t="shared" si="4"/>
        <v>220</v>
      </c>
      <c r="Y21" s="13">
        <f t="shared" si="4"/>
        <v>213</v>
      </c>
      <c r="Z21" s="13">
        <f t="shared" si="4"/>
        <v>209</v>
      </c>
      <c r="AA21" s="13">
        <f t="shared" si="4"/>
        <v>188</v>
      </c>
      <c r="AB21" s="13">
        <f t="shared" si="4"/>
        <v>175</v>
      </c>
      <c r="AC21" s="13">
        <f t="shared" si="4"/>
        <v>219</v>
      </c>
      <c r="AD21" s="13">
        <f t="shared" si="4"/>
        <v>180</v>
      </c>
      <c r="AE21" s="13">
        <f t="shared" si="3"/>
        <v>5420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1.0</v>
      </c>
      <c r="T22" s="19">
        <v>0.0</v>
      </c>
      <c r="U22" s="19">
        <v>2.0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1.0</v>
      </c>
      <c r="O23" s="19">
        <v>1.0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1.0</v>
      </c>
      <c r="W23" s="19">
        <v>1.0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1.0</v>
      </c>
      <c r="K24" s="13">
        <v>2.0</v>
      </c>
      <c r="L24" s="13">
        <v>0.0</v>
      </c>
      <c r="M24" s="13">
        <v>0.0</v>
      </c>
      <c r="N24" s="13">
        <v>1.0</v>
      </c>
      <c r="O24" s="13">
        <v>1.0</v>
      </c>
      <c r="P24" s="13">
        <v>0.0</v>
      </c>
      <c r="Q24" s="13">
        <v>0.0</v>
      </c>
      <c r="R24" s="13">
        <v>2.0</v>
      </c>
      <c r="S24" s="13">
        <v>1.0</v>
      </c>
      <c r="T24" s="13">
        <f t="shared" ref="T24:AD24" si="5">SUM(T22:T23)</f>
        <v>0</v>
      </c>
      <c r="U24" s="13">
        <f t="shared" si="5"/>
        <v>2</v>
      </c>
      <c r="V24" s="13">
        <f t="shared" si="5"/>
        <v>1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4.0</v>
      </c>
      <c r="N25" s="19">
        <v>1.0</v>
      </c>
      <c r="O25" s="19">
        <v>0.0</v>
      </c>
      <c r="P25" s="19">
        <v>1.0</v>
      </c>
      <c r="Q25" s="19">
        <v>0.0</v>
      </c>
      <c r="R25" s="19">
        <v>2.0</v>
      </c>
      <c r="S25" s="19">
        <v>2.0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2.0</v>
      </c>
      <c r="AA25" s="19">
        <v>0.0</v>
      </c>
      <c r="AB25" s="19">
        <v>0.0</v>
      </c>
      <c r="AC25" s="19">
        <v>1.0</v>
      </c>
      <c r="AD25" s="19">
        <v>0.0</v>
      </c>
      <c r="AE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1.0</v>
      </c>
      <c r="H26" s="19">
        <v>0.0</v>
      </c>
      <c r="I26" s="19">
        <v>2.0</v>
      </c>
      <c r="J26" s="19">
        <v>0.0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0.0</v>
      </c>
      <c r="Q26" s="19">
        <v>0.0</v>
      </c>
      <c r="R26" s="19">
        <v>0.0</v>
      </c>
      <c r="S26" s="19">
        <v>4.0</v>
      </c>
      <c r="T26" s="19">
        <v>1.0</v>
      </c>
      <c r="U26" s="19">
        <v>0.0</v>
      </c>
      <c r="V26" s="19">
        <v>1.0</v>
      </c>
      <c r="W26" s="19">
        <v>0.0</v>
      </c>
      <c r="X26" s="19">
        <v>0.0</v>
      </c>
      <c r="Y26" s="19">
        <v>1.0</v>
      </c>
      <c r="Z26" s="19">
        <v>2.0</v>
      </c>
      <c r="AA26" s="19">
        <v>0.0</v>
      </c>
      <c r="AB26" s="19">
        <v>0.0</v>
      </c>
      <c r="AC26" s="19">
        <v>0.0</v>
      </c>
      <c r="AD26" s="19">
        <v>1.0</v>
      </c>
      <c r="AE26" s="13">
        <f t="shared" si="3"/>
        <v>17</v>
      </c>
    </row>
    <row r="27" ht="12.75" customHeight="1">
      <c r="A27" s="35"/>
      <c r="B27" s="28"/>
      <c r="C27" s="36"/>
      <c r="D27" s="13" t="s">
        <v>14</v>
      </c>
      <c r="E27" s="13">
        <v>2.0</v>
      </c>
      <c r="F27" s="13">
        <v>2.0</v>
      </c>
      <c r="G27" s="13">
        <v>2.0</v>
      </c>
      <c r="H27" s="13">
        <v>0.0</v>
      </c>
      <c r="I27" s="13">
        <v>3.0</v>
      </c>
      <c r="J27" s="13">
        <v>0.0</v>
      </c>
      <c r="K27" s="13">
        <v>0.0</v>
      </c>
      <c r="L27" s="13">
        <v>0.0</v>
      </c>
      <c r="M27" s="13">
        <v>5.0</v>
      </c>
      <c r="N27" s="13">
        <v>1.0</v>
      </c>
      <c r="O27" s="13">
        <v>1.0</v>
      </c>
      <c r="P27" s="13">
        <v>1.0</v>
      </c>
      <c r="Q27" s="13">
        <v>0.0</v>
      </c>
      <c r="R27" s="13">
        <v>2.0</v>
      </c>
      <c r="S27" s="13">
        <v>6.0</v>
      </c>
      <c r="T27" s="13">
        <f t="shared" ref="T27:AD27" si="6">SUM(T25:T26)</f>
        <v>1</v>
      </c>
      <c r="U27" s="13">
        <f t="shared" si="6"/>
        <v>0</v>
      </c>
      <c r="V27" s="13">
        <f t="shared" si="6"/>
        <v>1</v>
      </c>
      <c r="W27" s="13">
        <f t="shared" si="6"/>
        <v>1</v>
      </c>
      <c r="X27" s="13">
        <f t="shared" si="6"/>
        <v>0</v>
      </c>
      <c r="Y27" s="13">
        <f t="shared" si="6"/>
        <v>1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1</v>
      </c>
      <c r="AE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101.0</v>
      </c>
      <c r="F28" s="13">
        <v>107.0</v>
      </c>
      <c r="G28" s="13">
        <v>118.0</v>
      </c>
      <c r="H28" s="13">
        <v>94.0</v>
      </c>
      <c r="I28" s="13">
        <v>104.0</v>
      </c>
      <c r="J28" s="13">
        <v>81.0</v>
      </c>
      <c r="K28" s="13">
        <v>117.0</v>
      </c>
      <c r="L28" s="13">
        <v>89.0</v>
      </c>
      <c r="M28" s="13">
        <v>94.0</v>
      </c>
      <c r="N28" s="13">
        <v>94.0</v>
      </c>
      <c r="O28" s="13">
        <v>93.0</v>
      </c>
      <c r="P28" s="13">
        <v>110.0</v>
      </c>
      <c r="Q28" s="13">
        <v>114.0</v>
      </c>
      <c r="R28" s="13">
        <v>121.0</v>
      </c>
      <c r="S28" s="13">
        <v>99.0</v>
      </c>
      <c r="T28" s="13">
        <f t="shared" ref="T28:AD28" si="7">SUM(T19,T22,T25)</f>
        <v>102</v>
      </c>
      <c r="U28" s="13">
        <f t="shared" si="7"/>
        <v>108</v>
      </c>
      <c r="V28" s="13">
        <f t="shared" si="7"/>
        <v>125</v>
      </c>
      <c r="W28" s="13">
        <f t="shared" si="7"/>
        <v>120</v>
      </c>
      <c r="X28" s="13">
        <f t="shared" si="7"/>
        <v>113</v>
      </c>
      <c r="Y28" s="13">
        <f t="shared" si="7"/>
        <v>112</v>
      </c>
      <c r="Z28" s="13">
        <f t="shared" si="7"/>
        <v>98</v>
      </c>
      <c r="AA28" s="13">
        <f t="shared" si="7"/>
        <v>91</v>
      </c>
      <c r="AB28" s="13">
        <f t="shared" si="7"/>
        <v>88</v>
      </c>
      <c r="AC28" s="13">
        <f t="shared" si="7"/>
        <v>108</v>
      </c>
      <c r="AD28" s="13">
        <f t="shared" si="7"/>
        <v>84</v>
      </c>
      <c r="AE28" s="13">
        <f t="shared" si="3"/>
        <v>2685</v>
      </c>
    </row>
    <row r="29" ht="12.75" customHeight="1">
      <c r="A29" s="35"/>
      <c r="B29" s="27"/>
      <c r="C29" s="34"/>
      <c r="D29" s="13" t="s">
        <v>13</v>
      </c>
      <c r="E29" s="13">
        <v>109.0</v>
      </c>
      <c r="F29" s="13">
        <v>107.0</v>
      </c>
      <c r="G29" s="13">
        <v>118.0</v>
      </c>
      <c r="H29" s="13">
        <v>98.0</v>
      </c>
      <c r="I29" s="13">
        <v>107.0</v>
      </c>
      <c r="J29" s="13">
        <v>85.0</v>
      </c>
      <c r="K29" s="13">
        <v>120.0</v>
      </c>
      <c r="L29" s="13">
        <v>107.0</v>
      </c>
      <c r="M29" s="13">
        <v>111.0</v>
      </c>
      <c r="N29" s="13">
        <v>99.0</v>
      </c>
      <c r="O29" s="13">
        <v>102.0</v>
      </c>
      <c r="P29" s="13">
        <v>102.0</v>
      </c>
      <c r="Q29" s="13">
        <v>126.0</v>
      </c>
      <c r="R29" s="13">
        <v>115.0</v>
      </c>
      <c r="S29" s="13">
        <v>110.0</v>
      </c>
      <c r="T29" s="13">
        <f t="shared" ref="T29:AD29" si="8">SUM(T20,T23,T26)</f>
        <v>107</v>
      </c>
      <c r="U29" s="13">
        <f t="shared" si="8"/>
        <v>116</v>
      </c>
      <c r="V29" s="13">
        <f t="shared" si="8"/>
        <v>112</v>
      </c>
      <c r="W29" s="13">
        <f t="shared" si="8"/>
        <v>114</v>
      </c>
      <c r="X29" s="13">
        <f t="shared" si="8"/>
        <v>107</v>
      </c>
      <c r="Y29" s="13">
        <f t="shared" si="8"/>
        <v>102</v>
      </c>
      <c r="Z29" s="13">
        <f t="shared" si="8"/>
        <v>115</v>
      </c>
      <c r="AA29" s="13">
        <f t="shared" si="8"/>
        <v>97</v>
      </c>
      <c r="AB29" s="13">
        <f t="shared" si="8"/>
        <v>87</v>
      </c>
      <c r="AC29" s="13">
        <f t="shared" si="8"/>
        <v>112</v>
      </c>
      <c r="AD29" s="13">
        <f t="shared" si="8"/>
        <v>97</v>
      </c>
      <c r="AE29" s="13">
        <f t="shared" si="3"/>
        <v>2782</v>
      </c>
    </row>
    <row r="30" ht="12.75" customHeight="1">
      <c r="A30" s="35"/>
      <c r="B30" s="28"/>
      <c r="C30" s="36"/>
      <c r="D30" s="13" t="s">
        <v>14</v>
      </c>
      <c r="E30" s="13">
        <f t="shared" ref="E30:AD30" si="9">SUM(E28:E29)</f>
        <v>210</v>
      </c>
      <c r="F30" s="13">
        <f t="shared" si="9"/>
        <v>214</v>
      </c>
      <c r="G30" s="13">
        <f t="shared" si="9"/>
        <v>236</v>
      </c>
      <c r="H30" s="13">
        <f t="shared" si="9"/>
        <v>192</v>
      </c>
      <c r="I30" s="13">
        <f t="shared" si="9"/>
        <v>211</v>
      </c>
      <c r="J30" s="13">
        <f t="shared" si="9"/>
        <v>166</v>
      </c>
      <c r="K30" s="13">
        <f t="shared" si="9"/>
        <v>237</v>
      </c>
      <c r="L30" s="13">
        <f t="shared" si="9"/>
        <v>196</v>
      </c>
      <c r="M30" s="13">
        <f t="shared" si="9"/>
        <v>205</v>
      </c>
      <c r="N30" s="13">
        <f t="shared" si="9"/>
        <v>193</v>
      </c>
      <c r="O30" s="13">
        <f t="shared" si="9"/>
        <v>195</v>
      </c>
      <c r="P30" s="13">
        <f t="shared" si="9"/>
        <v>212</v>
      </c>
      <c r="Q30" s="13">
        <f t="shared" si="9"/>
        <v>240</v>
      </c>
      <c r="R30" s="13">
        <f t="shared" si="9"/>
        <v>236</v>
      </c>
      <c r="S30" s="13">
        <f t="shared" si="9"/>
        <v>209</v>
      </c>
      <c r="T30" s="13">
        <f t="shared" si="9"/>
        <v>209</v>
      </c>
      <c r="U30" s="13">
        <f t="shared" si="9"/>
        <v>224</v>
      </c>
      <c r="V30" s="13">
        <f t="shared" si="9"/>
        <v>237</v>
      </c>
      <c r="W30" s="13">
        <f t="shared" si="9"/>
        <v>234</v>
      </c>
      <c r="X30" s="13">
        <f t="shared" si="9"/>
        <v>220</v>
      </c>
      <c r="Y30" s="13">
        <f t="shared" si="9"/>
        <v>214</v>
      </c>
      <c r="Z30" s="13">
        <f t="shared" si="9"/>
        <v>213</v>
      </c>
      <c r="AA30" s="13">
        <f t="shared" si="9"/>
        <v>188</v>
      </c>
      <c r="AB30" s="13">
        <f t="shared" si="9"/>
        <v>175</v>
      </c>
      <c r="AC30" s="13">
        <f t="shared" si="9"/>
        <v>220</v>
      </c>
      <c r="AD30" s="13">
        <f t="shared" si="9"/>
        <v>181</v>
      </c>
      <c r="AE30" s="13">
        <f t="shared" si="3"/>
        <v>5467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59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284.0</v>
      </c>
      <c r="G33" s="19">
        <v>292.0</v>
      </c>
      <c r="H33" s="19">
        <v>259.0</v>
      </c>
      <c r="I33" s="19">
        <v>271.0</v>
      </c>
      <c r="J33" s="19">
        <v>211.0</v>
      </c>
      <c r="K33" s="19">
        <v>290.0</v>
      </c>
      <c r="L33" s="19">
        <v>252.0</v>
      </c>
      <c r="M33" s="19">
        <v>273.0</v>
      </c>
      <c r="N33" s="19">
        <v>246.0</v>
      </c>
      <c r="O33" s="19">
        <v>249.0</v>
      </c>
      <c r="P33" s="19">
        <v>284.0</v>
      </c>
      <c r="Q33" s="19">
        <v>305.0</v>
      </c>
      <c r="R33" s="19">
        <v>299.0</v>
      </c>
      <c r="S33" s="19">
        <v>270.0</v>
      </c>
      <c r="T33" s="19">
        <v>283.0</v>
      </c>
      <c r="U33" s="19">
        <v>290.0</v>
      </c>
      <c r="V33" s="19">
        <v>304.0</v>
      </c>
      <c r="W33" s="19">
        <v>297.0</v>
      </c>
      <c r="X33" s="19">
        <v>300.0</v>
      </c>
      <c r="Y33" s="19">
        <v>301.0</v>
      </c>
      <c r="Z33" s="19">
        <v>299.0</v>
      </c>
      <c r="AA33" s="19">
        <v>253.0</v>
      </c>
      <c r="AB33" s="19">
        <v>223.0</v>
      </c>
      <c r="AC33" s="19">
        <v>275.0</v>
      </c>
      <c r="AD33" s="19">
        <v>231.0</v>
      </c>
      <c r="AE33" s="13">
        <f t="shared" ref="AE33:AE36" si="10">SUM(E33:AD33)</f>
        <v>7102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214.0</v>
      </c>
      <c r="G34" s="13">
        <v>236.0</v>
      </c>
      <c r="H34" s="13">
        <v>192.0</v>
      </c>
      <c r="I34" s="13">
        <v>211.0</v>
      </c>
      <c r="J34" s="13">
        <v>166.0</v>
      </c>
      <c r="K34" s="13">
        <v>237.0</v>
      </c>
      <c r="L34" s="13">
        <v>196.0</v>
      </c>
      <c r="M34" s="13">
        <v>205.0</v>
      </c>
      <c r="N34" s="13">
        <v>193.0</v>
      </c>
      <c r="O34" s="13">
        <v>195.0</v>
      </c>
      <c r="P34" s="13">
        <v>212.0</v>
      </c>
      <c r="Q34" s="13">
        <v>240.0</v>
      </c>
      <c r="R34" s="13">
        <v>236.0</v>
      </c>
      <c r="S34" s="13">
        <v>209.0</v>
      </c>
      <c r="T34" s="13">
        <v>209.0</v>
      </c>
      <c r="U34" s="13">
        <v>224.0</v>
      </c>
      <c r="V34" s="13">
        <v>237.0</v>
      </c>
      <c r="W34" s="13">
        <v>234.0</v>
      </c>
      <c r="X34" s="13">
        <v>220.0</v>
      </c>
      <c r="Y34" s="13">
        <v>214.0</v>
      </c>
      <c r="Z34" s="13">
        <v>213.0</v>
      </c>
      <c r="AA34" s="13">
        <v>188.0</v>
      </c>
      <c r="AB34" s="13">
        <v>175.0</v>
      </c>
      <c r="AC34" s="13">
        <v>220.0</v>
      </c>
      <c r="AD34" s="13">
        <v>181.0</v>
      </c>
      <c r="AE34" s="13">
        <f t="shared" si="10"/>
        <v>5467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2.0</v>
      </c>
      <c r="O35" s="19">
        <v>0.0</v>
      </c>
      <c r="P35" s="19">
        <v>3.0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16.0</v>
      </c>
      <c r="Z35" s="19">
        <v>0.0</v>
      </c>
      <c r="AA35" s="19">
        <v>0.0</v>
      </c>
      <c r="AB35" s="19">
        <v>3.0</v>
      </c>
      <c r="AC35" s="19">
        <v>0.0</v>
      </c>
      <c r="AD35" s="19">
        <v>0.0</v>
      </c>
      <c r="AE35" s="13">
        <f t="shared" si="10"/>
        <v>25</v>
      </c>
    </row>
    <row r="36" ht="12.75" customHeight="1">
      <c r="A36" s="19">
        <v>4.0</v>
      </c>
      <c r="B36" s="20" t="s">
        <v>30</v>
      </c>
      <c r="C36" s="15"/>
      <c r="D36" s="16"/>
      <c r="E36" s="13">
        <v>51.0</v>
      </c>
      <c r="F36" s="13">
        <v>70.0</v>
      </c>
      <c r="G36" s="13">
        <v>56.0</v>
      </c>
      <c r="H36" s="13">
        <v>67.0</v>
      </c>
      <c r="I36" s="13">
        <v>60.0</v>
      </c>
      <c r="J36" s="13">
        <v>45.0</v>
      </c>
      <c r="K36" s="13">
        <v>52.0</v>
      </c>
      <c r="L36" s="13">
        <v>56.0</v>
      </c>
      <c r="M36" s="13">
        <v>68.0</v>
      </c>
      <c r="N36" s="13">
        <v>51.0</v>
      </c>
      <c r="O36" s="13">
        <v>54.0</v>
      </c>
      <c r="P36" s="13">
        <v>69.0</v>
      </c>
      <c r="Q36" s="13">
        <v>65.0</v>
      </c>
      <c r="R36" s="13">
        <v>63.0</v>
      </c>
      <c r="S36" s="13">
        <v>61.0</v>
      </c>
      <c r="T36" s="13">
        <f t="shared" ref="T36:AD36" si="11">T33-(T34+T35)</f>
        <v>74</v>
      </c>
      <c r="U36" s="13">
        <f t="shared" si="11"/>
        <v>66</v>
      </c>
      <c r="V36" s="13">
        <f t="shared" si="11"/>
        <v>67</v>
      </c>
      <c r="W36" s="13">
        <f t="shared" si="11"/>
        <v>63</v>
      </c>
      <c r="X36" s="13">
        <f t="shared" si="11"/>
        <v>80</v>
      </c>
      <c r="Y36" s="13">
        <f t="shared" si="11"/>
        <v>71</v>
      </c>
      <c r="Z36" s="13">
        <f t="shared" si="11"/>
        <v>86</v>
      </c>
      <c r="AA36" s="13">
        <f t="shared" si="11"/>
        <v>65</v>
      </c>
      <c r="AB36" s="13">
        <f t="shared" si="11"/>
        <v>45</v>
      </c>
      <c r="AC36" s="13">
        <f t="shared" si="11"/>
        <v>55</v>
      </c>
      <c r="AD36" s="13">
        <f t="shared" si="11"/>
        <v>50</v>
      </c>
      <c r="AE36" s="13">
        <f t="shared" si="10"/>
        <v>1610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5.0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3">
        <f t="shared" ref="AE39:AE41" si="12">SUM(E39:AD39)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4.0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D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9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9"/>
      <c r="AD42" s="58"/>
      <c r="AE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  <c r="AD43" s="60"/>
      <c r="AE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9"/>
      <c r="AD44" s="58"/>
      <c r="AE44" s="13"/>
    </row>
    <row r="45" ht="12.75" customHeight="1">
      <c r="A45" s="30"/>
      <c r="B45" s="47" t="s">
        <v>17</v>
      </c>
      <c r="C45" s="62" t="s">
        <v>38</v>
      </c>
      <c r="D45" s="16"/>
      <c r="E45" s="19">
        <v>19.0</v>
      </c>
      <c r="F45" s="19">
        <v>10.0</v>
      </c>
      <c r="G45" s="19">
        <v>13.0</v>
      </c>
      <c r="H45" s="19">
        <v>10.0</v>
      </c>
      <c r="I45" s="19">
        <v>12.0</v>
      </c>
      <c r="J45" s="19">
        <v>11.0</v>
      </c>
      <c r="K45" s="19">
        <v>17.0</v>
      </c>
      <c r="L45" s="19">
        <v>7.0</v>
      </c>
      <c r="M45" s="19">
        <v>24.0</v>
      </c>
      <c r="N45" s="19">
        <v>16.0</v>
      </c>
      <c r="O45" s="19">
        <v>18.0</v>
      </c>
      <c r="P45" s="19">
        <v>19.0</v>
      </c>
      <c r="Q45" s="19">
        <v>19.0</v>
      </c>
      <c r="R45" s="19">
        <v>23.0</v>
      </c>
      <c r="S45" s="19">
        <v>17.0</v>
      </c>
      <c r="T45" s="19">
        <v>16.0</v>
      </c>
      <c r="U45" s="19">
        <v>19.0</v>
      </c>
      <c r="V45" s="19">
        <v>14.0</v>
      </c>
      <c r="W45" s="19">
        <v>5.0</v>
      </c>
      <c r="X45" s="19">
        <v>14.0</v>
      </c>
      <c r="Y45" s="19">
        <v>9.0</v>
      </c>
      <c r="Z45" s="19">
        <v>12.0</v>
      </c>
      <c r="AA45" s="19">
        <v>15.0</v>
      </c>
      <c r="AB45" s="19">
        <v>7.0</v>
      </c>
      <c r="AC45" s="19">
        <v>17.0</v>
      </c>
      <c r="AD45" s="19">
        <v>9.0</v>
      </c>
      <c r="AE45" s="13">
        <v>24.0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31.0</v>
      </c>
      <c r="F46" s="19">
        <v>14.0</v>
      </c>
      <c r="G46" s="19">
        <v>31.0</v>
      </c>
      <c r="H46" s="19">
        <v>9.0</v>
      </c>
      <c r="I46" s="19">
        <v>18.0</v>
      </c>
      <c r="J46" s="19">
        <v>13.0</v>
      </c>
      <c r="K46" s="19">
        <v>61.0</v>
      </c>
      <c r="L46" s="19">
        <v>31.0</v>
      </c>
      <c r="M46" s="19">
        <v>27.0</v>
      </c>
      <c r="N46" s="19">
        <v>19.0</v>
      </c>
      <c r="O46" s="19">
        <v>19.0</v>
      </c>
      <c r="P46" s="19">
        <v>51.0</v>
      </c>
      <c r="Q46" s="19">
        <v>43.0</v>
      </c>
      <c r="R46" s="19">
        <v>26.0</v>
      </c>
      <c r="S46" s="19">
        <v>25.0</v>
      </c>
      <c r="T46" s="19">
        <v>30.0</v>
      </c>
      <c r="U46" s="19">
        <v>27.0</v>
      </c>
      <c r="V46" s="19">
        <v>34.0</v>
      </c>
      <c r="W46" s="19">
        <v>45.0</v>
      </c>
      <c r="X46" s="19">
        <v>30.0</v>
      </c>
      <c r="Y46" s="19">
        <v>23.0</v>
      </c>
      <c r="Z46" s="19">
        <v>28.0</v>
      </c>
      <c r="AA46" s="19">
        <v>27.0</v>
      </c>
      <c r="AB46" s="19">
        <v>22.0</v>
      </c>
      <c r="AC46" s="19">
        <v>30.0</v>
      </c>
      <c r="AD46" s="19">
        <v>28.0</v>
      </c>
      <c r="AE46" s="13">
        <v>32.0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21.0</v>
      </c>
      <c r="F47" s="19">
        <v>14.0</v>
      </c>
      <c r="G47" s="19">
        <v>15.0</v>
      </c>
      <c r="H47" s="19">
        <v>20.0</v>
      </c>
      <c r="I47" s="19">
        <v>13.0</v>
      </c>
      <c r="J47" s="19">
        <v>17.0</v>
      </c>
      <c r="K47" s="19">
        <v>12.0</v>
      </c>
      <c r="L47" s="19">
        <v>7.0</v>
      </c>
      <c r="M47" s="19">
        <v>18.0</v>
      </c>
      <c r="N47" s="19">
        <v>10.0</v>
      </c>
      <c r="O47" s="19">
        <v>11.0</v>
      </c>
      <c r="P47" s="19">
        <v>20.0</v>
      </c>
      <c r="Q47" s="19">
        <v>21.0</v>
      </c>
      <c r="R47" s="19">
        <v>19.0</v>
      </c>
      <c r="S47" s="19">
        <v>16.0</v>
      </c>
      <c r="T47" s="19">
        <v>16.0</v>
      </c>
      <c r="U47" s="19">
        <v>14.0</v>
      </c>
      <c r="V47" s="19">
        <v>12.0</v>
      </c>
      <c r="W47" s="19">
        <v>9.0</v>
      </c>
      <c r="X47" s="19">
        <v>7.0</v>
      </c>
      <c r="Y47" s="19">
        <v>23.0</v>
      </c>
      <c r="Z47" s="19">
        <v>15.0</v>
      </c>
      <c r="AA47" s="19">
        <v>9.0</v>
      </c>
      <c r="AB47" s="19">
        <v>17.0</v>
      </c>
      <c r="AC47" s="19">
        <v>18.0</v>
      </c>
      <c r="AD47" s="19">
        <v>8.0</v>
      </c>
      <c r="AE47" s="13">
        <v>15.0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24.0</v>
      </c>
      <c r="F48" s="19">
        <v>29.0</v>
      </c>
      <c r="G48" s="19">
        <v>27.0</v>
      </c>
      <c r="H48" s="19">
        <v>23.0</v>
      </c>
      <c r="I48" s="19">
        <v>24.0</v>
      </c>
      <c r="J48" s="19">
        <v>32.0</v>
      </c>
      <c r="K48" s="19">
        <v>30.0</v>
      </c>
      <c r="L48" s="19">
        <v>21.0</v>
      </c>
      <c r="M48" s="19">
        <v>23.0</v>
      </c>
      <c r="N48" s="19">
        <v>21.0</v>
      </c>
      <c r="O48" s="19">
        <v>21.0</v>
      </c>
      <c r="P48" s="19">
        <v>19.0</v>
      </c>
      <c r="Q48" s="19">
        <v>34.0</v>
      </c>
      <c r="R48" s="19">
        <v>25.0</v>
      </c>
      <c r="S48" s="19">
        <v>25.0</v>
      </c>
      <c r="T48" s="19">
        <v>22.0</v>
      </c>
      <c r="U48" s="19">
        <v>27.0</v>
      </c>
      <c r="V48" s="19">
        <v>34.0</v>
      </c>
      <c r="W48" s="19">
        <v>28.0</v>
      </c>
      <c r="X48" s="19">
        <v>33.0</v>
      </c>
      <c r="Y48" s="19">
        <v>25.0</v>
      </c>
      <c r="Z48" s="19">
        <v>32.0</v>
      </c>
      <c r="AA48" s="19">
        <v>22.0</v>
      </c>
      <c r="AB48" s="19">
        <v>26.0</v>
      </c>
      <c r="AC48" s="19">
        <v>27.0</v>
      </c>
      <c r="AD48" s="19">
        <v>16.0</v>
      </c>
      <c r="AE48" s="13">
        <v>21.0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15.0</v>
      </c>
      <c r="F49" s="19">
        <v>17.0</v>
      </c>
      <c r="G49" s="19">
        <v>18.0</v>
      </c>
      <c r="H49" s="19">
        <v>14.0</v>
      </c>
      <c r="I49" s="19">
        <v>20.0</v>
      </c>
      <c r="J49" s="19">
        <v>26.0</v>
      </c>
      <c r="K49" s="19">
        <v>22.0</v>
      </c>
      <c r="L49" s="19">
        <v>21.0</v>
      </c>
      <c r="M49" s="19">
        <v>15.0</v>
      </c>
      <c r="N49" s="19">
        <v>21.0</v>
      </c>
      <c r="O49" s="19">
        <v>17.0</v>
      </c>
      <c r="P49" s="19">
        <v>10.0</v>
      </c>
      <c r="Q49" s="19">
        <v>17.0</v>
      </c>
      <c r="R49" s="19">
        <v>26.0</v>
      </c>
      <c r="S49" s="19">
        <v>24.0</v>
      </c>
      <c r="T49" s="19">
        <v>18.0</v>
      </c>
      <c r="U49" s="19">
        <v>24.0</v>
      </c>
      <c r="V49" s="19">
        <v>12.0</v>
      </c>
      <c r="W49" s="19">
        <v>19.0</v>
      </c>
      <c r="X49" s="19">
        <v>10.0</v>
      </c>
      <c r="Y49" s="19">
        <v>14.0</v>
      </c>
      <c r="Z49" s="19">
        <v>11.0</v>
      </c>
      <c r="AA49" s="19">
        <v>16.0</v>
      </c>
      <c r="AB49" s="19">
        <v>5.0</v>
      </c>
      <c r="AC49" s="19">
        <v>11.0</v>
      </c>
      <c r="AD49" s="19">
        <v>39.0</v>
      </c>
      <c r="AE49" s="13">
        <v>31.0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10.0</v>
      </c>
      <c r="F50" s="19">
        <v>10.0</v>
      </c>
      <c r="G50" s="19">
        <v>8.0</v>
      </c>
      <c r="H50" s="19">
        <v>5.0</v>
      </c>
      <c r="I50" s="19">
        <v>15.0</v>
      </c>
      <c r="J50" s="19">
        <v>4.0</v>
      </c>
      <c r="K50" s="19">
        <v>7.0</v>
      </c>
      <c r="L50" s="19">
        <v>17.0</v>
      </c>
      <c r="M50" s="19">
        <v>14.0</v>
      </c>
      <c r="N50" s="19">
        <v>11.0</v>
      </c>
      <c r="O50" s="19">
        <v>11.0</v>
      </c>
      <c r="P50" s="19">
        <v>5.0</v>
      </c>
      <c r="Q50" s="19">
        <v>8.0</v>
      </c>
      <c r="R50" s="19">
        <v>15.0</v>
      </c>
      <c r="S50" s="19">
        <v>9.0</v>
      </c>
      <c r="T50" s="19">
        <v>24.0</v>
      </c>
      <c r="U50" s="19">
        <v>8.0</v>
      </c>
      <c r="V50" s="19">
        <v>5.0</v>
      </c>
      <c r="W50" s="19">
        <v>11.0</v>
      </c>
      <c r="X50" s="19">
        <v>11.0</v>
      </c>
      <c r="Y50" s="19">
        <v>5.0</v>
      </c>
      <c r="Z50" s="19">
        <v>9.0</v>
      </c>
      <c r="AA50" s="19">
        <v>20.0</v>
      </c>
      <c r="AB50" s="19">
        <v>3.0</v>
      </c>
      <c r="AC50" s="19">
        <v>11.0</v>
      </c>
      <c r="AD50" s="19">
        <v>8.0</v>
      </c>
      <c r="AE50" s="13">
        <v>11.0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3.0</v>
      </c>
      <c r="F51" s="19">
        <v>5.0</v>
      </c>
      <c r="G51" s="19">
        <v>3.0</v>
      </c>
      <c r="H51" s="19">
        <v>1.0</v>
      </c>
      <c r="I51" s="19">
        <v>3.0</v>
      </c>
      <c r="J51" s="19">
        <v>3.0</v>
      </c>
      <c r="K51" s="19">
        <v>7.0</v>
      </c>
      <c r="L51" s="19">
        <v>3.0</v>
      </c>
      <c r="M51" s="19">
        <v>0.0</v>
      </c>
      <c r="N51" s="19">
        <v>3.0</v>
      </c>
      <c r="O51" s="19">
        <v>2.0</v>
      </c>
      <c r="P51" s="19">
        <v>0.0</v>
      </c>
      <c r="Q51" s="19">
        <v>8.0</v>
      </c>
      <c r="R51" s="19">
        <v>3.0</v>
      </c>
      <c r="S51" s="19">
        <v>5.0</v>
      </c>
      <c r="T51" s="19">
        <v>1.0</v>
      </c>
      <c r="U51" s="19">
        <v>1.0</v>
      </c>
      <c r="V51" s="19">
        <v>4.0</v>
      </c>
      <c r="W51" s="19">
        <v>2.0</v>
      </c>
      <c r="X51" s="19">
        <v>2.0</v>
      </c>
      <c r="Y51" s="19">
        <v>2.0</v>
      </c>
      <c r="Z51" s="19">
        <v>4.0</v>
      </c>
      <c r="AA51" s="19">
        <v>1.0</v>
      </c>
      <c r="AB51" s="19">
        <v>0.0</v>
      </c>
      <c r="AC51" s="19">
        <v>4.0</v>
      </c>
      <c r="AD51" s="19">
        <v>1.0</v>
      </c>
      <c r="AE51" s="13">
        <v>1.0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4.0</v>
      </c>
      <c r="F52" s="19">
        <v>5.0</v>
      </c>
      <c r="G52" s="19">
        <v>7.0</v>
      </c>
      <c r="H52" s="19">
        <v>7.0</v>
      </c>
      <c r="I52" s="19">
        <v>5.0</v>
      </c>
      <c r="J52" s="19">
        <v>2.0</v>
      </c>
      <c r="K52" s="19">
        <v>5.0</v>
      </c>
      <c r="L52" s="19">
        <v>2.0</v>
      </c>
      <c r="M52" s="19">
        <v>1.0</v>
      </c>
      <c r="N52" s="19">
        <v>1.0</v>
      </c>
      <c r="O52" s="19">
        <v>5.0</v>
      </c>
      <c r="P52" s="19">
        <v>1.0</v>
      </c>
      <c r="Q52" s="19">
        <v>9.0</v>
      </c>
      <c r="R52" s="19">
        <v>5.0</v>
      </c>
      <c r="S52" s="19">
        <v>1.0</v>
      </c>
      <c r="T52" s="19">
        <v>3.0</v>
      </c>
      <c r="U52" s="19">
        <v>2.0</v>
      </c>
      <c r="V52" s="19">
        <v>1.0</v>
      </c>
      <c r="W52" s="19">
        <v>2.0</v>
      </c>
      <c r="X52" s="19">
        <v>3.0</v>
      </c>
      <c r="Y52" s="19">
        <v>7.0</v>
      </c>
      <c r="Z52" s="19">
        <v>0.0</v>
      </c>
      <c r="AA52" s="19">
        <v>0.0</v>
      </c>
      <c r="AB52" s="19">
        <v>3.0</v>
      </c>
      <c r="AC52" s="19">
        <v>3.0</v>
      </c>
      <c r="AD52" s="19">
        <v>1.0</v>
      </c>
      <c r="AE52" s="13">
        <v>3.0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0.0</v>
      </c>
      <c r="G53" s="19">
        <v>1.0</v>
      </c>
      <c r="H53" s="19">
        <v>1.0</v>
      </c>
      <c r="I53" s="19">
        <v>2.0</v>
      </c>
      <c r="J53" s="19">
        <v>1.0</v>
      </c>
      <c r="K53" s="19">
        <v>2.0</v>
      </c>
      <c r="L53" s="19">
        <v>6.0</v>
      </c>
      <c r="M53" s="19">
        <v>0.0</v>
      </c>
      <c r="N53" s="19">
        <v>1.0</v>
      </c>
      <c r="O53" s="19">
        <v>1.0</v>
      </c>
      <c r="P53" s="19">
        <v>0.0</v>
      </c>
      <c r="Q53" s="19">
        <v>2.0</v>
      </c>
      <c r="R53" s="19">
        <v>0.0</v>
      </c>
      <c r="S53" s="19">
        <v>1.0</v>
      </c>
      <c r="T53" s="19">
        <v>0.0</v>
      </c>
      <c r="U53" s="19">
        <v>1.0</v>
      </c>
      <c r="V53" s="19">
        <v>0.0</v>
      </c>
      <c r="W53" s="19">
        <v>1.0</v>
      </c>
      <c r="X53" s="19">
        <v>0.0</v>
      </c>
      <c r="Y53" s="19">
        <v>0.0</v>
      </c>
      <c r="Z53" s="19">
        <v>0.0</v>
      </c>
      <c r="AA53" s="19">
        <v>0.0</v>
      </c>
      <c r="AB53" s="19">
        <v>0.0</v>
      </c>
      <c r="AC53" s="19">
        <v>2.0</v>
      </c>
      <c r="AD53" s="19">
        <v>1.0</v>
      </c>
      <c r="AE53" s="13">
        <v>0.0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34.0</v>
      </c>
      <c r="F54" s="19">
        <v>37.0</v>
      </c>
      <c r="G54" s="19">
        <v>47.0</v>
      </c>
      <c r="H54" s="19">
        <v>27.0</v>
      </c>
      <c r="I54" s="19">
        <v>37.0</v>
      </c>
      <c r="J54" s="19">
        <v>26.0</v>
      </c>
      <c r="K54" s="19">
        <v>30.0</v>
      </c>
      <c r="L54" s="19">
        <v>29.0</v>
      </c>
      <c r="M54" s="19">
        <v>25.0</v>
      </c>
      <c r="N54" s="19">
        <v>31.0</v>
      </c>
      <c r="O54" s="19">
        <v>31.0</v>
      </c>
      <c r="P54" s="19">
        <v>26.0</v>
      </c>
      <c r="Q54" s="19">
        <v>24.0</v>
      </c>
      <c r="R54" s="19">
        <v>14.0</v>
      </c>
      <c r="S54" s="19">
        <v>26.0</v>
      </c>
      <c r="T54" s="19">
        <v>28.0</v>
      </c>
      <c r="U54" s="19">
        <v>35.0</v>
      </c>
      <c r="V54" s="19">
        <v>62.0</v>
      </c>
      <c r="W54" s="19">
        <v>34.0</v>
      </c>
      <c r="X54" s="19">
        <v>40.0</v>
      </c>
      <c r="Y54" s="19">
        <v>27.0</v>
      </c>
      <c r="Z54" s="19">
        <v>39.0</v>
      </c>
      <c r="AA54" s="19">
        <v>25.0</v>
      </c>
      <c r="AB54" s="19">
        <v>27.0</v>
      </c>
      <c r="AC54" s="19">
        <v>28.0</v>
      </c>
      <c r="AD54" s="19">
        <v>30.0</v>
      </c>
      <c r="AE54" s="13">
        <v>34.0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4.0</v>
      </c>
      <c r="F55" s="19">
        <v>3.0</v>
      </c>
      <c r="G55" s="19">
        <v>3.0</v>
      </c>
      <c r="H55" s="19">
        <v>2.0</v>
      </c>
      <c r="I55" s="19">
        <v>6.0</v>
      </c>
      <c r="J55" s="19">
        <v>1.0</v>
      </c>
      <c r="K55" s="19">
        <v>2.0</v>
      </c>
      <c r="L55" s="19">
        <v>2.0</v>
      </c>
      <c r="M55" s="19">
        <v>1.0</v>
      </c>
      <c r="N55" s="19">
        <v>1.0</v>
      </c>
      <c r="O55" s="19">
        <v>1.0</v>
      </c>
      <c r="P55" s="19">
        <v>1.0</v>
      </c>
      <c r="Q55" s="19">
        <v>0.0</v>
      </c>
      <c r="R55" s="19">
        <v>1.0</v>
      </c>
      <c r="S55" s="19">
        <v>1.0</v>
      </c>
      <c r="T55" s="19">
        <v>0.0</v>
      </c>
      <c r="U55" s="19">
        <v>0.0</v>
      </c>
      <c r="V55" s="19">
        <v>5.0</v>
      </c>
      <c r="W55" s="19">
        <v>0.0</v>
      </c>
      <c r="X55" s="19">
        <v>2.0</v>
      </c>
      <c r="Y55" s="19">
        <v>1.0</v>
      </c>
      <c r="Z55" s="19">
        <v>1.0</v>
      </c>
      <c r="AA55" s="19">
        <v>1.0</v>
      </c>
      <c r="AB55" s="19">
        <v>1.0</v>
      </c>
      <c r="AC55" s="19">
        <v>1.0</v>
      </c>
      <c r="AD55" s="19">
        <v>0.0</v>
      </c>
      <c r="AE55" s="13">
        <v>1.0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25.0</v>
      </c>
      <c r="F56" s="19">
        <v>45.0</v>
      </c>
      <c r="G56" s="19">
        <v>45.0</v>
      </c>
      <c r="H56" s="19">
        <v>27.0</v>
      </c>
      <c r="I56" s="19">
        <v>45.0</v>
      </c>
      <c r="J56" s="19">
        <v>23.0</v>
      </c>
      <c r="K56" s="19">
        <v>25.0</v>
      </c>
      <c r="L56" s="19">
        <v>32.0</v>
      </c>
      <c r="M56" s="19">
        <v>39.0</v>
      </c>
      <c r="N56" s="19">
        <v>36.0</v>
      </c>
      <c r="O56" s="19">
        <v>39.0</v>
      </c>
      <c r="P56" s="19">
        <v>27.0</v>
      </c>
      <c r="Q56" s="19">
        <v>23.0</v>
      </c>
      <c r="R56" s="19">
        <v>39.0</v>
      </c>
      <c r="S56" s="19">
        <v>33.0</v>
      </c>
      <c r="T56" s="19">
        <v>24.0</v>
      </c>
      <c r="U56" s="19">
        <v>32.0</v>
      </c>
      <c r="V56" s="19">
        <v>24.0</v>
      </c>
      <c r="W56" s="19">
        <v>37.0</v>
      </c>
      <c r="X56" s="19">
        <v>31.0</v>
      </c>
      <c r="Y56" s="19">
        <v>29.0</v>
      </c>
      <c r="Z56" s="19">
        <v>35.0</v>
      </c>
      <c r="AA56" s="19">
        <v>36.0</v>
      </c>
      <c r="AB56" s="19">
        <v>19.0</v>
      </c>
      <c r="AC56" s="19">
        <v>52.0</v>
      </c>
      <c r="AD56" s="19">
        <v>21.0</v>
      </c>
      <c r="AE56" s="13">
        <v>27.0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2.0</v>
      </c>
      <c r="F57" s="19">
        <v>3.0</v>
      </c>
      <c r="G57" s="19">
        <v>1.0</v>
      </c>
      <c r="H57" s="19">
        <v>2.0</v>
      </c>
      <c r="I57" s="19">
        <v>0.0</v>
      </c>
      <c r="J57" s="19">
        <v>1.0</v>
      </c>
      <c r="K57" s="19">
        <v>2.0</v>
      </c>
      <c r="L57" s="19">
        <v>1.0</v>
      </c>
      <c r="M57" s="19">
        <v>2.0</v>
      </c>
      <c r="N57" s="19">
        <v>0.0</v>
      </c>
      <c r="O57" s="19">
        <v>2.0</v>
      </c>
      <c r="P57" s="19">
        <v>3.0</v>
      </c>
      <c r="Q57" s="19">
        <v>1.0</v>
      </c>
      <c r="R57" s="19">
        <v>1.0</v>
      </c>
      <c r="S57" s="19">
        <v>1.0</v>
      </c>
      <c r="T57" s="19">
        <v>3.0</v>
      </c>
      <c r="U57" s="19">
        <v>3.0</v>
      </c>
      <c r="V57" s="19">
        <v>4.0</v>
      </c>
      <c r="W57" s="19">
        <v>3.0</v>
      </c>
      <c r="X57" s="19">
        <v>2.0</v>
      </c>
      <c r="Y57" s="19">
        <v>5.0</v>
      </c>
      <c r="Z57" s="19">
        <v>1.0</v>
      </c>
      <c r="AA57" s="19">
        <v>1.0</v>
      </c>
      <c r="AB57" s="19">
        <v>0.0</v>
      </c>
      <c r="AC57" s="19">
        <v>2.0</v>
      </c>
      <c r="AD57" s="19">
        <v>0.0</v>
      </c>
      <c r="AE57" s="13">
        <v>3.0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D60" si="14">SUM(E45:E57)</f>
        <v>192</v>
      </c>
      <c r="F60" s="19">
        <f t="shared" si="14"/>
        <v>192</v>
      </c>
      <c r="G60" s="19">
        <f t="shared" si="14"/>
        <v>219</v>
      </c>
      <c r="H60" s="19">
        <f t="shared" si="14"/>
        <v>148</v>
      </c>
      <c r="I60" s="19">
        <f t="shared" si="14"/>
        <v>200</v>
      </c>
      <c r="J60" s="19">
        <f t="shared" si="14"/>
        <v>160</v>
      </c>
      <c r="K60" s="19">
        <f t="shared" si="14"/>
        <v>222</v>
      </c>
      <c r="L60" s="19">
        <f t="shared" si="14"/>
        <v>179</v>
      </c>
      <c r="M60" s="19">
        <f t="shared" si="14"/>
        <v>189</v>
      </c>
      <c r="N60" s="19">
        <f t="shared" si="14"/>
        <v>171</v>
      </c>
      <c r="O60" s="19">
        <f t="shared" si="14"/>
        <v>178</v>
      </c>
      <c r="P60" s="19">
        <f t="shared" si="14"/>
        <v>182</v>
      </c>
      <c r="Q60" s="19">
        <f t="shared" si="14"/>
        <v>209</v>
      </c>
      <c r="R60" s="19">
        <f t="shared" si="14"/>
        <v>197</v>
      </c>
      <c r="S60" s="19">
        <f t="shared" si="14"/>
        <v>184</v>
      </c>
      <c r="T60" s="19">
        <f t="shared" si="14"/>
        <v>185</v>
      </c>
      <c r="U60" s="19">
        <f t="shared" si="14"/>
        <v>193</v>
      </c>
      <c r="V60" s="19">
        <f t="shared" si="14"/>
        <v>211</v>
      </c>
      <c r="W60" s="19">
        <f t="shared" si="14"/>
        <v>196</v>
      </c>
      <c r="X60" s="19">
        <f t="shared" si="14"/>
        <v>185</v>
      </c>
      <c r="Y60" s="19">
        <f t="shared" si="14"/>
        <v>170</v>
      </c>
      <c r="Z60" s="19">
        <f t="shared" si="14"/>
        <v>187</v>
      </c>
      <c r="AA60" s="19">
        <f t="shared" si="14"/>
        <v>173</v>
      </c>
      <c r="AB60" s="19">
        <f t="shared" si="14"/>
        <v>130</v>
      </c>
      <c r="AC60" s="19">
        <f t="shared" si="14"/>
        <v>206</v>
      </c>
      <c r="AD60" s="19">
        <f t="shared" si="14"/>
        <v>162</v>
      </c>
      <c r="AE60" s="13">
        <f t="shared" ref="AE60:AE62" si="15">SUM(E60:AD60)</f>
        <v>4820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18.0</v>
      </c>
      <c r="F61" s="19">
        <v>22.0</v>
      </c>
      <c r="G61" s="19">
        <v>17.0</v>
      </c>
      <c r="H61" s="19">
        <v>44.0</v>
      </c>
      <c r="I61" s="19">
        <v>11.0</v>
      </c>
      <c r="J61" s="19">
        <v>6.0</v>
      </c>
      <c r="K61" s="19">
        <v>15.0</v>
      </c>
      <c r="L61" s="19">
        <v>17.0</v>
      </c>
      <c r="M61" s="19">
        <v>16.0</v>
      </c>
      <c r="N61" s="19">
        <v>22.0</v>
      </c>
      <c r="O61" s="19">
        <v>17.0</v>
      </c>
      <c r="P61" s="19">
        <v>30.0</v>
      </c>
      <c r="Q61" s="19">
        <v>31.0</v>
      </c>
      <c r="R61" s="19">
        <v>39.0</v>
      </c>
      <c r="S61" s="19">
        <v>25.0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3">
        <f t="shared" si="15"/>
        <v>330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D62" si="16">SUM(E60:E61)</f>
        <v>210</v>
      </c>
      <c r="F62" s="13">
        <f t="shared" si="16"/>
        <v>214</v>
      </c>
      <c r="G62" s="13">
        <f t="shared" si="16"/>
        <v>236</v>
      </c>
      <c r="H62" s="13">
        <f t="shared" si="16"/>
        <v>192</v>
      </c>
      <c r="I62" s="13">
        <f t="shared" si="16"/>
        <v>211</v>
      </c>
      <c r="J62" s="13">
        <f t="shared" si="16"/>
        <v>166</v>
      </c>
      <c r="K62" s="13">
        <f t="shared" si="16"/>
        <v>237</v>
      </c>
      <c r="L62" s="13">
        <f t="shared" si="16"/>
        <v>196</v>
      </c>
      <c r="M62" s="13">
        <f t="shared" si="16"/>
        <v>205</v>
      </c>
      <c r="N62" s="13">
        <f t="shared" si="16"/>
        <v>193</v>
      </c>
      <c r="O62" s="13">
        <f t="shared" si="16"/>
        <v>195</v>
      </c>
      <c r="P62" s="13">
        <f t="shared" si="16"/>
        <v>212</v>
      </c>
      <c r="Q62" s="13">
        <f t="shared" si="16"/>
        <v>240</v>
      </c>
      <c r="R62" s="13">
        <f t="shared" si="16"/>
        <v>236</v>
      </c>
      <c r="S62" s="13">
        <f t="shared" si="16"/>
        <v>209</v>
      </c>
      <c r="T62" s="13">
        <f t="shared" si="16"/>
        <v>185</v>
      </c>
      <c r="U62" s="13">
        <f t="shared" si="16"/>
        <v>193</v>
      </c>
      <c r="V62" s="13">
        <f t="shared" si="16"/>
        <v>211</v>
      </c>
      <c r="W62" s="13">
        <f t="shared" si="16"/>
        <v>196</v>
      </c>
      <c r="X62" s="13">
        <f t="shared" si="16"/>
        <v>185</v>
      </c>
      <c r="Y62" s="13">
        <f t="shared" si="16"/>
        <v>170</v>
      </c>
      <c r="Z62" s="13">
        <f t="shared" si="16"/>
        <v>187</v>
      </c>
      <c r="AA62" s="13">
        <f t="shared" si="16"/>
        <v>173</v>
      </c>
      <c r="AB62" s="13">
        <f t="shared" si="16"/>
        <v>130</v>
      </c>
      <c r="AC62" s="13">
        <f t="shared" si="16"/>
        <v>206</v>
      </c>
      <c r="AD62" s="13">
        <f t="shared" si="16"/>
        <v>162</v>
      </c>
      <c r="AE62" s="13">
        <f t="shared" si="15"/>
        <v>5150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D15 E45:AD57">
    <cfRule type="containsBlanks" dxfId="1" priority="2">
      <formula>LEN(TRIM(E14))=0</formula>
    </cfRule>
  </conditionalFormatting>
  <conditionalFormatting sqref="E19:AD20">
    <cfRule type="containsBlanks" dxfId="1" priority="3">
      <formula>LEN(TRIM(E19))=0</formula>
    </cfRule>
  </conditionalFormatting>
  <conditionalFormatting sqref="E22:AD23 E25:AD26 E33:AD33 E35:AD35 E39:AD40">
    <cfRule type="containsBlanks" dxfId="1" priority="4">
      <formula>LEN(TRIM(E22))=0</formula>
    </cfRule>
  </conditionalFormatting>
  <conditionalFormatting sqref="E30:AD30">
    <cfRule type="expression" dxfId="0" priority="5">
      <formula>E30&lt;&gt;E46</formula>
    </cfRule>
  </conditionalFormatting>
  <conditionalFormatting sqref="E30:AD30">
    <cfRule type="expression" dxfId="0" priority="6">
      <formula>E30&lt;&gt;E34</formula>
    </cfRule>
  </conditionalFormatting>
  <conditionalFormatting sqref="E34:AD34">
    <cfRule type="expression" dxfId="2" priority="7">
      <formula>E30&lt;&gt;E34</formula>
    </cfRule>
  </conditionalFormatting>
  <conditionalFormatting sqref="E34:AD34">
    <cfRule type="expression" dxfId="3" priority="8">
      <formula>E30=E34</formula>
    </cfRule>
  </conditionalFormatting>
  <conditionalFormatting sqref="E34:AD34">
    <cfRule type="expression" dxfId="0" priority="9">
      <formula>E34&lt;&gt;E30</formula>
    </cfRule>
  </conditionalFormatting>
  <conditionalFormatting sqref="E60:AD61">
    <cfRule type="containsBlanks" dxfId="1" priority="10">
      <formula>LEN(TRIM(E60))=0</formula>
    </cfRule>
  </conditionalFormatting>
  <conditionalFormatting sqref="U34:AD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113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119.0</v>
      </c>
      <c r="G14" s="19">
        <v>113.0</v>
      </c>
      <c r="H14" s="19">
        <v>127.0</v>
      </c>
      <c r="I14" s="19">
        <v>135.0</v>
      </c>
      <c r="J14" s="19">
        <v>129.0</v>
      </c>
      <c r="K14" s="19">
        <v>128.0</v>
      </c>
      <c r="L14" s="19">
        <v>102.0</v>
      </c>
      <c r="M14" s="19">
        <v>122.0</v>
      </c>
      <c r="N14" s="19">
        <v>114.0</v>
      </c>
      <c r="O14" s="19">
        <v>136.0</v>
      </c>
      <c r="P14" s="19">
        <v>113.0</v>
      </c>
      <c r="Q14" s="19">
        <v>124.0</v>
      </c>
      <c r="R14" s="19">
        <v>135.0</v>
      </c>
      <c r="S14" s="19">
        <v>125.0</v>
      </c>
      <c r="T14" s="19">
        <v>110.0</v>
      </c>
      <c r="U14" s="19">
        <v>115.0</v>
      </c>
      <c r="V14" s="19">
        <v>126.0</v>
      </c>
      <c r="W14" s="19">
        <v>143.0</v>
      </c>
      <c r="X14" s="19">
        <v>155.0</v>
      </c>
      <c r="Y14" s="19">
        <v>143.0</v>
      </c>
      <c r="Z14" s="19">
        <v>137.0</v>
      </c>
      <c r="AA14" s="13">
        <f t="shared" ref="AA14:AA16" si="1">SUM(E14:Z14)</f>
        <v>2794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134.0</v>
      </c>
      <c r="G15" s="19">
        <v>114.0</v>
      </c>
      <c r="H15" s="19">
        <v>133.0</v>
      </c>
      <c r="I15" s="19">
        <v>137.0</v>
      </c>
      <c r="J15" s="19">
        <v>152.0</v>
      </c>
      <c r="K15" s="19">
        <v>136.0</v>
      </c>
      <c r="L15" s="19">
        <v>110.0</v>
      </c>
      <c r="M15" s="19">
        <v>120.0</v>
      </c>
      <c r="N15" s="19">
        <v>117.0</v>
      </c>
      <c r="O15" s="19">
        <v>129.0</v>
      </c>
      <c r="P15" s="19">
        <v>135.0</v>
      </c>
      <c r="Q15" s="19">
        <v>118.0</v>
      </c>
      <c r="R15" s="19">
        <v>137.0</v>
      </c>
      <c r="S15" s="19">
        <v>122.0</v>
      </c>
      <c r="T15" s="19">
        <v>115.0</v>
      </c>
      <c r="U15" s="19">
        <v>114.0</v>
      </c>
      <c r="V15" s="19">
        <v>139.0</v>
      </c>
      <c r="W15" s="19">
        <v>137.0</v>
      </c>
      <c r="X15" s="19">
        <v>142.0</v>
      </c>
      <c r="Y15" s="19">
        <v>149.0</v>
      </c>
      <c r="Z15" s="19">
        <v>132.0</v>
      </c>
      <c r="AA15" s="13">
        <f t="shared" si="1"/>
        <v>2847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268</v>
      </c>
      <c r="F16" s="13">
        <f t="shared" si="2"/>
        <v>253</v>
      </c>
      <c r="G16" s="13">
        <f t="shared" si="2"/>
        <v>227</v>
      </c>
      <c r="H16" s="13">
        <f t="shared" si="2"/>
        <v>260</v>
      </c>
      <c r="I16" s="13">
        <f t="shared" si="2"/>
        <v>272</v>
      </c>
      <c r="J16" s="13">
        <f t="shared" si="2"/>
        <v>281</v>
      </c>
      <c r="K16" s="13">
        <f t="shared" si="2"/>
        <v>264</v>
      </c>
      <c r="L16" s="13">
        <f t="shared" si="2"/>
        <v>212</v>
      </c>
      <c r="M16" s="13">
        <f t="shared" si="2"/>
        <v>242</v>
      </c>
      <c r="N16" s="13">
        <f t="shared" si="2"/>
        <v>231</v>
      </c>
      <c r="O16" s="13">
        <f t="shared" si="2"/>
        <v>265</v>
      </c>
      <c r="P16" s="13">
        <f t="shared" si="2"/>
        <v>248</v>
      </c>
      <c r="Q16" s="13">
        <f t="shared" si="2"/>
        <v>242</v>
      </c>
      <c r="R16" s="13">
        <f t="shared" si="2"/>
        <v>272</v>
      </c>
      <c r="S16" s="13">
        <f t="shared" si="2"/>
        <v>247</v>
      </c>
      <c r="T16" s="13">
        <f t="shared" si="2"/>
        <v>225</v>
      </c>
      <c r="U16" s="13">
        <f t="shared" si="2"/>
        <v>229</v>
      </c>
      <c r="V16" s="13">
        <f t="shared" si="2"/>
        <v>265</v>
      </c>
      <c r="W16" s="13">
        <f t="shared" si="2"/>
        <v>280</v>
      </c>
      <c r="X16" s="13">
        <f t="shared" si="2"/>
        <v>297</v>
      </c>
      <c r="Y16" s="13">
        <f t="shared" si="2"/>
        <v>292</v>
      </c>
      <c r="Z16" s="13">
        <f t="shared" si="2"/>
        <v>269</v>
      </c>
      <c r="AA16" s="13">
        <f t="shared" si="1"/>
        <v>5641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93.0</v>
      </c>
      <c r="G19" s="19">
        <v>79.0</v>
      </c>
      <c r="H19" s="19">
        <v>82.0</v>
      </c>
      <c r="I19" s="19">
        <v>98.0</v>
      </c>
      <c r="J19" s="19">
        <v>95.0</v>
      </c>
      <c r="K19" s="19">
        <v>91.0</v>
      </c>
      <c r="L19" s="19">
        <v>71.0</v>
      </c>
      <c r="M19" s="19">
        <v>92.0</v>
      </c>
      <c r="N19" s="19">
        <v>78.0</v>
      </c>
      <c r="O19" s="19">
        <v>103.0</v>
      </c>
      <c r="P19" s="19">
        <v>94.0</v>
      </c>
      <c r="Q19" s="19">
        <v>96.0</v>
      </c>
      <c r="R19" s="19">
        <v>96.0</v>
      </c>
      <c r="S19" s="19">
        <v>88.0</v>
      </c>
      <c r="T19" s="19">
        <v>78.0</v>
      </c>
      <c r="U19" s="19">
        <v>94.0</v>
      </c>
      <c r="V19" s="19">
        <v>85.0</v>
      </c>
      <c r="W19" s="19">
        <v>96.0</v>
      </c>
      <c r="X19" s="19">
        <v>119.0</v>
      </c>
      <c r="Y19" s="19">
        <v>103.0</v>
      </c>
      <c r="Z19" s="19">
        <v>115.0</v>
      </c>
      <c r="AA19" s="13">
        <f t="shared" ref="AA19:AA30" si="3">SUM(E19:Z19)</f>
        <v>2049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113.0</v>
      </c>
      <c r="G20" s="19">
        <v>88.0</v>
      </c>
      <c r="H20" s="19">
        <v>106.0</v>
      </c>
      <c r="I20" s="19">
        <v>104.0</v>
      </c>
      <c r="J20" s="19">
        <v>124.0</v>
      </c>
      <c r="K20" s="19">
        <v>107.0</v>
      </c>
      <c r="L20" s="19">
        <v>74.0</v>
      </c>
      <c r="M20" s="19">
        <v>101.0</v>
      </c>
      <c r="N20" s="19">
        <v>84.0</v>
      </c>
      <c r="O20" s="19">
        <v>103.0</v>
      </c>
      <c r="P20" s="19">
        <v>113.0</v>
      </c>
      <c r="Q20" s="19">
        <v>97.0</v>
      </c>
      <c r="R20" s="19">
        <v>111.0</v>
      </c>
      <c r="S20" s="19">
        <v>94.0</v>
      </c>
      <c r="T20" s="19">
        <v>87.0</v>
      </c>
      <c r="U20" s="19">
        <v>87.0</v>
      </c>
      <c r="V20" s="19">
        <v>118.0</v>
      </c>
      <c r="W20" s="19">
        <v>104.0</v>
      </c>
      <c r="X20" s="19">
        <v>122.0</v>
      </c>
      <c r="Y20" s="19">
        <v>122.0</v>
      </c>
      <c r="Z20" s="19">
        <v>113.0</v>
      </c>
      <c r="AA20" s="13">
        <f t="shared" si="3"/>
        <v>2276</v>
      </c>
    </row>
    <row r="21" ht="12.75" customHeight="1">
      <c r="A21" s="35"/>
      <c r="B21" s="28"/>
      <c r="C21" s="36"/>
      <c r="D21" s="13" t="s">
        <v>14</v>
      </c>
      <c r="E21" s="13">
        <v>207.0</v>
      </c>
      <c r="F21" s="13">
        <v>206.0</v>
      </c>
      <c r="G21" s="13">
        <v>167.0</v>
      </c>
      <c r="H21" s="13">
        <v>188.0</v>
      </c>
      <c r="I21" s="13">
        <v>202.0</v>
      </c>
      <c r="J21" s="13">
        <v>219.0</v>
      </c>
      <c r="K21" s="13">
        <v>198.0</v>
      </c>
      <c r="L21" s="13">
        <v>145.0</v>
      </c>
      <c r="M21" s="13">
        <v>193.0</v>
      </c>
      <c r="N21" s="13">
        <v>162.0</v>
      </c>
      <c r="O21" s="13">
        <v>206.0</v>
      </c>
      <c r="P21" s="13">
        <v>207.0</v>
      </c>
      <c r="Q21" s="13">
        <v>193.0</v>
      </c>
      <c r="R21" s="13">
        <v>207.0</v>
      </c>
      <c r="S21" s="13">
        <v>182.0</v>
      </c>
      <c r="T21" s="13">
        <v>165.0</v>
      </c>
      <c r="U21" s="13">
        <v>181.0</v>
      </c>
      <c r="V21" s="13">
        <v>203.0</v>
      </c>
      <c r="W21" s="13">
        <v>200.0</v>
      </c>
      <c r="X21" s="13">
        <v>241.0</v>
      </c>
      <c r="Y21" s="13">
        <v>225.0</v>
      </c>
      <c r="Z21" s="13">
        <v>228.0</v>
      </c>
      <c r="AA21" s="13">
        <f t="shared" si="3"/>
        <v>4325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1.0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1.0</v>
      </c>
      <c r="G25" s="19">
        <v>2.0</v>
      </c>
      <c r="H25" s="19">
        <v>0.0</v>
      </c>
      <c r="I25" s="19">
        <v>2.0</v>
      </c>
      <c r="J25" s="19">
        <v>3.0</v>
      </c>
      <c r="K25" s="19">
        <v>1.0</v>
      </c>
      <c r="L25" s="19">
        <v>1.0</v>
      </c>
      <c r="M25" s="19">
        <v>1.0</v>
      </c>
      <c r="N25" s="19">
        <v>2.0</v>
      </c>
      <c r="O25" s="19">
        <v>0.0</v>
      </c>
      <c r="P25" s="19">
        <v>0.0</v>
      </c>
      <c r="Q25" s="19">
        <v>2.0</v>
      </c>
      <c r="R25" s="19">
        <v>3.0</v>
      </c>
      <c r="S25" s="19">
        <v>2.0</v>
      </c>
      <c r="T25" s="19">
        <v>0.0</v>
      </c>
      <c r="U25" s="19">
        <v>1.0</v>
      </c>
      <c r="V25" s="19">
        <v>2.0</v>
      </c>
      <c r="W25" s="19">
        <v>0.0</v>
      </c>
      <c r="X25" s="19">
        <v>0.0</v>
      </c>
      <c r="Y25" s="19">
        <v>0.0</v>
      </c>
      <c r="Z25" s="19">
        <v>0.0</v>
      </c>
      <c r="AA25" s="13">
        <f t="shared" si="3"/>
        <v>26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3.0</v>
      </c>
      <c r="G26" s="19">
        <v>2.0</v>
      </c>
      <c r="H26" s="19">
        <v>1.0</v>
      </c>
      <c r="I26" s="19">
        <v>2.0</v>
      </c>
      <c r="J26" s="19">
        <v>2.0</v>
      </c>
      <c r="K26" s="19">
        <v>0.0</v>
      </c>
      <c r="L26" s="19">
        <v>3.0</v>
      </c>
      <c r="M26" s="19">
        <v>4.0</v>
      </c>
      <c r="N26" s="19">
        <v>3.0</v>
      </c>
      <c r="O26" s="19">
        <v>3.0</v>
      </c>
      <c r="P26" s="19">
        <v>3.0</v>
      </c>
      <c r="Q26" s="19">
        <v>2.0</v>
      </c>
      <c r="R26" s="19">
        <v>3.0</v>
      </c>
      <c r="S26" s="19">
        <v>4.0</v>
      </c>
      <c r="T26" s="19">
        <v>0.0</v>
      </c>
      <c r="U26" s="19">
        <v>4.0</v>
      </c>
      <c r="V26" s="19">
        <v>2.0</v>
      </c>
      <c r="W26" s="19">
        <v>0.0</v>
      </c>
      <c r="X26" s="19">
        <v>0.0</v>
      </c>
      <c r="Y26" s="19">
        <v>0.0</v>
      </c>
      <c r="Z26" s="19">
        <v>0.0</v>
      </c>
      <c r="AA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v>5.0</v>
      </c>
      <c r="F27" s="13">
        <v>4.0</v>
      </c>
      <c r="G27" s="13">
        <v>4.0</v>
      </c>
      <c r="H27" s="13">
        <v>1.0</v>
      </c>
      <c r="I27" s="13">
        <v>4.0</v>
      </c>
      <c r="J27" s="13">
        <v>5.0</v>
      </c>
      <c r="K27" s="13">
        <v>1.0</v>
      </c>
      <c r="L27" s="13">
        <v>4.0</v>
      </c>
      <c r="M27" s="13">
        <v>5.0</v>
      </c>
      <c r="N27" s="13">
        <v>5.0</v>
      </c>
      <c r="O27" s="13">
        <v>3.0</v>
      </c>
      <c r="P27" s="13">
        <v>3.0</v>
      </c>
      <c r="Q27" s="13">
        <v>4.0</v>
      </c>
      <c r="R27" s="13">
        <v>6.0</v>
      </c>
      <c r="S27" s="13">
        <v>6.0</v>
      </c>
      <c r="T27" s="13">
        <v>0.0</v>
      </c>
      <c r="U27" s="13">
        <v>5.0</v>
      </c>
      <c r="V27" s="13">
        <v>4.0</v>
      </c>
      <c r="W27" s="13">
        <v>0.0</v>
      </c>
      <c r="X27" s="13">
        <v>0.0</v>
      </c>
      <c r="Y27" s="13">
        <v>0.0</v>
      </c>
      <c r="Z27" s="13">
        <v>0.0</v>
      </c>
      <c r="AA27" s="13">
        <f t="shared" si="3"/>
        <v>69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106.0</v>
      </c>
      <c r="F28" s="13">
        <v>94.0</v>
      </c>
      <c r="G28" s="13">
        <v>81.0</v>
      </c>
      <c r="H28" s="13">
        <v>82.0</v>
      </c>
      <c r="I28" s="13">
        <v>100.0</v>
      </c>
      <c r="J28" s="13">
        <v>98.0</v>
      </c>
      <c r="K28" s="13">
        <v>93.0</v>
      </c>
      <c r="L28" s="13">
        <v>72.0</v>
      </c>
      <c r="M28" s="13">
        <v>93.0</v>
      </c>
      <c r="N28" s="13">
        <v>80.0</v>
      </c>
      <c r="O28" s="13">
        <v>103.0</v>
      </c>
      <c r="P28" s="13">
        <v>94.0</v>
      </c>
      <c r="Q28" s="13">
        <v>98.0</v>
      </c>
      <c r="R28" s="13">
        <v>99.0</v>
      </c>
      <c r="S28" s="13">
        <v>90.0</v>
      </c>
      <c r="T28" s="13">
        <v>78.0</v>
      </c>
      <c r="U28" s="13">
        <v>95.0</v>
      </c>
      <c r="V28" s="13">
        <v>87.0</v>
      </c>
      <c r="W28" s="13">
        <v>98.0</v>
      </c>
      <c r="X28" s="13">
        <v>119.0</v>
      </c>
      <c r="Y28" s="13">
        <v>103.0</v>
      </c>
      <c r="Z28" s="13">
        <v>115.0</v>
      </c>
      <c r="AA28" s="13">
        <f t="shared" si="3"/>
        <v>2078</v>
      </c>
    </row>
    <row r="29" ht="12.75" customHeight="1">
      <c r="A29" s="35"/>
      <c r="B29" s="27"/>
      <c r="C29" s="34"/>
      <c r="D29" s="13" t="s">
        <v>13</v>
      </c>
      <c r="E29" s="13">
        <v>106.0</v>
      </c>
      <c r="F29" s="13">
        <v>116.0</v>
      </c>
      <c r="G29" s="13">
        <v>90.0</v>
      </c>
      <c r="H29" s="13">
        <v>107.0</v>
      </c>
      <c r="I29" s="13">
        <v>106.0</v>
      </c>
      <c r="J29" s="13">
        <v>126.0</v>
      </c>
      <c r="K29" s="13">
        <v>107.0</v>
      </c>
      <c r="L29" s="13">
        <v>77.0</v>
      </c>
      <c r="M29" s="13">
        <v>105.0</v>
      </c>
      <c r="N29" s="13">
        <v>87.0</v>
      </c>
      <c r="O29" s="13">
        <v>106.0</v>
      </c>
      <c r="P29" s="13">
        <v>116.0</v>
      </c>
      <c r="Q29" s="13">
        <v>99.0</v>
      </c>
      <c r="R29" s="13">
        <v>114.0</v>
      </c>
      <c r="S29" s="13">
        <v>98.0</v>
      </c>
      <c r="T29" s="13">
        <v>87.0</v>
      </c>
      <c r="U29" s="13">
        <v>91.0</v>
      </c>
      <c r="V29" s="13">
        <v>120.0</v>
      </c>
      <c r="W29" s="13">
        <v>104.0</v>
      </c>
      <c r="X29" s="13">
        <v>122.0</v>
      </c>
      <c r="Y29" s="13">
        <v>122.0</v>
      </c>
      <c r="Z29" s="13">
        <v>113.0</v>
      </c>
      <c r="AA29" s="13">
        <f t="shared" si="3"/>
        <v>2319</v>
      </c>
    </row>
    <row r="30" ht="12.75" customHeight="1">
      <c r="A30" s="35"/>
      <c r="B30" s="28"/>
      <c r="C30" s="36"/>
      <c r="D30" s="13" t="s">
        <v>14</v>
      </c>
      <c r="E30" s="13">
        <v>212.0</v>
      </c>
      <c r="F30" s="13">
        <v>210.0</v>
      </c>
      <c r="G30" s="13">
        <v>171.0</v>
      </c>
      <c r="H30" s="13">
        <v>189.0</v>
      </c>
      <c r="I30" s="13">
        <v>206.0</v>
      </c>
      <c r="J30" s="13">
        <v>224.0</v>
      </c>
      <c r="K30" s="13">
        <v>200.0</v>
      </c>
      <c r="L30" s="13">
        <v>149.0</v>
      </c>
      <c r="M30" s="13">
        <v>198.0</v>
      </c>
      <c r="N30" s="13">
        <v>167.0</v>
      </c>
      <c r="O30" s="13">
        <v>209.0</v>
      </c>
      <c r="P30" s="13">
        <v>210.0</v>
      </c>
      <c r="Q30" s="13">
        <v>197.0</v>
      </c>
      <c r="R30" s="13">
        <v>213.0</v>
      </c>
      <c r="S30" s="13">
        <v>188.0</v>
      </c>
      <c r="T30" s="13">
        <f t="shared" ref="T30:Z30" si="4">SUM(T28:T29)</f>
        <v>165</v>
      </c>
      <c r="U30" s="13">
        <f t="shared" si="4"/>
        <v>186</v>
      </c>
      <c r="V30" s="13">
        <f t="shared" si="4"/>
        <v>207</v>
      </c>
      <c r="W30" s="13">
        <f t="shared" si="4"/>
        <v>202</v>
      </c>
      <c r="X30" s="13">
        <f t="shared" si="4"/>
        <v>241</v>
      </c>
      <c r="Y30" s="13">
        <f t="shared" si="4"/>
        <v>225</v>
      </c>
      <c r="Z30" s="13">
        <f t="shared" si="4"/>
        <v>228</v>
      </c>
      <c r="AA30" s="13">
        <f t="shared" si="3"/>
        <v>4397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59"/>
    </row>
    <row r="33" ht="12.75" customHeight="1">
      <c r="A33" s="19">
        <v>1.0</v>
      </c>
      <c r="B33" s="20" t="s">
        <v>27</v>
      </c>
      <c r="C33" s="15"/>
      <c r="D33" s="16"/>
      <c r="E33" s="19">
        <v>274.0</v>
      </c>
      <c r="F33" s="19">
        <v>259.0</v>
      </c>
      <c r="G33" s="19">
        <v>232.0</v>
      </c>
      <c r="H33" s="19">
        <v>261.0</v>
      </c>
      <c r="I33" s="19">
        <v>275.0</v>
      </c>
      <c r="J33" s="19">
        <v>288.0</v>
      </c>
      <c r="K33" s="19">
        <v>291.0</v>
      </c>
      <c r="L33" s="19">
        <v>217.0</v>
      </c>
      <c r="M33" s="19">
        <v>247.0</v>
      </c>
      <c r="N33" s="19">
        <v>248.0</v>
      </c>
      <c r="O33" s="19">
        <v>272.0</v>
      </c>
      <c r="P33" s="19">
        <v>256.0</v>
      </c>
      <c r="Q33" s="19">
        <v>247.0</v>
      </c>
      <c r="R33" s="19">
        <v>280.0</v>
      </c>
      <c r="S33" s="19">
        <v>242.0</v>
      </c>
      <c r="T33" s="19">
        <v>230.0</v>
      </c>
      <c r="U33" s="19">
        <v>234.0</v>
      </c>
      <c r="V33" s="19">
        <v>273.0</v>
      </c>
      <c r="W33" s="19">
        <v>286.0</v>
      </c>
      <c r="X33" s="19">
        <v>304.0</v>
      </c>
      <c r="Y33" s="19">
        <v>298.0</v>
      </c>
      <c r="Z33" s="19">
        <v>275.0</v>
      </c>
      <c r="AA33" s="13">
        <f t="shared" ref="AA33:AA36" si="5">SUM(E33:Z33)</f>
        <v>5789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210.0</v>
      </c>
      <c r="G34" s="13">
        <v>171.0</v>
      </c>
      <c r="H34" s="13">
        <v>189.0</v>
      </c>
      <c r="I34" s="13">
        <v>206.0</v>
      </c>
      <c r="J34" s="13">
        <v>224.0</v>
      </c>
      <c r="K34" s="13">
        <v>200.0</v>
      </c>
      <c r="L34" s="13">
        <v>149.0</v>
      </c>
      <c r="M34" s="13">
        <v>198.0</v>
      </c>
      <c r="N34" s="13">
        <v>167.0</v>
      </c>
      <c r="O34" s="13">
        <v>209.0</v>
      </c>
      <c r="P34" s="13">
        <v>210.0</v>
      </c>
      <c r="Q34" s="13">
        <v>197.0</v>
      </c>
      <c r="R34" s="13">
        <v>213.0</v>
      </c>
      <c r="S34" s="13">
        <v>188.0</v>
      </c>
      <c r="T34" s="13">
        <v>165.0</v>
      </c>
      <c r="U34" s="13">
        <v>186.0</v>
      </c>
      <c r="V34" s="13">
        <v>207.0</v>
      </c>
      <c r="W34" s="13">
        <v>202.0</v>
      </c>
      <c r="X34" s="13">
        <v>241.0</v>
      </c>
      <c r="Y34" s="13">
        <v>225.0</v>
      </c>
      <c r="Z34" s="13">
        <v>228.0</v>
      </c>
      <c r="AA34" s="13">
        <f t="shared" si="5"/>
        <v>4397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3">
        <f t="shared" si="5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v>62.0</v>
      </c>
      <c r="F36" s="13">
        <v>49.0</v>
      </c>
      <c r="G36" s="13">
        <v>61.0</v>
      </c>
      <c r="H36" s="13">
        <v>72.0</v>
      </c>
      <c r="I36" s="13">
        <v>69.0</v>
      </c>
      <c r="J36" s="13">
        <v>64.0</v>
      </c>
      <c r="K36" s="13">
        <v>91.0</v>
      </c>
      <c r="L36" s="13">
        <v>68.0</v>
      </c>
      <c r="M36" s="13">
        <v>49.0</v>
      </c>
      <c r="N36" s="13">
        <v>81.0</v>
      </c>
      <c r="O36" s="13">
        <v>63.0</v>
      </c>
      <c r="P36" s="13">
        <v>46.0</v>
      </c>
      <c r="Q36" s="13">
        <v>50.0</v>
      </c>
      <c r="R36" s="13">
        <v>67.0</v>
      </c>
      <c r="S36" s="13">
        <v>54.0</v>
      </c>
      <c r="T36" s="13">
        <v>65.0</v>
      </c>
      <c r="U36" s="13">
        <v>48.0</v>
      </c>
      <c r="V36" s="13">
        <v>66.0</v>
      </c>
      <c r="W36" s="13">
        <v>84.0</v>
      </c>
      <c r="X36" s="13">
        <v>63.0</v>
      </c>
      <c r="Y36" s="13">
        <v>73.0</v>
      </c>
      <c r="Z36" s="13">
        <v>47.0</v>
      </c>
      <c r="AA36" s="13">
        <f t="shared" si="5"/>
        <v>1392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6">SUM(E39:Z39)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6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Z41" si="7">SUM(E39:E40)</f>
        <v>0</v>
      </c>
      <c r="F41" s="13">
        <f t="shared" si="7"/>
        <v>0</v>
      </c>
      <c r="G41" s="13">
        <f t="shared" si="7"/>
        <v>0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0</v>
      </c>
      <c r="L41" s="13">
        <f t="shared" si="7"/>
        <v>0</v>
      </c>
      <c r="M41" s="13">
        <f t="shared" si="7"/>
        <v>0</v>
      </c>
      <c r="N41" s="13">
        <f t="shared" si="7"/>
        <v>0</v>
      </c>
      <c r="O41" s="13">
        <f t="shared" si="7"/>
        <v>0</v>
      </c>
      <c r="P41" s="13">
        <f t="shared" si="7"/>
        <v>0</v>
      </c>
      <c r="Q41" s="13">
        <f t="shared" si="7"/>
        <v>0</v>
      </c>
      <c r="R41" s="13">
        <f t="shared" si="7"/>
        <v>2</v>
      </c>
      <c r="S41" s="13">
        <f t="shared" si="7"/>
        <v>0</v>
      </c>
      <c r="T41" s="13">
        <f t="shared" si="7"/>
        <v>0</v>
      </c>
      <c r="U41" s="13">
        <f t="shared" si="7"/>
        <v>0</v>
      </c>
      <c r="V41" s="13">
        <f t="shared" si="7"/>
        <v>0</v>
      </c>
      <c r="W41" s="13">
        <f t="shared" si="7"/>
        <v>0</v>
      </c>
      <c r="X41" s="13">
        <f t="shared" si="7"/>
        <v>0</v>
      </c>
      <c r="Y41" s="13">
        <f t="shared" si="7"/>
        <v>0</v>
      </c>
      <c r="Z41" s="13">
        <f t="shared" si="7"/>
        <v>0</v>
      </c>
      <c r="AA41" s="13">
        <f t="shared" si="6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3"/>
    </row>
    <row r="45" ht="12.75" customHeight="1">
      <c r="A45" s="30"/>
      <c r="B45" s="47" t="s">
        <v>17</v>
      </c>
      <c r="C45" s="62" t="s">
        <v>38</v>
      </c>
      <c r="D45" s="16"/>
      <c r="E45" s="19">
        <v>12.0</v>
      </c>
      <c r="F45" s="19">
        <v>13.0</v>
      </c>
      <c r="G45" s="19">
        <v>20.0</v>
      </c>
      <c r="H45" s="19">
        <v>19.0</v>
      </c>
      <c r="I45" s="19">
        <v>11.0</v>
      </c>
      <c r="J45" s="19">
        <v>5.0</v>
      </c>
      <c r="K45" s="19">
        <v>8.0</v>
      </c>
      <c r="L45" s="19">
        <v>6.0</v>
      </c>
      <c r="M45" s="19">
        <v>10.0</v>
      </c>
      <c r="N45" s="19">
        <v>11.0</v>
      </c>
      <c r="O45" s="19">
        <v>10.0</v>
      </c>
      <c r="P45" s="19">
        <v>10.0</v>
      </c>
      <c r="Q45" s="19">
        <v>6.0</v>
      </c>
      <c r="R45" s="19">
        <v>20.0</v>
      </c>
      <c r="S45" s="19">
        <v>15.0</v>
      </c>
      <c r="T45" s="19">
        <v>5.0</v>
      </c>
      <c r="U45" s="19">
        <v>8.0</v>
      </c>
      <c r="V45" s="19">
        <v>13.0</v>
      </c>
      <c r="W45" s="19">
        <v>12.0</v>
      </c>
      <c r="X45" s="19">
        <v>15.0</v>
      </c>
      <c r="Y45" s="19">
        <v>23.0</v>
      </c>
      <c r="Z45" s="19">
        <v>14.0</v>
      </c>
      <c r="AA45" s="13">
        <f t="shared" ref="AA45:AA57" si="8">SUM(E45:Z45)</f>
        <v>266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30.0</v>
      </c>
      <c r="F46" s="19">
        <v>21.0</v>
      </c>
      <c r="G46" s="19">
        <v>32.0</v>
      </c>
      <c r="H46" s="19">
        <v>24.0</v>
      </c>
      <c r="I46" s="19">
        <v>35.0</v>
      </c>
      <c r="J46" s="19">
        <v>37.0</v>
      </c>
      <c r="K46" s="19">
        <v>30.0</v>
      </c>
      <c r="L46" s="19">
        <v>20.0</v>
      </c>
      <c r="M46" s="19">
        <v>22.0</v>
      </c>
      <c r="N46" s="19">
        <v>38.0</v>
      </c>
      <c r="O46" s="19">
        <v>28.0</v>
      </c>
      <c r="P46" s="19">
        <v>22.0</v>
      </c>
      <c r="Q46" s="19">
        <v>31.0</v>
      </c>
      <c r="R46" s="19">
        <v>29.0</v>
      </c>
      <c r="S46" s="19">
        <v>23.0</v>
      </c>
      <c r="T46" s="19">
        <v>37.0</v>
      </c>
      <c r="U46" s="19">
        <v>38.0</v>
      </c>
      <c r="V46" s="19">
        <v>49.0</v>
      </c>
      <c r="W46" s="19">
        <v>71.0</v>
      </c>
      <c r="X46" s="19">
        <v>40.0</v>
      </c>
      <c r="Y46" s="19">
        <v>41.0</v>
      </c>
      <c r="Z46" s="19">
        <v>36.0</v>
      </c>
      <c r="AA46" s="13">
        <f t="shared" si="8"/>
        <v>734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15.0</v>
      </c>
      <c r="F47" s="19">
        <v>11.0</v>
      </c>
      <c r="G47" s="19">
        <v>9.0</v>
      </c>
      <c r="H47" s="19">
        <v>22.0</v>
      </c>
      <c r="I47" s="19">
        <v>9.0</v>
      </c>
      <c r="J47" s="19">
        <v>10.0</v>
      </c>
      <c r="K47" s="19">
        <v>11.0</v>
      </c>
      <c r="L47" s="19">
        <v>6.0</v>
      </c>
      <c r="M47" s="19">
        <v>14.0</v>
      </c>
      <c r="N47" s="19">
        <v>4.0</v>
      </c>
      <c r="O47" s="19">
        <v>19.0</v>
      </c>
      <c r="P47" s="19">
        <v>10.0</v>
      </c>
      <c r="Q47" s="19">
        <v>23.0</v>
      </c>
      <c r="R47" s="19">
        <v>19.0</v>
      </c>
      <c r="S47" s="19">
        <v>13.0</v>
      </c>
      <c r="T47" s="19">
        <v>5.0</v>
      </c>
      <c r="U47" s="19">
        <v>9.0</v>
      </c>
      <c r="V47" s="19">
        <v>11.0</v>
      </c>
      <c r="W47" s="19">
        <v>10.0</v>
      </c>
      <c r="X47" s="19">
        <v>17.0</v>
      </c>
      <c r="Y47" s="19">
        <v>20.0</v>
      </c>
      <c r="Z47" s="19">
        <v>11.0</v>
      </c>
      <c r="AA47" s="13">
        <f t="shared" si="8"/>
        <v>278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20.0</v>
      </c>
      <c r="F48" s="19">
        <v>31.0</v>
      </c>
      <c r="G48" s="19">
        <v>29.0</v>
      </c>
      <c r="H48" s="19">
        <v>33.0</v>
      </c>
      <c r="I48" s="19">
        <v>23.0</v>
      </c>
      <c r="J48" s="19">
        <v>25.0</v>
      </c>
      <c r="K48" s="19">
        <v>27.0</v>
      </c>
      <c r="L48" s="19">
        <v>20.0</v>
      </c>
      <c r="M48" s="19">
        <v>19.0</v>
      </c>
      <c r="N48" s="19">
        <v>19.0</v>
      </c>
      <c r="O48" s="19">
        <v>24.0</v>
      </c>
      <c r="P48" s="19">
        <v>22.0</v>
      </c>
      <c r="Q48" s="19">
        <v>22.0</v>
      </c>
      <c r="R48" s="19">
        <v>29.0</v>
      </c>
      <c r="S48" s="19">
        <v>13.0</v>
      </c>
      <c r="T48" s="19">
        <v>11.0</v>
      </c>
      <c r="U48" s="19">
        <v>14.0</v>
      </c>
      <c r="V48" s="19">
        <v>18.0</v>
      </c>
      <c r="W48" s="19">
        <v>11.0</v>
      </c>
      <c r="X48" s="19">
        <v>31.0</v>
      </c>
      <c r="Y48" s="19">
        <v>22.0</v>
      </c>
      <c r="Z48" s="19">
        <v>26.0</v>
      </c>
      <c r="AA48" s="13">
        <f t="shared" si="8"/>
        <v>489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11.0</v>
      </c>
      <c r="F49" s="19">
        <v>23.0</v>
      </c>
      <c r="G49" s="19">
        <v>10.0</v>
      </c>
      <c r="H49" s="19">
        <v>10.0</v>
      </c>
      <c r="I49" s="19">
        <v>10.0</v>
      </c>
      <c r="J49" s="19">
        <v>25.0</v>
      </c>
      <c r="K49" s="19">
        <v>14.0</v>
      </c>
      <c r="L49" s="19">
        <v>8.0</v>
      </c>
      <c r="M49" s="19">
        <v>17.0</v>
      </c>
      <c r="N49" s="19">
        <v>12.0</v>
      </c>
      <c r="O49" s="19">
        <v>18.0</v>
      </c>
      <c r="P49" s="19">
        <v>21.0</v>
      </c>
      <c r="Q49" s="19">
        <v>26.0</v>
      </c>
      <c r="R49" s="19">
        <v>11.0</v>
      </c>
      <c r="S49" s="19">
        <v>11.0</v>
      </c>
      <c r="T49" s="19">
        <v>6.0</v>
      </c>
      <c r="U49" s="19">
        <v>14.0</v>
      </c>
      <c r="V49" s="19">
        <v>11.0</v>
      </c>
      <c r="W49" s="19">
        <v>8.0</v>
      </c>
      <c r="X49" s="19">
        <v>16.0</v>
      </c>
      <c r="Y49" s="19">
        <v>15.0</v>
      </c>
      <c r="Z49" s="19">
        <v>14.0</v>
      </c>
      <c r="AA49" s="13">
        <f t="shared" si="8"/>
        <v>311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22.0</v>
      </c>
      <c r="F50" s="19">
        <v>17.0</v>
      </c>
      <c r="G50" s="19">
        <v>12.0</v>
      </c>
      <c r="H50" s="19">
        <v>13.0</v>
      </c>
      <c r="I50" s="19">
        <v>17.0</v>
      </c>
      <c r="J50" s="19">
        <v>15.0</v>
      </c>
      <c r="K50" s="19">
        <v>15.0</v>
      </c>
      <c r="L50" s="19">
        <v>5.0</v>
      </c>
      <c r="M50" s="19">
        <v>8.0</v>
      </c>
      <c r="N50" s="19">
        <v>6.0</v>
      </c>
      <c r="O50" s="19">
        <v>12.0</v>
      </c>
      <c r="P50" s="19">
        <v>5.0</v>
      </c>
      <c r="Q50" s="19">
        <v>11.0</v>
      </c>
      <c r="R50" s="19">
        <v>6.0</v>
      </c>
      <c r="S50" s="19">
        <v>9.0</v>
      </c>
      <c r="T50" s="19">
        <v>4.0</v>
      </c>
      <c r="U50" s="19">
        <v>10.0</v>
      </c>
      <c r="V50" s="19">
        <v>19.0</v>
      </c>
      <c r="W50" s="19">
        <v>7.0</v>
      </c>
      <c r="X50" s="19">
        <v>19.0</v>
      </c>
      <c r="Y50" s="19">
        <v>8.0</v>
      </c>
      <c r="Z50" s="19">
        <v>10.0</v>
      </c>
      <c r="AA50" s="13">
        <f t="shared" si="8"/>
        <v>250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5.0</v>
      </c>
      <c r="G51" s="19">
        <v>3.0</v>
      </c>
      <c r="H51" s="19">
        <v>2.0</v>
      </c>
      <c r="I51" s="19">
        <v>0.0</v>
      </c>
      <c r="J51" s="19">
        <v>3.0</v>
      </c>
      <c r="K51" s="19">
        <v>2.0</v>
      </c>
      <c r="L51" s="19">
        <v>2.0</v>
      </c>
      <c r="M51" s="19">
        <v>0.0</v>
      </c>
      <c r="N51" s="19">
        <v>4.0</v>
      </c>
      <c r="O51" s="19">
        <v>1.0</v>
      </c>
      <c r="P51" s="19">
        <v>2.0</v>
      </c>
      <c r="Q51" s="19">
        <v>2.0</v>
      </c>
      <c r="R51" s="19">
        <v>6.0</v>
      </c>
      <c r="S51" s="19">
        <v>12.0</v>
      </c>
      <c r="T51" s="19">
        <v>1.0</v>
      </c>
      <c r="U51" s="19">
        <v>1.0</v>
      </c>
      <c r="V51" s="19">
        <v>1.0</v>
      </c>
      <c r="W51" s="19">
        <v>3.0</v>
      </c>
      <c r="X51" s="19">
        <v>1.0</v>
      </c>
      <c r="Y51" s="19">
        <v>5.0</v>
      </c>
      <c r="Z51" s="19">
        <v>1.0</v>
      </c>
      <c r="AA51" s="13">
        <f t="shared" si="8"/>
        <v>58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4.0</v>
      </c>
      <c r="F52" s="19">
        <v>2.0</v>
      </c>
      <c r="G52" s="19">
        <v>0.0</v>
      </c>
      <c r="H52" s="19">
        <v>0.0</v>
      </c>
      <c r="I52" s="19">
        <v>0.0</v>
      </c>
      <c r="J52" s="19">
        <v>3.0</v>
      </c>
      <c r="K52" s="19">
        <v>1.0</v>
      </c>
      <c r="L52" s="19">
        <v>2.0</v>
      </c>
      <c r="M52" s="19">
        <v>0.0</v>
      </c>
      <c r="N52" s="19">
        <v>1.0</v>
      </c>
      <c r="O52" s="19">
        <v>6.0</v>
      </c>
      <c r="P52" s="19">
        <v>5.0</v>
      </c>
      <c r="Q52" s="19">
        <v>2.0</v>
      </c>
      <c r="R52" s="19">
        <v>5.0</v>
      </c>
      <c r="S52" s="19">
        <v>1.0</v>
      </c>
      <c r="T52" s="19">
        <v>4.0</v>
      </c>
      <c r="U52" s="19">
        <v>4.0</v>
      </c>
      <c r="V52" s="19">
        <v>4.0</v>
      </c>
      <c r="W52" s="19">
        <v>3.0</v>
      </c>
      <c r="X52" s="19">
        <v>3.0</v>
      </c>
      <c r="Y52" s="19">
        <v>2.0</v>
      </c>
      <c r="Z52" s="19">
        <v>2.0</v>
      </c>
      <c r="AA52" s="13">
        <f t="shared" si="8"/>
        <v>54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2.0</v>
      </c>
      <c r="F53" s="19">
        <v>1.0</v>
      </c>
      <c r="G53" s="19">
        <v>0.0</v>
      </c>
      <c r="H53" s="19">
        <v>1.0</v>
      </c>
      <c r="I53" s="19">
        <v>2.0</v>
      </c>
      <c r="J53" s="19">
        <v>2.0</v>
      </c>
      <c r="K53" s="19">
        <v>0.0</v>
      </c>
      <c r="L53" s="19">
        <v>0.0</v>
      </c>
      <c r="M53" s="19">
        <v>1.0</v>
      </c>
      <c r="N53" s="19">
        <v>1.0</v>
      </c>
      <c r="O53" s="19">
        <v>2.0</v>
      </c>
      <c r="P53" s="19">
        <v>0.0</v>
      </c>
      <c r="Q53" s="19">
        <v>0.0</v>
      </c>
      <c r="R53" s="19">
        <v>1.0</v>
      </c>
      <c r="S53" s="19">
        <v>0.0</v>
      </c>
      <c r="T53" s="19">
        <v>0.0</v>
      </c>
      <c r="U53" s="19">
        <v>2.0</v>
      </c>
      <c r="V53" s="19">
        <v>4.0</v>
      </c>
      <c r="W53" s="19">
        <v>3.0</v>
      </c>
      <c r="X53" s="19">
        <v>0.0</v>
      </c>
      <c r="Y53" s="19">
        <v>0.0</v>
      </c>
      <c r="Z53" s="19">
        <v>3.0</v>
      </c>
      <c r="AA53" s="13">
        <f t="shared" si="8"/>
        <v>25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28.0</v>
      </c>
      <c r="F54" s="19">
        <v>21.0</v>
      </c>
      <c r="G54" s="19">
        <v>18.0</v>
      </c>
      <c r="H54" s="19">
        <v>18.0</v>
      </c>
      <c r="I54" s="19">
        <v>29.0</v>
      </c>
      <c r="J54" s="19">
        <v>34.0</v>
      </c>
      <c r="K54" s="19">
        <v>37.0</v>
      </c>
      <c r="L54" s="19">
        <v>26.0</v>
      </c>
      <c r="M54" s="19">
        <v>26.0</v>
      </c>
      <c r="N54" s="19">
        <v>24.0</v>
      </c>
      <c r="O54" s="19">
        <v>15.0</v>
      </c>
      <c r="P54" s="19">
        <v>22.0</v>
      </c>
      <c r="Q54" s="19">
        <v>20.0</v>
      </c>
      <c r="R54" s="19">
        <v>29.0</v>
      </c>
      <c r="S54" s="19">
        <v>25.0</v>
      </c>
      <c r="T54" s="19">
        <v>23.0</v>
      </c>
      <c r="U54" s="19">
        <v>26.0</v>
      </c>
      <c r="V54" s="19">
        <v>24.0</v>
      </c>
      <c r="W54" s="19">
        <v>26.0</v>
      </c>
      <c r="X54" s="19">
        <v>25.0</v>
      </c>
      <c r="Y54" s="19">
        <v>26.0</v>
      </c>
      <c r="Z54" s="19">
        <v>33.0</v>
      </c>
      <c r="AA54" s="13">
        <f t="shared" si="8"/>
        <v>555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0.0</v>
      </c>
      <c r="F55" s="19">
        <v>2.0</v>
      </c>
      <c r="G55" s="19">
        <v>0.0</v>
      </c>
      <c r="H55" s="19">
        <v>0.0</v>
      </c>
      <c r="I55" s="19">
        <v>2.0</v>
      </c>
      <c r="J55" s="19">
        <v>0.0</v>
      </c>
      <c r="K55" s="19">
        <v>0.0</v>
      </c>
      <c r="L55" s="19">
        <v>1.0</v>
      </c>
      <c r="M55" s="19">
        <v>1.0</v>
      </c>
      <c r="N55" s="19">
        <v>1.0</v>
      </c>
      <c r="O55" s="19">
        <v>2.0</v>
      </c>
      <c r="P55" s="19">
        <v>1.0</v>
      </c>
      <c r="Q55" s="19">
        <v>1.0</v>
      </c>
      <c r="R55" s="19">
        <v>3.0</v>
      </c>
      <c r="S55" s="19">
        <v>2.0</v>
      </c>
      <c r="T55" s="19">
        <v>1.0</v>
      </c>
      <c r="U55" s="19">
        <v>2.0</v>
      </c>
      <c r="V55" s="19">
        <v>0.0</v>
      </c>
      <c r="W55" s="19">
        <v>1.0</v>
      </c>
      <c r="X55" s="19">
        <v>0.0</v>
      </c>
      <c r="Y55" s="19">
        <v>1.0</v>
      </c>
      <c r="Z55" s="19">
        <v>0.0</v>
      </c>
      <c r="AA55" s="13">
        <f t="shared" si="8"/>
        <v>21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38.0</v>
      </c>
      <c r="F56" s="19">
        <v>36.0</v>
      </c>
      <c r="G56" s="19">
        <v>25.0</v>
      </c>
      <c r="H56" s="19">
        <v>23.0</v>
      </c>
      <c r="I56" s="19">
        <v>29.0</v>
      </c>
      <c r="J56" s="19">
        <v>19.0</v>
      </c>
      <c r="K56" s="19">
        <v>18.0</v>
      </c>
      <c r="L56" s="19">
        <v>38.0</v>
      </c>
      <c r="M56" s="19">
        <v>24.0</v>
      </c>
      <c r="N56" s="19">
        <v>21.0</v>
      </c>
      <c r="O56" s="19">
        <v>33.0</v>
      </c>
      <c r="P56" s="19">
        <v>25.0</v>
      </c>
      <c r="Q56" s="19">
        <v>20.0</v>
      </c>
      <c r="R56" s="19">
        <v>33.0</v>
      </c>
      <c r="S56" s="19">
        <v>23.0</v>
      </c>
      <c r="T56" s="19">
        <v>15.0</v>
      </c>
      <c r="U56" s="19">
        <v>19.0</v>
      </c>
      <c r="V56" s="19">
        <v>26.0</v>
      </c>
      <c r="W56" s="19">
        <v>30.0</v>
      </c>
      <c r="X56" s="19">
        <v>38.0</v>
      </c>
      <c r="Y56" s="19">
        <v>37.0</v>
      </c>
      <c r="Z56" s="19">
        <v>29.0</v>
      </c>
      <c r="AA56" s="13">
        <f t="shared" si="8"/>
        <v>599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6.0</v>
      </c>
      <c r="G57" s="19">
        <v>0.0</v>
      </c>
      <c r="H57" s="19">
        <v>1.0</v>
      </c>
      <c r="I57" s="19">
        <v>3.0</v>
      </c>
      <c r="J57" s="19">
        <v>4.0</v>
      </c>
      <c r="K57" s="19">
        <v>3.0</v>
      </c>
      <c r="L57" s="19">
        <v>1.0</v>
      </c>
      <c r="M57" s="19">
        <v>3.0</v>
      </c>
      <c r="N57" s="19">
        <v>2.0</v>
      </c>
      <c r="O57" s="19">
        <v>2.0</v>
      </c>
      <c r="P57" s="19">
        <v>2.0</v>
      </c>
      <c r="Q57" s="19">
        <v>3.0</v>
      </c>
      <c r="R57" s="19">
        <v>3.0</v>
      </c>
      <c r="S57" s="19">
        <v>0.0</v>
      </c>
      <c r="T57" s="19">
        <v>6.0</v>
      </c>
      <c r="U57" s="19">
        <v>1.0</v>
      </c>
      <c r="V57" s="19">
        <v>3.0</v>
      </c>
      <c r="W57" s="19">
        <v>0.0</v>
      </c>
      <c r="X57" s="19">
        <v>0.0</v>
      </c>
      <c r="Y57" s="19">
        <v>0.0</v>
      </c>
      <c r="Z57" s="19">
        <v>2.0</v>
      </c>
      <c r="AA57" s="13">
        <f t="shared" si="8"/>
        <v>46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Z60" si="9">SUM(E45:E57)</f>
        <v>184</v>
      </c>
      <c r="F60" s="19">
        <f t="shared" si="9"/>
        <v>189</v>
      </c>
      <c r="G60" s="19">
        <f t="shared" si="9"/>
        <v>158</v>
      </c>
      <c r="H60" s="19">
        <f t="shared" si="9"/>
        <v>166</v>
      </c>
      <c r="I60" s="19">
        <f t="shared" si="9"/>
        <v>170</v>
      </c>
      <c r="J60" s="19">
        <f t="shared" si="9"/>
        <v>182</v>
      </c>
      <c r="K60" s="19">
        <f t="shared" si="9"/>
        <v>166</v>
      </c>
      <c r="L60" s="19">
        <f t="shared" si="9"/>
        <v>135</v>
      </c>
      <c r="M60" s="19">
        <f t="shared" si="9"/>
        <v>145</v>
      </c>
      <c r="N60" s="19">
        <f t="shared" si="9"/>
        <v>144</v>
      </c>
      <c r="O60" s="19">
        <f t="shared" si="9"/>
        <v>172</v>
      </c>
      <c r="P60" s="19">
        <f t="shared" si="9"/>
        <v>147</v>
      </c>
      <c r="Q60" s="19">
        <f t="shared" si="9"/>
        <v>167</v>
      </c>
      <c r="R60" s="19">
        <f t="shared" si="9"/>
        <v>194</v>
      </c>
      <c r="S60" s="19">
        <f t="shared" si="9"/>
        <v>147</v>
      </c>
      <c r="T60" s="19">
        <f t="shared" si="9"/>
        <v>118</v>
      </c>
      <c r="U60" s="19">
        <f t="shared" si="9"/>
        <v>148</v>
      </c>
      <c r="V60" s="19">
        <f t="shared" si="9"/>
        <v>183</v>
      </c>
      <c r="W60" s="19">
        <f t="shared" si="9"/>
        <v>185</v>
      </c>
      <c r="X60" s="19">
        <f t="shared" si="9"/>
        <v>205</v>
      </c>
      <c r="Y60" s="19">
        <f t="shared" si="9"/>
        <v>200</v>
      </c>
      <c r="Z60" s="19">
        <f t="shared" si="9"/>
        <v>181</v>
      </c>
      <c r="AA60" s="13">
        <f t="shared" ref="AA60:AA62" si="10">SUM(E60:Z60)</f>
        <v>3686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28.0</v>
      </c>
      <c r="F61" s="19">
        <v>21.0</v>
      </c>
      <c r="G61" s="19">
        <v>13.0</v>
      </c>
      <c r="H61" s="19">
        <v>23.0</v>
      </c>
      <c r="I61" s="19">
        <v>36.0</v>
      </c>
      <c r="J61" s="19">
        <v>42.0</v>
      </c>
      <c r="K61" s="19">
        <v>34.0</v>
      </c>
      <c r="L61" s="19">
        <v>14.0</v>
      </c>
      <c r="M61" s="19">
        <v>53.0</v>
      </c>
      <c r="N61" s="19">
        <v>23.0</v>
      </c>
      <c r="O61" s="19">
        <v>37.0</v>
      </c>
      <c r="P61" s="19">
        <v>63.0</v>
      </c>
      <c r="Q61" s="19">
        <v>30.0</v>
      </c>
      <c r="R61" s="19">
        <v>19.0</v>
      </c>
      <c r="S61" s="19">
        <v>41.0</v>
      </c>
      <c r="T61" s="19">
        <v>47.0</v>
      </c>
      <c r="U61" s="19">
        <v>38.0</v>
      </c>
      <c r="V61" s="19">
        <v>24.0</v>
      </c>
      <c r="W61" s="19">
        <v>17.0</v>
      </c>
      <c r="X61" s="19">
        <v>36.0</v>
      </c>
      <c r="Y61" s="19">
        <v>25.0</v>
      </c>
      <c r="Z61" s="19">
        <v>47.0</v>
      </c>
      <c r="AA61" s="13">
        <f t="shared" si="10"/>
        <v>711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Z62" si="11">SUM(E60:E61)</f>
        <v>212</v>
      </c>
      <c r="F62" s="13">
        <f t="shared" si="11"/>
        <v>210</v>
      </c>
      <c r="G62" s="13">
        <f t="shared" si="11"/>
        <v>171</v>
      </c>
      <c r="H62" s="13">
        <f t="shared" si="11"/>
        <v>189</v>
      </c>
      <c r="I62" s="13">
        <f t="shared" si="11"/>
        <v>206</v>
      </c>
      <c r="J62" s="13">
        <f t="shared" si="11"/>
        <v>224</v>
      </c>
      <c r="K62" s="13">
        <f t="shared" si="11"/>
        <v>200</v>
      </c>
      <c r="L62" s="13">
        <f t="shared" si="11"/>
        <v>149</v>
      </c>
      <c r="M62" s="13">
        <f t="shared" si="11"/>
        <v>198</v>
      </c>
      <c r="N62" s="13">
        <f t="shared" si="11"/>
        <v>167</v>
      </c>
      <c r="O62" s="13">
        <f t="shared" si="11"/>
        <v>209</v>
      </c>
      <c r="P62" s="13">
        <f t="shared" si="11"/>
        <v>210</v>
      </c>
      <c r="Q62" s="13">
        <f t="shared" si="11"/>
        <v>197</v>
      </c>
      <c r="R62" s="13">
        <f t="shared" si="11"/>
        <v>213</v>
      </c>
      <c r="S62" s="13">
        <f t="shared" si="11"/>
        <v>188</v>
      </c>
      <c r="T62" s="13">
        <f t="shared" si="11"/>
        <v>165</v>
      </c>
      <c r="U62" s="13">
        <f t="shared" si="11"/>
        <v>186</v>
      </c>
      <c r="V62" s="13">
        <f t="shared" si="11"/>
        <v>207</v>
      </c>
      <c r="W62" s="13">
        <f t="shared" si="11"/>
        <v>202</v>
      </c>
      <c r="X62" s="13">
        <f t="shared" si="11"/>
        <v>241</v>
      </c>
      <c r="Y62" s="13">
        <f t="shared" si="11"/>
        <v>225</v>
      </c>
      <c r="Z62" s="13">
        <f t="shared" si="11"/>
        <v>228</v>
      </c>
      <c r="AA62" s="13">
        <f t="shared" si="10"/>
        <v>4397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Z15 E45:Z57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E30&lt;&gt;E46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E60:Z61">
    <cfRule type="containsBlanks" dxfId="1" priority="10">
      <formula>LEN(TRIM(E60))=0</formula>
    </cfRule>
  </conditionalFormatting>
  <conditionalFormatting sqref="U34:Z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114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123.0</v>
      </c>
      <c r="F14" s="19">
        <v>126.0</v>
      </c>
      <c r="G14" s="19">
        <v>140.0</v>
      </c>
      <c r="H14" s="19">
        <v>149.0</v>
      </c>
      <c r="I14" s="19">
        <v>141.0</v>
      </c>
      <c r="J14" s="19">
        <v>133.0</v>
      </c>
      <c r="K14" s="19">
        <v>140.0</v>
      </c>
      <c r="L14" s="19">
        <v>143.0</v>
      </c>
      <c r="M14" s="19">
        <v>128.0</v>
      </c>
      <c r="N14" s="19">
        <v>131.0</v>
      </c>
      <c r="O14" s="19">
        <v>126.0</v>
      </c>
      <c r="P14" s="19">
        <v>120.0</v>
      </c>
      <c r="Q14" s="19">
        <v>133.0</v>
      </c>
      <c r="R14" s="19">
        <v>139.0</v>
      </c>
      <c r="S14" s="19">
        <v>136.0</v>
      </c>
      <c r="T14" s="19">
        <v>139.0</v>
      </c>
      <c r="U14" s="19">
        <v>134.0</v>
      </c>
      <c r="V14" s="19">
        <v>136.0</v>
      </c>
      <c r="W14" s="19">
        <v>146.0</v>
      </c>
      <c r="X14" s="19">
        <v>127.0</v>
      </c>
      <c r="Y14" s="19">
        <v>128.0</v>
      </c>
      <c r="Z14" s="19">
        <v>132.0</v>
      </c>
      <c r="AA14" s="19">
        <v>133.0</v>
      </c>
      <c r="AB14" s="19">
        <v>122.0</v>
      </c>
      <c r="AC14" s="13">
        <f t="shared" ref="AC14:AC16" si="1">SUM(E14:AB14)</f>
        <v>3205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131.0</v>
      </c>
      <c r="G15" s="19">
        <v>129.0</v>
      </c>
      <c r="H15" s="19">
        <v>138.0</v>
      </c>
      <c r="I15" s="19">
        <v>132.0</v>
      </c>
      <c r="J15" s="19">
        <v>144.0</v>
      </c>
      <c r="K15" s="19">
        <v>136.0</v>
      </c>
      <c r="L15" s="19">
        <v>148.0</v>
      </c>
      <c r="M15" s="19">
        <v>127.0</v>
      </c>
      <c r="N15" s="19">
        <v>123.0</v>
      </c>
      <c r="O15" s="19">
        <v>129.0</v>
      </c>
      <c r="P15" s="19">
        <v>117.0</v>
      </c>
      <c r="Q15" s="19">
        <v>120.0</v>
      </c>
      <c r="R15" s="19">
        <v>153.0</v>
      </c>
      <c r="S15" s="19">
        <v>135.0</v>
      </c>
      <c r="T15" s="19">
        <v>142.0</v>
      </c>
      <c r="U15" s="19">
        <v>130.0</v>
      </c>
      <c r="V15" s="19">
        <v>157.0</v>
      </c>
      <c r="W15" s="19">
        <v>133.0</v>
      </c>
      <c r="X15" s="19">
        <v>162.0</v>
      </c>
      <c r="Y15" s="19">
        <v>127.0</v>
      </c>
      <c r="Z15" s="19">
        <v>145.0</v>
      </c>
      <c r="AA15" s="19">
        <v>124.0</v>
      </c>
      <c r="AB15" s="19">
        <v>112.0</v>
      </c>
      <c r="AC15" s="13">
        <f t="shared" si="1"/>
        <v>3240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269</v>
      </c>
      <c r="F16" s="13">
        <f t="shared" si="2"/>
        <v>257</v>
      </c>
      <c r="G16" s="13">
        <f t="shared" si="2"/>
        <v>269</v>
      </c>
      <c r="H16" s="13">
        <f t="shared" si="2"/>
        <v>287</v>
      </c>
      <c r="I16" s="13">
        <f t="shared" si="2"/>
        <v>273</v>
      </c>
      <c r="J16" s="13">
        <f t="shared" si="2"/>
        <v>277</v>
      </c>
      <c r="K16" s="13">
        <f t="shared" si="2"/>
        <v>276</v>
      </c>
      <c r="L16" s="13">
        <f t="shared" si="2"/>
        <v>291</v>
      </c>
      <c r="M16" s="13">
        <f t="shared" si="2"/>
        <v>255</v>
      </c>
      <c r="N16" s="13">
        <f t="shared" si="2"/>
        <v>254</v>
      </c>
      <c r="O16" s="13">
        <f t="shared" si="2"/>
        <v>255</v>
      </c>
      <c r="P16" s="13">
        <f t="shared" si="2"/>
        <v>237</v>
      </c>
      <c r="Q16" s="13">
        <f t="shared" si="2"/>
        <v>253</v>
      </c>
      <c r="R16" s="13">
        <f t="shared" si="2"/>
        <v>292</v>
      </c>
      <c r="S16" s="13">
        <f t="shared" si="2"/>
        <v>271</v>
      </c>
      <c r="T16" s="13">
        <f t="shared" si="2"/>
        <v>281</v>
      </c>
      <c r="U16" s="13">
        <f t="shared" si="2"/>
        <v>264</v>
      </c>
      <c r="V16" s="13">
        <f t="shared" si="2"/>
        <v>293</v>
      </c>
      <c r="W16" s="13">
        <f t="shared" si="2"/>
        <v>279</v>
      </c>
      <c r="X16" s="13">
        <f t="shared" si="2"/>
        <v>289</v>
      </c>
      <c r="Y16" s="13">
        <f t="shared" si="2"/>
        <v>255</v>
      </c>
      <c r="Z16" s="13">
        <f t="shared" si="2"/>
        <v>277</v>
      </c>
      <c r="AA16" s="13">
        <f t="shared" si="2"/>
        <v>257</v>
      </c>
      <c r="AB16" s="13">
        <f t="shared" si="2"/>
        <v>234</v>
      </c>
      <c r="AC16" s="13">
        <f t="shared" si="1"/>
        <v>6445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100.0</v>
      </c>
      <c r="G19" s="19">
        <v>104.0</v>
      </c>
      <c r="H19" s="19">
        <v>110.0</v>
      </c>
      <c r="I19" s="19">
        <v>120.0</v>
      </c>
      <c r="J19" s="19">
        <v>101.0</v>
      </c>
      <c r="K19" s="19">
        <v>105.0</v>
      </c>
      <c r="L19" s="19">
        <v>112.0</v>
      </c>
      <c r="M19" s="19">
        <v>104.0</v>
      </c>
      <c r="N19" s="19">
        <v>99.0</v>
      </c>
      <c r="O19" s="19">
        <v>95.0</v>
      </c>
      <c r="P19" s="19">
        <v>92.0</v>
      </c>
      <c r="Q19" s="19">
        <v>91.0</v>
      </c>
      <c r="R19" s="19">
        <v>106.0</v>
      </c>
      <c r="S19" s="19">
        <v>91.0</v>
      </c>
      <c r="T19" s="19">
        <v>100.0</v>
      </c>
      <c r="U19" s="19">
        <v>102.0</v>
      </c>
      <c r="V19" s="19">
        <v>104.0</v>
      </c>
      <c r="W19" s="19">
        <v>116.0</v>
      </c>
      <c r="X19" s="19">
        <v>106.0</v>
      </c>
      <c r="Y19" s="19">
        <v>93.0</v>
      </c>
      <c r="Z19" s="19">
        <v>102.0</v>
      </c>
      <c r="AA19" s="19">
        <v>101.0</v>
      </c>
      <c r="AB19" s="19">
        <v>97.0</v>
      </c>
      <c r="AC19" s="13">
        <f t="shared" ref="AC19:AC30" si="3">SUM(E19:AB19)</f>
        <v>2440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107.0</v>
      </c>
      <c r="G20" s="19">
        <v>103.0</v>
      </c>
      <c r="H20" s="19">
        <v>110.0</v>
      </c>
      <c r="I20" s="19">
        <v>114.0</v>
      </c>
      <c r="J20" s="19">
        <v>116.0</v>
      </c>
      <c r="K20" s="19">
        <v>112.0</v>
      </c>
      <c r="L20" s="19">
        <v>123.0</v>
      </c>
      <c r="M20" s="19">
        <v>110.0</v>
      </c>
      <c r="N20" s="19">
        <v>98.0</v>
      </c>
      <c r="O20" s="19">
        <v>102.0</v>
      </c>
      <c r="P20" s="19">
        <v>93.0</v>
      </c>
      <c r="Q20" s="19">
        <v>86.0</v>
      </c>
      <c r="R20" s="19">
        <v>121.0</v>
      </c>
      <c r="S20" s="19">
        <v>107.0</v>
      </c>
      <c r="T20" s="19">
        <v>109.0</v>
      </c>
      <c r="U20" s="19">
        <v>106.0</v>
      </c>
      <c r="V20" s="19">
        <v>119.0</v>
      </c>
      <c r="W20" s="19">
        <v>110.0</v>
      </c>
      <c r="X20" s="19">
        <v>133.0</v>
      </c>
      <c r="Y20" s="19">
        <v>99.0</v>
      </c>
      <c r="Z20" s="19">
        <v>107.0</v>
      </c>
      <c r="AA20" s="19">
        <v>110.0</v>
      </c>
      <c r="AB20" s="19">
        <v>87.0</v>
      </c>
      <c r="AC20" s="13">
        <f t="shared" si="3"/>
        <v>2597</v>
      </c>
    </row>
    <row r="21" ht="12.75" customHeight="1">
      <c r="A21" s="35"/>
      <c r="B21" s="28"/>
      <c r="C21" s="36"/>
      <c r="D21" s="13" t="s">
        <v>14</v>
      </c>
      <c r="E21" s="13">
        <v>204.0</v>
      </c>
      <c r="F21" s="13">
        <v>207.0</v>
      </c>
      <c r="G21" s="13">
        <v>207.0</v>
      </c>
      <c r="H21" s="13">
        <v>220.0</v>
      </c>
      <c r="I21" s="13">
        <v>234.0</v>
      </c>
      <c r="J21" s="13">
        <v>217.0</v>
      </c>
      <c r="K21" s="13">
        <v>217.0</v>
      </c>
      <c r="L21" s="13">
        <v>235.0</v>
      </c>
      <c r="M21" s="13">
        <v>214.0</v>
      </c>
      <c r="N21" s="13">
        <v>197.0</v>
      </c>
      <c r="O21" s="13">
        <v>197.0</v>
      </c>
      <c r="P21" s="13">
        <v>185.0</v>
      </c>
      <c r="Q21" s="13">
        <v>177.0</v>
      </c>
      <c r="R21" s="13">
        <v>227.0</v>
      </c>
      <c r="S21" s="13">
        <v>198.0</v>
      </c>
      <c r="T21" s="13">
        <v>209.0</v>
      </c>
      <c r="U21" s="13">
        <v>208.0</v>
      </c>
      <c r="V21" s="13">
        <v>223.0</v>
      </c>
      <c r="W21" s="13">
        <v>226.0</v>
      </c>
      <c r="X21" s="13">
        <v>239.0</v>
      </c>
      <c r="Y21" s="13">
        <v>192.0</v>
      </c>
      <c r="Z21" s="13">
        <v>209.0</v>
      </c>
      <c r="AA21" s="13">
        <v>211.0</v>
      </c>
      <c r="AB21" s="13">
        <v>184.0</v>
      </c>
      <c r="AC21" s="13">
        <f t="shared" si="3"/>
        <v>5037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1.0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1.0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v>1.0</v>
      </c>
      <c r="AC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1.0</v>
      </c>
      <c r="H25" s="19">
        <v>1.0</v>
      </c>
      <c r="I25" s="19">
        <v>0.0</v>
      </c>
      <c r="J25" s="19">
        <v>0.0</v>
      </c>
      <c r="K25" s="19">
        <v>0.0</v>
      </c>
      <c r="L25" s="19">
        <v>1.0</v>
      </c>
      <c r="M25" s="19">
        <v>0.0</v>
      </c>
      <c r="N25" s="19">
        <v>0.0</v>
      </c>
      <c r="O25" s="19">
        <v>3.0</v>
      </c>
      <c r="P25" s="19">
        <v>1.0</v>
      </c>
      <c r="Q25" s="19">
        <v>2.0</v>
      </c>
      <c r="R25" s="19">
        <v>3.0</v>
      </c>
      <c r="S25" s="19">
        <v>0.0</v>
      </c>
      <c r="T25" s="19">
        <v>0.0</v>
      </c>
      <c r="U25" s="19">
        <v>0.0</v>
      </c>
      <c r="V25" s="19">
        <v>1.0</v>
      </c>
      <c r="W25" s="19">
        <v>0.0</v>
      </c>
      <c r="X25" s="19">
        <v>0.0</v>
      </c>
      <c r="Y25" s="19">
        <v>0.0</v>
      </c>
      <c r="Z25" s="19">
        <v>0.0</v>
      </c>
      <c r="AA25" s="19">
        <v>1.0</v>
      </c>
      <c r="AB25" s="19">
        <v>0.0</v>
      </c>
      <c r="AC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1.0</v>
      </c>
      <c r="I26" s="19">
        <v>0.0</v>
      </c>
      <c r="J26" s="19">
        <v>2.0</v>
      </c>
      <c r="K26" s="19">
        <v>0.0</v>
      </c>
      <c r="L26" s="19">
        <v>0.0</v>
      </c>
      <c r="M26" s="19">
        <v>0.0</v>
      </c>
      <c r="N26" s="19">
        <v>0.0</v>
      </c>
      <c r="O26" s="19">
        <v>1.0</v>
      </c>
      <c r="P26" s="19">
        <v>0.0</v>
      </c>
      <c r="Q26" s="19">
        <v>1.0</v>
      </c>
      <c r="R26" s="19">
        <v>0.0</v>
      </c>
      <c r="S26" s="19">
        <v>0.0</v>
      </c>
      <c r="T26" s="19">
        <v>1.0</v>
      </c>
      <c r="U26" s="19">
        <v>0.0</v>
      </c>
      <c r="V26" s="19">
        <v>0.0</v>
      </c>
      <c r="W26" s="19">
        <v>1.0</v>
      </c>
      <c r="X26" s="19">
        <v>0.0</v>
      </c>
      <c r="Y26" s="19">
        <v>0.0</v>
      </c>
      <c r="Z26" s="19">
        <v>1.0</v>
      </c>
      <c r="AA26" s="19">
        <v>1.0</v>
      </c>
      <c r="AB26" s="19">
        <v>2.0</v>
      </c>
      <c r="AC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v>0.0</v>
      </c>
      <c r="F27" s="13">
        <v>2.0</v>
      </c>
      <c r="G27" s="13">
        <v>1.0</v>
      </c>
      <c r="H27" s="13">
        <v>2.0</v>
      </c>
      <c r="I27" s="13">
        <v>0.0</v>
      </c>
      <c r="J27" s="13">
        <v>2.0</v>
      </c>
      <c r="K27" s="13">
        <v>0.0</v>
      </c>
      <c r="L27" s="13">
        <v>1.0</v>
      </c>
      <c r="M27" s="13">
        <v>0.0</v>
      </c>
      <c r="N27" s="13">
        <v>0.0</v>
      </c>
      <c r="O27" s="13">
        <v>4.0</v>
      </c>
      <c r="P27" s="13">
        <v>1.0</v>
      </c>
      <c r="Q27" s="13">
        <v>3.0</v>
      </c>
      <c r="R27" s="13">
        <v>3.0</v>
      </c>
      <c r="S27" s="13">
        <v>0.0</v>
      </c>
      <c r="T27" s="13">
        <v>1.0</v>
      </c>
      <c r="U27" s="13">
        <v>0.0</v>
      </c>
      <c r="V27" s="13">
        <v>1.0</v>
      </c>
      <c r="W27" s="13">
        <v>1.0</v>
      </c>
      <c r="X27" s="13">
        <v>0.0</v>
      </c>
      <c r="Y27" s="13">
        <v>0.0</v>
      </c>
      <c r="Z27" s="13">
        <v>1.0</v>
      </c>
      <c r="AA27" s="13">
        <v>2.0</v>
      </c>
      <c r="AB27" s="13">
        <v>2.0</v>
      </c>
      <c r="AC27" s="13">
        <f t="shared" si="3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89.0</v>
      </c>
      <c r="F28" s="13">
        <v>101.0</v>
      </c>
      <c r="G28" s="13">
        <v>105.0</v>
      </c>
      <c r="H28" s="13">
        <v>111.0</v>
      </c>
      <c r="I28" s="13">
        <v>120.0</v>
      </c>
      <c r="J28" s="13">
        <v>101.0</v>
      </c>
      <c r="K28" s="13">
        <v>105.0</v>
      </c>
      <c r="L28" s="13">
        <v>113.0</v>
      </c>
      <c r="M28" s="13">
        <v>104.0</v>
      </c>
      <c r="N28" s="13">
        <v>99.0</v>
      </c>
      <c r="O28" s="13">
        <v>98.0</v>
      </c>
      <c r="P28" s="13">
        <v>93.0</v>
      </c>
      <c r="Q28" s="13">
        <v>93.0</v>
      </c>
      <c r="R28" s="13">
        <v>109.0</v>
      </c>
      <c r="S28" s="13">
        <v>91.0</v>
      </c>
      <c r="T28" s="13">
        <v>100.0</v>
      </c>
      <c r="U28" s="13">
        <v>102.0</v>
      </c>
      <c r="V28" s="13">
        <v>105.0</v>
      </c>
      <c r="W28" s="13">
        <v>116.0</v>
      </c>
      <c r="X28" s="13">
        <v>106.0</v>
      </c>
      <c r="Y28" s="13">
        <v>93.0</v>
      </c>
      <c r="Z28" s="13">
        <v>102.0</v>
      </c>
      <c r="AA28" s="13">
        <v>102.0</v>
      </c>
      <c r="AB28" s="13">
        <v>98.0</v>
      </c>
      <c r="AC28" s="13">
        <f t="shared" si="3"/>
        <v>2456</v>
      </c>
    </row>
    <row r="29" ht="12.75" customHeight="1">
      <c r="A29" s="35"/>
      <c r="B29" s="27"/>
      <c r="C29" s="34"/>
      <c r="D29" s="13" t="s">
        <v>13</v>
      </c>
      <c r="E29" s="13">
        <v>115.0</v>
      </c>
      <c r="F29" s="13">
        <v>109.0</v>
      </c>
      <c r="G29" s="13">
        <v>103.0</v>
      </c>
      <c r="H29" s="13">
        <v>111.0</v>
      </c>
      <c r="I29" s="13">
        <v>114.0</v>
      </c>
      <c r="J29" s="13">
        <v>118.0</v>
      </c>
      <c r="K29" s="13">
        <v>112.0</v>
      </c>
      <c r="L29" s="13">
        <v>123.0</v>
      </c>
      <c r="M29" s="13">
        <v>110.0</v>
      </c>
      <c r="N29" s="13">
        <v>98.0</v>
      </c>
      <c r="O29" s="13">
        <v>103.0</v>
      </c>
      <c r="P29" s="13">
        <v>93.0</v>
      </c>
      <c r="Q29" s="13">
        <v>87.0</v>
      </c>
      <c r="R29" s="13">
        <v>122.0</v>
      </c>
      <c r="S29" s="13">
        <v>107.0</v>
      </c>
      <c r="T29" s="13">
        <v>110.0</v>
      </c>
      <c r="U29" s="13">
        <v>106.0</v>
      </c>
      <c r="V29" s="13">
        <v>119.0</v>
      </c>
      <c r="W29" s="13">
        <v>111.0</v>
      </c>
      <c r="X29" s="13">
        <v>133.0</v>
      </c>
      <c r="Y29" s="13">
        <v>99.0</v>
      </c>
      <c r="Z29" s="13">
        <v>108.0</v>
      </c>
      <c r="AA29" s="13">
        <v>111.0</v>
      </c>
      <c r="AB29" s="13">
        <v>89.0</v>
      </c>
      <c r="AC29" s="13">
        <f t="shared" si="3"/>
        <v>2611</v>
      </c>
    </row>
    <row r="30" ht="12.75" customHeight="1">
      <c r="A30" s="35"/>
      <c r="B30" s="28"/>
      <c r="C30" s="36"/>
      <c r="D30" s="13" t="s">
        <v>14</v>
      </c>
      <c r="E30" s="13">
        <f t="shared" ref="E30:AB30" si="4">SUM(E28:E29)</f>
        <v>204</v>
      </c>
      <c r="F30" s="13">
        <f t="shared" si="4"/>
        <v>210</v>
      </c>
      <c r="G30" s="13">
        <f t="shared" si="4"/>
        <v>208</v>
      </c>
      <c r="H30" s="13">
        <f t="shared" si="4"/>
        <v>222</v>
      </c>
      <c r="I30" s="13">
        <f t="shared" si="4"/>
        <v>234</v>
      </c>
      <c r="J30" s="13">
        <f t="shared" si="4"/>
        <v>219</v>
      </c>
      <c r="K30" s="13">
        <f t="shared" si="4"/>
        <v>217</v>
      </c>
      <c r="L30" s="13">
        <f t="shared" si="4"/>
        <v>236</v>
      </c>
      <c r="M30" s="13">
        <f t="shared" si="4"/>
        <v>214</v>
      </c>
      <c r="N30" s="13">
        <f t="shared" si="4"/>
        <v>197</v>
      </c>
      <c r="O30" s="13">
        <f t="shared" si="4"/>
        <v>201</v>
      </c>
      <c r="P30" s="13">
        <f t="shared" si="4"/>
        <v>186</v>
      </c>
      <c r="Q30" s="13">
        <f t="shared" si="4"/>
        <v>180</v>
      </c>
      <c r="R30" s="13">
        <f t="shared" si="4"/>
        <v>231</v>
      </c>
      <c r="S30" s="13">
        <f t="shared" si="4"/>
        <v>198</v>
      </c>
      <c r="T30" s="13">
        <f t="shared" si="4"/>
        <v>210</v>
      </c>
      <c r="U30" s="13">
        <f t="shared" si="4"/>
        <v>208</v>
      </c>
      <c r="V30" s="13">
        <f t="shared" si="4"/>
        <v>224</v>
      </c>
      <c r="W30" s="13">
        <f t="shared" si="4"/>
        <v>227</v>
      </c>
      <c r="X30" s="13">
        <f t="shared" si="4"/>
        <v>239</v>
      </c>
      <c r="Y30" s="13">
        <f t="shared" si="4"/>
        <v>192</v>
      </c>
      <c r="Z30" s="13">
        <f t="shared" si="4"/>
        <v>210</v>
      </c>
      <c r="AA30" s="13">
        <f t="shared" si="4"/>
        <v>213</v>
      </c>
      <c r="AB30" s="13">
        <f t="shared" si="4"/>
        <v>187</v>
      </c>
      <c r="AC30" s="13">
        <f t="shared" si="3"/>
        <v>5067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59"/>
    </row>
    <row r="33" ht="12.75" customHeight="1">
      <c r="A33" s="19">
        <v>1.0</v>
      </c>
      <c r="B33" s="20" t="s">
        <v>27</v>
      </c>
      <c r="C33" s="15"/>
      <c r="D33" s="16"/>
      <c r="E33" s="19">
        <v>275.0</v>
      </c>
      <c r="F33" s="19">
        <v>263.0</v>
      </c>
      <c r="G33" s="19">
        <v>275.0</v>
      </c>
      <c r="H33" s="19">
        <v>294.0</v>
      </c>
      <c r="I33" s="19">
        <v>279.0</v>
      </c>
      <c r="J33" s="19">
        <v>283.0</v>
      </c>
      <c r="K33" s="19">
        <v>283.0</v>
      </c>
      <c r="L33" s="19">
        <v>297.0</v>
      </c>
      <c r="M33" s="19">
        <v>241.0</v>
      </c>
      <c r="N33" s="19">
        <v>261.0</v>
      </c>
      <c r="O33" s="19">
        <v>261.0</v>
      </c>
      <c r="P33" s="19">
        <v>241.0</v>
      </c>
      <c r="Q33" s="19">
        <v>258.0</v>
      </c>
      <c r="R33" s="19">
        <v>299.0</v>
      </c>
      <c r="S33" s="19">
        <v>277.0</v>
      </c>
      <c r="T33" s="19">
        <v>287.0</v>
      </c>
      <c r="U33" s="19">
        <v>269.0</v>
      </c>
      <c r="V33" s="19">
        <v>301.0</v>
      </c>
      <c r="W33" s="19">
        <v>286.0</v>
      </c>
      <c r="X33" s="19">
        <v>295.0</v>
      </c>
      <c r="Y33" s="19">
        <v>261.0</v>
      </c>
      <c r="Z33" s="19">
        <v>283.0</v>
      </c>
      <c r="AA33" s="19">
        <v>263.0</v>
      </c>
      <c r="AB33" s="19">
        <v>240.0</v>
      </c>
      <c r="AC33" s="13">
        <f t="shared" ref="AC33:AC36" si="5">SUM(E33:AB33)</f>
        <v>6572</v>
      </c>
    </row>
    <row r="34" ht="12.75" customHeight="1">
      <c r="A34" s="19">
        <v>2.0</v>
      </c>
      <c r="B34" s="20" t="s">
        <v>28</v>
      </c>
      <c r="C34" s="15"/>
      <c r="D34" s="16"/>
      <c r="E34" s="13">
        <v>204.0</v>
      </c>
      <c r="F34" s="13">
        <v>210.0</v>
      </c>
      <c r="G34" s="13">
        <v>208.0</v>
      </c>
      <c r="H34" s="13">
        <v>222.0</v>
      </c>
      <c r="I34" s="13">
        <v>234.0</v>
      </c>
      <c r="J34" s="13">
        <v>219.0</v>
      </c>
      <c r="K34" s="13">
        <v>217.0</v>
      </c>
      <c r="L34" s="13">
        <v>236.0</v>
      </c>
      <c r="M34" s="13">
        <v>214.0</v>
      </c>
      <c r="N34" s="13">
        <v>197.0</v>
      </c>
      <c r="O34" s="13">
        <v>201.0</v>
      </c>
      <c r="P34" s="13">
        <v>186.0</v>
      </c>
      <c r="Q34" s="13">
        <v>180.0</v>
      </c>
      <c r="R34" s="13">
        <v>231.0</v>
      </c>
      <c r="S34" s="13">
        <v>198.0</v>
      </c>
      <c r="T34" s="13">
        <v>210.0</v>
      </c>
      <c r="U34" s="13">
        <v>208.0</v>
      </c>
      <c r="V34" s="13">
        <v>224.0</v>
      </c>
      <c r="W34" s="13">
        <v>227.0</v>
      </c>
      <c r="X34" s="13">
        <v>239.0</v>
      </c>
      <c r="Y34" s="13">
        <v>192.0</v>
      </c>
      <c r="Z34" s="13">
        <v>210.0</v>
      </c>
      <c r="AA34" s="13">
        <v>213.0</v>
      </c>
      <c r="AB34" s="13">
        <v>187.0</v>
      </c>
      <c r="AC34" s="13">
        <f t="shared" si="5"/>
        <v>5067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3">
        <f t="shared" si="5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v>71.0</v>
      </c>
      <c r="F36" s="13">
        <v>53.0</v>
      </c>
      <c r="G36" s="13">
        <v>67.0</v>
      </c>
      <c r="H36" s="13">
        <v>71.0</v>
      </c>
      <c r="I36" s="13">
        <v>45.0</v>
      </c>
      <c r="J36" s="13">
        <v>64.0</v>
      </c>
      <c r="K36" s="13">
        <v>66.0</v>
      </c>
      <c r="L36" s="13">
        <v>61.0</v>
      </c>
      <c r="M36" s="13">
        <v>27.0</v>
      </c>
      <c r="N36" s="13">
        <v>63.0</v>
      </c>
      <c r="O36" s="13">
        <v>60.0</v>
      </c>
      <c r="P36" s="13">
        <v>55.0</v>
      </c>
      <c r="Q36" s="13">
        <v>78.0</v>
      </c>
      <c r="R36" s="13">
        <v>68.0</v>
      </c>
      <c r="S36" s="13">
        <v>79.0</v>
      </c>
      <c r="T36" s="13">
        <v>77.0</v>
      </c>
      <c r="U36" s="13">
        <v>61.0</v>
      </c>
      <c r="V36" s="13">
        <v>77.0</v>
      </c>
      <c r="W36" s="13">
        <v>59.0</v>
      </c>
      <c r="X36" s="13">
        <v>56.0</v>
      </c>
      <c r="Y36" s="13">
        <v>69.0</v>
      </c>
      <c r="Z36" s="13">
        <v>73.0</v>
      </c>
      <c r="AA36" s="13">
        <v>50.0</v>
      </c>
      <c r="AB36" s="13">
        <v>53.0</v>
      </c>
      <c r="AC36" s="13">
        <f t="shared" si="5"/>
        <v>1503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2.0</v>
      </c>
      <c r="X39" s="19">
        <v>0.0</v>
      </c>
      <c r="Y39" s="19">
        <v>1.0</v>
      </c>
      <c r="Z39" s="19">
        <v>0.0</v>
      </c>
      <c r="AA39" s="19">
        <v>0.0</v>
      </c>
      <c r="AB39" s="19">
        <v>0.0</v>
      </c>
      <c r="AC39" s="13">
        <f t="shared" ref="AC39:AC41" si="6">SUM(E39:AB39)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1.0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3">
        <f t="shared" si="6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B41" si="7">SUM(E39:E40)</f>
        <v>0</v>
      </c>
      <c r="F41" s="13">
        <f t="shared" si="7"/>
        <v>0</v>
      </c>
      <c r="G41" s="13">
        <f t="shared" si="7"/>
        <v>0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0</v>
      </c>
      <c r="L41" s="13">
        <f t="shared" si="7"/>
        <v>0</v>
      </c>
      <c r="M41" s="13">
        <f t="shared" si="7"/>
        <v>0</v>
      </c>
      <c r="N41" s="13">
        <f t="shared" si="7"/>
        <v>0</v>
      </c>
      <c r="O41" s="13">
        <f t="shared" si="7"/>
        <v>0</v>
      </c>
      <c r="P41" s="13">
        <f t="shared" si="7"/>
        <v>0</v>
      </c>
      <c r="Q41" s="13">
        <f t="shared" si="7"/>
        <v>0</v>
      </c>
      <c r="R41" s="13">
        <f t="shared" si="7"/>
        <v>0</v>
      </c>
      <c r="S41" s="13">
        <f t="shared" si="7"/>
        <v>1</v>
      </c>
      <c r="T41" s="13">
        <f t="shared" si="7"/>
        <v>0</v>
      </c>
      <c r="U41" s="13">
        <f t="shared" si="7"/>
        <v>0</v>
      </c>
      <c r="V41" s="13">
        <f t="shared" si="7"/>
        <v>1</v>
      </c>
      <c r="W41" s="13">
        <f t="shared" si="7"/>
        <v>3</v>
      </c>
      <c r="X41" s="13">
        <f t="shared" si="7"/>
        <v>0</v>
      </c>
      <c r="Y41" s="13">
        <f t="shared" si="7"/>
        <v>1</v>
      </c>
      <c r="Z41" s="13">
        <f t="shared" si="7"/>
        <v>0</v>
      </c>
      <c r="AA41" s="13">
        <f t="shared" si="7"/>
        <v>0</v>
      </c>
      <c r="AB41" s="13">
        <f t="shared" si="7"/>
        <v>0</v>
      </c>
      <c r="AC41" s="13">
        <f t="shared" si="6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19"/>
      <c r="AA42" s="58"/>
      <c r="AB42" s="19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13"/>
      <c r="AA43" s="60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19"/>
      <c r="AA44" s="58"/>
      <c r="AB44" s="19"/>
      <c r="AC44" s="13"/>
    </row>
    <row r="45" ht="12.75" customHeight="1">
      <c r="A45" s="30"/>
      <c r="B45" s="47" t="s">
        <v>17</v>
      </c>
      <c r="C45" s="62" t="s">
        <v>38</v>
      </c>
      <c r="D45" s="16"/>
      <c r="E45" s="19">
        <v>17.0</v>
      </c>
      <c r="F45" s="19">
        <v>13.0</v>
      </c>
      <c r="G45" s="19">
        <v>13.0</v>
      </c>
      <c r="H45" s="19">
        <v>14.0</v>
      </c>
      <c r="I45" s="19">
        <v>12.0</v>
      </c>
      <c r="J45" s="19">
        <v>12.0</v>
      </c>
      <c r="K45" s="19">
        <v>19.0</v>
      </c>
      <c r="L45" s="19">
        <v>14.0</v>
      </c>
      <c r="M45" s="19">
        <v>12.0</v>
      </c>
      <c r="N45" s="19">
        <v>5.0</v>
      </c>
      <c r="O45" s="19">
        <v>5.0</v>
      </c>
      <c r="P45" s="19">
        <v>12.0</v>
      </c>
      <c r="Q45" s="19">
        <v>8.0</v>
      </c>
      <c r="R45" s="19">
        <v>5.0</v>
      </c>
      <c r="S45" s="19">
        <v>21.0</v>
      </c>
      <c r="T45" s="19">
        <v>7.0</v>
      </c>
      <c r="U45" s="19">
        <v>10.0</v>
      </c>
      <c r="V45" s="19">
        <v>13.0</v>
      </c>
      <c r="W45" s="19">
        <v>9.0</v>
      </c>
      <c r="X45" s="19">
        <v>10.0</v>
      </c>
      <c r="Y45" s="19">
        <v>8.0</v>
      </c>
      <c r="Z45" s="19">
        <v>16.0</v>
      </c>
      <c r="AA45" s="19">
        <v>8.0</v>
      </c>
      <c r="AB45" s="19">
        <v>6.0</v>
      </c>
      <c r="AC45" s="13">
        <f t="shared" ref="AC45:AC57" si="8">SUM(E45:AB45)</f>
        <v>269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20.0</v>
      </c>
      <c r="F46" s="19">
        <v>20.0</v>
      </c>
      <c r="G46" s="19">
        <v>14.0</v>
      </c>
      <c r="H46" s="19">
        <v>13.0</v>
      </c>
      <c r="I46" s="19">
        <v>28.0</v>
      </c>
      <c r="J46" s="19">
        <v>20.0</v>
      </c>
      <c r="K46" s="19">
        <v>21.0</v>
      </c>
      <c r="L46" s="19">
        <v>24.0</v>
      </c>
      <c r="M46" s="19">
        <v>26.0</v>
      </c>
      <c r="N46" s="19">
        <v>19.0</v>
      </c>
      <c r="O46" s="19">
        <v>16.0</v>
      </c>
      <c r="P46" s="19">
        <v>26.0</v>
      </c>
      <c r="Q46" s="19">
        <v>12.0</v>
      </c>
      <c r="R46" s="19">
        <v>28.0</v>
      </c>
      <c r="S46" s="19">
        <v>30.0</v>
      </c>
      <c r="T46" s="19">
        <v>20.0</v>
      </c>
      <c r="U46" s="19">
        <v>32.0</v>
      </c>
      <c r="V46" s="19">
        <v>30.0</v>
      </c>
      <c r="W46" s="19">
        <v>33.0</v>
      </c>
      <c r="X46" s="19">
        <v>25.0</v>
      </c>
      <c r="Y46" s="19">
        <v>21.0</v>
      </c>
      <c r="Z46" s="19">
        <v>20.0</v>
      </c>
      <c r="AA46" s="19">
        <v>7.0</v>
      </c>
      <c r="AB46" s="19">
        <v>32.0</v>
      </c>
      <c r="AC46" s="13">
        <f t="shared" si="8"/>
        <v>537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11.0</v>
      </c>
      <c r="F47" s="19">
        <v>4.0</v>
      </c>
      <c r="G47" s="19">
        <v>17.0</v>
      </c>
      <c r="H47" s="19">
        <v>12.0</v>
      </c>
      <c r="I47" s="19">
        <v>11.0</v>
      </c>
      <c r="J47" s="19">
        <v>15.0</v>
      </c>
      <c r="K47" s="19">
        <v>8.0</v>
      </c>
      <c r="L47" s="19">
        <v>9.0</v>
      </c>
      <c r="M47" s="19">
        <v>10.0</v>
      </c>
      <c r="N47" s="19">
        <v>11.0</v>
      </c>
      <c r="O47" s="19">
        <v>10.0</v>
      </c>
      <c r="P47" s="19">
        <v>12.0</v>
      </c>
      <c r="Q47" s="19">
        <v>5.0</v>
      </c>
      <c r="R47" s="19">
        <v>13.0</v>
      </c>
      <c r="S47" s="19">
        <v>8.0</v>
      </c>
      <c r="T47" s="19">
        <v>14.0</v>
      </c>
      <c r="U47" s="19">
        <v>14.0</v>
      </c>
      <c r="V47" s="19">
        <v>12.0</v>
      </c>
      <c r="W47" s="19">
        <v>8.0</v>
      </c>
      <c r="X47" s="19">
        <v>9.0</v>
      </c>
      <c r="Y47" s="19">
        <v>11.0</v>
      </c>
      <c r="Z47" s="19">
        <v>12.0</v>
      </c>
      <c r="AA47" s="19">
        <v>17.0</v>
      </c>
      <c r="AB47" s="19">
        <v>10.0</v>
      </c>
      <c r="AC47" s="13">
        <f t="shared" si="8"/>
        <v>263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21.0</v>
      </c>
      <c r="F48" s="19">
        <v>18.0</v>
      </c>
      <c r="G48" s="19">
        <v>27.0</v>
      </c>
      <c r="H48" s="19">
        <v>20.0</v>
      </c>
      <c r="I48" s="19">
        <v>42.0</v>
      </c>
      <c r="J48" s="19">
        <v>28.0</v>
      </c>
      <c r="K48" s="19">
        <v>19.0</v>
      </c>
      <c r="L48" s="19">
        <v>33.0</v>
      </c>
      <c r="M48" s="19">
        <v>20.0</v>
      </c>
      <c r="N48" s="19">
        <v>28.0</v>
      </c>
      <c r="O48" s="19">
        <v>16.0</v>
      </c>
      <c r="P48" s="19">
        <v>18.0</v>
      </c>
      <c r="Q48" s="19">
        <v>11.0</v>
      </c>
      <c r="R48" s="19">
        <v>19.0</v>
      </c>
      <c r="S48" s="19">
        <v>17.0</v>
      </c>
      <c r="T48" s="19">
        <v>23.0</v>
      </c>
      <c r="U48" s="19">
        <v>26.0</v>
      </c>
      <c r="V48" s="19">
        <v>30.0</v>
      </c>
      <c r="W48" s="19">
        <v>33.0</v>
      </c>
      <c r="X48" s="19">
        <v>37.0</v>
      </c>
      <c r="Y48" s="19">
        <v>13.0</v>
      </c>
      <c r="Z48" s="19">
        <v>21.0</v>
      </c>
      <c r="AA48" s="19">
        <v>26.0</v>
      </c>
      <c r="AB48" s="19">
        <v>17.0</v>
      </c>
      <c r="AC48" s="13">
        <f t="shared" si="8"/>
        <v>563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11.0</v>
      </c>
      <c r="F49" s="19">
        <v>13.0</v>
      </c>
      <c r="G49" s="19">
        <v>15.0</v>
      </c>
      <c r="H49" s="19">
        <v>16.0</v>
      </c>
      <c r="I49" s="19">
        <v>19.0</v>
      </c>
      <c r="J49" s="19">
        <v>12.0</v>
      </c>
      <c r="K49" s="19">
        <v>21.0</v>
      </c>
      <c r="L49" s="19">
        <v>25.0</v>
      </c>
      <c r="M49" s="19">
        <v>16.0</v>
      </c>
      <c r="N49" s="19">
        <v>18.0</v>
      </c>
      <c r="O49" s="19">
        <v>7.0</v>
      </c>
      <c r="P49" s="19">
        <v>5.0</v>
      </c>
      <c r="Q49" s="19">
        <v>5.0</v>
      </c>
      <c r="R49" s="19">
        <v>13.0</v>
      </c>
      <c r="S49" s="19">
        <v>30.0</v>
      </c>
      <c r="T49" s="19">
        <v>37.0</v>
      </c>
      <c r="U49" s="19">
        <v>22.0</v>
      </c>
      <c r="V49" s="19">
        <v>18.0</v>
      </c>
      <c r="W49" s="19">
        <v>21.0</v>
      </c>
      <c r="X49" s="19">
        <v>16.0</v>
      </c>
      <c r="Y49" s="19">
        <v>18.0</v>
      </c>
      <c r="Z49" s="19">
        <v>17.0</v>
      </c>
      <c r="AA49" s="19">
        <v>10.0</v>
      </c>
      <c r="AB49" s="19">
        <v>10.0</v>
      </c>
      <c r="AC49" s="13">
        <f t="shared" si="8"/>
        <v>395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14.0</v>
      </c>
      <c r="F50" s="19">
        <v>14.0</v>
      </c>
      <c r="G50" s="19">
        <v>12.0</v>
      </c>
      <c r="H50" s="19">
        <v>24.0</v>
      </c>
      <c r="I50" s="19">
        <v>21.0</v>
      </c>
      <c r="J50" s="19">
        <v>22.0</v>
      </c>
      <c r="K50" s="19">
        <v>17.0</v>
      </c>
      <c r="L50" s="19">
        <v>12.0</v>
      </c>
      <c r="M50" s="19">
        <v>8.0</v>
      </c>
      <c r="N50" s="19">
        <v>7.0</v>
      </c>
      <c r="O50" s="19">
        <v>7.0</v>
      </c>
      <c r="P50" s="19">
        <v>23.0</v>
      </c>
      <c r="Q50" s="19">
        <v>8.0</v>
      </c>
      <c r="R50" s="19">
        <v>6.0</v>
      </c>
      <c r="S50" s="19">
        <v>9.0</v>
      </c>
      <c r="T50" s="19">
        <v>12.0</v>
      </c>
      <c r="U50" s="19">
        <v>11.0</v>
      </c>
      <c r="V50" s="19">
        <v>8.0</v>
      </c>
      <c r="W50" s="19">
        <v>12.0</v>
      </c>
      <c r="X50" s="19">
        <v>8.0</v>
      </c>
      <c r="Y50" s="19">
        <v>5.0</v>
      </c>
      <c r="Z50" s="19">
        <v>10.0</v>
      </c>
      <c r="AA50" s="19">
        <v>8.0</v>
      </c>
      <c r="AB50" s="19">
        <v>19.0</v>
      </c>
      <c r="AC50" s="13">
        <f t="shared" si="8"/>
        <v>297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3.0</v>
      </c>
      <c r="F51" s="19">
        <v>2.0</v>
      </c>
      <c r="G51" s="19">
        <v>3.0</v>
      </c>
      <c r="H51" s="19">
        <v>3.0</v>
      </c>
      <c r="I51" s="19">
        <v>0.0</v>
      </c>
      <c r="J51" s="19">
        <v>6.0</v>
      </c>
      <c r="K51" s="19">
        <v>3.0</v>
      </c>
      <c r="L51" s="19">
        <v>4.0</v>
      </c>
      <c r="M51" s="19">
        <v>4.0</v>
      </c>
      <c r="N51" s="19">
        <v>5.0</v>
      </c>
      <c r="O51" s="19">
        <v>4.0</v>
      </c>
      <c r="P51" s="19">
        <v>1.0</v>
      </c>
      <c r="Q51" s="19">
        <v>6.0</v>
      </c>
      <c r="R51" s="19">
        <v>3.0</v>
      </c>
      <c r="S51" s="19">
        <v>1.0</v>
      </c>
      <c r="T51" s="19">
        <v>0.0</v>
      </c>
      <c r="U51" s="19">
        <v>2.0</v>
      </c>
      <c r="V51" s="19">
        <v>0.0</v>
      </c>
      <c r="W51" s="19">
        <v>0.0</v>
      </c>
      <c r="X51" s="19">
        <v>3.0</v>
      </c>
      <c r="Y51" s="19">
        <v>4.0</v>
      </c>
      <c r="Z51" s="19">
        <v>5.0</v>
      </c>
      <c r="AA51" s="19">
        <v>5.0</v>
      </c>
      <c r="AB51" s="19">
        <v>5.0</v>
      </c>
      <c r="AC51" s="13">
        <f t="shared" si="8"/>
        <v>72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3.0</v>
      </c>
      <c r="F52" s="19">
        <v>2.0</v>
      </c>
      <c r="G52" s="19">
        <v>5.0</v>
      </c>
      <c r="H52" s="19">
        <v>3.0</v>
      </c>
      <c r="I52" s="19">
        <v>3.0</v>
      </c>
      <c r="J52" s="19">
        <v>4.0</v>
      </c>
      <c r="K52" s="19">
        <v>6.0</v>
      </c>
      <c r="L52" s="19">
        <v>5.0</v>
      </c>
      <c r="M52" s="19">
        <v>4.0</v>
      </c>
      <c r="N52" s="19">
        <v>4.0</v>
      </c>
      <c r="O52" s="19">
        <v>7.0</v>
      </c>
      <c r="P52" s="19">
        <v>3.0</v>
      </c>
      <c r="Q52" s="19">
        <v>15.0</v>
      </c>
      <c r="R52" s="19">
        <v>14.0</v>
      </c>
      <c r="S52" s="19">
        <v>3.0</v>
      </c>
      <c r="T52" s="19">
        <v>5.0</v>
      </c>
      <c r="U52" s="19">
        <v>3.0</v>
      </c>
      <c r="V52" s="19">
        <v>2.0</v>
      </c>
      <c r="W52" s="19">
        <v>1.0</v>
      </c>
      <c r="X52" s="19">
        <v>5.0</v>
      </c>
      <c r="Y52" s="19">
        <v>4.0</v>
      </c>
      <c r="Z52" s="19">
        <v>3.0</v>
      </c>
      <c r="AA52" s="19">
        <v>4.0</v>
      </c>
      <c r="AB52" s="19">
        <v>3.0</v>
      </c>
      <c r="AC52" s="13">
        <f t="shared" si="8"/>
        <v>111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2.0</v>
      </c>
      <c r="G53" s="19">
        <v>2.0</v>
      </c>
      <c r="H53" s="19">
        <v>2.0</v>
      </c>
      <c r="I53" s="19">
        <v>1.0</v>
      </c>
      <c r="J53" s="19">
        <v>0.0</v>
      </c>
      <c r="K53" s="19">
        <v>0.0</v>
      </c>
      <c r="L53" s="19">
        <v>0.0</v>
      </c>
      <c r="M53" s="19">
        <v>1.0</v>
      </c>
      <c r="N53" s="19">
        <v>0.0</v>
      </c>
      <c r="O53" s="19">
        <v>3.0</v>
      </c>
      <c r="P53" s="19">
        <v>0.0</v>
      </c>
      <c r="Q53" s="19">
        <v>0.0</v>
      </c>
      <c r="R53" s="19">
        <v>1.0</v>
      </c>
      <c r="S53" s="19">
        <v>0.0</v>
      </c>
      <c r="T53" s="19">
        <v>0.0</v>
      </c>
      <c r="U53" s="19">
        <v>2.0</v>
      </c>
      <c r="V53" s="19">
        <v>1.0</v>
      </c>
      <c r="W53" s="19">
        <v>0.0</v>
      </c>
      <c r="X53" s="19">
        <v>0.0</v>
      </c>
      <c r="Y53" s="19">
        <v>1.0</v>
      </c>
      <c r="Z53" s="19">
        <v>1.0</v>
      </c>
      <c r="AA53" s="19">
        <v>5.0</v>
      </c>
      <c r="AB53" s="19">
        <v>1.0</v>
      </c>
      <c r="AC53" s="13">
        <f t="shared" si="8"/>
        <v>24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27.0</v>
      </c>
      <c r="F54" s="19">
        <v>29.0</v>
      </c>
      <c r="G54" s="19">
        <v>35.0</v>
      </c>
      <c r="H54" s="19">
        <v>25.0</v>
      </c>
      <c r="I54" s="19">
        <v>28.0</v>
      </c>
      <c r="J54" s="19">
        <v>23.0</v>
      </c>
      <c r="K54" s="19">
        <v>32.0</v>
      </c>
      <c r="L54" s="19">
        <v>21.0</v>
      </c>
      <c r="M54" s="19">
        <v>52.0</v>
      </c>
      <c r="N54" s="19">
        <v>32.0</v>
      </c>
      <c r="O54" s="19">
        <v>44.0</v>
      </c>
      <c r="P54" s="19">
        <v>25.0</v>
      </c>
      <c r="Q54" s="19">
        <v>27.0</v>
      </c>
      <c r="R54" s="19">
        <v>32.0</v>
      </c>
      <c r="S54" s="19">
        <v>23.0</v>
      </c>
      <c r="T54" s="19">
        <v>29.0</v>
      </c>
      <c r="U54" s="19">
        <v>23.0</v>
      </c>
      <c r="V54" s="19">
        <v>39.0</v>
      </c>
      <c r="W54" s="19">
        <v>30.0</v>
      </c>
      <c r="X54" s="19">
        <v>44.0</v>
      </c>
      <c r="Y54" s="19">
        <v>25.0</v>
      </c>
      <c r="Z54" s="19">
        <v>31.0</v>
      </c>
      <c r="AA54" s="19">
        <v>33.0</v>
      </c>
      <c r="AB54" s="19">
        <v>27.0</v>
      </c>
      <c r="AC54" s="13">
        <f t="shared" si="8"/>
        <v>736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0.0</v>
      </c>
      <c r="F55" s="19">
        <v>0.0</v>
      </c>
      <c r="G55" s="19">
        <v>1.0</v>
      </c>
      <c r="H55" s="19">
        <v>1.0</v>
      </c>
      <c r="I55" s="19">
        <v>0.0</v>
      </c>
      <c r="J55" s="19">
        <v>1.0</v>
      </c>
      <c r="K55" s="19">
        <v>2.0</v>
      </c>
      <c r="L55" s="19">
        <v>1.0</v>
      </c>
      <c r="M55" s="19">
        <v>0.0</v>
      </c>
      <c r="N55" s="19">
        <v>1.0</v>
      </c>
      <c r="O55" s="19">
        <v>3.0</v>
      </c>
      <c r="P55" s="19">
        <v>1.0</v>
      </c>
      <c r="Q55" s="19">
        <v>3.0</v>
      </c>
      <c r="R55" s="19">
        <v>7.0</v>
      </c>
      <c r="S55" s="19">
        <v>0.0</v>
      </c>
      <c r="T55" s="19">
        <v>2.0</v>
      </c>
      <c r="U55" s="19">
        <v>2.0</v>
      </c>
      <c r="V55" s="19">
        <v>0.0</v>
      </c>
      <c r="W55" s="19">
        <v>1.0</v>
      </c>
      <c r="X55" s="19">
        <v>1.0</v>
      </c>
      <c r="Y55" s="19">
        <v>0.0</v>
      </c>
      <c r="Z55" s="19">
        <v>1.0</v>
      </c>
      <c r="AA55" s="19">
        <v>0.0</v>
      </c>
      <c r="AB55" s="19">
        <v>1.0</v>
      </c>
      <c r="AC55" s="13">
        <f t="shared" si="8"/>
        <v>29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21.0</v>
      </c>
      <c r="F56" s="19">
        <v>27.0</v>
      </c>
      <c r="G56" s="19">
        <v>43.0</v>
      </c>
      <c r="H56" s="19">
        <v>38.0</v>
      </c>
      <c r="I56" s="19">
        <v>42.0</v>
      </c>
      <c r="J56" s="19">
        <v>34.0</v>
      </c>
      <c r="K56" s="19">
        <v>37.0</v>
      </c>
      <c r="L56" s="19">
        <v>36.0</v>
      </c>
      <c r="M56" s="19">
        <v>30.0</v>
      </c>
      <c r="N56" s="19">
        <v>36.0</v>
      </c>
      <c r="O56" s="19">
        <v>23.0</v>
      </c>
      <c r="P56" s="19">
        <v>21.0</v>
      </c>
      <c r="Q56" s="19">
        <v>23.0</v>
      </c>
      <c r="R56" s="19">
        <v>29.0</v>
      </c>
      <c r="S56" s="19">
        <v>13.0</v>
      </c>
      <c r="T56" s="19">
        <v>29.0</v>
      </c>
      <c r="U56" s="19">
        <v>34.0</v>
      </c>
      <c r="V56" s="19">
        <v>40.0</v>
      </c>
      <c r="W56" s="19">
        <v>30.0</v>
      </c>
      <c r="X56" s="19">
        <v>40.0</v>
      </c>
      <c r="Y56" s="19">
        <v>25.0</v>
      </c>
      <c r="Z56" s="19">
        <v>35.0</v>
      </c>
      <c r="AA56" s="19">
        <v>21.0</v>
      </c>
      <c r="AB56" s="19">
        <v>34.0</v>
      </c>
      <c r="AC56" s="13">
        <f t="shared" si="8"/>
        <v>741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6.0</v>
      </c>
      <c r="G57" s="19">
        <v>1.0</v>
      </c>
      <c r="H57" s="19">
        <v>0.0</v>
      </c>
      <c r="I57" s="19">
        <v>0.0</v>
      </c>
      <c r="J57" s="19">
        <v>1.0</v>
      </c>
      <c r="K57" s="19">
        <v>3.0</v>
      </c>
      <c r="L57" s="19">
        <v>2.0</v>
      </c>
      <c r="M57" s="19">
        <v>1.0</v>
      </c>
      <c r="N57" s="19">
        <v>1.0</v>
      </c>
      <c r="O57" s="19">
        <v>4.0</v>
      </c>
      <c r="P57" s="19">
        <v>1.0</v>
      </c>
      <c r="Q57" s="19">
        <v>3.0</v>
      </c>
      <c r="R57" s="19">
        <v>2.0</v>
      </c>
      <c r="S57" s="19">
        <v>3.0</v>
      </c>
      <c r="T57" s="19">
        <v>1.0</v>
      </c>
      <c r="U57" s="19">
        <v>1.0</v>
      </c>
      <c r="V57" s="19">
        <v>4.0</v>
      </c>
      <c r="W57" s="19">
        <v>1.0</v>
      </c>
      <c r="X57" s="19">
        <v>1.0</v>
      </c>
      <c r="Y57" s="19">
        <v>3.0</v>
      </c>
      <c r="Z57" s="19">
        <v>2.0</v>
      </c>
      <c r="AA57" s="19">
        <v>4.0</v>
      </c>
      <c r="AB57" s="19">
        <v>1.0</v>
      </c>
      <c r="AC57" s="13">
        <f t="shared" si="8"/>
        <v>47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B60" si="9">SUM(E45:E57)</f>
        <v>150</v>
      </c>
      <c r="F60" s="19">
        <f t="shared" si="9"/>
        <v>150</v>
      </c>
      <c r="G60" s="19">
        <f t="shared" si="9"/>
        <v>188</v>
      </c>
      <c r="H60" s="19">
        <f t="shared" si="9"/>
        <v>171</v>
      </c>
      <c r="I60" s="19">
        <f t="shared" si="9"/>
        <v>207</v>
      </c>
      <c r="J60" s="19">
        <f t="shared" si="9"/>
        <v>178</v>
      </c>
      <c r="K60" s="19">
        <f t="shared" si="9"/>
        <v>188</v>
      </c>
      <c r="L60" s="19">
        <f t="shared" si="9"/>
        <v>186</v>
      </c>
      <c r="M60" s="19">
        <f t="shared" si="9"/>
        <v>184</v>
      </c>
      <c r="N60" s="19">
        <f t="shared" si="9"/>
        <v>167</v>
      </c>
      <c r="O60" s="19">
        <f t="shared" si="9"/>
        <v>149</v>
      </c>
      <c r="P60" s="19">
        <f t="shared" si="9"/>
        <v>148</v>
      </c>
      <c r="Q60" s="19">
        <f t="shared" si="9"/>
        <v>126</v>
      </c>
      <c r="R60" s="19">
        <f t="shared" si="9"/>
        <v>172</v>
      </c>
      <c r="S60" s="19">
        <f t="shared" si="9"/>
        <v>158</v>
      </c>
      <c r="T60" s="19">
        <f t="shared" si="9"/>
        <v>179</v>
      </c>
      <c r="U60" s="19">
        <f t="shared" si="9"/>
        <v>182</v>
      </c>
      <c r="V60" s="19">
        <f t="shared" si="9"/>
        <v>197</v>
      </c>
      <c r="W60" s="19">
        <f t="shared" si="9"/>
        <v>179</v>
      </c>
      <c r="X60" s="19">
        <f t="shared" si="9"/>
        <v>199</v>
      </c>
      <c r="Y60" s="19">
        <f t="shared" si="9"/>
        <v>138</v>
      </c>
      <c r="Z60" s="19">
        <f t="shared" si="9"/>
        <v>174</v>
      </c>
      <c r="AA60" s="19">
        <f t="shared" si="9"/>
        <v>148</v>
      </c>
      <c r="AB60" s="19">
        <f t="shared" si="9"/>
        <v>166</v>
      </c>
      <c r="AC60" s="13">
        <f t="shared" ref="AC60:AC62" si="10">SUM(E60:AB60)</f>
        <v>4084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54.0</v>
      </c>
      <c r="F61" s="19">
        <v>60.0</v>
      </c>
      <c r="G61" s="19">
        <v>20.0</v>
      </c>
      <c r="H61" s="19">
        <v>51.0</v>
      </c>
      <c r="I61" s="19">
        <v>27.0</v>
      </c>
      <c r="J61" s="19">
        <v>41.0</v>
      </c>
      <c r="K61" s="19">
        <v>29.0</v>
      </c>
      <c r="L61" s="19">
        <v>50.0</v>
      </c>
      <c r="M61" s="19">
        <v>30.0</v>
      </c>
      <c r="N61" s="19">
        <v>30.0</v>
      </c>
      <c r="O61" s="19">
        <v>52.0</v>
      </c>
      <c r="P61" s="19">
        <v>38.0</v>
      </c>
      <c r="Q61" s="19">
        <v>54.0</v>
      </c>
      <c r="R61" s="19">
        <v>59.0</v>
      </c>
      <c r="S61" s="19">
        <v>40.0</v>
      </c>
      <c r="T61" s="19">
        <v>31.0</v>
      </c>
      <c r="U61" s="19">
        <v>26.0</v>
      </c>
      <c r="V61" s="19">
        <v>27.0</v>
      </c>
      <c r="W61" s="19">
        <v>48.0</v>
      </c>
      <c r="X61" s="19">
        <v>40.0</v>
      </c>
      <c r="Y61" s="19">
        <v>54.0</v>
      </c>
      <c r="Z61" s="19">
        <v>36.0</v>
      </c>
      <c r="AA61" s="19">
        <v>65.0</v>
      </c>
      <c r="AB61" s="19">
        <v>21.0</v>
      </c>
      <c r="AC61" s="13">
        <f t="shared" si="10"/>
        <v>983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B62" si="11">SUM(E60:E61)</f>
        <v>204</v>
      </c>
      <c r="F62" s="13">
        <f t="shared" si="11"/>
        <v>210</v>
      </c>
      <c r="G62" s="13">
        <f t="shared" si="11"/>
        <v>208</v>
      </c>
      <c r="H62" s="13">
        <f t="shared" si="11"/>
        <v>222</v>
      </c>
      <c r="I62" s="13">
        <f t="shared" si="11"/>
        <v>234</v>
      </c>
      <c r="J62" s="13">
        <f t="shared" si="11"/>
        <v>219</v>
      </c>
      <c r="K62" s="13">
        <f t="shared" si="11"/>
        <v>217</v>
      </c>
      <c r="L62" s="13">
        <f t="shared" si="11"/>
        <v>236</v>
      </c>
      <c r="M62" s="13">
        <f t="shared" si="11"/>
        <v>214</v>
      </c>
      <c r="N62" s="13">
        <f t="shared" si="11"/>
        <v>197</v>
      </c>
      <c r="O62" s="13">
        <f t="shared" si="11"/>
        <v>201</v>
      </c>
      <c r="P62" s="13">
        <f t="shared" si="11"/>
        <v>186</v>
      </c>
      <c r="Q62" s="13">
        <f t="shared" si="11"/>
        <v>180</v>
      </c>
      <c r="R62" s="13">
        <f t="shared" si="11"/>
        <v>231</v>
      </c>
      <c r="S62" s="13">
        <f t="shared" si="11"/>
        <v>198</v>
      </c>
      <c r="T62" s="13">
        <f t="shared" si="11"/>
        <v>210</v>
      </c>
      <c r="U62" s="13">
        <f t="shared" si="11"/>
        <v>208</v>
      </c>
      <c r="V62" s="13">
        <f t="shared" si="11"/>
        <v>224</v>
      </c>
      <c r="W62" s="13">
        <f t="shared" si="11"/>
        <v>227</v>
      </c>
      <c r="X62" s="13">
        <f t="shared" si="11"/>
        <v>239</v>
      </c>
      <c r="Y62" s="13">
        <f t="shared" si="11"/>
        <v>192</v>
      </c>
      <c r="Z62" s="13">
        <f t="shared" si="11"/>
        <v>210</v>
      </c>
      <c r="AA62" s="13">
        <f t="shared" si="11"/>
        <v>213</v>
      </c>
      <c r="AB62" s="13">
        <f t="shared" si="11"/>
        <v>187</v>
      </c>
      <c r="AC62" s="13">
        <f t="shared" si="10"/>
        <v>5067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B15 E45:AB57">
    <cfRule type="containsBlanks" dxfId="1" priority="2">
      <formula>LEN(TRIM(E14))=0</formula>
    </cfRule>
  </conditionalFormatting>
  <conditionalFormatting sqref="E19:AB20">
    <cfRule type="containsBlanks" dxfId="1" priority="3">
      <formula>LEN(TRIM(E19))=0</formula>
    </cfRule>
  </conditionalFormatting>
  <conditionalFormatting sqref="E22:AB23 E25:AB26 E33:AB33 E35:AB35 E39:AB40">
    <cfRule type="containsBlanks" dxfId="1" priority="4">
      <formula>LEN(TRIM(E22))=0</formula>
    </cfRule>
  </conditionalFormatting>
  <conditionalFormatting sqref="E30:AB30">
    <cfRule type="expression" dxfId="0" priority="5">
      <formula>E30&lt;&gt;E46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60:AB61">
    <cfRule type="containsBlanks" dxfId="1" priority="10">
      <formula>LEN(TRIM(E60))=0</formula>
    </cfRule>
  </conditionalFormatting>
  <conditionalFormatting sqref="U34:AB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115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63">
        <v>135.0</v>
      </c>
      <c r="F14" s="63">
        <v>130.0</v>
      </c>
      <c r="G14" s="63">
        <v>151.0</v>
      </c>
      <c r="H14" s="63">
        <v>136.0</v>
      </c>
      <c r="I14" s="63">
        <v>149.0</v>
      </c>
      <c r="J14" s="63">
        <v>146.0</v>
      </c>
      <c r="K14" s="63">
        <v>143.0</v>
      </c>
      <c r="L14" s="63">
        <v>132.0</v>
      </c>
      <c r="M14" s="63">
        <v>144.0</v>
      </c>
      <c r="N14" s="63">
        <v>119.0</v>
      </c>
      <c r="O14" s="63">
        <v>124.0</v>
      </c>
      <c r="P14" s="63">
        <v>100.0</v>
      </c>
      <c r="Q14" s="63">
        <v>136.0</v>
      </c>
      <c r="R14" s="63">
        <v>142.0</v>
      </c>
      <c r="S14" s="63">
        <v>139.0</v>
      </c>
      <c r="T14" s="63">
        <v>156.0</v>
      </c>
      <c r="U14" s="63">
        <v>104.0</v>
      </c>
      <c r="V14" s="63">
        <v>146.0</v>
      </c>
      <c r="W14" s="63">
        <v>124.0</v>
      </c>
      <c r="X14" s="63">
        <v>153.0</v>
      </c>
      <c r="Y14" s="63">
        <v>155.0</v>
      </c>
      <c r="Z14" s="63">
        <v>136.0</v>
      </c>
      <c r="AA14" s="63">
        <v>141.0</v>
      </c>
      <c r="AB14" s="13">
        <f t="shared" ref="AB14:AB16" si="1">SUM(E14:AA14)</f>
        <v>3141</v>
      </c>
    </row>
    <row r="15" ht="12.75" customHeight="1">
      <c r="A15" s="18"/>
      <c r="B15" s="26"/>
      <c r="C15" s="27"/>
      <c r="D15" s="19" t="s">
        <v>13</v>
      </c>
      <c r="E15" s="63">
        <v>150.0</v>
      </c>
      <c r="F15" s="63">
        <v>148.0</v>
      </c>
      <c r="G15" s="63">
        <v>128.0</v>
      </c>
      <c r="H15" s="63">
        <v>141.0</v>
      </c>
      <c r="I15" s="63">
        <v>138.0</v>
      </c>
      <c r="J15" s="63">
        <v>142.0</v>
      </c>
      <c r="K15" s="63">
        <v>152.0</v>
      </c>
      <c r="L15" s="63">
        <v>164.0</v>
      </c>
      <c r="M15" s="63">
        <v>128.0</v>
      </c>
      <c r="N15" s="63">
        <v>111.0</v>
      </c>
      <c r="O15" s="63">
        <v>123.0</v>
      </c>
      <c r="P15" s="63">
        <v>96.0</v>
      </c>
      <c r="Q15" s="63">
        <v>121.0</v>
      </c>
      <c r="R15" s="63">
        <v>153.0</v>
      </c>
      <c r="S15" s="63">
        <v>152.0</v>
      </c>
      <c r="T15" s="63">
        <v>138.0</v>
      </c>
      <c r="U15" s="63">
        <v>108.0</v>
      </c>
      <c r="V15" s="63">
        <v>137.0</v>
      </c>
      <c r="W15" s="63">
        <v>130.0</v>
      </c>
      <c r="X15" s="63">
        <v>143.0</v>
      </c>
      <c r="Y15" s="63">
        <v>134.0</v>
      </c>
      <c r="Z15" s="63">
        <v>153.0</v>
      </c>
      <c r="AA15" s="63">
        <v>150.0</v>
      </c>
      <c r="AB15" s="13">
        <f t="shared" si="1"/>
        <v>3140</v>
      </c>
    </row>
    <row r="16" ht="12.75" customHeight="1">
      <c r="A16" s="25"/>
      <c r="B16" s="21"/>
      <c r="C16" s="28"/>
      <c r="D16" s="13" t="s">
        <v>14</v>
      </c>
      <c r="E16" s="64">
        <f t="shared" ref="E16:AA16" si="2">SUM(E14:E15)</f>
        <v>285</v>
      </c>
      <c r="F16" s="64">
        <f t="shared" si="2"/>
        <v>278</v>
      </c>
      <c r="G16" s="64">
        <f t="shared" si="2"/>
        <v>279</v>
      </c>
      <c r="H16" s="64">
        <f t="shared" si="2"/>
        <v>277</v>
      </c>
      <c r="I16" s="64">
        <f t="shared" si="2"/>
        <v>287</v>
      </c>
      <c r="J16" s="64">
        <f t="shared" si="2"/>
        <v>288</v>
      </c>
      <c r="K16" s="64">
        <f t="shared" si="2"/>
        <v>295</v>
      </c>
      <c r="L16" s="64">
        <f t="shared" si="2"/>
        <v>296</v>
      </c>
      <c r="M16" s="64">
        <f t="shared" si="2"/>
        <v>272</v>
      </c>
      <c r="N16" s="64">
        <f t="shared" si="2"/>
        <v>230</v>
      </c>
      <c r="O16" s="64">
        <f t="shared" si="2"/>
        <v>247</v>
      </c>
      <c r="P16" s="64">
        <f t="shared" si="2"/>
        <v>196</v>
      </c>
      <c r="Q16" s="64">
        <f t="shared" si="2"/>
        <v>257</v>
      </c>
      <c r="R16" s="64">
        <f t="shared" si="2"/>
        <v>295</v>
      </c>
      <c r="S16" s="64">
        <f t="shared" si="2"/>
        <v>291</v>
      </c>
      <c r="T16" s="64">
        <f t="shared" si="2"/>
        <v>294</v>
      </c>
      <c r="U16" s="64">
        <f t="shared" si="2"/>
        <v>212</v>
      </c>
      <c r="V16" s="64">
        <f t="shared" si="2"/>
        <v>283</v>
      </c>
      <c r="W16" s="64">
        <f t="shared" si="2"/>
        <v>254</v>
      </c>
      <c r="X16" s="64">
        <f t="shared" si="2"/>
        <v>296</v>
      </c>
      <c r="Y16" s="64">
        <f t="shared" si="2"/>
        <v>289</v>
      </c>
      <c r="Z16" s="64">
        <f t="shared" si="2"/>
        <v>289</v>
      </c>
      <c r="AA16" s="64">
        <f t="shared" si="2"/>
        <v>291</v>
      </c>
      <c r="AB16" s="13">
        <f t="shared" si="1"/>
        <v>6281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59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3">
        <v>108.0</v>
      </c>
      <c r="F19" s="63">
        <v>96.0</v>
      </c>
      <c r="G19" s="63">
        <v>113.0</v>
      </c>
      <c r="H19" s="63">
        <v>97.0</v>
      </c>
      <c r="I19" s="63">
        <v>109.0</v>
      </c>
      <c r="J19" s="63">
        <v>95.0</v>
      </c>
      <c r="K19" s="63">
        <v>94.0</v>
      </c>
      <c r="L19" s="63">
        <v>88.0</v>
      </c>
      <c r="M19" s="63">
        <v>99.0</v>
      </c>
      <c r="N19" s="63">
        <v>87.0</v>
      </c>
      <c r="O19" s="63">
        <v>90.0</v>
      </c>
      <c r="P19" s="63">
        <v>68.0</v>
      </c>
      <c r="Q19" s="63">
        <v>100.0</v>
      </c>
      <c r="R19" s="63">
        <v>110.0</v>
      </c>
      <c r="S19" s="63">
        <v>106.0</v>
      </c>
      <c r="T19" s="63">
        <v>108.0</v>
      </c>
      <c r="U19" s="63">
        <v>86.0</v>
      </c>
      <c r="V19" s="63">
        <v>119.0</v>
      </c>
      <c r="W19" s="63">
        <v>94.0</v>
      </c>
      <c r="X19" s="63">
        <v>113.0</v>
      </c>
      <c r="Y19" s="63">
        <v>113.0</v>
      </c>
      <c r="Z19" s="63">
        <v>101.0</v>
      </c>
      <c r="AA19" s="63">
        <v>100.0</v>
      </c>
      <c r="AB19" s="13">
        <f t="shared" ref="AB19:AB30" si="3">SUM(E19:AA19)</f>
        <v>2294</v>
      </c>
    </row>
    <row r="20" ht="12.75" customHeight="1">
      <c r="A20" s="33"/>
      <c r="B20" s="27"/>
      <c r="C20" s="34"/>
      <c r="D20" s="19" t="s">
        <v>13</v>
      </c>
      <c r="E20" s="63">
        <v>123.0</v>
      </c>
      <c r="F20" s="63">
        <v>122.0</v>
      </c>
      <c r="G20" s="63">
        <v>97.0</v>
      </c>
      <c r="H20" s="63">
        <v>113.0</v>
      </c>
      <c r="I20" s="63">
        <v>116.0</v>
      </c>
      <c r="J20" s="63">
        <v>111.0</v>
      </c>
      <c r="K20" s="63">
        <v>115.0</v>
      </c>
      <c r="L20" s="63">
        <v>125.0</v>
      </c>
      <c r="M20" s="63">
        <v>90.0</v>
      </c>
      <c r="N20" s="63">
        <v>81.0</v>
      </c>
      <c r="O20" s="63">
        <v>105.0</v>
      </c>
      <c r="P20" s="63">
        <v>73.0</v>
      </c>
      <c r="Q20" s="63">
        <v>101.0</v>
      </c>
      <c r="R20" s="63">
        <v>126.0</v>
      </c>
      <c r="S20" s="63">
        <v>127.0</v>
      </c>
      <c r="T20" s="63">
        <v>113.0</v>
      </c>
      <c r="U20" s="63">
        <v>90.0</v>
      </c>
      <c r="V20" s="63">
        <v>119.0</v>
      </c>
      <c r="W20" s="63">
        <v>112.0</v>
      </c>
      <c r="X20" s="63">
        <v>124.0</v>
      </c>
      <c r="Y20" s="63">
        <v>103.0</v>
      </c>
      <c r="Z20" s="63">
        <v>110.0</v>
      </c>
      <c r="AA20" s="63">
        <v>121.0</v>
      </c>
      <c r="AB20" s="13">
        <f t="shared" si="3"/>
        <v>2517</v>
      </c>
    </row>
    <row r="21" ht="12.75" customHeight="1">
      <c r="A21" s="35"/>
      <c r="B21" s="28"/>
      <c r="C21" s="36"/>
      <c r="D21" s="13" t="s">
        <v>14</v>
      </c>
      <c r="E21" s="64">
        <v>231.0</v>
      </c>
      <c r="F21" s="64">
        <v>218.0</v>
      </c>
      <c r="G21" s="64">
        <v>210.0</v>
      </c>
      <c r="H21" s="64">
        <v>210.0</v>
      </c>
      <c r="I21" s="64">
        <v>225.0</v>
      </c>
      <c r="J21" s="64">
        <v>206.0</v>
      </c>
      <c r="K21" s="64">
        <v>209.0</v>
      </c>
      <c r="L21" s="64">
        <v>213.0</v>
      </c>
      <c r="M21" s="64">
        <v>189.0</v>
      </c>
      <c r="N21" s="64">
        <v>168.0</v>
      </c>
      <c r="O21" s="64">
        <v>195.0</v>
      </c>
      <c r="P21" s="64">
        <v>141.0</v>
      </c>
      <c r="Q21" s="64">
        <v>201.0</v>
      </c>
      <c r="R21" s="64">
        <v>236.0</v>
      </c>
      <c r="S21" s="64">
        <v>233.0</v>
      </c>
      <c r="T21" s="64">
        <v>221.0</v>
      </c>
      <c r="U21" s="64">
        <v>176.0</v>
      </c>
      <c r="V21" s="64">
        <v>238.0</v>
      </c>
      <c r="W21" s="64">
        <v>206.0</v>
      </c>
      <c r="X21" s="64">
        <v>237.0</v>
      </c>
      <c r="Y21" s="64">
        <v>216.0</v>
      </c>
      <c r="Z21" s="64">
        <v>211.0</v>
      </c>
      <c r="AA21" s="64">
        <v>221.0</v>
      </c>
      <c r="AB21" s="13">
        <f t="shared" si="3"/>
        <v>4811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3">
        <v>1.0</v>
      </c>
      <c r="F22" s="63">
        <v>0.0</v>
      </c>
      <c r="G22" s="63">
        <v>0.0</v>
      </c>
      <c r="H22" s="63">
        <v>1.0</v>
      </c>
      <c r="I22" s="63">
        <v>2.0</v>
      </c>
      <c r="J22" s="63">
        <v>0.0</v>
      </c>
      <c r="K22" s="63">
        <v>0.0</v>
      </c>
      <c r="L22" s="63">
        <v>0.0</v>
      </c>
      <c r="M22" s="63">
        <v>0.0</v>
      </c>
      <c r="N22" s="63">
        <v>0.0</v>
      </c>
      <c r="O22" s="63">
        <v>0.0</v>
      </c>
      <c r="P22" s="63">
        <v>0.0</v>
      </c>
      <c r="Q22" s="63">
        <v>0.0</v>
      </c>
      <c r="R22" s="63">
        <v>1.0</v>
      </c>
      <c r="S22" s="63">
        <v>0.0</v>
      </c>
      <c r="T22" s="63">
        <v>0.0</v>
      </c>
      <c r="U22" s="63">
        <v>0.0</v>
      </c>
      <c r="V22" s="63">
        <v>0.0</v>
      </c>
      <c r="W22" s="63">
        <v>0.0</v>
      </c>
      <c r="X22" s="63">
        <v>0.0</v>
      </c>
      <c r="Y22" s="63">
        <v>0.0</v>
      </c>
      <c r="Z22" s="63">
        <v>0.0</v>
      </c>
      <c r="AA22" s="63">
        <v>0.0</v>
      </c>
      <c r="AB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63">
        <v>0.0</v>
      </c>
      <c r="F23" s="63">
        <v>0.0</v>
      </c>
      <c r="G23" s="63">
        <v>0.0</v>
      </c>
      <c r="H23" s="63">
        <v>0.0</v>
      </c>
      <c r="I23" s="63">
        <v>0.0</v>
      </c>
      <c r="J23" s="63">
        <v>0.0</v>
      </c>
      <c r="K23" s="63">
        <v>0.0</v>
      </c>
      <c r="L23" s="63">
        <v>0.0</v>
      </c>
      <c r="M23" s="63">
        <v>1.0</v>
      </c>
      <c r="N23" s="63">
        <v>0.0</v>
      </c>
      <c r="O23" s="63">
        <v>0.0</v>
      </c>
      <c r="P23" s="63">
        <v>0.0</v>
      </c>
      <c r="Q23" s="63">
        <v>0.0</v>
      </c>
      <c r="R23" s="63">
        <v>1.0</v>
      </c>
      <c r="S23" s="63">
        <v>0.0</v>
      </c>
      <c r="T23" s="63">
        <v>0.0</v>
      </c>
      <c r="U23" s="63">
        <v>0.0</v>
      </c>
      <c r="V23" s="63">
        <v>0.0</v>
      </c>
      <c r="W23" s="63">
        <v>0.0</v>
      </c>
      <c r="X23" s="63">
        <v>0.0</v>
      </c>
      <c r="Y23" s="63">
        <v>0.0</v>
      </c>
      <c r="Z23" s="63">
        <v>0.0</v>
      </c>
      <c r="AA23" s="63">
        <v>0.0</v>
      </c>
      <c r="AB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64">
        <v>1.0</v>
      </c>
      <c r="F24" s="64">
        <v>0.0</v>
      </c>
      <c r="G24" s="64">
        <v>0.0</v>
      </c>
      <c r="H24" s="64">
        <v>1.0</v>
      </c>
      <c r="I24" s="64">
        <v>2.0</v>
      </c>
      <c r="J24" s="64">
        <v>0.0</v>
      </c>
      <c r="K24" s="64">
        <v>0.0</v>
      </c>
      <c r="L24" s="64">
        <v>0.0</v>
      </c>
      <c r="M24" s="64">
        <v>1.0</v>
      </c>
      <c r="N24" s="64">
        <v>0.0</v>
      </c>
      <c r="O24" s="64">
        <v>0.0</v>
      </c>
      <c r="P24" s="64">
        <v>0.0</v>
      </c>
      <c r="Q24" s="64">
        <v>0.0</v>
      </c>
      <c r="R24" s="64">
        <v>2.0</v>
      </c>
      <c r="S24" s="64">
        <v>0.0</v>
      </c>
      <c r="T24" s="64">
        <v>0.0</v>
      </c>
      <c r="U24" s="64">
        <v>0.0</v>
      </c>
      <c r="V24" s="64">
        <v>0.0</v>
      </c>
      <c r="W24" s="64">
        <v>0.0</v>
      </c>
      <c r="X24" s="64">
        <v>0.0</v>
      </c>
      <c r="Y24" s="64">
        <v>0.0</v>
      </c>
      <c r="Z24" s="64">
        <v>0.0</v>
      </c>
      <c r="AA24" s="64">
        <v>0.0</v>
      </c>
      <c r="AB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3">
        <v>5.0</v>
      </c>
      <c r="F25" s="63">
        <v>2.0</v>
      </c>
      <c r="G25" s="63">
        <v>2.0</v>
      </c>
      <c r="H25" s="63">
        <v>4.0</v>
      </c>
      <c r="I25" s="63">
        <v>0.0</v>
      </c>
      <c r="J25" s="63">
        <v>2.0</v>
      </c>
      <c r="K25" s="63">
        <v>0.0</v>
      </c>
      <c r="L25" s="63">
        <v>1.0</v>
      </c>
      <c r="M25" s="63">
        <v>1.0</v>
      </c>
      <c r="N25" s="63">
        <v>1.0</v>
      </c>
      <c r="O25" s="63">
        <v>0.0</v>
      </c>
      <c r="P25" s="63">
        <v>0.0</v>
      </c>
      <c r="Q25" s="63">
        <v>0.0</v>
      </c>
      <c r="R25" s="63">
        <v>1.0</v>
      </c>
      <c r="S25" s="63">
        <v>0.0</v>
      </c>
      <c r="T25" s="63">
        <v>3.0</v>
      </c>
      <c r="U25" s="63">
        <v>0.0</v>
      </c>
      <c r="V25" s="63">
        <v>2.0</v>
      </c>
      <c r="W25" s="63">
        <v>0.0</v>
      </c>
      <c r="X25" s="63">
        <v>1.0</v>
      </c>
      <c r="Y25" s="63">
        <v>0.0</v>
      </c>
      <c r="Z25" s="63">
        <v>0.0</v>
      </c>
      <c r="AA25" s="63">
        <v>0.0</v>
      </c>
      <c r="AB25" s="13">
        <f t="shared" si="3"/>
        <v>25</v>
      </c>
    </row>
    <row r="26" ht="12.75" customHeight="1">
      <c r="A26" s="33"/>
      <c r="B26" s="27"/>
      <c r="C26" s="34"/>
      <c r="D26" s="19" t="s">
        <v>13</v>
      </c>
      <c r="E26" s="63">
        <v>4.0</v>
      </c>
      <c r="F26" s="63">
        <v>5.0</v>
      </c>
      <c r="G26" s="63">
        <v>4.0</v>
      </c>
      <c r="H26" s="63">
        <v>4.0</v>
      </c>
      <c r="I26" s="63">
        <v>4.0</v>
      </c>
      <c r="J26" s="63">
        <v>2.0</v>
      </c>
      <c r="K26" s="63">
        <v>0.0</v>
      </c>
      <c r="L26" s="63">
        <v>0.0</v>
      </c>
      <c r="M26" s="63">
        <v>1.0</v>
      </c>
      <c r="N26" s="63">
        <v>4.0</v>
      </c>
      <c r="O26" s="63">
        <v>0.0</v>
      </c>
      <c r="P26" s="63">
        <v>0.0</v>
      </c>
      <c r="Q26" s="63">
        <v>1.0</v>
      </c>
      <c r="R26" s="63">
        <v>0.0</v>
      </c>
      <c r="S26" s="63">
        <v>0.0</v>
      </c>
      <c r="T26" s="63">
        <v>3.0</v>
      </c>
      <c r="U26" s="63">
        <v>0.0</v>
      </c>
      <c r="V26" s="63">
        <v>1.0</v>
      </c>
      <c r="W26" s="63">
        <v>1.0</v>
      </c>
      <c r="X26" s="63">
        <v>0.0</v>
      </c>
      <c r="Y26" s="63">
        <v>0.0</v>
      </c>
      <c r="Z26" s="63">
        <v>0.0</v>
      </c>
      <c r="AA26" s="63">
        <v>0.0</v>
      </c>
      <c r="AB26" s="13">
        <f t="shared" si="3"/>
        <v>34</v>
      </c>
    </row>
    <row r="27" ht="12.75" customHeight="1">
      <c r="A27" s="35"/>
      <c r="B27" s="28"/>
      <c r="C27" s="36"/>
      <c r="D27" s="13" t="s">
        <v>14</v>
      </c>
      <c r="E27" s="64">
        <v>9.0</v>
      </c>
      <c r="F27" s="64">
        <v>7.0</v>
      </c>
      <c r="G27" s="64">
        <v>6.0</v>
      </c>
      <c r="H27" s="64">
        <v>8.0</v>
      </c>
      <c r="I27" s="64">
        <v>4.0</v>
      </c>
      <c r="J27" s="64">
        <v>4.0</v>
      </c>
      <c r="K27" s="64">
        <v>0.0</v>
      </c>
      <c r="L27" s="64">
        <v>1.0</v>
      </c>
      <c r="M27" s="64">
        <v>2.0</v>
      </c>
      <c r="N27" s="64">
        <v>5.0</v>
      </c>
      <c r="O27" s="64">
        <v>0.0</v>
      </c>
      <c r="P27" s="64">
        <v>0.0</v>
      </c>
      <c r="Q27" s="64">
        <v>1.0</v>
      </c>
      <c r="R27" s="64">
        <v>1.0</v>
      </c>
      <c r="S27" s="64">
        <v>0.0</v>
      </c>
      <c r="T27" s="64">
        <v>6.0</v>
      </c>
      <c r="U27" s="64">
        <v>0.0</v>
      </c>
      <c r="V27" s="64">
        <v>3.0</v>
      </c>
      <c r="W27" s="64">
        <v>1.0</v>
      </c>
      <c r="X27" s="64">
        <v>1.0</v>
      </c>
      <c r="Y27" s="64">
        <v>0.0</v>
      </c>
      <c r="Z27" s="64">
        <v>0.0</v>
      </c>
      <c r="AA27" s="64">
        <v>0.0</v>
      </c>
      <c r="AB27" s="13">
        <f t="shared" si="3"/>
        <v>59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v>114.0</v>
      </c>
      <c r="F28" s="64">
        <v>98.0</v>
      </c>
      <c r="G28" s="64">
        <v>115.0</v>
      </c>
      <c r="H28" s="64">
        <v>102.0</v>
      </c>
      <c r="I28" s="64">
        <v>111.0</v>
      </c>
      <c r="J28" s="64">
        <v>97.0</v>
      </c>
      <c r="K28" s="64">
        <v>94.0</v>
      </c>
      <c r="L28" s="64">
        <v>89.0</v>
      </c>
      <c r="M28" s="64">
        <v>100.0</v>
      </c>
      <c r="N28" s="64">
        <v>88.0</v>
      </c>
      <c r="O28" s="64">
        <v>90.0</v>
      </c>
      <c r="P28" s="64">
        <v>68.0</v>
      </c>
      <c r="Q28" s="64">
        <v>100.0</v>
      </c>
      <c r="R28" s="64">
        <v>112.0</v>
      </c>
      <c r="S28" s="64">
        <v>106.0</v>
      </c>
      <c r="T28" s="64">
        <v>111.0</v>
      </c>
      <c r="U28" s="64">
        <v>86.0</v>
      </c>
      <c r="V28" s="64">
        <v>121.0</v>
      </c>
      <c r="W28" s="64">
        <v>94.0</v>
      </c>
      <c r="X28" s="64">
        <v>114.0</v>
      </c>
      <c r="Y28" s="64">
        <v>113.0</v>
      </c>
      <c r="Z28" s="64">
        <v>101.0</v>
      </c>
      <c r="AA28" s="64">
        <v>100.0</v>
      </c>
      <c r="AB28" s="13">
        <f t="shared" si="3"/>
        <v>2324</v>
      </c>
    </row>
    <row r="29" ht="12.75" customHeight="1">
      <c r="A29" s="35"/>
      <c r="B29" s="27"/>
      <c r="C29" s="34"/>
      <c r="D29" s="13" t="s">
        <v>13</v>
      </c>
      <c r="E29" s="64">
        <v>127.0</v>
      </c>
      <c r="F29" s="64">
        <v>127.0</v>
      </c>
      <c r="G29" s="64">
        <v>101.0</v>
      </c>
      <c r="H29" s="64">
        <v>117.0</v>
      </c>
      <c r="I29" s="64">
        <v>120.0</v>
      </c>
      <c r="J29" s="64">
        <v>113.0</v>
      </c>
      <c r="K29" s="64">
        <v>115.0</v>
      </c>
      <c r="L29" s="64">
        <v>125.0</v>
      </c>
      <c r="M29" s="64">
        <v>92.0</v>
      </c>
      <c r="N29" s="64">
        <v>85.0</v>
      </c>
      <c r="O29" s="64">
        <v>105.0</v>
      </c>
      <c r="P29" s="64">
        <v>73.0</v>
      </c>
      <c r="Q29" s="64">
        <v>102.0</v>
      </c>
      <c r="R29" s="64">
        <v>127.0</v>
      </c>
      <c r="S29" s="64">
        <v>127.0</v>
      </c>
      <c r="T29" s="64">
        <v>116.0</v>
      </c>
      <c r="U29" s="64">
        <v>90.0</v>
      </c>
      <c r="V29" s="64">
        <v>120.0</v>
      </c>
      <c r="W29" s="64">
        <v>113.0</v>
      </c>
      <c r="X29" s="64">
        <v>124.0</v>
      </c>
      <c r="Y29" s="64">
        <v>103.0</v>
      </c>
      <c r="Z29" s="64">
        <v>110.0</v>
      </c>
      <c r="AA29" s="64">
        <v>121.0</v>
      </c>
      <c r="AB29" s="13">
        <f t="shared" si="3"/>
        <v>2553</v>
      </c>
    </row>
    <row r="30" ht="12.75" customHeight="1">
      <c r="A30" s="35"/>
      <c r="B30" s="28"/>
      <c r="C30" s="36"/>
      <c r="D30" s="13" t="s">
        <v>14</v>
      </c>
      <c r="E30" s="66">
        <v>241.0</v>
      </c>
      <c r="F30" s="66">
        <v>225.0</v>
      </c>
      <c r="G30" s="66">
        <v>216.0</v>
      </c>
      <c r="H30" s="66">
        <v>219.0</v>
      </c>
      <c r="I30" s="66">
        <v>231.0</v>
      </c>
      <c r="J30" s="66">
        <v>210.0</v>
      </c>
      <c r="K30" s="66">
        <v>209.0</v>
      </c>
      <c r="L30" s="66">
        <v>214.0</v>
      </c>
      <c r="M30" s="66">
        <v>192.0</v>
      </c>
      <c r="N30" s="66">
        <v>173.0</v>
      </c>
      <c r="O30" s="66">
        <v>195.0</v>
      </c>
      <c r="P30" s="66">
        <v>141.0</v>
      </c>
      <c r="Q30" s="66">
        <v>202.0</v>
      </c>
      <c r="R30" s="66">
        <v>239.0</v>
      </c>
      <c r="S30" s="66">
        <v>233.0</v>
      </c>
      <c r="T30" s="66">
        <v>227.0</v>
      </c>
      <c r="U30" s="66">
        <v>176.0</v>
      </c>
      <c r="V30" s="66">
        <v>241.0</v>
      </c>
      <c r="W30" s="66">
        <v>207.0</v>
      </c>
      <c r="X30" s="66">
        <v>238.0</v>
      </c>
      <c r="Y30" s="66">
        <v>216.0</v>
      </c>
      <c r="Z30" s="66">
        <v>211.0</v>
      </c>
      <c r="AA30" s="66">
        <v>221.0</v>
      </c>
      <c r="AB30" s="13">
        <f t="shared" si="3"/>
        <v>4877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59"/>
    </row>
    <row r="33" ht="12.75" customHeight="1">
      <c r="A33" s="19">
        <v>1.0</v>
      </c>
      <c r="B33" s="20" t="s">
        <v>27</v>
      </c>
      <c r="C33" s="15"/>
      <c r="D33" s="16"/>
      <c r="E33" s="19">
        <v>291.0</v>
      </c>
      <c r="F33" s="19">
        <v>284.0</v>
      </c>
      <c r="G33" s="19">
        <v>284.0</v>
      </c>
      <c r="H33" s="19">
        <v>285.0</v>
      </c>
      <c r="I33" s="19">
        <v>293.0</v>
      </c>
      <c r="J33" s="19">
        <v>295.0</v>
      </c>
      <c r="K33" s="19">
        <v>301.0</v>
      </c>
      <c r="L33" s="19">
        <v>302.0</v>
      </c>
      <c r="M33" s="19">
        <v>278.0</v>
      </c>
      <c r="N33" s="19">
        <v>225.0</v>
      </c>
      <c r="O33" s="19">
        <v>252.0</v>
      </c>
      <c r="P33" s="19">
        <v>200.0</v>
      </c>
      <c r="Q33" s="19">
        <v>264.0</v>
      </c>
      <c r="R33" s="19">
        <v>301.0</v>
      </c>
      <c r="S33" s="19">
        <v>298.0</v>
      </c>
      <c r="T33" s="19">
        <v>301.0</v>
      </c>
      <c r="U33" s="19">
        <v>217.0</v>
      </c>
      <c r="V33" s="19">
        <v>289.0</v>
      </c>
      <c r="W33" s="19">
        <v>263.0</v>
      </c>
      <c r="X33" s="19">
        <v>302.0</v>
      </c>
      <c r="Y33" s="19">
        <v>301.0</v>
      </c>
      <c r="Z33" s="19">
        <v>297.0</v>
      </c>
      <c r="AA33" s="19">
        <v>287.0</v>
      </c>
      <c r="AB33" s="13">
        <f t="shared" ref="AB33:AB36" si="4">SUM(E33:AA33)</f>
        <v>6410</v>
      </c>
    </row>
    <row r="34" ht="12.75" customHeight="1">
      <c r="A34" s="19">
        <v>2.0</v>
      </c>
      <c r="B34" s="20" t="s">
        <v>28</v>
      </c>
      <c r="C34" s="15"/>
      <c r="D34" s="16"/>
      <c r="E34" s="13">
        <v>241.0</v>
      </c>
      <c r="F34" s="13">
        <v>225.0</v>
      </c>
      <c r="G34" s="13">
        <v>216.0</v>
      </c>
      <c r="H34" s="13">
        <v>219.0</v>
      </c>
      <c r="I34" s="13">
        <v>231.0</v>
      </c>
      <c r="J34" s="13">
        <v>210.0</v>
      </c>
      <c r="K34" s="13">
        <v>209.0</v>
      </c>
      <c r="L34" s="13">
        <v>214.0</v>
      </c>
      <c r="M34" s="13">
        <v>192.0</v>
      </c>
      <c r="N34" s="13">
        <v>173.0</v>
      </c>
      <c r="O34" s="13">
        <v>195.0</v>
      </c>
      <c r="P34" s="13">
        <v>141.0</v>
      </c>
      <c r="Q34" s="13">
        <v>202.0</v>
      </c>
      <c r="R34" s="13">
        <v>239.0</v>
      </c>
      <c r="S34" s="13">
        <v>233.0</v>
      </c>
      <c r="T34" s="13">
        <v>227.0</v>
      </c>
      <c r="U34" s="13">
        <v>176.0</v>
      </c>
      <c r="V34" s="13">
        <v>241.0</v>
      </c>
      <c r="W34" s="13">
        <v>207.0</v>
      </c>
      <c r="X34" s="13">
        <v>238.0</v>
      </c>
      <c r="Y34" s="13">
        <v>216.0</v>
      </c>
      <c r="Z34" s="13">
        <v>211.0</v>
      </c>
      <c r="AA34" s="13">
        <v>221.0</v>
      </c>
      <c r="AB34" s="13">
        <f t="shared" si="4"/>
        <v>4877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2.0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4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v>50.0</v>
      </c>
      <c r="F36" s="13">
        <v>59.0</v>
      </c>
      <c r="G36" s="13">
        <v>68.0</v>
      </c>
      <c r="H36" s="13">
        <v>66.0</v>
      </c>
      <c r="I36" s="13">
        <v>62.0</v>
      </c>
      <c r="J36" s="13">
        <v>85.0</v>
      </c>
      <c r="K36" s="13">
        <v>92.0</v>
      </c>
      <c r="L36" s="13">
        <v>88.0</v>
      </c>
      <c r="M36" s="13">
        <v>86.0</v>
      </c>
      <c r="N36" s="13">
        <v>52.0</v>
      </c>
      <c r="O36" s="13">
        <v>57.0</v>
      </c>
      <c r="P36" s="13">
        <v>59.0</v>
      </c>
      <c r="Q36" s="13">
        <v>62.0</v>
      </c>
      <c r="R36" s="13">
        <v>62.0</v>
      </c>
      <c r="S36" s="13">
        <v>63.0</v>
      </c>
      <c r="T36" s="13">
        <v>74.0</v>
      </c>
      <c r="U36" s="13">
        <v>41.0</v>
      </c>
      <c r="V36" s="13">
        <v>48.0</v>
      </c>
      <c r="W36" s="13">
        <v>56.0</v>
      </c>
      <c r="X36" s="13">
        <v>64.0</v>
      </c>
      <c r="Y36" s="13">
        <v>85.0</v>
      </c>
      <c r="Z36" s="13">
        <v>86.0</v>
      </c>
      <c r="AA36" s="13">
        <v>66.0</v>
      </c>
      <c r="AB36" s="13">
        <f t="shared" si="4"/>
        <v>1531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59"/>
    </row>
    <row r="39" ht="12.75" customHeight="1">
      <c r="A39" s="30"/>
      <c r="B39" s="43" t="s">
        <v>33</v>
      </c>
      <c r="C39" s="23"/>
      <c r="D39" s="19" t="s">
        <v>12</v>
      </c>
      <c r="E39" s="63">
        <v>0.0</v>
      </c>
      <c r="F39" s="63">
        <v>0.0</v>
      </c>
      <c r="G39" s="63">
        <v>0.0</v>
      </c>
      <c r="H39" s="63">
        <v>0.0</v>
      </c>
      <c r="I39" s="63">
        <v>0.0</v>
      </c>
      <c r="J39" s="63">
        <v>0.0</v>
      </c>
      <c r="K39" s="63">
        <v>1.0</v>
      </c>
      <c r="L39" s="63">
        <v>0.0</v>
      </c>
      <c r="M39" s="63">
        <v>1.0</v>
      </c>
      <c r="N39" s="63">
        <v>0.0</v>
      </c>
      <c r="O39" s="63">
        <v>0.0</v>
      </c>
      <c r="P39" s="63">
        <v>0.0</v>
      </c>
      <c r="Q39" s="63">
        <v>0.0</v>
      </c>
      <c r="R39" s="63">
        <v>0.0</v>
      </c>
      <c r="S39" s="63">
        <v>0.0</v>
      </c>
      <c r="T39" s="63">
        <v>0.0</v>
      </c>
      <c r="U39" s="63">
        <v>0.0</v>
      </c>
      <c r="V39" s="63">
        <v>1.0</v>
      </c>
      <c r="W39" s="63">
        <v>0.0</v>
      </c>
      <c r="X39" s="63">
        <v>0.0</v>
      </c>
      <c r="Y39" s="63">
        <v>0.0</v>
      </c>
      <c r="Z39" s="63">
        <v>0.0</v>
      </c>
      <c r="AA39" s="63">
        <v>0.0</v>
      </c>
      <c r="AB39" s="13">
        <f t="shared" ref="AB39:AB41" si="5">SUM(E39:AA39)</f>
        <v>3</v>
      </c>
    </row>
    <row r="40" ht="12.75" customHeight="1">
      <c r="A40" s="33"/>
      <c r="C40" s="27"/>
      <c r="D40" s="19" t="s">
        <v>13</v>
      </c>
      <c r="E40" s="63">
        <v>0.0</v>
      </c>
      <c r="F40" s="63">
        <v>0.0</v>
      </c>
      <c r="G40" s="63">
        <v>0.0</v>
      </c>
      <c r="H40" s="63">
        <v>0.0</v>
      </c>
      <c r="I40" s="63">
        <v>0.0</v>
      </c>
      <c r="J40" s="63">
        <v>1.0</v>
      </c>
      <c r="K40" s="63">
        <v>4.0</v>
      </c>
      <c r="L40" s="63">
        <v>0.0</v>
      </c>
      <c r="M40" s="63">
        <v>0.0</v>
      </c>
      <c r="N40" s="63">
        <v>0.0</v>
      </c>
      <c r="O40" s="63">
        <v>0.0</v>
      </c>
      <c r="P40" s="63">
        <v>0.0</v>
      </c>
      <c r="Q40" s="63">
        <v>0.0</v>
      </c>
      <c r="R40" s="63">
        <v>0.0</v>
      </c>
      <c r="S40" s="63">
        <v>0.0</v>
      </c>
      <c r="T40" s="63">
        <v>0.0</v>
      </c>
      <c r="U40" s="63">
        <v>0.0</v>
      </c>
      <c r="V40" s="63">
        <v>0.0</v>
      </c>
      <c r="W40" s="63">
        <v>0.0</v>
      </c>
      <c r="X40" s="63">
        <v>0.0</v>
      </c>
      <c r="Y40" s="63">
        <v>0.0</v>
      </c>
      <c r="Z40" s="63">
        <v>0.0</v>
      </c>
      <c r="AA40" s="63">
        <v>0.0</v>
      </c>
      <c r="AB40" s="13">
        <f t="shared" si="5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A41" si="6">SUM(E39:E40)</f>
        <v>0</v>
      </c>
      <c r="F41" s="13">
        <f t="shared" si="6"/>
        <v>0</v>
      </c>
      <c r="G41" s="13">
        <f t="shared" si="6"/>
        <v>0</v>
      </c>
      <c r="H41" s="13">
        <f t="shared" si="6"/>
        <v>0</v>
      </c>
      <c r="I41" s="13">
        <f t="shared" si="6"/>
        <v>0</v>
      </c>
      <c r="J41" s="13">
        <f t="shared" si="6"/>
        <v>1</v>
      </c>
      <c r="K41" s="13">
        <f t="shared" si="6"/>
        <v>5</v>
      </c>
      <c r="L41" s="13">
        <f t="shared" si="6"/>
        <v>0</v>
      </c>
      <c r="M41" s="13">
        <f t="shared" si="6"/>
        <v>1</v>
      </c>
      <c r="N41" s="13">
        <f t="shared" si="6"/>
        <v>0</v>
      </c>
      <c r="O41" s="13">
        <f t="shared" si="6"/>
        <v>0</v>
      </c>
      <c r="P41" s="13">
        <f t="shared" si="6"/>
        <v>0</v>
      </c>
      <c r="Q41" s="13">
        <f t="shared" si="6"/>
        <v>0</v>
      </c>
      <c r="R41" s="13">
        <f t="shared" si="6"/>
        <v>0</v>
      </c>
      <c r="S41" s="13">
        <f t="shared" si="6"/>
        <v>0</v>
      </c>
      <c r="T41" s="13">
        <f t="shared" si="6"/>
        <v>0</v>
      </c>
      <c r="U41" s="13">
        <f t="shared" si="6"/>
        <v>0</v>
      </c>
      <c r="V41" s="13">
        <f t="shared" si="6"/>
        <v>1</v>
      </c>
      <c r="W41" s="13">
        <f t="shared" si="6"/>
        <v>0</v>
      </c>
      <c r="X41" s="13">
        <f t="shared" si="6"/>
        <v>0</v>
      </c>
      <c r="Y41" s="13">
        <f t="shared" si="6"/>
        <v>0</v>
      </c>
      <c r="Z41" s="13">
        <f t="shared" si="6"/>
        <v>0</v>
      </c>
      <c r="AA41" s="13">
        <f t="shared" si="6"/>
        <v>0</v>
      </c>
      <c r="AB41" s="13">
        <f t="shared" si="5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13"/>
    </row>
    <row r="45" ht="12.75" customHeight="1">
      <c r="A45" s="30"/>
      <c r="B45" s="47" t="s">
        <v>17</v>
      </c>
      <c r="C45" s="62" t="s">
        <v>38</v>
      </c>
      <c r="D45" s="16"/>
      <c r="E45" s="19">
        <v>15.0</v>
      </c>
      <c r="F45" s="19">
        <v>9.0</v>
      </c>
      <c r="G45" s="19">
        <v>13.0</v>
      </c>
      <c r="H45" s="19">
        <v>14.0</v>
      </c>
      <c r="I45" s="19">
        <v>7.0</v>
      </c>
      <c r="J45" s="19">
        <v>5.0</v>
      </c>
      <c r="K45" s="19">
        <v>10.0</v>
      </c>
      <c r="L45" s="19">
        <v>16.0</v>
      </c>
      <c r="M45" s="19">
        <v>19.0</v>
      </c>
      <c r="N45" s="19">
        <v>15.0</v>
      </c>
      <c r="O45" s="19">
        <v>15.0</v>
      </c>
      <c r="P45" s="19">
        <v>6.0</v>
      </c>
      <c r="Q45" s="19">
        <v>12.0</v>
      </c>
      <c r="R45" s="19">
        <v>5.0</v>
      </c>
      <c r="S45" s="19">
        <v>7.0</v>
      </c>
      <c r="T45" s="19">
        <v>8.0</v>
      </c>
      <c r="U45" s="19">
        <v>8.0</v>
      </c>
      <c r="V45" s="19">
        <v>12.0</v>
      </c>
      <c r="W45" s="19">
        <v>14.0</v>
      </c>
      <c r="X45" s="19">
        <v>10.0</v>
      </c>
      <c r="Y45" s="19">
        <v>12.0</v>
      </c>
      <c r="Z45" s="19">
        <v>20.0</v>
      </c>
      <c r="AA45" s="19">
        <v>20.0</v>
      </c>
      <c r="AB45" s="13">
        <f t="shared" ref="AB45:AB57" si="7">SUM(E45:AA45)</f>
        <v>272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41.0</v>
      </c>
      <c r="F46" s="19">
        <v>43.0</v>
      </c>
      <c r="G46" s="19">
        <v>31.0</v>
      </c>
      <c r="H46" s="19">
        <v>42.0</v>
      </c>
      <c r="I46" s="19">
        <v>33.0</v>
      </c>
      <c r="J46" s="19">
        <v>17.0</v>
      </c>
      <c r="K46" s="19">
        <v>46.0</v>
      </c>
      <c r="L46" s="19">
        <v>49.0</v>
      </c>
      <c r="M46" s="19">
        <v>31.0</v>
      </c>
      <c r="N46" s="19">
        <v>32.0</v>
      </c>
      <c r="O46" s="19">
        <v>39.0</v>
      </c>
      <c r="P46" s="19">
        <v>27.0</v>
      </c>
      <c r="Q46" s="19">
        <v>24.0</v>
      </c>
      <c r="R46" s="19">
        <v>38.0</v>
      </c>
      <c r="S46" s="19">
        <v>29.0</v>
      </c>
      <c r="T46" s="19">
        <v>35.0</v>
      </c>
      <c r="U46" s="19">
        <v>46.0</v>
      </c>
      <c r="V46" s="19">
        <v>29.0</v>
      </c>
      <c r="W46" s="19">
        <v>28.0</v>
      </c>
      <c r="X46" s="19">
        <v>52.0</v>
      </c>
      <c r="Y46" s="19">
        <v>35.0</v>
      </c>
      <c r="Z46" s="19">
        <v>32.0</v>
      </c>
      <c r="AA46" s="19">
        <v>32.0</v>
      </c>
      <c r="AB46" s="13">
        <f t="shared" si="7"/>
        <v>811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15.0</v>
      </c>
      <c r="F47" s="19">
        <v>10.0</v>
      </c>
      <c r="G47" s="19">
        <v>13.0</v>
      </c>
      <c r="H47" s="19">
        <v>7.0</v>
      </c>
      <c r="I47" s="19">
        <v>8.0</v>
      </c>
      <c r="J47" s="19">
        <v>9.0</v>
      </c>
      <c r="K47" s="19">
        <v>13.0</v>
      </c>
      <c r="L47" s="19">
        <v>12.0</v>
      </c>
      <c r="M47" s="19">
        <v>4.0</v>
      </c>
      <c r="N47" s="19">
        <v>8.0</v>
      </c>
      <c r="O47" s="19">
        <v>13.0</v>
      </c>
      <c r="P47" s="19">
        <v>8.0</v>
      </c>
      <c r="Q47" s="19">
        <v>12.0</v>
      </c>
      <c r="R47" s="19">
        <v>19.0</v>
      </c>
      <c r="S47" s="19">
        <v>23.0</v>
      </c>
      <c r="T47" s="19">
        <v>15.0</v>
      </c>
      <c r="U47" s="19">
        <v>8.0</v>
      </c>
      <c r="V47" s="19">
        <v>15.0</v>
      </c>
      <c r="W47" s="19">
        <v>11.0</v>
      </c>
      <c r="X47" s="19">
        <v>18.0</v>
      </c>
      <c r="Y47" s="19">
        <v>8.0</v>
      </c>
      <c r="Z47" s="19">
        <v>5.0</v>
      </c>
      <c r="AA47" s="19">
        <v>12.0</v>
      </c>
      <c r="AB47" s="13">
        <f t="shared" si="7"/>
        <v>266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23.0</v>
      </c>
      <c r="F48" s="19">
        <v>23.0</v>
      </c>
      <c r="G48" s="19">
        <v>17.0</v>
      </c>
      <c r="H48" s="19">
        <v>23.0</v>
      </c>
      <c r="I48" s="19">
        <v>6.0</v>
      </c>
      <c r="J48" s="19">
        <v>21.0</v>
      </c>
      <c r="K48" s="19">
        <v>14.0</v>
      </c>
      <c r="L48" s="19">
        <v>15.0</v>
      </c>
      <c r="M48" s="19">
        <v>13.0</v>
      </c>
      <c r="N48" s="19">
        <v>12.0</v>
      </c>
      <c r="O48" s="19">
        <v>20.0</v>
      </c>
      <c r="P48" s="19">
        <v>15.0</v>
      </c>
      <c r="Q48" s="19">
        <v>24.0</v>
      </c>
      <c r="R48" s="19">
        <v>27.0</v>
      </c>
      <c r="S48" s="19">
        <v>20.0</v>
      </c>
      <c r="T48" s="19">
        <v>22.0</v>
      </c>
      <c r="U48" s="19">
        <v>23.0</v>
      </c>
      <c r="V48" s="19">
        <v>33.0</v>
      </c>
      <c r="W48" s="19">
        <v>23.0</v>
      </c>
      <c r="X48" s="19">
        <v>23.0</v>
      </c>
      <c r="Y48" s="19">
        <v>16.0</v>
      </c>
      <c r="Z48" s="19">
        <v>18.0</v>
      </c>
      <c r="AA48" s="19">
        <v>27.0</v>
      </c>
      <c r="AB48" s="13">
        <f t="shared" si="7"/>
        <v>458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12.0</v>
      </c>
      <c r="F49" s="19">
        <v>8.0</v>
      </c>
      <c r="G49" s="19">
        <v>16.0</v>
      </c>
      <c r="H49" s="19">
        <v>8.0</v>
      </c>
      <c r="I49" s="19">
        <v>8.0</v>
      </c>
      <c r="J49" s="19">
        <v>5.0</v>
      </c>
      <c r="K49" s="19">
        <v>14.0</v>
      </c>
      <c r="L49" s="19">
        <v>16.0</v>
      </c>
      <c r="M49" s="19">
        <v>19.0</v>
      </c>
      <c r="N49" s="19">
        <v>14.0</v>
      </c>
      <c r="O49" s="19">
        <v>9.0</v>
      </c>
      <c r="P49" s="19">
        <v>12.0</v>
      </c>
      <c r="Q49" s="19">
        <v>14.0</v>
      </c>
      <c r="R49" s="19">
        <v>13.0</v>
      </c>
      <c r="S49" s="19">
        <v>13.0</v>
      </c>
      <c r="T49" s="19">
        <v>8.0</v>
      </c>
      <c r="U49" s="19">
        <v>14.0</v>
      </c>
      <c r="V49" s="19">
        <v>7.0</v>
      </c>
      <c r="W49" s="19">
        <v>17.0</v>
      </c>
      <c r="X49" s="19">
        <v>12.0</v>
      </c>
      <c r="Y49" s="19">
        <v>13.0</v>
      </c>
      <c r="Z49" s="19">
        <v>14.0</v>
      </c>
      <c r="AA49" s="19">
        <v>15.0</v>
      </c>
      <c r="AB49" s="13">
        <f t="shared" si="7"/>
        <v>281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22.0</v>
      </c>
      <c r="F50" s="19">
        <v>32.0</v>
      </c>
      <c r="G50" s="19">
        <v>41.0</v>
      </c>
      <c r="H50" s="19">
        <v>39.0</v>
      </c>
      <c r="I50" s="19">
        <v>102.0</v>
      </c>
      <c r="J50" s="19">
        <v>105.0</v>
      </c>
      <c r="K50" s="19">
        <v>19.0</v>
      </c>
      <c r="L50" s="19">
        <v>16.0</v>
      </c>
      <c r="M50" s="19">
        <v>15.0</v>
      </c>
      <c r="N50" s="19">
        <v>14.0</v>
      </c>
      <c r="O50" s="19">
        <v>12.0</v>
      </c>
      <c r="P50" s="19">
        <v>11.0</v>
      </c>
      <c r="Q50" s="19">
        <v>17.0</v>
      </c>
      <c r="R50" s="19">
        <v>20.0</v>
      </c>
      <c r="S50" s="19">
        <v>16.0</v>
      </c>
      <c r="T50" s="19">
        <v>10.0</v>
      </c>
      <c r="U50" s="19">
        <v>12.0</v>
      </c>
      <c r="V50" s="19">
        <v>10.0</v>
      </c>
      <c r="W50" s="19">
        <v>37.0</v>
      </c>
      <c r="X50" s="19">
        <v>18.0</v>
      </c>
      <c r="Y50" s="19">
        <v>17.0</v>
      </c>
      <c r="Z50" s="19">
        <v>20.0</v>
      </c>
      <c r="AA50" s="19">
        <v>21.0</v>
      </c>
      <c r="AB50" s="13">
        <f t="shared" si="7"/>
        <v>626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3.0</v>
      </c>
      <c r="F51" s="19">
        <v>2.0</v>
      </c>
      <c r="G51" s="19">
        <v>1.0</v>
      </c>
      <c r="H51" s="19">
        <v>0.0</v>
      </c>
      <c r="I51" s="19">
        <v>0.0</v>
      </c>
      <c r="J51" s="19">
        <v>1.0</v>
      </c>
      <c r="K51" s="19">
        <v>1.0</v>
      </c>
      <c r="L51" s="19">
        <v>1.0</v>
      </c>
      <c r="M51" s="19">
        <v>4.0</v>
      </c>
      <c r="N51" s="19">
        <v>3.0</v>
      </c>
      <c r="O51" s="19">
        <v>3.0</v>
      </c>
      <c r="P51" s="19">
        <v>3.0</v>
      </c>
      <c r="Q51" s="19">
        <v>1.0</v>
      </c>
      <c r="R51" s="19">
        <v>3.0</v>
      </c>
      <c r="S51" s="19">
        <v>0.0</v>
      </c>
      <c r="T51" s="19">
        <v>4.0</v>
      </c>
      <c r="U51" s="19">
        <v>2.0</v>
      </c>
      <c r="V51" s="19">
        <v>1.0</v>
      </c>
      <c r="W51" s="19">
        <v>2.0</v>
      </c>
      <c r="X51" s="19">
        <v>1.0</v>
      </c>
      <c r="Y51" s="19">
        <v>1.0</v>
      </c>
      <c r="Z51" s="19">
        <v>2.0</v>
      </c>
      <c r="AA51" s="19">
        <v>0.0</v>
      </c>
      <c r="AB51" s="13">
        <f t="shared" si="7"/>
        <v>39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1.0</v>
      </c>
      <c r="F52" s="19">
        <v>5.0</v>
      </c>
      <c r="G52" s="19">
        <v>7.0</v>
      </c>
      <c r="H52" s="19">
        <v>1.0</v>
      </c>
      <c r="I52" s="19">
        <v>1.0</v>
      </c>
      <c r="J52" s="19">
        <v>3.0</v>
      </c>
      <c r="K52" s="19">
        <v>2.0</v>
      </c>
      <c r="L52" s="19">
        <v>0.0</v>
      </c>
      <c r="M52" s="19">
        <v>0.0</v>
      </c>
      <c r="N52" s="19">
        <v>1.0</v>
      </c>
      <c r="O52" s="19">
        <v>2.0</v>
      </c>
      <c r="P52" s="19">
        <v>0.0</v>
      </c>
      <c r="Q52" s="19">
        <v>0.0</v>
      </c>
      <c r="R52" s="19">
        <v>0.0</v>
      </c>
      <c r="S52" s="19">
        <v>1.0</v>
      </c>
      <c r="T52" s="19">
        <v>3.0</v>
      </c>
      <c r="U52" s="19">
        <v>1.0</v>
      </c>
      <c r="V52" s="19">
        <v>2.0</v>
      </c>
      <c r="W52" s="19">
        <v>0.0</v>
      </c>
      <c r="X52" s="19">
        <v>5.0</v>
      </c>
      <c r="Y52" s="19">
        <v>4.0</v>
      </c>
      <c r="Z52" s="19">
        <v>0.0</v>
      </c>
      <c r="AA52" s="19">
        <v>1.0</v>
      </c>
      <c r="AB52" s="13">
        <f t="shared" si="7"/>
        <v>40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1.0</v>
      </c>
      <c r="J53" s="19">
        <v>0.0</v>
      </c>
      <c r="K53" s="19">
        <v>0.0</v>
      </c>
      <c r="L53" s="19">
        <v>0.0</v>
      </c>
      <c r="M53" s="19">
        <v>0.0</v>
      </c>
      <c r="N53" s="19">
        <v>0.0</v>
      </c>
      <c r="O53" s="19">
        <v>1.0</v>
      </c>
      <c r="P53" s="19">
        <v>1.0</v>
      </c>
      <c r="Q53" s="19">
        <v>0.0</v>
      </c>
      <c r="R53" s="19">
        <v>1.0</v>
      </c>
      <c r="S53" s="19">
        <v>0.0</v>
      </c>
      <c r="T53" s="19">
        <v>0.0</v>
      </c>
      <c r="U53" s="19">
        <v>0.0</v>
      </c>
      <c r="V53" s="19">
        <v>1.0</v>
      </c>
      <c r="W53" s="19">
        <v>0.0</v>
      </c>
      <c r="X53" s="19">
        <v>0.0</v>
      </c>
      <c r="Y53" s="19">
        <v>0.0</v>
      </c>
      <c r="Z53" s="19">
        <v>1.0</v>
      </c>
      <c r="AA53" s="19">
        <v>2.0</v>
      </c>
      <c r="AB53" s="13">
        <f t="shared" si="7"/>
        <v>9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29.0</v>
      </c>
      <c r="F54" s="19">
        <v>25.0</v>
      </c>
      <c r="G54" s="19">
        <v>20.0</v>
      </c>
      <c r="H54" s="19">
        <v>20.0</v>
      </c>
      <c r="I54" s="19">
        <v>17.0</v>
      </c>
      <c r="J54" s="19">
        <v>8.0</v>
      </c>
      <c r="K54" s="19">
        <v>24.0</v>
      </c>
      <c r="L54" s="19">
        <v>19.0</v>
      </c>
      <c r="M54" s="19">
        <v>23.0</v>
      </c>
      <c r="N54" s="19">
        <v>25.0</v>
      </c>
      <c r="O54" s="19">
        <v>33.0</v>
      </c>
      <c r="P54" s="19">
        <v>18.0</v>
      </c>
      <c r="Q54" s="19">
        <v>29.0</v>
      </c>
      <c r="R54" s="19">
        <v>28.0</v>
      </c>
      <c r="S54" s="19">
        <v>17.0</v>
      </c>
      <c r="T54" s="19">
        <v>15.0</v>
      </c>
      <c r="U54" s="19">
        <v>17.0</v>
      </c>
      <c r="V54" s="19">
        <v>27.0</v>
      </c>
      <c r="W54" s="19">
        <v>32.0</v>
      </c>
      <c r="X54" s="19">
        <v>26.0</v>
      </c>
      <c r="Y54" s="19">
        <v>38.0</v>
      </c>
      <c r="Z54" s="19">
        <v>28.0</v>
      </c>
      <c r="AA54" s="19">
        <v>27.0</v>
      </c>
      <c r="AB54" s="13">
        <f t="shared" si="7"/>
        <v>545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2.0</v>
      </c>
      <c r="F55" s="19">
        <v>2.0</v>
      </c>
      <c r="G55" s="19">
        <v>0.0</v>
      </c>
      <c r="H55" s="19">
        <v>0.0</v>
      </c>
      <c r="I55" s="19">
        <v>0.0</v>
      </c>
      <c r="J55" s="19">
        <v>1.0</v>
      </c>
      <c r="K55" s="19">
        <v>0.0</v>
      </c>
      <c r="L55" s="19">
        <v>0.0</v>
      </c>
      <c r="M55" s="19">
        <v>1.0</v>
      </c>
      <c r="N55" s="19">
        <v>0.0</v>
      </c>
      <c r="O55" s="19">
        <v>0.0</v>
      </c>
      <c r="P55" s="19">
        <v>0.0</v>
      </c>
      <c r="Q55" s="19">
        <v>1.0</v>
      </c>
      <c r="R55" s="19">
        <v>2.0</v>
      </c>
      <c r="S55" s="19">
        <v>0.0</v>
      </c>
      <c r="T55" s="19">
        <v>0.0</v>
      </c>
      <c r="U55" s="19">
        <v>0.0</v>
      </c>
      <c r="V55" s="19">
        <v>0.0</v>
      </c>
      <c r="W55" s="19">
        <v>2.0</v>
      </c>
      <c r="X55" s="19">
        <v>0.0</v>
      </c>
      <c r="Y55" s="19">
        <v>2.0</v>
      </c>
      <c r="Z55" s="19">
        <v>0.0</v>
      </c>
      <c r="AA55" s="19">
        <v>0.0</v>
      </c>
      <c r="AB55" s="13">
        <f t="shared" si="7"/>
        <v>13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40.0</v>
      </c>
      <c r="F56" s="19">
        <v>28.0</v>
      </c>
      <c r="G56" s="19">
        <v>16.0</v>
      </c>
      <c r="H56" s="19">
        <v>17.0</v>
      </c>
      <c r="I56" s="19">
        <v>16.0</v>
      </c>
      <c r="J56" s="19">
        <v>5.0</v>
      </c>
      <c r="K56" s="19">
        <v>28.0</v>
      </c>
      <c r="L56" s="19">
        <v>33.0</v>
      </c>
      <c r="M56" s="19">
        <v>15.0</v>
      </c>
      <c r="N56" s="19">
        <v>13.0</v>
      </c>
      <c r="O56" s="19">
        <v>20.0</v>
      </c>
      <c r="P56" s="19">
        <v>18.0</v>
      </c>
      <c r="Q56" s="19">
        <v>46.0</v>
      </c>
      <c r="R56" s="19">
        <v>18.0</v>
      </c>
      <c r="S56" s="19">
        <v>27.0</v>
      </c>
      <c r="T56" s="19">
        <v>20.0</v>
      </c>
      <c r="U56" s="19">
        <v>24.0</v>
      </c>
      <c r="V56" s="19">
        <v>34.0</v>
      </c>
      <c r="W56" s="19">
        <v>21.0</v>
      </c>
      <c r="X56" s="19">
        <v>35.0</v>
      </c>
      <c r="Y56" s="19">
        <v>34.0</v>
      </c>
      <c r="Z56" s="19">
        <v>25.0</v>
      </c>
      <c r="AA56" s="19">
        <v>13.0</v>
      </c>
      <c r="AB56" s="13">
        <f t="shared" si="7"/>
        <v>546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1.0</v>
      </c>
      <c r="G57" s="19">
        <v>0.0</v>
      </c>
      <c r="H57" s="19">
        <v>1.0</v>
      </c>
      <c r="I57" s="19">
        <v>2.0</v>
      </c>
      <c r="J57" s="19">
        <v>2.0</v>
      </c>
      <c r="K57" s="19">
        <v>0.0</v>
      </c>
      <c r="L57" s="19">
        <v>0.0</v>
      </c>
      <c r="M57" s="19">
        <v>2.0</v>
      </c>
      <c r="N57" s="19">
        <v>1.0</v>
      </c>
      <c r="O57" s="19">
        <v>1.0</v>
      </c>
      <c r="P57" s="19">
        <v>0.0</v>
      </c>
      <c r="Q57" s="19">
        <v>2.0</v>
      </c>
      <c r="R57" s="19">
        <v>0.0</v>
      </c>
      <c r="S57" s="19">
        <v>0.0</v>
      </c>
      <c r="T57" s="19">
        <v>0.0</v>
      </c>
      <c r="U57" s="19">
        <v>1.0</v>
      </c>
      <c r="V57" s="19">
        <v>2.0</v>
      </c>
      <c r="W57" s="19">
        <v>1.0</v>
      </c>
      <c r="X57" s="19">
        <v>2.0</v>
      </c>
      <c r="Y57" s="19">
        <v>1.0</v>
      </c>
      <c r="Z57" s="19">
        <v>1.0</v>
      </c>
      <c r="AA57" s="19">
        <v>0.0</v>
      </c>
      <c r="AB57" s="13">
        <f t="shared" si="7"/>
        <v>21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A60" si="8">SUM(E45:E57)</f>
        <v>204</v>
      </c>
      <c r="F60" s="19">
        <f t="shared" si="8"/>
        <v>188</v>
      </c>
      <c r="G60" s="19">
        <f t="shared" si="8"/>
        <v>175</v>
      </c>
      <c r="H60" s="19">
        <f t="shared" si="8"/>
        <v>173</v>
      </c>
      <c r="I60" s="19">
        <f t="shared" si="8"/>
        <v>201</v>
      </c>
      <c r="J60" s="19">
        <f t="shared" si="8"/>
        <v>182</v>
      </c>
      <c r="K60" s="19">
        <f t="shared" si="8"/>
        <v>171</v>
      </c>
      <c r="L60" s="19">
        <f t="shared" si="8"/>
        <v>177</v>
      </c>
      <c r="M60" s="19">
        <f t="shared" si="8"/>
        <v>146</v>
      </c>
      <c r="N60" s="19">
        <f t="shared" si="8"/>
        <v>138</v>
      </c>
      <c r="O60" s="19">
        <f t="shared" si="8"/>
        <v>168</v>
      </c>
      <c r="P60" s="19">
        <f t="shared" si="8"/>
        <v>119</v>
      </c>
      <c r="Q60" s="19">
        <f t="shared" si="8"/>
        <v>182</v>
      </c>
      <c r="R60" s="19">
        <f t="shared" si="8"/>
        <v>174</v>
      </c>
      <c r="S60" s="19">
        <f t="shared" si="8"/>
        <v>153</v>
      </c>
      <c r="T60" s="19">
        <f t="shared" si="8"/>
        <v>140</v>
      </c>
      <c r="U60" s="19">
        <f t="shared" si="8"/>
        <v>156</v>
      </c>
      <c r="V60" s="19">
        <f t="shared" si="8"/>
        <v>173</v>
      </c>
      <c r="W60" s="19">
        <f t="shared" si="8"/>
        <v>188</v>
      </c>
      <c r="X60" s="19">
        <f t="shared" si="8"/>
        <v>202</v>
      </c>
      <c r="Y60" s="19">
        <f t="shared" si="8"/>
        <v>181</v>
      </c>
      <c r="Z60" s="19">
        <f t="shared" si="8"/>
        <v>166</v>
      </c>
      <c r="AA60" s="19">
        <f t="shared" si="8"/>
        <v>170</v>
      </c>
      <c r="AB60" s="13">
        <f t="shared" ref="AB60:AB62" si="9">SUM(E60:AA60)</f>
        <v>3927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37.0</v>
      </c>
      <c r="F61" s="19">
        <v>37.0</v>
      </c>
      <c r="G61" s="19">
        <v>41.0</v>
      </c>
      <c r="H61" s="19">
        <v>46.0</v>
      </c>
      <c r="I61" s="19">
        <v>30.0</v>
      </c>
      <c r="J61" s="19">
        <v>28.0</v>
      </c>
      <c r="K61" s="19">
        <v>38.0</v>
      </c>
      <c r="L61" s="19">
        <v>37.0</v>
      </c>
      <c r="M61" s="19">
        <v>45.0</v>
      </c>
      <c r="N61" s="19">
        <v>35.0</v>
      </c>
      <c r="O61" s="19">
        <v>27.0</v>
      </c>
      <c r="P61" s="19">
        <v>22.0</v>
      </c>
      <c r="Q61" s="19">
        <v>20.0</v>
      </c>
      <c r="R61" s="19">
        <v>65.0</v>
      </c>
      <c r="S61" s="19">
        <v>80.0</v>
      </c>
      <c r="T61" s="19">
        <v>87.0</v>
      </c>
      <c r="U61" s="19">
        <v>20.0</v>
      </c>
      <c r="V61" s="19">
        <v>68.0</v>
      </c>
      <c r="W61" s="19">
        <v>19.0</v>
      </c>
      <c r="X61" s="19">
        <v>36.0</v>
      </c>
      <c r="Y61" s="19">
        <v>35.0</v>
      </c>
      <c r="Z61" s="19">
        <v>45.0</v>
      </c>
      <c r="AA61" s="19">
        <v>51.0</v>
      </c>
      <c r="AB61" s="13">
        <f t="shared" si="9"/>
        <v>949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A62" si="10">SUM(E60:E61)</f>
        <v>241</v>
      </c>
      <c r="F62" s="13">
        <f t="shared" si="10"/>
        <v>225</v>
      </c>
      <c r="G62" s="13">
        <f t="shared" si="10"/>
        <v>216</v>
      </c>
      <c r="H62" s="13">
        <f t="shared" si="10"/>
        <v>219</v>
      </c>
      <c r="I62" s="13">
        <f t="shared" si="10"/>
        <v>231</v>
      </c>
      <c r="J62" s="13">
        <f t="shared" si="10"/>
        <v>210</v>
      </c>
      <c r="K62" s="13">
        <f t="shared" si="10"/>
        <v>209</v>
      </c>
      <c r="L62" s="13">
        <f t="shared" si="10"/>
        <v>214</v>
      </c>
      <c r="M62" s="13">
        <f t="shared" si="10"/>
        <v>191</v>
      </c>
      <c r="N62" s="13">
        <f t="shared" si="10"/>
        <v>173</v>
      </c>
      <c r="O62" s="13">
        <f t="shared" si="10"/>
        <v>195</v>
      </c>
      <c r="P62" s="13">
        <f t="shared" si="10"/>
        <v>141</v>
      </c>
      <c r="Q62" s="13">
        <f t="shared" si="10"/>
        <v>202</v>
      </c>
      <c r="R62" s="13">
        <f t="shared" si="10"/>
        <v>239</v>
      </c>
      <c r="S62" s="13">
        <f t="shared" si="10"/>
        <v>233</v>
      </c>
      <c r="T62" s="13">
        <f t="shared" si="10"/>
        <v>227</v>
      </c>
      <c r="U62" s="13">
        <f t="shared" si="10"/>
        <v>176</v>
      </c>
      <c r="V62" s="13">
        <f t="shared" si="10"/>
        <v>241</v>
      </c>
      <c r="W62" s="13">
        <f t="shared" si="10"/>
        <v>207</v>
      </c>
      <c r="X62" s="13">
        <f t="shared" si="10"/>
        <v>238</v>
      </c>
      <c r="Y62" s="13">
        <f t="shared" si="10"/>
        <v>216</v>
      </c>
      <c r="Z62" s="13">
        <f t="shared" si="10"/>
        <v>211</v>
      </c>
      <c r="AA62" s="13">
        <f t="shared" si="10"/>
        <v>221</v>
      </c>
      <c r="AB62" s="13">
        <f t="shared" si="9"/>
        <v>4876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A15 E45:AA5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60:AA61">
    <cfRule type="containsBlanks" dxfId="1" priority="10">
      <formula>LEN(TRIM(E60))=0</formula>
    </cfRule>
  </conditionalFormatting>
  <conditionalFormatting sqref="U34:AA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116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13" t="s">
        <v>94</v>
      </c>
      <c r="AC13" s="13" t="s">
        <v>95</v>
      </c>
      <c r="AD13" s="13" t="s">
        <v>96</v>
      </c>
      <c r="AE13" s="13" t="s">
        <v>97</v>
      </c>
      <c r="AF13" s="13" t="s">
        <v>98</v>
      </c>
      <c r="AG13" s="13" t="s">
        <v>99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63">
        <v>141.0</v>
      </c>
      <c r="F14" s="63">
        <v>121.0</v>
      </c>
      <c r="G14" s="63">
        <v>111.0</v>
      </c>
      <c r="H14" s="63">
        <v>147.0</v>
      </c>
      <c r="I14" s="63">
        <v>125.0</v>
      </c>
      <c r="J14" s="63">
        <v>124.0</v>
      </c>
      <c r="K14" s="63">
        <v>120.0</v>
      </c>
      <c r="L14" s="63">
        <v>97.0</v>
      </c>
      <c r="M14" s="63">
        <v>131.0</v>
      </c>
      <c r="N14" s="63">
        <v>140.0</v>
      </c>
      <c r="O14" s="63">
        <v>147.0</v>
      </c>
      <c r="P14" s="63">
        <v>135.0</v>
      </c>
      <c r="Q14" s="63">
        <v>129.0</v>
      </c>
      <c r="R14" s="63">
        <v>118.0</v>
      </c>
      <c r="S14" s="63">
        <v>116.0</v>
      </c>
      <c r="T14" s="63">
        <v>130.0</v>
      </c>
      <c r="U14" s="63">
        <v>151.0</v>
      </c>
      <c r="V14" s="63">
        <v>135.0</v>
      </c>
      <c r="W14" s="63">
        <v>105.0</v>
      </c>
      <c r="X14" s="63">
        <v>115.0</v>
      </c>
      <c r="Y14" s="63">
        <v>81.0</v>
      </c>
      <c r="Z14" s="63">
        <v>154.0</v>
      </c>
      <c r="AA14" s="63">
        <v>135.0</v>
      </c>
      <c r="AB14" s="63">
        <v>139.0</v>
      </c>
      <c r="AC14" s="63">
        <v>135.0</v>
      </c>
      <c r="AD14" s="63">
        <v>143.0</v>
      </c>
      <c r="AE14" s="63">
        <v>119.0</v>
      </c>
      <c r="AF14" s="63">
        <v>111.0</v>
      </c>
      <c r="AG14" s="63">
        <v>122.0</v>
      </c>
      <c r="AH14" s="13">
        <f t="shared" ref="AH14:AH16" si="1">SUM(E14:AG14)</f>
        <v>3677</v>
      </c>
    </row>
    <row r="15" ht="12.75" customHeight="1">
      <c r="A15" s="18"/>
      <c r="B15" s="26"/>
      <c r="C15" s="27"/>
      <c r="D15" s="19" t="s">
        <v>13</v>
      </c>
      <c r="E15" s="63">
        <v>133.0</v>
      </c>
      <c r="F15" s="63">
        <v>109.0</v>
      </c>
      <c r="G15" s="63">
        <v>110.0</v>
      </c>
      <c r="H15" s="63">
        <v>146.0</v>
      </c>
      <c r="I15" s="63">
        <v>122.0</v>
      </c>
      <c r="J15" s="63">
        <v>136.0</v>
      </c>
      <c r="K15" s="63">
        <v>117.0</v>
      </c>
      <c r="L15" s="63">
        <v>104.0</v>
      </c>
      <c r="M15" s="63">
        <v>137.0</v>
      </c>
      <c r="N15" s="63">
        <v>146.0</v>
      </c>
      <c r="O15" s="63">
        <v>144.0</v>
      </c>
      <c r="P15" s="63">
        <v>149.0</v>
      </c>
      <c r="Q15" s="63">
        <v>139.0</v>
      </c>
      <c r="R15" s="63">
        <v>118.0</v>
      </c>
      <c r="S15" s="63">
        <v>118.0</v>
      </c>
      <c r="T15" s="63">
        <v>131.0</v>
      </c>
      <c r="U15" s="63">
        <v>145.0</v>
      </c>
      <c r="V15" s="63">
        <v>134.0</v>
      </c>
      <c r="W15" s="63">
        <v>108.0</v>
      </c>
      <c r="X15" s="63">
        <v>117.0</v>
      </c>
      <c r="Y15" s="63">
        <v>74.0</v>
      </c>
      <c r="Z15" s="63">
        <v>137.0</v>
      </c>
      <c r="AA15" s="63">
        <v>120.0</v>
      </c>
      <c r="AB15" s="63">
        <v>132.0</v>
      </c>
      <c r="AC15" s="63">
        <v>123.0</v>
      </c>
      <c r="AD15" s="63">
        <v>152.0</v>
      </c>
      <c r="AE15" s="63">
        <v>125.0</v>
      </c>
      <c r="AF15" s="63">
        <v>98.0</v>
      </c>
      <c r="AG15" s="63">
        <v>124.0</v>
      </c>
      <c r="AH15" s="13">
        <f t="shared" si="1"/>
        <v>3648</v>
      </c>
    </row>
    <row r="16" ht="12.75" customHeight="1">
      <c r="A16" s="25"/>
      <c r="B16" s="21"/>
      <c r="C16" s="28"/>
      <c r="D16" s="13" t="s">
        <v>14</v>
      </c>
      <c r="E16" s="64">
        <v>274.0</v>
      </c>
      <c r="F16" s="64">
        <v>230.0</v>
      </c>
      <c r="G16" s="64">
        <v>221.0</v>
      </c>
      <c r="H16" s="64">
        <v>293.0</v>
      </c>
      <c r="I16" s="64">
        <v>247.0</v>
      </c>
      <c r="J16" s="64">
        <v>260.0</v>
      </c>
      <c r="K16" s="64">
        <v>237.0</v>
      </c>
      <c r="L16" s="64">
        <v>201.0</v>
      </c>
      <c r="M16" s="64">
        <v>268.0</v>
      </c>
      <c r="N16" s="64">
        <v>286.0</v>
      </c>
      <c r="O16" s="64">
        <v>291.0</v>
      </c>
      <c r="P16" s="64">
        <v>284.0</v>
      </c>
      <c r="Q16" s="64">
        <v>268.0</v>
      </c>
      <c r="R16" s="64">
        <v>236.0</v>
      </c>
      <c r="S16" s="64">
        <v>234.0</v>
      </c>
      <c r="T16" s="64">
        <v>261.0</v>
      </c>
      <c r="U16" s="64">
        <v>296.0</v>
      </c>
      <c r="V16" s="64">
        <v>269.0</v>
      </c>
      <c r="W16" s="64">
        <v>213.0</v>
      </c>
      <c r="X16" s="64">
        <v>232.0</v>
      </c>
      <c r="Y16" s="64">
        <v>155.0</v>
      </c>
      <c r="Z16" s="64">
        <v>291.0</v>
      </c>
      <c r="AA16" s="64">
        <v>255.0</v>
      </c>
      <c r="AB16" s="64">
        <v>271.0</v>
      </c>
      <c r="AC16" s="64">
        <v>258.0</v>
      </c>
      <c r="AD16" s="64">
        <v>295.0</v>
      </c>
      <c r="AE16" s="64">
        <v>244.0</v>
      </c>
      <c r="AF16" s="64">
        <v>209.0</v>
      </c>
      <c r="AG16" s="64">
        <v>246.0</v>
      </c>
      <c r="AH16" s="13">
        <f t="shared" si="1"/>
        <v>7325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59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3">
        <v>115.0</v>
      </c>
      <c r="F19" s="63">
        <v>92.0</v>
      </c>
      <c r="G19" s="63">
        <v>80.0</v>
      </c>
      <c r="H19" s="63">
        <v>126.0</v>
      </c>
      <c r="I19" s="63">
        <v>97.0</v>
      </c>
      <c r="J19" s="63">
        <v>94.0</v>
      </c>
      <c r="K19" s="63">
        <v>83.0</v>
      </c>
      <c r="L19" s="63">
        <v>73.0</v>
      </c>
      <c r="M19" s="63">
        <v>99.0</v>
      </c>
      <c r="N19" s="63">
        <v>110.0</v>
      </c>
      <c r="O19" s="63">
        <v>113.0</v>
      </c>
      <c r="P19" s="63">
        <v>114.0</v>
      </c>
      <c r="Q19" s="63">
        <v>96.0</v>
      </c>
      <c r="R19" s="63">
        <v>90.0</v>
      </c>
      <c r="S19" s="63">
        <v>84.0</v>
      </c>
      <c r="T19" s="63">
        <v>96.0</v>
      </c>
      <c r="U19" s="63">
        <v>107.0</v>
      </c>
      <c r="V19" s="63">
        <v>84.0</v>
      </c>
      <c r="W19" s="63">
        <v>78.0</v>
      </c>
      <c r="X19" s="63">
        <v>81.0</v>
      </c>
      <c r="Y19" s="63">
        <v>57.0</v>
      </c>
      <c r="Z19" s="63">
        <v>106.0</v>
      </c>
      <c r="AA19" s="63">
        <v>107.0</v>
      </c>
      <c r="AB19" s="63">
        <v>103.0</v>
      </c>
      <c r="AC19" s="63">
        <v>105.0</v>
      </c>
      <c r="AD19" s="63">
        <v>118.0</v>
      </c>
      <c r="AE19" s="63">
        <v>92.0</v>
      </c>
      <c r="AF19" s="63">
        <v>77.0</v>
      </c>
      <c r="AG19" s="63">
        <v>92.0</v>
      </c>
      <c r="AH19" s="13">
        <f t="shared" ref="AH19:AH30" si="2">SUM(E19:AG19)</f>
        <v>2769</v>
      </c>
    </row>
    <row r="20" ht="12.75" customHeight="1">
      <c r="A20" s="33"/>
      <c r="B20" s="27"/>
      <c r="C20" s="34"/>
      <c r="D20" s="19" t="s">
        <v>13</v>
      </c>
      <c r="E20" s="63">
        <v>112.0</v>
      </c>
      <c r="F20" s="63">
        <v>87.0</v>
      </c>
      <c r="G20" s="63">
        <v>81.0</v>
      </c>
      <c r="H20" s="63">
        <v>122.0</v>
      </c>
      <c r="I20" s="63">
        <v>96.0</v>
      </c>
      <c r="J20" s="63">
        <v>90.0</v>
      </c>
      <c r="K20" s="63">
        <v>96.0</v>
      </c>
      <c r="L20" s="63">
        <v>79.0</v>
      </c>
      <c r="M20" s="63">
        <v>102.0</v>
      </c>
      <c r="N20" s="63">
        <v>126.0</v>
      </c>
      <c r="O20" s="63">
        <v>117.0</v>
      </c>
      <c r="P20" s="63">
        <v>126.0</v>
      </c>
      <c r="Q20" s="63">
        <v>100.0</v>
      </c>
      <c r="R20" s="63">
        <v>92.0</v>
      </c>
      <c r="S20" s="63">
        <v>99.0</v>
      </c>
      <c r="T20" s="63">
        <v>102.0</v>
      </c>
      <c r="U20" s="63">
        <v>122.0</v>
      </c>
      <c r="V20" s="63">
        <v>90.0</v>
      </c>
      <c r="W20" s="63">
        <v>90.0</v>
      </c>
      <c r="X20" s="63">
        <v>84.0</v>
      </c>
      <c r="Y20" s="63">
        <v>55.0</v>
      </c>
      <c r="Z20" s="63">
        <v>110.0</v>
      </c>
      <c r="AA20" s="63">
        <v>100.0</v>
      </c>
      <c r="AB20" s="63">
        <v>112.0</v>
      </c>
      <c r="AC20" s="63">
        <v>100.0</v>
      </c>
      <c r="AD20" s="63">
        <v>98.0</v>
      </c>
      <c r="AE20" s="63">
        <v>89.0</v>
      </c>
      <c r="AF20" s="63">
        <v>78.0</v>
      </c>
      <c r="AG20" s="63">
        <v>104.0</v>
      </c>
      <c r="AH20" s="13">
        <f t="shared" si="2"/>
        <v>2859</v>
      </c>
    </row>
    <row r="21" ht="12.75" customHeight="1">
      <c r="A21" s="35"/>
      <c r="B21" s="28"/>
      <c r="C21" s="36"/>
      <c r="D21" s="13" t="s">
        <v>14</v>
      </c>
      <c r="E21" s="64">
        <v>227.0</v>
      </c>
      <c r="F21" s="64">
        <v>179.0</v>
      </c>
      <c r="G21" s="64">
        <v>161.0</v>
      </c>
      <c r="H21" s="64">
        <v>248.0</v>
      </c>
      <c r="I21" s="64">
        <v>193.0</v>
      </c>
      <c r="J21" s="64">
        <v>184.0</v>
      </c>
      <c r="K21" s="64">
        <v>179.0</v>
      </c>
      <c r="L21" s="64">
        <v>152.0</v>
      </c>
      <c r="M21" s="64">
        <v>201.0</v>
      </c>
      <c r="N21" s="64">
        <v>236.0</v>
      </c>
      <c r="O21" s="64">
        <v>230.0</v>
      </c>
      <c r="P21" s="64">
        <v>240.0</v>
      </c>
      <c r="Q21" s="64">
        <v>196.0</v>
      </c>
      <c r="R21" s="64">
        <v>182.0</v>
      </c>
      <c r="S21" s="64">
        <v>183.0</v>
      </c>
      <c r="T21" s="64">
        <v>198.0</v>
      </c>
      <c r="U21" s="64">
        <v>229.0</v>
      </c>
      <c r="V21" s="64">
        <v>174.0</v>
      </c>
      <c r="W21" s="64">
        <v>168.0</v>
      </c>
      <c r="X21" s="64">
        <v>165.0</v>
      </c>
      <c r="Y21" s="64">
        <v>112.0</v>
      </c>
      <c r="Z21" s="64">
        <v>216.0</v>
      </c>
      <c r="AA21" s="64">
        <v>207.0</v>
      </c>
      <c r="AB21" s="64">
        <v>215.0</v>
      </c>
      <c r="AC21" s="64">
        <v>205.0</v>
      </c>
      <c r="AD21" s="64">
        <v>216.0</v>
      </c>
      <c r="AE21" s="64">
        <v>181.0</v>
      </c>
      <c r="AF21" s="64">
        <v>155.0</v>
      </c>
      <c r="AG21" s="64">
        <v>196.0</v>
      </c>
      <c r="AH21" s="13">
        <f t="shared" si="2"/>
        <v>5628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3">
        <v>0.0</v>
      </c>
      <c r="F22" s="63">
        <v>0.0</v>
      </c>
      <c r="G22" s="63">
        <v>0.0</v>
      </c>
      <c r="H22" s="63">
        <v>0.0</v>
      </c>
      <c r="I22" s="63">
        <v>0.0</v>
      </c>
      <c r="J22" s="63">
        <v>0.0</v>
      </c>
      <c r="K22" s="63">
        <v>0.0</v>
      </c>
      <c r="L22" s="63">
        <v>0.0</v>
      </c>
      <c r="M22" s="63">
        <v>1.0</v>
      </c>
      <c r="N22" s="63">
        <v>0.0</v>
      </c>
      <c r="O22" s="63">
        <v>0.0</v>
      </c>
      <c r="P22" s="63">
        <v>0.0</v>
      </c>
      <c r="Q22" s="63">
        <v>0.0</v>
      </c>
      <c r="R22" s="63">
        <v>0.0</v>
      </c>
      <c r="S22" s="63">
        <v>0.0</v>
      </c>
      <c r="T22" s="63">
        <v>0.0</v>
      </c>
      <c r="U22" s="63">
        <v>1.0</v>
      </c>
      <c r="V22" s="63">
        <v>1.0</v>
      </c>
      <c r="W22" s="63">
        <v>0.0</v>
      </c>
      <c r="X22" s="63">
        <v>0.0</v>
      </c>
      <c r="Y22" s="63">
        <v>0.0</v>
      </c>
      <c r="Z22" s="63">
        <v>0.0</v>
      </c>
      <c r="AA22" s="63">
        <v>0.0</v>
      </c>
      <c r="AB22" s="63">
        <v>0.0</v>
      </c>
      <c r="AC22" s="63">
        <v>0.0</v>
      </c>
      <c r="AD22" s="63">
        <v>0.0</v>
      </c>
      <c r="AE22" s="63">
        <v>0.0</v>
      </c>
      <c r="AF22" s="63">
        <v>0.0</v>
      </c>
      <c r="AG22" s="63">
        <v>0.0</v>
      </c>
      <c r="AH22" s="13">
        <f t="shared" si="2"/>
        <v>3</v>
      </c>
    </row>
    <row r="23" ht="12.75" customHeight="1">
      <c r="A23" s="33"/>
      <c r="B23" s="27"/>
      <c r="C23" s="34"/>
      <c r="D23" s="19" t="s">
        <v>13</v>
      </c>
      <c r="E23" s="63">
        <v>0.0</v>
      </c>
      <c r="F23" s="63">
        <v>0.0</v>
      </c>
      <c r="G23" s="63">
        <v>0.0</v>
      </c>
      <c r="H23" s="63">
        <v>0.0</v>
      </c>
      <c r="I23" s="63">
        <v>1.0</v>
      </c>
      <c r="J23" s="63">
        <v>0.0</v>
      </c>
      <c r="K23" s="63">
        <v>0.0</v>
      </c>
      <c r="L23" s="63">
        <v>0.0</v>
      </c>
      <c r="M23" s="63">
        <v>1.0</v>
      </c>
      <c r="N23" s="63">
        <v>0.0</v>
      </c>
      <c r="O23" s="63">
        <v>0.0</v>
      </c>
      <c r="P23" s="63">
        <v>0.0</v>
      </c>
      <c r="Q23" s="63">
        <v>0.0</v>
      </c>
      <c r="R23" s="63">
        <v>0.0</v>
      </c>
      <c r="S23" s="63">
        <v>1.0</v>
      </c>
      <c r="T23" s="63">
        <v>0.0</v>
      </c>
      <c r="U23" s="63">
        <v>0.0</v>
      </c>
      <c r="V23" s="63">
        <v>0.0</v>
      </c>
      <c r="W23" s="63">
        <v>0.0</v>
      </c>
      <c r="X23" s="63">
        <v>0.0</v>
      </c>
      <c r="Y23" s="63">
        <v>0.0</v>
      </c>
      <c r="Z23" s="63">
        <v>0.0</v>
      </c>
      <c r="AA23" s="63">
        <v>0.0</v>
      </c>
      <c r="AB23" s="63">
        <v>0.0</v>
      </c>
      <c r="AC23" s="63">
        <v>0.0</v>
      </c>
      <c r="AD23" s="63">
        <v>0.0</v>
      </c>
      <c r="AE23" s="63">
        <v>0.0</v>
      </c>
      <c r="AF23" s="63">
        <v>0.0</v>
      </c>
      <c r="AG23" s="63">
        <v>0.0</v>
      </c>
      <c r="AH23" s="13">
        <f t="shared" si="2"/>
        <v>3</v>
      </c>
    </row>
    <row r="24" ht="12.75" customHeight="1">
      <c r="A24" s="35"/>
      <c r="B24" s="28"/>
      <c r="C24" s="36"/>
      <c r="D24" s="13" t="s">
        <v>14</v>
      </c>
      <c r="E24" s="64">
        <v>0.0</v>
      </c>
      <c r="F24" s="64">
        <v>0.0</v>
      </c>
      <c r="G24" s="64">
        <v>0.0</v>
      </c>
      <c r="H24" s="64">
        <v>0.0</v>
      </c>
      <c r="I24" s="64">
        <v>1.0</v>
      </c>
      <c r="J24" s="64">
        <v>0.0</v>
      </c>
      <c r="K24" s="64">
        <v>0.0</v>
      </c>
      <c r="L24" s="64">
        <v>0.0</v>
      </c>
      <c r="M24" s="64">
        <v>2.0</v>
      </c>
      <c r="N24" s="64">
        <v>0.0</v>
      </c>
      <c r="O24" s="64">
        <v>0.0</v>
      </c>
      <c r="P24" s="64">
        <v>0.0</v>
      </c>
      <c r="Q24" s="64">
        <v>0.0</v>
      </c>
      <c r="R24" s="64">
        <v>0.0</v>
      </c>
      <c r="S24" s="64">
        <v>1.0</v>
      </c>
      <c r="T24" s="64">
        <v>0.0</v>
      </c>
      <c r="U24" s="64">
        <v>1.0</v>
      </c>
      <c r="V24" s="64">
        <v>1.0</v>
      </c>
      <c r="W24" s="64">
        <v>0.0</v>
      </c>
      <c r="X24" s="64">
        <v>0.0</v>
      </c>
      <c r="Y24" s="64">
        <v>0.0</v>
      </c>
      <c r="Z24" s="64">
        <v>0.0</v>
      </c>
      <c r="AA24" s="64">
        <v>0.0</v>
      </c>
      <c r="AB24" s="64">
        <v>0.0</v>
      </c>
      <c r="AC24" s="64">
        <v>0.0</v>
      </c>
      <c r="AD24" s="64">
        <v>0.0</v>
      </c>
      <c r="AE24" s="64">
        <v>0.0</v>
      </c>
      <c r="AF24" s="64">
        <v>0.0</v>
      </c>
      <c r="AG24" s="64">
        <v>0.0</v>
      </c>
      <c r="AH24" s="13">
        <f t="shared" si="2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3">
        <v>0.0</v>
      </c>
      <c r="F25" s="63">
        <v>0.0</v>
      </c>
      <c r="G25" s="63">
        <v>1.0</v>
      </c>
      <c r="H25" s="63">
        <v>3.0</v>
      </c>
      <c r="I25" s="63">
        <v>1.0</v>
      </c>
      <c r="J25" s="63">
        <v>0.0</v>
      </c>
      <c r="K25" s="63">
        <v>0.0</v>
      </c>
      <c r="L25" s="63">
        <v>1.0</v>
      </c>
      <c r="M25" s="63">
        <v>1.0</v>
      </c>
      <c r="N25" s="63">
        <v>1.0</v>
      </c>
      <c r="O25" s="63">
        <v>0.0</v>
      </c>
      <c r="P25" s="63">
        <v>4.0</v>
      </c>
      <c r="Q25" s="63">
        <v>1.0</v>
      </c>
      <c r="R25" s="63">
        <v>4.0</v>
      </c>
      <c r="S25" s="63">
        <v>1.0</v>
      </c>
      <c r="T25" s="63">
        <v>2.0</v>
      </c>
      <c r="U25" s="63">
        <v>2.0</v>
      </c>
      <c r="V25" s="63">
        <v>1.0</v>
      </c>
      <c r="W25" s="63">
        <v>0.0</v>
      </c>
      <c r="X25" s="63">
        <v>6.0</v>
      </c>
      <c r="Y25" s="63">
        <v>1.0</v>
      </c>
      <c r="Z25" s="63">
        <v>0.0</v>
      </c>
      <c r="AA25" s="63">
        <v>0.0</v>
      </c>
      <c r="AB25" s="63">
        <v>2.0</v>
      </c>
      <c r="AC25" s="63">
        <v>1.0</v>
      </c>
      <c r="AD25" s="63">
        <v>1.0</v>
      </c>
      <c r="AE25" s="63">
        <v>0.0</v>
      </c>
      <c r="AF25" s="63">
        <v>0.0</v>
      </c>
      <c r="AG25" s="63">
        <v>0.0</v>
      </c>
      <c r="AH25" s="13">
        <f t="shared" si="2"/>
        <v>34</v>
      </c>
    </row>
    <row r="26" ht="12.75" customHeight="1">
      <c r="A26" s="33"/>
      <c r="B26" s="27"/>
      <c r="C26" s="34"/>
      <c r="D26" s="19" t="s">
        <v>13</v>
      </c>
      <c r="E26" s="63">
        <v>0.0</v>
      </c>
      <c r="F26" s="63">
        <v>0.0</v>
      </c>
      <c r="G26" s="63">
        <v>0.0</v>
      </c>
      <c r="H26" s="63">
        <v>4.0</v>
      </c>
      <c r="I26" s="63">
        <v>1.0</v>
      </c>
      <c r="J26" s="63">
        <v>0.0</v>
      </c>
      <c r="K26" s="63">
        <v>1.0</v>
      </c>
      <c r="L26" s="63">
        <v>3.0</v>
      </c>
      <c r="M26" s="63">
        <v>1.0</v>
      </c>
      <c r="N26" s="63">
        <v>2.0</v>
      </c>
      <c r="O26" s="63">
        <v>0.0</v>
      </c>
      <c r="P26" s="63">
        <v>4.0</v>
      </c>
      <c r="Q26" s="63">
        <v>0.0</v>
      </c>
      <c r="R26" s="63">
        <v>1.0</v>
      </c>
      <c r="S26" s="63">
        <v>0.0</v>
      </c>
      <c r="T26" s="63">
        <v>1.0</v>
      </c>
      <c r="U26" s="63">
        <v>1.0</v>
      </c>
      <c r="V26" s="63">
        <v>0.0</v>
      </c>
      <c r="W26" s="63">
        <v>1.0</v>
      </c>
      <c r="X26" s="63">
        <v>2.0</v>
      </c>
      <c r="Y26" s="63">
        <v>5.0</v>
      </c>
      <c r="Z26" s="63">
        <v>0.0</v>
      </c>
      <c r="AA26" s="63">
        <v>0.0</v>
      </c>
      <c r="AB26" s="63">
        <v>0.0</v>
      </c>
      <c r="AC26" s="63">
        <v>0.0</v>
      </c>
      <c r="AD26" s="63">
        <v>3.0</v>
      </c>
      <c r="AE26" s="63">
        <v>0.0</v>
      </c>
      <c r="AF26" s="63">
        <v>3.0</v>
      </c>
      <c r="AG26" s="63">
        <v>0.0</v>
      </c>
      <c r="AH26" s="13">
        <f t="shared" si="2"/>
        <v>33</v>
      </c>
    </row>
    <row r="27" ht="12.75" customHeight="1">
      <c r="A27" s="35"/>
      <c r="B27" s="28"/>
      <c r="C27" s="36"/>
      <c r="D27" s="13" t="s">
        <v>14</v>
      </c>
      <c r="E27" s="64">
        <v>0.0</v>
      </c>
      <c r="F27" s="64">
        <v>0.0</v>
      </c>
      <c r="G27" s="64">
        <v>1.0</v>
      </c>
      <c r="H27" s="64">
        <v>7.0</v>
      </c>
      <c r="I27" s="64">
        <v>2.0</v>
      </c>
      <c r="J27" s="64">
        <v>0.0</v>
      </c>
      <c r="K27" s="64">
        <v>1.0</v>
      </c>
      <c r="L27" s="64">
        <v>4.0</v>
      </c>
      <c r="M27" s="64">
        <v>2.0</v>
      </c>
      <c r="N27" s="64">
        <v>3.0</v>
      </c>
      <c r="O27" s="64">
        <v>0.0</v>
      </c>
      <c r="P27" s="64">
        <v>8.0</v>
      </c>
      <c r="Q27" s="64">
        <v>1.0</v>
      </c>
      <c r="R27" s="64">
        <v>5.0</v>
      </c>
      <c r="S27" s="64">
        <v>1.0</v>
      </c>
      <c r="T27" s="64">
        <v>3.0</v>
      </c>
      <c r="U27" s="64">
        <v>3.0</v>
      </c>
      <c r="V27" s="64">
        <v>1.0</v>
      </c>
      <c r="W27" s="64">
        <v>1.0</v>
      </c>
      <c r="X27" s="64">
        <v>8.0</v>
      </c>
      <c r="Y27" s="64">
        <v>6.0</v>
      </c>
      <c r="Z27" s="64">
        <v>0.0</v>
      </c>
      <c r="AA27" s="64">
        <v>0.0</v>
      </c>
      <c r="AB27" s="64">
        <v>2.0</v>
      </c>
      <c r="AC27" s="64">
        <v>1.0</v>
      </c>
      <c r="AD27" s="64">
        <v>4.0</v>
      </c>
      <c r="AE27" s="64">
        <v>0.0</v>
      </c>
      <c r="AF27" s="64">
        <v>3.0</v>
      </c>
      <c r="AG27" s="64">
        <v>0.0</v>
      </c>
      <c r="AH27" s="13">
        <f t="shared" si="2"/>
        <v>67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v>115.0</v>
      </c>
      <c r="F28" s="64">
        <v>92.0</v>
      </c>
      <c r="G28" s="64">
        <v>81.0</v>
      </c>
      <c r="H28" s="64">
        <v>129.0</v>
      </c>
      <c r="I28" s="64">
        <v>98.0</v>
      </c>
      <c r="J28" s="64">
        <v>94.0</v>
      </c>
      <c r="K28" s="64">
        <v>83.0</v>
      </c>
      <c r="L28" s="64">
        <v>74.0</v>
      </c>
      <c r="M28" s="64">
        <v>101.0</v>
      </c>
      <c r="N28" s="64">
        <v>111.0</v>
      </c>
      <c r="O28" s="64">
        <v>113.0</v>
      </c>
      <c r="P28" s="64">
        <v>118.0</v>
      </c>
      <c r="Q28" s="64">
        <v>97.0</v>
      </c>
      <c r="R28" s="64">
        <v>94.0</v>
      </c>
      <c r="S28" s="64">
        <v>85.0</v>
      </c>
      <c r="T28" s="64">
        <v>98.0</v>
      </c>
      <c r="U28" s="64">
        <v>110.0</v>
      </c>
      <c r="V28" s="64">
        <v>86.0</v>
      </c>
      <c r="W28" s="64">
        <v>78.0</v>
      </c>
      <c r="X28" s="64">
        <v>87.0</v>
      </c>
      <c r="Y28" s="64">
        <v>58.0</v>
      </c>
      <c r="Z28" s="64">
        <v>106.0</v>
      </c>
      <c r="AA28" s="64">
        <v>107.0</v>
      </c>
      <c r="AB28" s="64">
        <v>105.0</v>
      </c>
      <c r="AC28" s="64">
        <v>106.0</v>
      </c>
      <c r="AD28" s="64">
        <v>119.0</v>
      </c>
      <c r="AE28" s="64">
        <v>92.0</v>
      </c>
      <c r="AF28" s="64">
        <v>77.0</v>
      </c>
      <c r="AG28" s="64">
        <v>92.0</v>
      </c>
      <c r="AH28" s="13">
        <f t="shared" si="2"/>
        <v>2806</v>
      </c>
    </row>
    <row r="29" ht="12.75" customHeight="1">
      <c r="A29" s="35"/>
      <c r="B29" s="27"/>
      <c r="C29" s="34"/>
      <c r="D29" s="13" t="s">
        <v>13</v>
      </c>
      <c r="E29" s="64">
        <v>112.0</v>
      </c>
      <c r="F29" s="64">
        <v>87.0</v>
      </c>
      <c r="G29" s="64">
        <v>81.0</v>
      </c>
      <c r="H29" s="64">
        <v>126.0</v>
      </c>
      <c r="I29" s="64">
        <v>98.0</v>
      </c>
      <c r="J29" s="64">
        <v>90.0</v>
      </c>
      <c r="K29" s="64">
        <v>97.0</v>
      </c>
      <c r="L29" s="64">
        <v>82.0</v>
      </c>
      <c r="M29" s="64">
        <v>104.0</v>
      </c>
      <c r="N29" s="64">
        <v>128.0</v>
      </c>
      <c r="O29" s="64">
        <v>117.0</v>
      </c>
      <c r="P29" s="64">
        <v>130.0</v>
      </c>
      <c r="Q29" s="64">
        <v>100.0</v>
      </c>
      <c r="R29" s="64">
        <v>93.0</v>
      </c>
      <c r="S29" s="64">
        <v>100.0</v>
      </c>
      <c r="T29" s="64">
        <v>103.0</v>
      </c>
      <c r="U29" s="64">
        <v>123.0</v>
      </c>
      <c r="V29" s="64">
        <v>90.0</v>
      </c>
      <c r="W29" s="64">
        <v>91.0</v>
      </c>
      <c r="X29" s="64">
        <v>86.0</v>
      </c>
      <c r="Y29" s="64">
        <v>60.0</v>
      </c>
      <c r="Z29" s="64">
        <v>110.0</v>
      </c>
      <c r="AA29" s="64">
        <v>100.0</v>
      </c>
      <c r="AB29" s="64">
        <v>112.0</v>
      </c>
      <c r="AC29" s="64">
        <v>100.0</v>
      </c>
      <c r="AD29" s="64">
        <v>101.0</v>
      </c>
      <c r="AE29" s="64">
        <v>89.0</v>
      </c>
      <c r="AF29" s="64">
        <v>81.0</v>
      </c>
      <c r="AG29" s="64">
        <v>104.0</v>
      </c>
      <c r="AH29" s="13">
        <f t="shared" si="2"/>
        <v>2895</v>
      </c>
    </row>
    <row r="30" ht="12.75" customHeight="1">
      <c r="A30" s="35"/>
      <c r="B30" s="28"/>
      <c r="C30" s="36"/>
      <c r="D30" s="13" t="s">
        <v>14</v>
      </c>
      <c r="E30" s="13">
        <f t="shared" ref="E30:AG30" si="3">SUM(E28:E29)</f>
        <v>227</v>
      </c>
      <c r="F30" s="13">
        <f t="shared" si="3"/>
        <v>179</v>
      </c>
      <c r="G30" s="13">
        <f t="shared" si="3"/>
        <v>162</v>
      </c>
      <c r="H30" s="13">
        <f t="shared" si="3"/>
        <v>255</v>
      </c>
      <c r="I30" s="13">
        <f t="shared" si="3"/>
        <v>196</v>
      </c>
      <c r="J30" s="13">
        <f t="shared" si="3"/>
        <v>184</v>
      </c>
      <c r="K30" s="13">
        <f t="shared" si="3"/>
        <v>180</v>
      </c>
      <c r="L30" s="13">
        <f t="shared" si="3"/>
        <v>156</v>
      </c>
      <c r="M30" s="13">
        <f t="shared" si="3"/>
        <v>205</v>
      </c>
      <c r="N30" s="13">
        <f t="shared" si="3"/>
        <v>239</v>
      </c>
      <c r="O30" s="13">
        <f t="shared" si="3"/>
        <v>230</v>
      </c>
      <c r="P30" s="13">
        <f t="shared" si="3"/>
        <v>248</v>
      </c>
      <c r="Q30" s="13">
        <f t="shared" si="3"/>
        <v>197</v>
      </c>
      <c r="R30" s="13">
        <f t="shared" si="3"/>
        <v>187</v>
      </c>
      <c r="S30" s="13">
        <f t="shared" si="3"/>
        <v>185</v>
      </c>
      <c r="T30" s="13">
        <f t="shared" si="3"/>
        <v>201</v>
      </c>
      <c r="U30" s="13">
        <f t="shared" si="3"/>
        <v>233</v>
      </c>
      <c r="V30" s="13">
        <f t="shared" si="3"/>
        <v>176</v>
      </c>
      <c r="W30" s="13">
        <f t="shared" si="3"/>
        <v>169</v>
      </c>
      <c r="X30" s="13">
        <f t="shared" si="3"/>
        <v>173</v>
      </c>
      <c r="Y30" s="13">
        <f t="shared" si="3"/>
        <v>118</v>
      </c>
      <c r="Z30" s="13">
        <f t="shared" si="3"/>
        <v>216</v>
      </c>
      <c r="AA30" s="13">
        <f t="shared" si="3"/>
        <v>207</v>
      </c>
      <c r="AB30" s="13">
        <f t="shared" si="3"/>
        <v>217</v>
      </c>
      <c r="AC30" s="13">
        <f t="shared" si="3"/>
        <v>206</v>
      </c>
      <c r="AD30" s="13">
        <f t="shared" si="3"/>
        <v>220</v>
      </c>
      <c r="AE30" s="13">
        <f t="shared" si="3"/>
        <v>181</v>
      </c>
      <c r="AF30" s="13">
        <f t="shared" si="3"/>
        <v>158</v>
      </c>
      <c r="AG30" s="13">
        <f t="shared" si="3"/>
        <v>196</v>
      </c>
      <c r="AH30" s="13">
        <f t="shared" si="2"/>
        <v>5701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59"/>
    </row>
    <row r="33" ht="12.75" customHeight="1">
      <c r="A33" s="19">
        <v>1.0</v>
      </c>
      <c r="B33" s="20" t="s">
        <v>27</v>
      </c>
      <c r="C33" s="15"/>
      <c r="D33" s="16"/>
      <c r="E33" s="63">
        <v>280.0</v>
      </c>
      <c r="F33" s="63">
        <v>235.0</v>
      </c>
      <c r="G33" s="63">
        <v>226.0</v>
      </c>
      <c r="H33" s="63">
        <v>299.0</v>
      </c>
      <c r="I33" s="63">
        <v>252.0</v>
      </c>
      <c r="J33" s="63">
        <v>264.0</v>
      </c>
      <c r="K33" s="63">
        <v>242.0</v>
      </c>
      <c r="L33" s="63">
        <v>206.0</v>
      </c>
      <c r="M33" s="63">
        <v>274.0</v>
      </c>
      <c r="N33" s="63">
        <v>292.0</v>
      </c>
      <c r="O33" s="63">
        <v>297.0</v>
      </c>
      <c r="P33" s="63">
        <v>290.0</v>
      </c>
      <c r="Q33" s="63">
        <v>274.0</v>
      </c>
      <c r="R33" s="63">
        <v>242.0</v>
      </c>
      <c r="S33" s="63">
        <v>239.0</v>
      </c>
      <c r="T33" s="63">
        <v>267.0</v>
      </c>
      <c r="U33" s="63">
        <v>302.0</v>
      </c>
      <c r="V33" s="63">
        <v>275.0</v>
      </c>
      <c r="W33" s="63">
        <v>218.0</v>
      </c>
      <c r="X33" s="63">
        <v>237.0</v>
      </c>
      <c r="Y33" s="63">
        <v>159.0</v>
      </c>
      <c r="Z33" s="63">
        <v>308.0</v>
      </c>
      <c r="AA33" s="63">
        <v>260.0</v>
      </c>
      <c r="AB33" s="63">
        <v>267.0</v>
      </c>
      <c r="AC33" s="63">
        <v>263.0</v>
      </c>
      <c r="AD33" s="63">
        <v>301.0</v>
      </c>
      <c r="AE33" s="63">
        <v>248.0</v>
      </c>
      <c r="AF33" s="63">
        <v>214.0</v>
      </c>
      <c r="AG33" s="63">
        <v>251.0</v>
      </c>
      <c r="AH33" s="13">
        <f t="shared" ref="AH33:AH36" si="4">SUM(E33:AG33)</f>
        <v>7482</v>
      </c>
    </row>
    <row r="34" ht="12.75" customHeight="1">
      <c r="A34" s="19">
        <v>2.0</v>
      </c>
      <c r="B34" s="20" t="s">
        <v>28</v>
      </c>
      <c r="C34" s="15"/>
      <c r="D34" s="16"/>
      <c r="E34" s="67">
        <v>227.0</v>
      </c>
      <c r="F34" s="67">
        <v>179.0</v>
      </c>
      <c r="G34" s="67">
        <v>162.0</v>
      </c>
      <c r="H34" s="67">
        <v>255.0</v>
      </c>
      <c r="I34" s="67">
        <v>196.0</v>
      </c>
      <c r="J34" s="67">
        <v>184.0</v>
      </c>
      <c r="K34" s="67">
        <v>180.0</v>
      </c>
      <c r="L34" s="67">
        <v>156.0</v>
      </c>
      <c r="M34" s="67">
        <v>205.0</v>
      </c>
      <c r="N34" s="67">
        <v>239.0</v>
      </c>
      <c r="O34" s="67">
        <v>230.0</v>
      </c>
      <c r="P34" s="67">
        <v>248.0</v>
      </c>
      <c r="Q34" s="67">
        <v>197.0</v>
      </c>
      <c r="R34" s="67">
        <v>187.0</v>
      </c>
      <c r="S34" s="67">
        <v>185.0</v>
      </c>
      <c r="T34" s="67">
        <v>201.0</v>
      </c>
      <c r="U34" s="67">
        <v>233.0</v>
      </c>
      <c r="V34" s="67">
        <v>176.0</v>
      </c>
      <c r="W34" s="67">
        <v>169.0</v>
      </c>
      <c r="X34" s="67">
        <v>173.0</v>
      </c>
      <c r="Y34" s="67">
        <v>118.0</v>
      </c>
      <c r="Z34" s="67">
        <v>216.0</v>
      </c>
      <c r="AA34" s="67">
        <v>207.0</v>
      </c>
      <c r="AB34" s="67">
        <v>217.0</v>
      </c>
      <c r="AC34" s="67">
        <v>206.0</v>
      </c>
      <c r="AD34" s="67">
        <v>220.0</v>
      </c>
      <c r="AE34" s="67">
        <v>181.0</v>
      </c>
      <c r="AF34" s="67">
        <v>158.0</v>
      </c>
      <c r="AG34" s="67">
        <v>196.0</v>
      </c>
      <c r="AH34" s="13">
        <f t="shared" si="4"/>
        <v>5701</v>
      </c>
    </row>
    <row r="35" ht="12.75" customHeight="1">
      <c r="A35" s="19">
        <v>3.0</v>
      </c>
      <c r="B35" s="20" t="s">
        <v>29</v>
      </c>
      <c r="C35" s="15"/>
      <c r="D35" s="16"/>
      <c r="E35" s="63">
        <v>0.0</v>
      </c>
      <c r="F35" s="63">
        <v>0.0</v>
      </c>
      <c r="G35" s="63">
        <v>0.0</v>
      </c>
      <c r="H35" s="63">
        <v>3.0</v>
      </c>
      <c r="I35" s="63">
        <v>0.0</v>
      </c>
      <c r="J35" s="63">
        <v>0.0</v>
      </c>
      <c r="K35" s="63">
        <v>0.0</v>
      </c>
      <c r="L35" s="63">
        <v>0.0</v>
      </c>
      <c r="M35" s="63">
        <v>0.0</v>
      </c>
      <c r="N35" s="63">
        <v>0.0</v>
      </c>
      <c r="O35" s="63">
        <v>0.0</v>
      </c>
      <c r="P35" s="63">
        <v>0.0</v>
      </c>
      <c r="Q35" s="63">
        <v>0.0</v>
      </c>
      <c r="R35" s="63">
        <v>0.0</v>
      </c>
      <c r="S35" s="63">
        <v>0.0</v>
      </c>
      <c r="T35" s="63">
        <v>2.0</v>
      </c>
      <c r="U35" s="63">
        <v>0.0</v>
      </c>
      <c r="V35" s="63">
        <v>0.0</v>
      </c>
      <c r="W35" s="63">
        <v>0.0</v>
      </c>
      <c r="X35" s="63">
        <v>0.0</v>
      </c>
      <c r="Y35" s="63">
        <v>0.0</v>
      </c>
      <c r="Z35" s="63">
        <v>0.0</v>
      </c>
      <c r="AA35" s="63">
        <v>0.0</v>
      </c>
      <c r="AB35" s="63">
        <v>0.0</v>
      </c>
      <c r="AC35" s="63">
        <v>0.0</v>
      </c>
      <c r="AD35" s="63">
        <v>1.0</v>
      </c>
      <c r="AE35" s="63">
        <v>0.0</v>
      </c>
      <c r="AF35" s="63">
        <v>8.0</v>
      </c>
      <c r="AG35" s="63">
        <v>0.0</v>
      </c>
      <c r="AH35" s="13">
        <f t="shared" si="4"/>
        <v>14</v>
      </c>
    </row>
    <row r="36" ht="12.75" customHeight="1">
      <c r="A36" s="19">
        <v>4.0</v>
      </c>
      <c r="B36" s="20" t="s">
        <v>30</v>
      </c>
      <c r="C36" s="15"/>
      <c r="D36" s="16"/>
      <c r="E36" s="64">
        <v>53.0</v>
      </c>
      <c r="F36" s="64">
        <v>56.0</v>
      </c>
      <c r="G36" s="64">
        <v>64.0</v>
      </c>
      <c r="H36" s="64">
        <v>41.0</v>
      </c>
      <c r="I36" s="64">
        <v>56.0</v>
      </c>
      <c r="J36" s="64">
        <v>82.0</v>
      </c>
      <c r="K36" s="64">
        <v>62.0</v>
      </c>
      <c r="L36" s="64">
        <v>50.0</v>
      </c>
      <c r="M36" s="64">
        <v>71.0</v>
      </c>
      <c r="N36" s="64">
        <v>53.0</v>
      </c>
      <c r="O36" s="64">
        <v>67.0</v>
      </c>
      <c r="P36" s="64">
        <v>42.0</v>
      </c>
      <c r="Q36" s="64">
        <v>77.0</v>
      </c>
      <c r="R36" s="64">
        <v>54.0</v>
      </c>
      <c r="S36" s="64">
        <v>54.0</v>
      </c>
      <c r="T36" s="64">
        <v>59.0</v>
      </c>
      <c r="U36" s="64">
        <v>69.0</v>
      </c>
      <c r="V36" s="64">
        <v>99.0</v>
      </c>
      <c r="W36" s="64">
        <v>49.0</v>
      </c>
      <c r="X36" s="64">
        <v>64.0</v>
      </c>
      <c r="Y36" s="64">
        <v>41.0</v>
      </c>
      <c r="Z36" s="64">
        <v>81.0</v>
      </c>
      <c r="AA36" s="64">
        <v>52.0</v>
      </c>
      <c r="AB36" s="64">
        <v>60.0</v>
      </c>
      <c r="AC36" s="64">
        <v>57.0</v>
      </c>
      <c r="AD36" s="64">
        <v>80.0</v>
      </c>
      <c r="AE36" s="64">
        <v>67.0</v>
      </c>
      <c r="AF36" s="64">
        <v>48.0</v>
      </c>
      <c r="AG36" s="64">
        <v>55.0</v>
      </c>
      <c r="AH36" s="13">
        <f t="shared" si="4"/>
        <v>1763</v>
      </c>
    </row>
    <row r="37" ht="12.75" customHeight="1">
      <c r="A37" s="24"/>
      <c r="B37" s="15"/>
      <c r="C37" s="15"/>
      <c r="D37" s="15"/>
      <c r="E37" s="68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65"/>
      <c r="Y37" s="65"/>
      <c r="Z37" s="65"/>
      <c r="AA37" s="65"/>
      <c r="AB37" s="65"/>
      <c r="AC37" s="65"/>
      <c r="AD37" s="65"/>
      <c r="AE37" s="65"/>
      <c r="AF37" s="65"/>
      <c r="AG37" s="68"/>
      <c r="AH37" s="59"/>
    </row>
    <row r="38" ht="12.75" customHeight="1">
      <c r="A38" s="42" t="s">
        <v>31</v>
      </c>
      <c r="B38" s="14" t="s">
        <v>32</v>
      </c>
      <c r="C38" s="15"/>
      <c r="D38" s="1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59"/>
    </row>
    <row r="39" ht="12.75" customHeight="1">
      <c r="A39" s="30"/>
      <c r="B39" s="43" t="s">
        <v>33</v>
      </c>
      <c r="C39" s="23"/>
      <c r="D39" s="19" t="s">
        <v>12</v>
      </c>
      <c r="E39" s="63">
        <v>0.0</v>
      </c>
      <c r="F39" s="63">
        <v>0.0</v>
      </c>
      <c r="G39" s="63">
        <v>0.0</v>
      </c>
      <c r="H39" s="63">
        <v>0.0</v>
      </c>
      <c r="I39" s="63">
        <v>0.0</v>
      </c>
      <c r="J39" s="63">
        <v>1.0</v>
      </c>
      <c r="K39" s="63">
        <v>0.0</v>
      </c>
      <c r="L39" s="63">
        <v>0.0</v>
      </c>
      <c r="M39" s="63">
        <v>0.0</v>
      </c>
      <c r="N39" s="63">
        <v>0.0</v>
      </c>
      <c r="O39" s="63">
        <v>0.0</v>
      </c>
      <c r="P39" s="63">
        <v>0.0</v>
      </c>
      <c r="Q39" s="63">
        <v>0.0</v>
      </c>
      <c r="R39" s="63">
        <v>0.0</v>
      </c>
      <c r="S39" s="63">
        <v>0.0</v>
      </c>
      <c r="T39" s="63">
        <v>0.0</v>
      </c>
      <c r="U39" s="63">
        <v>0.0</v>
      </c>
      <c r="V39" s="63">
        <v>0.0</v>
      </c>
      <c r="W39" s="63">
        <v>0.0</v>
      </c>
      <c r="X39" s="63">
        <v>0.0</v>
      </c>
      <c r="Y39" s="63">
        <v>2.0</v>
      </c>
      <c r="Z39" s="63">
        <v>1.0</v>
      </c>
      <c r="AA39" s="63">
        <v>0.0</v>
      </c>
      <c r="AB39" s="63">
        <v>0.0</v>
      </c>
      <c r="AC39" s="63">
        <v>0.0</v>
      </c>
      <c r="AD39" s="63">
        <v>0.0</v>
      </c>
      <c r="AE39" s="63">
        <v>0.0</v>
      </c>
      <c r="AF39" s="63">
        <v>0.0</v>
      </c>
      <c r="AG39" s="63">
        <v>92.0</v>
      </c>
      <c r="AH39" s="13">
        <f t="shared" ref="AH39:AH41" si="5">SUM(E39:AG39)</f>
        <v>96</v>
      </c>
    </row>
    <row r="40" ht="12.75" customHeight="1">
      <c r="A40" s="33"/>
      <c r="C40" s="27"/>
      <c r="D40" s="19" t="s">
        <v>13</v>
      </c>
      <c r="E40" s="63">
        <v>0.0</v>
      </c>
      <c r="F40" s="63">
        <v>0.0</v>
      </c>
      <c r="G40" s="63">
        <v>0.0</v>
      </c>
      <c r="H40" s="63">
        <v>0.0</v>
      </c>
      <c r="I40" s="63">
        <v>0.0</v>
      </c>
      <c r="J40" s="63">
        <v>1.0</v>
      </c>
      <c r="K40" s="63">
        <v>0.0</v>
      </c>
      <c r="L40" s="63">
        <v>0.0</v>
      </c>
      <c r="M40" s="63">
        <v>0.0</v>
      </c>
      <c r="N40" s="63">
        <v>0.0</v>
      </c>
      <c r="O40" s="63">
        <v>0.0</v>
      </c>
      <c r="P40" s="63">
        <v>0.0</v>
      </c>
      <c r="Q40" s="63">
        <v>1.0</v>
      </c>
      <c r="R40" s="63">
        <v>0.0</v>
      </c>
      <c r="S40" s="63">
        <v>0.0</v>
      </c>
      <c r="T40" s="63">
        <v>0.0</v>
      </c>
      <c r="U40" s="63">
        <v>0.0</v>
      </c>
      <c r="V40" s="63">
        <v>0.0</v>
      </c>
      <c r="W40" s="63">
        <v>0.0</v>
      </c>
      <c r="X40" s="63">
        <v>0.0</v>
      </c>
      <c r="Y40" s="63">
        <v>1.0</v>
      </c>
      <c r="Z40" s="63">
        <v>1.0</v>
      </c>
      <c r="AA40" s="63">
        <v>0.0</v>
      </c>
      <c r="AB40" s="63">
        <v>0.0</v>
      </c>
      <c r="AC40" s="63">
        <v>0.0</v>
      </c>
      <c r="AD40" s="63">
        <v>0.0</v>
      </c>
      <c r="AE40" s="63">
        <v>0.0</v>
      </c>
      <c r="AF40" s="63">
        <v>0.0</v>
      </c>
      <c r="AG40" s="63">
        <v>104.0</v>
      </c>
      <c r="AH40" s="13">
        <f t="shared" si="5"/>
        <v>108</v>
      </c>
    </row>
    <row r="41" ht="12.75" customHeight="1">
      <c r="A41" s="41"/>
      <c r="B41" s="44"/>
      <c r="C41" s="28"/>
      <c r="D41" s="13" t="s">
        <v>14</v>
      </c>
      <c r="E41" s="13">
        <f t="shared" ref="E41:AG41" si="6">SUM(E39:E40)</f>
        <v>0</v>
      </c>
      <c r="F41" s="13">
        <f t="shared" si="6"/>
        <v>0</v>
      </c>
      <c r="G41" s="13">
        <f t="shared" si="6"/>
        <v>0</v>
      </c>
      <c r="H41" s="13">
        <f t="shared" si="6"/>
        <v>0</v>
      </c>
      <c r="I41" s="13">
        <f t="shared" si="6"/>
        <v>0</v>
      </c>
      <c r="J41" s="13">
        <f t="shared" si="6"/>
        <v>2</v>
      </c>
      <c r="K41" s="13">
        <f t="shared" si="6"/>
        <v>0</v>
      </c>
      <c r="L41" s="13">
        <f t="shared" si="6"/>
        <v>0</v>
      </c>
      <c r="M41" s="13">
        <f t="shared" si="6"/>
        <v>0</v>
      </c>
      <c r="N41" s="13">
        <f t="shared" si="6"/>
        <v>0</v>
      </c>
      <c r="O41" s="13">
        <f t="shared" si="6"/>
        <v>0</v>
      </c>
      <c r="P41" s="13">
        <f t="shared" si="6"/>
        <v>0</v>
      </c>
      <c r="Q41" s="13">
        <f t="shared" si="6"/>
        <v>1</v>
      </c>
      <c r="R41" s="13">
        <f t="shared" si="6"/>
        <v>0</v>
      </c>
      <c r="S41" s="13">
        <f t="shared" si="6"/>
        <v>0</v>
      </c>
      <c r="T41" s="13">
        <f t="shared" si="6"/>
        <v>0</v>
      </c>
      <c r="U41" s="13">
        <f t="shared" si="6"/>
        <v>0</v>
      </c>
      <c r="V41" s="13">
        <f t="shared" si="6"/>
        <v>0</v>
      </c>
      <c r="W41" s="13">
        <f t="shared" si="6"/>
        <v>0</v>
      </c>
      <c r="X41" s="13">
        <f t="shared" si="6"/>
        <v>0</v>
      </c>
      <c r="Y41" s="13">
        <f t="shared" si="6"/>
        <v>3</v>
      </c>
      <c r="Z41" s="13">
        <f t="shared" si="6"/>
        <v>2</v>
      </c>
      <c r="AA41" s="13">
        <f t="shared" si="6"/>
        <v>0</v>
      </c>
      <c r="AB41" s="13">
        <f t="shared" si="6"/>
        <v>0</v>
      </c>
      <c r="AC41" s="13">
        <f t="shared" si="6"/>
        <v>0</v>
      </c>
      <c r="AD41" s="13">
        <f t="shared" si="6"/>
        <v>0</v>
      </c>
      <c r="AE41" s="13">
        <f t="shared" si="6"/>
        <v>0</v>
      </c>
      <c r="AF41" s="13">
        <f t="shared" si="6"/>
        <v>0</v>
      </c>
      <c r="AG41" s="13">
        <f t="shared" si="6"/>
        <v>196</v>
      </c>
      <c r="AH41" s="13">
        <f t="shared" si="5"/>
        <v>204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9"/>
      <c r="AD42" s="58"/>
      <c r="AE42" s="19"/>
      <c r="AF42" s="58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  <c r="AD43" s="60"/>
      <c r="AE43" s="13"/>
      <c r="AF43" s="60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9"/>
      <c r="AD44" s="58"/>
      <c r="AE44" s="19"/>
      <c r="AF44" s="58"/>
      <c r="AG44" s="19"/>
      <c r="AH44" s="13"/>
    </row>
    <row r="45" ht="12.75" customHeight="1">
      <c r="A45" s="30"/>
      <c r="B45" s="47" t="s">
        <v>17</v>
      </c>
      <c r="C45" s="62" t="s">
        <v>38</v>
      </c>
      <c r="D45" s="16"/>
      <c r="E45" s="19">
        <v>14.0</v>
      </c>
      <c r="F45" s="19">
        <v>14.0</v>
      </c>
      <c r="G45" s="19">
        <v>13.0</v>
      </c>
      <c r="H45" s="19">
        <v>12.0</v>
      </c>
      <c r="I45" s="19">
        <v>7.0</v>
      </c>
      <c r="J45" s="19">
        <v>6.0</v>
      </c>
      <c r="K45" s="19">
        <v>24.0</v>
      </c>
      <c r="L45" s="19">
        <v>15.0</v>
      </c>
      <c r="M45" s="19">
        <v>26.0</v>
      </c>
      <c r="N45" s="19">
        <v>12.0</v>
      </c>
      <c r="O45" s="19">
        <v>24.0</v>
      </c>
      <c r="P45" s="19">
        <v>14.0</v>
      </c>
      <c r="Q45" s="19">
        <v>5.0</v>
      </c>
      <c r="R45" s="19">
        <v>11.0</v>
      </c>
      <c r="S45" s="19">
        <v>15.0</v>
      </c>
      <c r="T45" s="19">
        <v>14.0</v>
      </c>
      <c r="U45" s="19">
        <v>21.0</v>
      </c>
      <c r="V45" s="19">
        <v>12.0</v>
      </c>
      <c r="W45" s="19">
        <v>15.0</v>
      </c>
      <c r="X45" s="19">
        <v>8.0</v>
      </c>
      <c r="Y45" s="19">
        <v>4.0</v>
      </c>
      <c r="Z45" s="19">
        <v>15.0</v>
      </c>
      <c r="AA45" s="19">
        <v>17.0</v>
      </c>
      <c r="AB45" s="19">
        <v>7.0</v>
      </c>
      <c r="AC45" s="19">
        <v>7.0</v>
      </c>
      <c r="AD45" s="19">
        <v>11.0</v>
      </c>
      <c r="AE45" s="19">
        <v>8.0</v>
      </c>
      <c r="AF45" s="19">
        <v>4.0</v>
      </c>
      <c r="AG45" s="19">
        <v>18.0</v>
      </c>
      <c r="AH45" s="13">
        <v>15.0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37.0</v>
      </c>
      <c r="F46" s="19">
        <v>30.0</v>
      </c>
      <c r="G46" s="19">
        <v>18.0</v>
      </c>
      <c r="H46" s="19">
        <v>47.0</v>
      </c>
      <c r="I46" s="19">
        <v>30.0</v>
      </c>
      <c r="J46" s="19">
        <v>30.0</v>
      </c>
      <c r="K46" s="19">
        <v>15.0</v>
      </c>
      <c r="L46" s="19">
        <v>20.0</v>
      </c>
      <c r="M46" s="19">
        <v>20.0</v>
      </c>
      <c r="N46" s="19">
        <v>33.0</v>
      </c>
      <c r="O46" s="19">
        <v>26.0</v>
      </c>
      <c r="P46" s="19">
        <v>37.0</v>
      </c>
      <c r="Q46" s="19">
        <v>36.0</v>
      </c>
      <c r="R46" s="19">
        <v>20.0</v>
      </c>
      <c r="S46" s="19">
        <v>27.0</v>
      </c>
      <c r="T46" s="19">
        <v>21.0</v>
      </c>
      <c r="U46" s="19">
        <v>37.0</v>
      </c>
      <c r="V46" s="19">
        <v>28.0</v>
      </c>
      <c r="W46" s="19">
        <v>25.0</v>
      </c>
      <c r="X46" s="19">
        <v>33.0</v>
      </c>
      <c r="Y46" s="19">
        <v>12.0</v>
      </c>
      <c r="Z46" s="19">
        <v>26.0</v>
      </c>
      <c r="AA46" s="19">
        <v>27.0</v>
      </c>
      <c r="AB46" s="19">
        <v>34.0</v>
      </c>
      <c r="AC46" s="19">
        <v>26.0</v>
      </c>
      <c r="AD46" s="19">
        <v>21.0</v>
      </c>
      <c r="AE46" s="19">
        <v>28.0</v>
      </c>
      <c r="AF46" s="19">
        <v>17.0</v>
      </c>
      <c r="AG46" s="19">
        <v>32.0</v>
      </c>
      <c r="AH46" s="13">
        <v>16.0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11.0</v>
      </c>
      <c r="F47" s="19">
        <v>10.0</v>
      </c>
      <c r="G47" s="19">
        <v>18.0</v>
      </c>
      <c r="H47" s="19">
        <v>16.0</v>
      </c>
      <c r="I47" s="19">
        <v>10.0</v>
      </c>
      <c r="J47" s="19">
        <v>10.0</v>
      </c>
      <c r="K47" s="19">
        <v>6.0</v>
      </c>
      <c r="L47" s="19">
        <v>8.0</v>
      </c>
      <c r="M47" s="19">
        <v>15.0</v>
      </c>
      <c r="N47" s="19">
        <v>10.0</v>
      </c>
      <c r="O47" s="19">
        <v>15.0</v>
      </c>
      <c r="P47" s="19">
        <v>22.0</v>
      </c>
      <c r="Q47" s="19">
        <v>3.0</v>
      </c>
      <c r="R47" s="19">
        <v>13.0</v>
      </c>
      <c r="S47" s="19">
        <v>13.0</v>
      </c>
      <c r="T47" s="19">
        <v>15.0</v>
      </c>
      <c r="U47" s="19">
        <v>9.0</v>
      </c>
      <c r="V47" s="19">
        <v>8.0</v>
      </c>
      <c r="W47" s="19">
        <v>10.0</v>
      </c>
      <c r="X47" s="19">
        <v>9.0</v>
      </c>
      <c r="Y47" s="19">
        <v>6.0</v>
      </c>
      <c r="Z47" s="19">
        <v>14.0</v>
      </c>
      <c r="AA47" s="19">
        <v>13.0</v>
      </c>
      <c r="AB47" s="19">
        <v>11.0</v>
      </c>
      <c r="AC47" s="19">
        <v>9.0</v>
      </c>
      <c r="AD47" s="19">
        <v>13.0</v>
      </c>
      <c r="AE47" s="19">
        <v>6.0</v>
      </c>
      <c r="AF47" s="19">
        <v>10.0</v>
      </c>
      <c r="AG47" s="19">
        <v>6.0</v>
      </c>
      <c r="AH47" s="13">
        <v>11.0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26.0</v>
      </c>
      <c r="F48" s="19">
        <v>17.0</v>
      </c>
      <c r="G48" s="19">
        <v>16.0</v>
      </c>
      <c r="H48" s="19">
        <v>28.0</v>
      </c>
      <c r="I48" s="19">
        <v>18.0</v>
      </c>
      <c r="J48" s="19">
        <v>25.0</v>
      </c>
      <c r="K48" s="19">
        <v>36.0</v>
      </c>
      <c r="L48" s="19">
        <v>13.0</v>
      </c>
      <c r="M48" s="19">
        <v>20.0</v>
      </c>
      <c r="N48" s="19">
        <v>25.0</v>
      </c>
      <c r="O48" s="19">
        <v>27.0</v>
      </c>
      <c r="P48" s="19">
        <v>28.0</v>
      </c>
      <c r="Q48" s="19">
        <v>18.0</v>
      </c>
      <c r="R48" s="19">
        <v>27.0</v>
      </c>
      <c r="S48" s="19">
        <v>11.0</v>
      </c>
      <c r="T48" s="19">
        <v>20.0</v>
      </c>
      <c r="U48" s="19">
        <v>15.0</v>
      </c>
      <c r="V48" s="19">
        <v>23.0</v>
      </c>
      <c r="W48" s="19">
        <v>18.0</v>
      </c>
      <c r="X48" s="19">
        <v>27.0</v>
      </c>
      <c r="Y48" s="19">
        <v>13.0</v>
      </c>
      <c r="Z48" s="19">
        <v>28.0</v>
      </c>
      <c r="AA48" s="19">
        <v>23.0</v>
      </c>
      <c r="AB48" s="19">
        <v>24.0</v>
      </c>
      <c r="AC48" s="19">
        <v>30.0</v>
      </c>
      <c r="AD48" s="19">
        <v>17.0</v>
      </c>
      <c r="AE48" s="19">
        <v>28.0</v>
      </c>
      <c r="AF48" s="19">
        <v>19.0</v>
      </c>
      <c r="AG48" s="19">
        <v>21.0</v>
      </c>
      <c r="AH48" s="13">
        <v>12.0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17.0</v>
      </c>
      <c r="F49" s="19">
        <v>11.0</v>
      </c>
      <c r="G49" s="19">
        <v>10.0</v>
      </c>
      <c r="H49" s="19">
        <v>21.0</v>
      </c>
      <c r="I49" s="19">
        <v>18.0</v>
      </c>
      <c r="J49" s="19">
        <v>11.0</v>
      </c>
      <c r="K49" s="19">
        <v>16.0</v>
      </c>
      <c r="L49" s="19">
        <v>14.0</v>
      </c>
      <c r="M49" s="19">
        <v>24.0</v>
      </c>
      <c r="N49" s="19">
        <v>13.0</v>
      </c>
      <c r="O49" s="19">
        <v>18.0</v>
      </c>
      <c r="P49" s="19">
        <v>17.0</v>
      </c>
      <c r="Q49" s="19">
        <v>26.0</v>
      </c>
      <c r="R49" s="19">
        <v>10.0</v>
      </c>
      <c r="S49" s="19">
        <v>10.0</v>
      </c>
      <c r="T49" s="19">
        <v>20.0</v>
      </c>
      <c r="U49" s="19">
        <v>26.0</v>
      </c>
      <c r="V49" s="19">
        <v>6.0</v>
      </c>
      <c r="W49" s="19">
        <v>5.0</v>
      </c>
      <c r="X49" s="19">
        <v>9.0</v>
      </c>
      <c r="Y49" s="19">
        <v>6.0</v>
      </c>
      <c r="Z49" s="19">
        <v>9.0</v>
      </c>
      <c r="AA49" s="19">
        <v>13.0</v>
      </c>
      <c r="AB49" s="19">
        <v>7.0</v>
      </c>
      <c r="AC49" s="19">
        <v>14.0</v>
      </c>
      <c r="AD49" s="19">
        <v>8.0</v>
      </c>
      <c r="AE49" s="19">
        <v>13.0</v>
      </c>
      <c r="AF49" s="19">
        <v>9.0</v>
      </c>
      <c r="AG49" s="19">
        <v>19.0</v>
      </c>
      <c r="AH49" s="13">
        <v>13.0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12.0</v>
      </c>
      <c r="F50" s="19">
        <v>10.0</v>
      </c>
      <c r="G50" s="19">
        <v>10.0</v>
      </c>
      <c r="H50" s="19">
        <v>10.0</v>
      </c>
      <c r="I50" s="19">
        <v>5.0</v>
      </c>
      <c r="J50" s="19">
        <v>4.0</v>
      </c>
      <c r="K50" s="19">
        <v>9.0</v>
      </c>
      <c r="L50" s="19">
        <v>8.0</v>
      </c>
      <c r="M50" s="19">
        <v>9.0</v>
      </c>
      <c r="N50" s="19">
        <v>10.0</v>
      </c>
      <c r="O50" s="19">
        <v>12.0</v>
      </c>
      <c r="P50" s="19">
        <v>12.0</v>
      </c>
      <c r="Q50" s="19">
        <v>12.0</v>
      </c>
      <c r="R50" s="19">
        <v>10.0</v>
      </c>
      <c r="S50" s="19">
        <v>19.0</v>
      </c>
      <c r="T50" s="19">
        <v>15.0</v>
      </c>
      <c r="U50" s="19">
        <v>37.0</v>
      </c>
      <c r="V50" s="19">
        <v>8.0</v>
      </c>
      <c r="W50" s="19">
        <v>20.0</v>
      </c>
      <c r="X50" s="19">
        <v>4.0</v>
      </c>
      <c r="Y50" s="19">
        <v>8.0</v>
      </c>
      <c r="Z50" s="19">
        <v>6.0</v>
      </c>
      <c r="AA50" s="19">
        <v>18.0</v>
      </c>
      <c r="AB50" s="19">
        <v>13.0</v>
      </c>
      <c r="AC50" s="19">
        <v>9.0</v>
      </c>
      <c r="AD50" s="19">
        <v>9.0</v>
      </c>
      <c r="AE50" s="19">
        <v>7.0</v>
      </c>
      <c r="AF50" s="19">
        <v>4.0</v>
      </c>
      <c r="AG50" s="19">
        <v>16.0</v>
      </c>
      <c r="AH50" s="13">
        <v>10.0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1.0</v>
      </c>
      <c r="G51" s="19">
        <v>5.0</v>
      </c>
      <c r="H51" s="19">
        <v>1.0</v>
      </c>
      <c r="I51" s="19">
        <v>1.0</v>
      </c>
      <c r="J51" s="19">
        <v>4.0</v>
      </c>
      <c r="K51" s="19">
        <v>1.0</v>
      </c>
      <c r="L51" s="19">
        <v>0.0</v>
      </c>
      <c r="M51" s="19">
        <v>2.0</v>
      </c>
      <c r="N51" s="19">
        <v>4.0</v>
      </c>
      <c r="O51" s="19">
        <v>2.0</v>
      </c>
      <c r="P51" s="19">
        <v>4.0</v>
      </c>
      <c r="Q51" s="19">
        <v>2.0</v>
      </c>
      <c r="R51" s="19">
        <v>4.0</v>
      </c>
      <c r="S51" s="19">
        <v>2.0</v>
      </c>
      <c r="T51" s="19">
        <v>5.0</v>
      </c>
      <c r="U51" s="19">
        <v>3.0</v>
      </c>
      <c r="V51" s="19">
        <v>2.0</v>
      </c>
      <c r="W51" s="19">
        <v>2.0</v>
      </c>
      <c r="X51" s="19">
        <v>1.0</v>
      </c>
      <c r="Y51" s="19">
        <v>0.0</v>
      </c>
      <c r="Z51" s="19">
        <v>2.0</v>
      </c>
      <c r="AA51" s="19">
        <v>0.0</v>
      </c>
      <c r="AB51" s="19">
        <v>7.0</v>
      </c>
      <c r="AC51" s="19">
        <v>2.0</v>
      </c>
      <c r="AD51" s="19">
        <v>0.0</v>
      </c>
      <c r="AE51" s="19">
        <v>0.0</v>
      </c>
      <c r="AF51" s="19">
        <v>1.0</v>
      </c>
      <c r="AG51" s="19">
        <v>2.0</v>
      </c>
      <c r="AH51" s="13">
        <v>2.0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7.0</v>
      </c>
      <c r="F52" s="19">
        <v>3.0</v>
      </c>
      <c r="G52" s="19">
        <v>7.0</v>
      </c>
      <c r="H52" s="19">
        <v>3.0</v>
      </c>
      <c r="I52" s="19">
        <v>3.0</v>
      </c>
      <c r="J52" s="19">
        <v>6.0</v>
      </c>
      <c r="K52" s="19">
        <v>0.0</v>
      </c>
      <c r="L52" s="19">
        <v>0.0</v>
      </c>
      <c r="M52" s="19">
        <v>4.0</v>
      </c>
      <c r="N52" s="19">
        <v>2.0</v>
      </c>
      <c r="O52" s="19">
        <v>8.0</v>
      </c>
      <c r="P52" s="19">
        <v>6.0</v>
      </c>
      <c r="Q52" s="19">
        <v>2.0</v>
      </c>
      <c r="R52" s="19">
        <v>2.0</v>
      </c>
      <c r="S52" s="19">
        <v>2.0</v>
      </c>
      <c r="T52" s="19">
        <v>1.0</v>
      </c>
      <c r="U52" s="19">
        <v>1.0</v>
      </c>
      <c r="V52" s="19">
        <v>2.0</v>
      </c>
      <c r="W52" s="19">
        <v>4.0</v>
      </c>
      <c r="X52" s="19">
        <v>1.0</v>
      </c>
      <c r="Y52" s="19">
        <v>0.0</v>
      </c>
      <c r="Z52" s="19">
        <v>3.0</v>
      </c>
      <c r="AA52" s="19">
        <v>0.0</v>
      </c>
      <c r="AB52" s="19">
        <v>4.0</v>
      </c>
      <c r="AC52" s="19">
        <v>1.0</v>
      </c>
      <c r="AD52" s="19">
        <v>1.0</v>
      </c>
      <c r="AE52" s="19">
        <v>7.0</v>
      </c>
      <c r="AF52" s="19">
        <v>0.0</v>
      </c>
      <c r="AG52" s="19">
        <v>0.0</v>
      </c>
      <c r="AH52" s="13">
        <v>2.0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2.0</v>
      </c>
      <c r="G53" s="19">
        <v>1.0</v>
      </c>
      <c r="H53" s="19">
        <v>0.0</v>
      </c>
      <c r="I53" s="19">
        <v>0.0</v>
      </c>
      <c r="J53" s="19">
        <v>2.0</v>
      </c>
      <c r="K53" s="19">
        <v>0.0</v>
      </c>
      <c r="L53" s="19">
        <v>0.0</v>
      </c>
      <c r="M53" s="19">
        <v>2.0</v>
      </c>
      <c r="N53" s="19">
        <v>0.0</v>
      </c>
      <c r="O53" s="19">
        <v>0.0</v>
      </c>
      <c r="P53" s="19">
        <v>2.0</v>
      </c>
      <c r="Q53" s="19">
        <v>0.0</v>
      </c>
      <c r="R53" s="19">
        <v>0.0</v>
      </c>
      <c r="S53" s="19">
        <v>1.0</v>
      </c>
      <c r="T53" s="19">
        <v>1.0</v>
      </c>
      <c r="U53" s="19">
        <v>1.0</v>
      </c>
      <c r="V53" s="19">
        <v>0.0</v>
      </c>
      <c r="W53" s="19">
        <v>0.0</v>
      </c>
      <c r="X53" s="19">
        <v>0.0</v>
      </c>
      <c r="Y53" s="19">
        <v>1.0</v>
      </c>
      <c r="Z53" s="19">
        <v>1.0</v>
      </c>
      <c r="AA53" s="19">
        <v>0.0</v>
      </c>
      <c r="AB53" s="19">
        <v>2.0</v>
      </c>
      <c r="AC53" s="19">
        <v>8.0</v>
      </c>
      <c r="AD53" s="19">
        <v>2.0</v>
      </c>
      <c r="AE53" s="19">
        <v>1.0</v>
      </c>
      <c r="AF53" s="19">
        <v>0.0</v>
      </c>
      <c r="AG53" s="19">
        <v>0.0</v>
      </c>
      <c r="AH53" s="13">
        <v>1.0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35.0</v>
      </c>
      <c r="F54" s="19">
        <v>31.0</v>
      </c>
      <c r="G54" s="19">
        <v>17.0</v>
      </c>
      <c r="H54" s="19">
        <v>38.0</v>
      </c>
      <c r="I54" s="19">
        <v>25.0</v>
      </c>
      <c r="J54" s="19">
        <v>31.0</v>
      </c>
      <c r="K54" s="19">
        <v>26.0</v>
      </c>
      <c r="L54" s="19">
        <v>33.0</v>
      </c>
      <c r="M54" s="19">
        <v>26.0</v>
      </c>
      <c r="N54" s="19">
        <v>49.0</v>
      </c>
      <c r="O54" s="19">
        <v>40.0</v>
      </c>
      <c r="P54" s="19">
        <v>33.0</v>
      </c>
      <c r="Q54" s="19">
        <v>26.0</v>
      </c>
      <c r="R54" s="19">
        <v>18.0</v>
      </c>
      <c r="S54" s="19">
        <v>20.0</v>
      </c>
      <c r="T54" s="19">
        <v>26.0</v>
      </c>
      <c r="U54" s="19">
        <v>31.0</v>
      </c>
      <c r="V54" s="19">
        <v>31.0</v>
      </c>
      <c r="W54" s="19">
        <v>22.0</v>
      </c>
      <c r="X54" s="19">
        <v>24.0</v>
      </c>
      <c r="Y54" s="19">
        <v>20.0</v>
      </c>
      <c r="Z54" s="19">
        <v>32.0</v>
      </c>
      <c r="AA54" s="19">
        <v>26.0</v>
      </c>
      <c r="AB54" s="19">
        <v>39.0</v>
      </c>
      <c r="AC54" s="19">
        <v>26.0</v>
      </c>
      <c r="AD54" s="19">
        <v>35.0</v>
      </c>
      <c r="AE54" s="19">
        <v>31.0</v>
      </c>
      <c r="AF54" s="19">
        <v>39.0</v>
      </c>
      <c r="AG54" s="19">
        <v>31.0</v>
      </c>
      <c r="AH54" s="13">
        <v>20.0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0.0</v>
      </c>
      <c r="F55" s="19">
        <v>4.0</v>
      </c>
      <c r="G55" s="19">
        <v>1.0</v>
      </c>
      <c r="H55" s="19">
        <v>0.0</v>
      </c>
      <c r="I55" s="19">
        <v>0.0</v>
      </c>
      <c r="J55" s="19">
        <v>0.0</v>
      </c>
      <c r="K55" s="19">
        <v>1.0</v>
      </c>
      <c r="L55" s="19">
        <v>1.0</v>
      </c>
      <c r="M55" s="19">
        <v>1.0</v>
      </c>
      <c r="N55" s="19">
        <v>1.0</v>
      </c>
      <c r="O55" s="19">
        <v>3.0</v>
      </c>
      <c r="P55" s="19">
        <v>3.0</v>
      </c>
      <c r="Q55" s="19">
        <v>3.0</v>
      </c>
      <c r="R55" s="19">
        <v>0.0</v>
      </c>
      <c r="S55" s="19">
        <v>0.0</v>
      </c>
      <c r="T55" s="19">
        <v>2.0</v>
      </c>
      <c r="U55" s="19">
        <v>2.0</v>
      </c>
      <c r="V55" s="19">
        <v>1.0</v>
      </c>
      <c r="W55" s="19">
        <v>0.0</v>
      </c>
      <c r="X55" s="19">
        <v>0.0</v>
      </c>
      <c r="Y55" s="19">
        <v>0.0</v>
      </c>
      <c r="Z55" s="19">
        <v>3.0</v>
      </c>
      <c r="AA55" s="19">
        <v>1.0</v>
      </c>
      <c r="AB55" s="19">
        <v>0.0</v>
      </c>
      <c r="AC55" s="19">
        <v>0.0</v>
      </c>
      <c r="AD55" s="19">
        <v>2.0</v>
      </c>
      <c r="AE55" s="19">
        <v>0.0</v>
      </c>
      <c r="AF55" s="19">
        <v>1.0</v>
      </c>
      <c r="AG55" s="19">
        <v>1.0</v>
      </c>
      <c r="AH55" s="13">
        <v>1.0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30.0</v>
      </c>
      <c r="F56" s="19">
        <v>26.0</v>
      </c>
      <c r="G56" s="19">
        <v>17.0</v>
      </c>
      <c r="H56" s="19">
        <v>35.0</v>
      </c>
      <c r="I56" s="19">
        <v>24.0</v>
      </c>
      <c r="J56" s="19">
        <v>24.0</v>
      </c>
      <c r="K56" s="19">
        <v>19.0</v>
      </c>
      <c r="L56" s="19">
        <v>19.0</v>
      </c>
      <c r="M56" s="19">
        <v>20.0</v>
      </c>
      <c r="N56" s="19">
        <v>28.0</v>
      </c>
      <c r="O56" s="19">
        <v>42.0</v>
      </c>
      <c r="P56" s="19">
        <v>31.0</v>
      </c>
      <c r="Q56" s="19">
        <v>16.0</v>
      </c>
      <c r="R56" s="19">
        <v>34.0</v>
      </c>
      <c r="S56" s="19">
        <v>35.0</v>
      </c>
      <c r="T56" s="19">
        <v>31.0</v>
      </c>
      <c r="U56" s="19">
        <v>21.0</v>
      </c>
      <c r="V56" s="19">
        <v>39.0</v>
      </c>
      <c r="W56" s="19">
        <v>28.0</v>
      </c>
      <c r="X56" s="19">
        <v>26.0</v>
      </c>
      <c r="Y56" s="19">
        <v>26.0</v>
      </c>
      <c r="Z56" s="19">
        <v>34.0</v>
      </c>
      <c r="AA56" s="19">
        <v>38.0</v>
      </c>
      <c r="AB56" s="19">
        <v>31.0</v>
      </c>
      <c r="AC56" s="19">
        <v>35.0</v>
      </c>
      <c r="AD56" s="19">
        <v>27.0</v>
      </c>
      <c r="AE56" s="19">
        <v>28.0</v>
      </c>
      <c r="AF56" s="19">
        <v>25.0</v>
      </c>
      <c r="AG56" s="19">
        <v>30.0</v>
      </c>
      <c r="AH56" s="13">
        <v>35.0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4.0</v>
      </c>
      <c r="G57" s="19">
        <v>1.0</v>
      </c>
      <c r="H57" s="19">
        <v>1.0</v>
      </c>
      <c r="I57" s="19">
        <v>1.0</v>
      </c>
      <c r="J57" s="19">
        <v>0.0</v>
      </c>
      <c r="K57" s="19">
        <v>0.0</v>
      </c>
      <c r="L57" s="19">
        <v>0.0</v>
      </c>
      <c r="M57" s="19">
        <v>2.0</v>
      </c>
      <c r="N57" s="19">
        <v>3.0</v>
      </c>
      <c r="O57" s="19">
        <v>3.0</v>
      </c>
      <c r="P57" s="19">
        <v>5.0</v>
      </c>
      <c r="Q57" s="19">
        <v>1.0</v>
      </c>
      <c r="R57" s="19">
        <v>1.0</v>
      </c>
      <c r="S57" s="19">
        <v>2.0</v>
      </c>
      <c r="T57" s="19">
        <v>3.0</v>
      </c>
      <c r="U57" s="19">
        <v>1.0</v>
      </c>
      <c r="V57" s="19">
        <v>3.0</v>
      </c>
      <c r="W57" s="19">
        <v>2.0</v>
      </c>
      <c r="X57" s="19">
        <v>2.0</v>
      </c>
      <c r="Y57" s="19">
        <v>2.0</v>
      </c>
      <c r="Z57" s="19">
        <v>2.0</v>
      </c>
      <c r="AA57" s="19">
        <v>1.0</v>
      </c>
      <c r="AB57" s="19">
        <v>2.0</v>
      </c>
      <c r="AC57" s="19">
        <v>5.0</v>
      </c>
      <c r="AD57" s="19">
        <v>2.0</v>
      </c>
      <c r="AE57" s="19">
        <v>2.0</v>
      </c>
      <c r="AF57" s="19">
        <v>5.0</v>
      </c>
      <c r="AG57" s="19">
        <v>3.0</v>
      </c>
      <c r="AH57" s="13">
        <v>2.0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G60" si="7">SUM(E45:E57)</f>
        <v>192</v>
      </c>
      <c r="F60" s="19">
        <f t="shared" si="7"/>
        <v>163</v>
      </c>
      <c r="G60" s="19">
        <f t="shared" si="7"/>
        <v>134</v>
      </c>
      <c r="H60" s="19">
        <f t="shared" si="7"/>
        <v>212</v>
      </c>
      <c r="I60" s="19">
        <f t="shared" si="7"/>
        <v>142</v>
      </c>
      <c r="J60" s="19">
        <f t="shared" si="7"/>
        <v>153</v>
      </c>
      <c r="K60" s="19">
        <f t="shared" si="7"/>
        <v>153</v>
      </c>
      <c r="L60" s="19">
        <f t="shared" si="7"/>
        <v>131</v>
      </c>
      <c r="M60" s="19">
        <f t="shared" si="7"/>
        <v>171</v>
      </c>
      <c r="N60" s="19">
        <f t="shared" si="7"/>
        <v>190</v>
      </c>
      <c r="O60" s="19">
        <f t="shared" si="7"/>
        <v>220</v>
      </c>
      <c r="P60" s="19">
        <f t="shared" si="7"/>
        <v>214</v>
      </c>
      <c r="Q60" s="19">
        <f t="shared" si="7"/>
        <v>150</v>
      </c>
      <c r="R60" s="19">
        <f t="shared" si="7"/>
        <v>150</v>
      </c>
      <c r="S60" s="19">
        <f t="shared" si="7"/>
        <v>157</v>
      </c>
      <c r="T60" s="19">
        <f t="shared" si="7"/>
        <v>174</v>
      </c>
      <c r="U60" s="19">
        <f t="shared" si="7"/>
        <v>205</v>
      </c>
      <c r="V60" s="19">
        <f t="shared" si="7"/>
        <v>163</v>
      </c>
      <c r="W60" s="19">
        <f t="shared" si="7"/>
        <v>151</v>
      </c>
      <c r="X60" s="19">
        <f t="shared" si="7"/>
        <v>144</v>
      </c>
      <c r="Y60" s="19">
        <f t="shared" si="7"/>
        <v>98</v>
      </c>
      <c r="Z60" s="19">
        <f t="shared" si="7"/>
        <v>175</v>
      </c>
      <c r="AA60" s="19">
        <f t="shared" si="7"/>
        <v>177</v>
      </c>
      <c r="AB60" s="19">
        <f t="shared" si="7"/>
        <v>181</v>
      </c>
      <c r="AC60" s="19">
        <f t="shared" si="7"/>
        <v>172</v>
      </c>
      <c r="AD60" s="19">
        <f t="shared" si="7"/>
        <v>148</v>
      </c>
      <c r="AE60" s="19">
        <f t="shared" si="7"/>
        <v>159</v>
      </c>
      <c r="AF60" s="19">
        <f t="shared" si="7"/>
        <v>134</v>
      </c>
      <c r="AG60" s="19">
        <f t="shared" si="7"/>
        <v>179</v>
      </c>
      <c r="AH60" s="13">
        <f t="shared" ref="AH60:AH62" si="8">SUM(E60:AG60)</f>
        <v>4792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35.0</v>
      </c>
      <c r="F61" s="19">
        <v>16.0</v>
      </c>
      <c r="G61" s="19">
        <v>28.0</v>
      </c>
      <c r="H61" s="19">
        <v>43.0</v>
      </c>
      <c r="I61" s="19">
        <v>54.0</v>
      </c>
      <c r="J61" s="19">
        <v>31.0</v>
      </c>
      <c r="K61" s="19">
        <v>27.0</v>
      </c>
      <c r="L61" s="19">
        <v>25.0</v>
      </c>
      <c r="M61" s="19">
        <v>34.0</v>
      </c>
      <c r="N61" s="19">
        <v>49.0</v>
      </c>
      <c r="O61" s="19">
        <v>10.0</v>
      </c>
      <c r="P61" s="19">
        <v>34.0</v>
      </c>
      <c r="Q61" s="19">
        <v>47.0</v>
      </c>
      <c r="R61" s="19">
        <v>35.0</v>
      </c>
      <c r="S61" s="19">
        <v>27.0</v>
      </c>
      <c r="T61" s="19">
        <v>27.0</v>
      </c>
      <c r="U61" s="19">
        <v>28.0</v>
      </c>
      <c r="V61" s="19">
        <v>13.0</v>
      </c>
      <c r="W61" s="19">
        <v>18.0</v>
      </c>
      <c r="X61" s="19">
        <v>29.0</v>
      </c>
      <c r="Y61" s="19">
        <v>20.0</v>
      </c>
      <c r="Z61" s="19">
        <v>41.0</v>
      </c>
      <c r="AA61" s="19">
        <v>30.0</v>
      </c>
      <c r="AB61" s="19">
        <v>36.0</v>
      </c>
      <c r="AC61" s="19">
        <v>34.0</v>
      </c>
      <c r="AD61" s="19">
        <v>72.0</v>
      </c>
      <c r="AE61" s="19">
        <v>22.0</v>
      </c>
      <c r="AF61" s="19">
        <v>24.0</v>
      </c>
      <c r="AG61" s="19">
        <v>17.0</v>
      </c>
      <c r="AH61" s="13">
        <f t="shared" si="8"/>
        <v>906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G62" si="9">SUM(E60:E61)</f>
        <v>227</v>
      </c>
      <c r="F62" s="13">
        <f t="shared" si="9"/>
        <v>179</v>
      </c>
      <c r="G62" s="13">
        <f t="shared" si="9"/>
        <v>162</v>
      </c>
      <c r="H62" s="13">
        <f t="shared" si="9"/>
        <v>255</v>
      </c>
      <c r="I62" s="13">
        <f t="shared" si="9"/>
        <v>196</v>
      </c>
      <c r="J62" s="13">
        <f t="shared" si="9"/>
        <v>184</v>
      </c>
      <c r="K62" s="13">
        <f t="shared" si="9"/>
        <v>180</v>
      </c>
      <c r="L62" s="13">
        <f t="shared" si="9"/>
        <v>156</v>
      </c>
      <c r="M62" s="13">
        <f t="shared" si="9"/>
        <v>205</v>
      </c>
      <c r="N62" s="13">
        <f t="shared" si="9"/>
        <v>239</v>
      </c>
      <c r="O62" s="13">
        <f t="shared" si="9"/>
        <v>230</v>
      </c>
      <c r="P62" s="13">
        <f t="shared" si="9"/>
        <v>248</v>
      </c>
      <c r="Q62" s="13">
        <f t="shared" si="9"/>
        <v>197</v>
      </c>
      <c r="R62" s="13">
        <f t="shared" si="9"/>
        <v>185</v>
      </c>
      <c r="S62" s="13">
        <f t="shared" si="9"/>
        <v>184</v>
      </c>
      <c r="T62" s="13">
        <f t="shared" si="9"/>
        <v>201</v>
      </c>
      <c r="U62" s="13">
        <f t="shared" si="9"/>
        <v>233</v>
      </c>
      <c r="V62" s="13">
        <f t="shared" si="9"/>
        <v>176</v>
      </c>
      <c r="W62" s="13">
        <f t="shared" si="9"/>
        <v>169</v>
      </c>
      <c r="X62" s="13">
        <f t="shared" si="9"/>
        <v>173</v>
      </c>
      <c r="Y62" s="13">
        <f t="shared" si="9"/>
        <v>118</v>
      </c>
      <c r="Z62" s="13">
        <f t="shared" si="9"/>
        <v>216</v>
      </c>
      <c r="AA62" s="13">
        <f t="shared" si="9"/>
        <v>207</v>
      </c>
      <c r="AB62" s="13">
        <f t="shared" si="9"/>
        <v>217</v>
      </c>
      <c r="AC62" s="13">
        <f t="shared" si="9"/>
        <v>206</v>
      </c>
      <c r="AD62" s="13">
        <f t="shared" si="9"/>
        <v>220</v>
      </c>
      <c r="AE62" s="13">
        <f t="shared" si="9"/>
        <v>181</v>
      </c>
      <c r="AF62" s="13">
        <f t="shared" si="9"/>
        <v>158</v>
      </c>
      <c r="AG62" s="13">
        <f t="shared" si="9"/>
        <v>196</v>
      </c>
      <c r="AH62" s="13">
        <f t="shared" si="8"/>
        <v>5698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G15 E45:AG57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E30&lt;&gt;E46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60:AG61">
    <cfRule type="containsBlanks" dxfId="1" priority="10">
      <formula>LEN(TRIM(E60))=0</formula>
    </cfRule>
  </conditionalFormatting>
  <conditionalFormatting sqref="U34:AG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68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69</v>
      </c>
      <c r="D9" s="8" t="s">
        <v>117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71</v>
      </c>
      <c r="F13" s="13" t="s">
        <v>72</v>
      </c>
      <c r="G13" s="13" t="s">
        <v>73</v>
      </c>
      <c r="H13" s="13" t="s">
        <v>74</v>
      </c>
      <c r="I13" s="13" t="s">
        <v>75</v>
      </c>
      <c r="J13" s="13" t="s">
        <v>76</v>
      </c>
      <c r="K13" s="13" t="s">
        <v>77</v>
      </c>
      <c r="L13" s="13" t="s">
        <v>78</v>
      </c>
      <c r="M13" s="13" t="s">
        <v>79</v>
      </c>
      <c r="N13" s="13" t="s">
        <v>80</v>
      </c>
      <c r="O13" s="13" t="s">
        <v>81</v>
      </c>
      <c r="P13" s="13" t="s">
        <v>82</v>
      </c>
      <c r="Q13" s="13" t="s">
        <v>83</v>
      </c>
      <c r="R13" s="13" t="s">
        <v>84</v>
      </c>
      <c r="S13" s="13" t="s">
        <v>85</v>
      </c>
      <c r="T13" s="13" t="s">
        <v>86</v>
      </c>
      <c r="U13" s="13" t="s">
        <v>87</v>
      </c>
      <c r="V13" s="13" t="s">
        <v>88</v>
      </c>
      <c r="W13" s="13" t="s">
        <v>89</v>
      </c>
      <c r="X13" s="13" t="s">
        <v>90</v>
      </c>
      <c r="Y13" s="13" t="s">
        <v>91</v>
      </c>
      <c r="Z13" s="13" t="s">
        <v>92</v>
      </c>
      <c r="AA13" s="13" t="s">
        <v>93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63">
        <v>140.0</v>
      </c>
      <c r="F14" s="63">
        <v>127.0</v>
      </c>
      <c r="G14" s="63">
        <v>131.0</v>
      </c>
      <c r="H14" s="63">
        <v>132.0</v>
      </c>
      <c r="I14" s="63">
        <v>132.0</v>
      </c>
      <c r="J14" s="63">
        <v>142.0</v>
      </c>
      <c r="K14" s="63">
        <v>143.0</v>
      </c>
      <c r="L14" s="63">
        <v>147.0</v>
      </c>
      <c r="M14" s="63">
        <v>148.0</v>
      </c>
      <c r="N14" s="63">
        <v>147.0</v>
      </c>
      <c r="O14" s="63">
        <v>134.0</v>
      </c>
      <c r="P14" s="63">
        <v>114.0</v>
      </c>
      <c r="Q14" s="63">
        <v>142.0</v>
      </c>
      <c r="R14" s="63">
        <v>144.0</v>
      </c>
      <c r="S14" s="63">
        <v>115.0</v>
      </c>
      <c r="T14" s="63">
        <v>120.0</v>
      </c>
      <c r="U14" s="63">
        <v>122.0</v>
      </c>
      <c r="V14" s="63">
        <v>119.0</v>
      </c>
      <c r="W14" s="63">
        <v>125.0</v>
      </c>
      <c r="X14" s="63">
        <v>133.0</v>
      </c>
      <c r="Y14" s="63">
        <v>129.0</v>
      </c>
      <c r="Z14" s="63">
        <v>109.0</v>
      </c>
      <c r="AA14" s="63">
        <v>119.0</v>
      </c>
      <c r="AB14" s="13">
        <f t="shared" ref="AB14:AB16" si="1">SUM(E14:AA14)</f>
        <v>3014</v>
      </c>
    </row>
    <row r="15" ht="12.75" customHeight="1">
      <c r="A15" s="18"/>
      <c r="B15" s="26"/>
      <c r="C15" s="27"/>
      <c r="D15" s="19" t="s">
        <v>13</v>
      </c>
      <c r="E15" s="63">
        <v>129.0</v>
      </c>
      <c r="F15" s="63">
        <v>125.0</v>
      </c>
      <c r="G15" s="63">
        <v>139.0</v>
      </c>
      <c r="H15" s="63">
        <v>132.0</v>
      </c>
      <c r="I15" s="63">
        <v>138.0</v>
      </c>
      <c r="J15" s="63">
        <v>147.0</v>
      </c>
      <c r="K15" s="63">
        <v>148.0</v>
      </c>
      <c r="L15" s="63">
        <v>150.0</v>
      </c>
      <c r="M15" s="63">
        <v>140.0</v>
      </c>
      <c r="N15" s="63">
        <v>138.0</v>
      </c>
      <c r="O15" s="63">
        <v>134.0</v>
      </c>
      <c r="P15" s="63">
        <v>117.0</v>
      </c>
      <c r="Q15" s="63">
        <v>151.0</v>
      </c>
      <c r="R15" s="63">
        <v>147.0</v>
      </c>
      <c r="S15" s="63">
        <v>108.0</v>
      </c>
      <c r="T15" s="63">
        <v>120.0</v>
      </c>
      <c r="U15" s="63">
        <v>131.0</v>
      </c>
      <c r="V15" s="63">
        <v>122.0</v>
      </c>
      <c r="W15" s="63">
        <v>113.0</v>
      </c>
      <c r="X15" s="63">
        <v>122.0</v>
      </c>
      <c r="Y15" s="63">
        <v>121.0</v>
      </c>
      <c r="Z15" s="63">
        <v>126.0</v>
      </c>
      <c r="AA15" s="63">
        <v>126.0</v>
      </c>
      <c r="AB15" s="13">
        <f t="shared" si="1"/>
        <v>3024</v>
      </c>
    </row>
    <row r="16" ht="12.75" customHeight="1">
      <c r="A16" s="25"/>
      <c r="B16" s="21"/>
      <c r="C16" s="28"/>
      <c r="D16" s="13" t="s">
        <v>14</v>
      </c>
      <c r="E16" s="64">
        <f t="shared" ref="E16:AA16" si="2">SUM(E14:E15)</f>
        <v>269</v>
      </c>
      <c r="F16" s="64">
        <f t="shared" si="2"/>
        <v>252</v>
      </c>
      <c r="G16" s="64">
        <f t="shared" si="2"/>
        <v>270</v>
      </c>
      <c r="H16" s="64">
        <f t="shared" si="2"/>
        <v>264</v>
      </c>
      <c r="I16" s="64">
        <f t="shared" si="2"/>
        <v>270</v>
      </c>
      <c r="J16" s="64">
        <f t="shared" si="2"/>
        <v>289</v>
      </c>
      <c r="K16" s="64">
        <f t="shared" si="2"/>
        <v>291</v>
      </c>
      <c r="L16" s="64">
        <f t="shared" si="2"/>
        <v>297</v>
      </c>
      <c r="M16" s="64">
        <f t="shared" si="2"/>
        <v>288</v>
      </c>
      <c r="N16" s="64">
        <f t="shared" si="2"/>
        <v>285</v>
      </c>
      <c r="O16" s="64">
        <f t="shared" si="2"/>
        <v>268</v>
      </c>
      <c r="P16" s="64">
        <f t="shared" si="2"/>
        <v>231</v>
      </c>
      <c r="Q16" s="64">
        <f t="shared" si="2"/>
        <v>293</v>
      </c>
      <c r="R16" s="64">
        <f t="shared" si="2"/>
        <v>291</v>
      </c>
      <c r="S16" s="64">
        <f t="shared" si="2"/>
        <v>223</v>
      </c>
      <c r="T16" s="64">
        <f t="shared" si="2"/>
        <v>240</v>
      </c>
      <c r="U16" s="64">
        <f t="shared" si="2"/>
        <v>253</v>
      </c>
      <c r="V16" s="64">
        <f t="shared" si="2"/>
        <v>241</v>
      </c>
      <c r="W16" s="64">
        <f t="shared" si="2"/>
        <v>238</v>
      </c>
      <c r="X16" s="64">
        <f t="shared" si="2"/>
        <v>255</v>
      </c>
      <c r="Y16" s="64">
        <f t="shared" si="2"/>
        <v>250</v>
      </c>
      <c r="Z16" s="64">
        <f t="shared" si="2"/>
        <v>235</v>
      </c>
      <c r="AA16" s="64">
        <f t="shared" si="2"/>
        <v>245</v>
      </c>
      <c r="AB16" s="13">
        <f t="shared" si="1"/>
        <v>6038</v>
      </c>
    </row>
    <row r="17" ht="12.75" customHeight="1">
      <c r="A17" s="24"/>
      <c r="B17" s="15"/>
      <c r="C17" s="15"/>
      <c r="D17" s="1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59"/>
    </row>
    <row r="18" ht="12.75" customHeight="1">
      <c r="A18" s="30" t="s">
        <v>15</v>
      </c>
      <c r="B18" s="20" t="s">
        <v>16</v>
      </c>
      <c r="C18" s="15"/>
      <c r="D18" s="1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3">
        <v>101.0</v>
      </c>
      <c r="F19" s="63">
        <v>87.0</v>
      </c>
      <c r="G19" s="63">
        <v>88.0</v>
      </c>
      <c r="H19" s="63">
        <v>90.0</v>
      </c>
      <c r="I19" s="63">
        <v>97.0</v>
      </c>
      <c r="J19" s="63">
        <v>108.0</v>
      </c>
      <c r="K19" s="63">
        <v>111.0</v>
      </c>
      <c r="L19" s="63">
        <v>108.0</v>
      </c>
      <c r="M19" s="63">
        <v>112.0</v>
      </c>
      <c r="N19" s="63">
        <v>112.0</v>
      </c>
      <c r="O19" s="63">
        <v>90.0</v>
      </c>
      <c r="P19" s="63">
        <v>83.0</v>
      </c>
      <c r="Q19" s="63">
        <v>113.0</v>
      </c>
      <c r="R19" s="63">
        <v>110.0</v>
      </c>
      <c r="S19" s="63">
        <v>97.0</v>
      </c>
      <c r="T19" s="63">
        <v>95.0</v>
      </c>
      <c r="U19" s="63">
        <v>99.0</v>
      </c>
      <c r="V19" s="63">
        <v>91.0</v>
      </c>
      <c r="W19" s="63">
        <v>93.0</v>
      </c>
      <c r="X19" s="63">
        <v>91.0</v>
      </c>
      <c r="Y19" s="63">
        <v>105.0</v>
      </c>
      <c r="Z19" s="63">
        <v>79.0</v>
      </c>
      <c r="AA19" s="63">
        <v>81.0</v>
      </c>
      <c r="AB19" s="13">
        <f t="shared" ref="AB19:AB30" si="3">SUM(E19:AA19)</f>
        <v>2241</v>
      </c>
    </row>
    <row r="20" ht="12.75" customHeight="1">
      <c r="A20" s="33"/>
      <c r="B20" s="27"/>
      <c r="C20" s="34"/>
      <c r="D20" s="19" t="s">
        <v>13</v>
      </c>
      <c r="E20" s="63">
        <v>102.0</v>
      </c>
      <c r="F20" s="63">
        <v>96.0</v>
      </c>
      <c r="G20" s="63">
        <v>107.0</v>
      </c>
      <c r="H20" s="63">
        <v>105.0</v>
      </c>
      <c r="I20" s="63">
        <v>123.0</v>
      </c>
      <c r="J20" s="63">
        <v>115.0</v>
      </c>
      <c r="K20" s="63">
        <v>123.0</v>
      </c>
      <c r="L20" s="63">
        <v>118.0</v>
      </c>
      <c r="M20" s="63">
        <v>117.0</v>
      </c>
      <c r="N20" s="63">
        <v>119.0</v>
      </c>
      <c r="O20" s="63">
        <v>99.0</v>
      </c>
      <c r="P20" s="63">
        <v>91.0</v>
      </c>
      <c r="Q20" s="63">
        <v>129.0</v>
      </c>
      <c r="R20" s="63">
        <v>119.0</v>
      </c>
      <c r="S20" s="63">
        <v>90.0</v>
      </c>
      <c r="T20" s="63">
        <v>95.0</v>
      </c>
      <c r="U20" s="63">
        <v>108.0</v>
      </c>
      <c r="V20" s="63">
        <v>97.0</v>
      </c>
      <c r="W20" s="63">
        <v>92.0</v>
      </c>
      <c r="X20" s="63">
        <v>95.0</v>
      </c>
      <c r="Y20" s="63">
        <v>99.0</v>
      </c>
      <c r="Z20" s="63">
        <v>96.0</v>
      </c>
      <c r="AA20" s="63">
        <v>88.0</v>
      </c>
      <c r="AB20" s="13">
        <f t="shared" si="3"/>
        <v>2423</v>
      </c>
    </row>
    <row r="21" ht="12.75" customHeight="1">
      <c r="A21" s="35"/>
      <c r="B21" s="28"/>
      <c r="C21" s="36"/>
      <c r="D21" s="13" t="s">
        <v>14</v>
      </c>
      <c r="E21" s="64">
        <f t="shared" ref="E21:AA21" si="4">SUM(E19:E20)</f>
        <v>203</v>
      </c>
      <c r="F21" s="64">
        <f t="shared" si="4"/>
        <v>183</v>
      </c>
      <c r="G21" s="64">
        <f t="shared" si="4"/>
        <v>195</v>
      </c>
      <c r="H21" s="64">
        <f t="shared" si="4"/>
        <v>195</v>
      </c>
      <c r="I21" s="64">
        <f t="shared" si="4"/>
        <v>220</v>
      </c>
      <c r="J21" s="64">
        <f t="shared" si="4"/>
        <v>223</v>
      </c>
      <c r="K21" s="64">
        <f t="shared" si="4"/>
        <v>234</v>
      </c>
      <c r="L21" s="64">
        <f t="shared" si="4"/>
        <v>226</v>
      </c>
      <c r="M21" s="64">
        <f t="shared" si="4"/>
        <v>229</v>
      </c>
      <c r="N21" s="64">
        <f t="shared" si="4"/>
        <v>231</v>
      </c>
      <c r="O21" s="64">
        <f t="shared" si="4"/>
        <v>189</v>
      </c>
      <c r="P21" s="64">
        <f t="shared" si="4"/>
        <v>174</v>
      </c>
      <c r="Q21" s="64">
        <f t="shared" si="4"/>
        <v>242</v>
      </c>
      <c r="R21" s="64">
        <f t="shared" si="4"/>
        <v>229</v>
      </c>
      <c r="S21" s="64">
        <f t="shared" si="4"/>
        <v>187</v>
      </c>
      <c r="T21" s="64">
        <f t="shared" si="4"/>
        <v>190</v>
      </c>
      <c r="U21" s="64">
        <f t="shared" si="4"/>
        <v>207</v>
      </c>
      <c r="V21" s="64">
        <f t="shared" si="4"/>
        <v>188</v>
      </c>
      <c r="W21" s="64">
        <f t="shared" si="4"/>
        <v>185</v>
      </c>
      <c r="X21" s="64">
        <f t="shared" si="4"/>
        <v>186</v>
      </c>
      <c r="Y21" s="64">
        <f t="shared" si="4"/>
        <v>204</v>
      </c>
      <c r="Z21" s="64">
        <f t="shared" si="4"/>
        <v>175</v>
      </c>
      <c r="AA21" s="64">
        <f t="shared" si="4"/>
        <v>169</v>
      </c>
      <c r="AB21" s="13">
        <f t="shared" si="3"/>
        <v>4664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3">
        <v>0.0</v>
      </c>
      <c r="F22" s="63">
        <v>0.0</v>
      </c>
      <c r="G22" s="63">
        <v>0.0</v>
      </c>
      <c r="H22" s="63">
        <v>0.0</v>
      </c>
      <c r="I22" s="63">
        <v>0.0</v>
      </c>
      <c r="J22" s="63">
        <v>1.0</v>
      </c>
      <c r="K22" s="63">
        <v>0.0</v>
      </c>
      <c r="L22" s="63">
        <v>0.0</v>
      </c>
      <c r="M22" s="63">
        <v>0.0</v>
      </c>
      <c r="N22" s="63">
        <v>0.0</v>
      </c>
      <c r="O22" s="63">
        <v>0.0</v>
      </c>
      <c r="P22" s="63">
        <v>1.0</v>
      </c>
      <c r="Q22" s="63">
        <v>0.0</v>
      </c>
      <c r="R22" s="63">
        <v>0.0</v>
      </c>
      <c r="S22" s="63">
        <v>0.0</v>
      </c>
      <c r="T22" s="63">
        <v>0.0</v>
      </c>
      <c r="U22" s="63">
        <v>0.0</v>
      </c>
      <c r="V22" s="63">
        <v>0.0</v>
      </c>
      <c r="W22" s="63">
        <v>0.0</v>
      </c>
      <c r="X22" s="63">
        <v>0.0</v>
      </c>
      <c r="Y22" s="63">
        <v>0.0</v>
      </c>
      <c r="Z22" s="63">
        <v>0.0</v>
      </c>
      <c r="AA22" s="63">
        <v>1.0</v>
      </c>
      <c r="AB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63">
        <v>0.0</v>
      </c>
      <c r="F23" s="63">
        <v>0.0</v>
      </c>
      <c r="G23" s="63">
        <v>0.0</v>
      </c>
      <c r="H23" s="63">
        <v>0.0</v>
      </c>
      <c r="I23" s="63">
        <v>0.0</v>
      </c>
      <c r="J23" s="63">
        <v>1.0</v>
      </c>
      <c r="K23" s="63">
        <v>0.0</v>
      </c>
      <c r="L23" s="63">
        <v>0.0</v>
      </c>
      <c r="M23" s="63">
        <v>0.0</v>
      </c>
      <c r="N23" s="63">
        <v>0.0</v>
      </c>
      <c r="O23" s="63">
        <v>0.0</v>
      </c>
      <c r="P23" s="63">
        <v>1.0</v>
      </c>
      <c r="Q23" s="63">
        <v>0.0</v>
      </c>
      <c r="R23" s="63">
        <v>0.0</v>
      </c>
      <c r="S23" s="63">
        <v>0.0</v>
      </c>
      <c r="T23" s="63">
        <v>0.0</v>
      </c>
      <c r="U23" s="63">
        <v>0.0</v>
      </c>
      <c r="V23" s="63">
        <v>0.0</v>
      </c>
      <c r="W23" s="63">
        <v>0.0</v>
      </c>
      <c r="X23" s="63">
        <v>0.0</v>
      </c>
      <c r="Y23" s="63">
        <v>0.0</v>
      </c>
      <c r="Z23" s="63">
        <v>0.0</v>
      </c>
      <c r="AA23" s="63">
        <v>1.0</v>
      </c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64">
        <f t="shared" ref="E24:AA24" si="5">SUM(E22:E23)</f>
        <v>0</v>
      </c>
      <c r="F24" s="64">
        <f t="shared" si="5"/>
        <v>0</v>
      </c>
      <c r="G24" s="64">
        <f t="shared" si="5"/>
        <v>0</v>
      </c>
      <c r="H24" s="64">
        <f t="shared" si="5"/>
        <v>0</v>
      </c>
      <c r="I24" s="64">
        <f t="shared" si="5"/>
        <v>0</v>
      </c>
      <c r="J24" s="64">
        <f t="shared" si="5"/>
        <v>2</v>
      </c>
      <c r="K24" s="64">
        <f t="shared" si="5"/>
        <v>0</v>
      </c>
      <c r="L24" s="64">
        <f t="shared" si="5"/>
        <v>0</v>
      </c>
      <c r="M24" s="64">
        <f t="shared" si="5"/>
        <v>0</v>
      </c>
      <c r="N24" s="64">
        <f t="shared" si="5"/>
        <v>0</v>
      </c>
      <c r="O24" s="64">
        <f t="shared" si="5"/>
        <v>0</v>
      </c>
      <c r="P24" s="64">
        <f t="shared" si="5"/>
        <v>2</v>
      </c>
      <c r="Q24" s="64">
        <f t="shared" si="5"/>
        <v>0</v>
      </c>
      <c r="R24" s="64">
        <f t="shared" si="5"/>
        <v>0</v>
      </c>
      <c r="S24" s="64">
        <f t="shared" si="5"/>
        <v>0</v>
      </c>
      <c r="T24" s="64">
        <f t="shared" si="5"/>
        <v>0</v>
      </c>
      <c r="U24" s="64">
        <f t="shared" si="5"/>
        <v>0</v>
      </c>
      <c r="V24" s="64">
        <f t="shared" si="5"/>
        <v>0</v>
      </c>
      <c r="W24" s="64">
        <f t="shared" si="5"/>
        <v>0</v>
      </c>
      <c r="X24" s="64">
        <f t="shared" si="5"/>
        <v>0</v>
      </c>
      <c r="Y24" s="64">
        <f t="shared" si="5"/>
        <v>0</v>
      </c>
      <c r="Z24" s="64">
        <f t="shared" si="5"/>
        <v>0</v>
      </c>
      <c r="AA24" s="64">
        <f t="shared" si="5"/>
        <v>2</v>
      </c>
      <c r="AB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3">
        <v>2.0</v>
      </c>
      <c r="F25" s="63">
        <v>2.0</v>
      </c>
      <c r="G25" s="63">
        <v>2.0</v>
      </c>
      <c r="H25" s="63">
        <v>1.0</v>
      </c>
      <c r="I25" s="63">
        <v>0.0</v>
      </c>
      <c r="J25" s="63">
        <v>1.0</v>
      </c>
      <c r="K25" s="63">
        <v>0.0</v>
      </c>
      <c r="L25" s="63">
        <v>2.0</v>
      </c>
      <c r="M25" s="63">
        <v>0.0</v>
      </c>
      <c r="N25" s="63">
        <v>0.0</v>
      </c>
      <c r="O25" s="63">
        <v>0.0</v>
      </c>
      <c r="P25" s="63">
        <v>4.0</v>
      </c>
      <c r="Q25" s="63">
        <v>2.0</v>
      </c>
      <c r="R25" s="63">
        <v>2.0</v>
      </c>
      <c r="S25" s="63">
        <v>0.0</v>
      </c>
      <c r="T25" s="63">
        <v>2.0</v>
      </c>
      <c r="U25" s="63">
        <v>1.0</v>
      </c>
      <c r="V25" s="63">
        <v>0.0</v>
      </c>
      <c r="W25" s="63">
        <v>2.0</v>
      </c>
      <c r="X25" s="63">
        <v>1.0</v>
      </c>
      <c r="Y25" s="63">
        <v>0.0</v>
      </c>
      <c r="Z25" s="63">
        <v>1.0</v>
      </c>
      <c r="AA25" s="63">
        <v>0.0</v>
      </c>
      <c r="AB25" s="13">
        <f t="shared" si="3"/>
        <v>25</v>
      </c>
    </row>
    <row r="26" ht="12.75" customHeight="1">
      <c r="A26" s="33"/>
      <c r="B26" s="27"/>
      <c r="C26" s="34"/>
      <c r="D26" s="19" t="s">
        <v>13</v>
      </c>
      <c r="E26" s="63">
        <v>2.0</v>
      </c>
      <c r="F26" s="63">
        <v>1.0</v>
      </c>
      <c r="G26" s="63">
        <v>1.0</v>
      </c>
      <c r="H26" s="63">
        <v>1.0</v>
      </c>
      <c r="I26" s="63">
        <v>2.0</v>
      </c>
      <c r="J26" s="63">
        <v>2.0</v>
      </c>
      <c r="K26" s="63">
        <v>1.0</v>
      </c>
      <c r="L26" s="63">
        <v>1.0</v>
      </c>
      <c r="M26" s="63">
        <v>2.0</v>
      </c>
      <c r="N26" s="63">
        <v>0.0</v>
      </c>
      <c r="O26" s="63">
        <v>3.0</v>
      </c>
      <c r="P26" s="63">
        <v>4.0</v>
      </c>
      <c r="Q26" s="63">
        <v>5.0</v>
      </c>
      <c r="R26" s="63">
        <v>3.0</v>
      </c>
      <c r="S26" s="63">
        <v>0.0</v>
      </c>
      <c r="T26" s="63">
        <v>4.0</v>
      </c>
      <c r="U26" s="63">
        <v>4.0</v>
      </c>
      <c r="V26" s="63">
        <v>0.0</v>
      </c>
      <c r="W26" s="63">
        <v>3.0</v>
      </c>
      <c r="X26" s="63">
        <v>0.0</v>
      </c>
      <c r="Y26" s="63">
        <v>1.0</v>
      </c>
      <c r="Z26" s="63">
        <v>1.0</v>
      </c>
      <c r="AA26" s="63">
        <v>0.0</v>
      </c>
      <c r="AB26" s="13">
        <f t="shared" si="3"/>
        <v>41</v>
      </c>
    </row>
    <row r="27" ht="12.75" customHeight="1">
      <c r="A27" s="35"/>
      <c r="B27" s="28"/>
      <c r="C27" s="36"/>
      <c r="D27" s="13" t="s">
        <v>14</v>
      </c>
      <c r="E27" s="64">
        <f t="shared" ref="E27:AA27" si="6">SUM(E25:E26)</f>
        <v>4</v>
      </c>
      <c r="F27" s="64">
        <f t="shared" si="6"/>
        <v>3</v>
      </c>
      <c r="G27" s="64">
        <f t="shared" si="6"/>
        <v>3</v>
      </c>
      <c r="H27" s="64">
        <f t="shared" si="6"/>
        <v>2</v>
      </c>
      <c r="I27" s="64">
        <f t="shared" si="6"/>
        <v>2</v>
      </c>
      <c r="J27" s="64">
        <f t="shared" si="6"/>
        <v>3</v>
      </c>
      <c r="K27" s="64">
        <f t="shared" si="6"/>
        <v>1</v>
      </c>
      <c r="L27" s="64">
        <f t="shared" si="6"/>
        <v>3</v>
      </c>
      <c r="M27" s="64">
        <f t="shared" si="6"/>
        <v>2</v>
      </c>
      <c r="N27" s="64">
        <f t="shared" si="6"/>
        <v>0</v>
      </c>
      <c r="O27" s="64">
        <f t="shared" si="6"/>
        <v>3</v>
      </c>
      <c r="P27" s="64">
        <f t="shared" si="6"/>
        <v>8</v>
      </c>
      <c r="Q27" s="64">
        <f t="shared" si="6"/>
        <v>7</v>
      </c>
      <c r="R27" s="64">
        <f t="shared" si="6"/>
        <v>5</v>
      </c>
      <c r="S27" s="64">
        <f t="shared" si="6"/>
        <v>0</v>
      </c>
      <c r="T27" s="64">
        <f t="shared" si="6"/>
        <v>6</v>
      </c>
      <c r="U27" s="64">
        <f t="shared" si="6"/>
        <v>5</v>
      </c>
      <c r="V27" s="64">
        <f t="shared" si="6"/>
        <v>0</v>
      </c>
      <c r="W27" s="64">
        <f t="shared" si="6"/>
        <v>5</v>
      </c>
      <c r="X27" s="64">
        <f t="shared" si="6"/>
        <v>1</v>
      </c>
      <c r="Y27" s="64">
        <f t="shared" si="6"/>
        <v>1</v>
      </c>
      <c r="Z27" s="64">
        <f t="shared" si="6"/>
        <v>2</v>
      </c>
      <c r="AA27" s="64">
        <f t="shared" si="6"/>
        <v>0</v>
      </c>
      <c r="AB27" s="13">
        <f t="shared" si="3"/>
        <v>66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64">
        <f t="shared" ref="E28:AA28" si="7">SUM(E19,E22,E25)</f>
        <v>103</v>
      </c>
      <c r="F28" s="64">
        <f t="shared" si="7"/>
        <v>89</v>
      </c>
      <c r="G28" s="64">
        <f t="shared" si="7"/>
        <v>90</v>
      </c>
      <c r="H28" s="64">
        <f t="shared" si="7"/>
        <v>91</v>
      </c>
      <c r="I28" s="64">
        <f t="shared" si="7"/>
        <v>97</v>
      </c>
      <c r="J28" s="64">
        <f t="shared" si="7"/>
        <v>110</v>
      </c>
      <c r="K28" s="64">
        <f t="shared" si="7"/>
        <v>111</v>
      </c>
      <c r="L28" s="64">
        <f t="shared" si="7"/>
        <v>110</v>
      </c>
      <c r="M28" s="64">
        <f t="shared" si="7"/>
        <v>112</v>
      </c>
      <c r="N28" s="64">
        <f t="shared" si="7"/>
        <v>112</v>
      </c>
      <c r="O28" s="64">
        <f t="shared" si="7"/>
        <v>90</v>
      </c>
      <c r="P28" s="64">
        <f t="shared" si="7"/>
        <v>88</v>
      </c>
      <c r="Q28" s="64">
        <f t="shared" si="7"/>
        <v>115</v>
      </c>
      <c r="R28" s="64">
        <f t="shared" si="7"/>
        <v>112</v>
      </c>
      <c r="S28" s="64">
        <f t="shared" si="7"/>
        <v>97</v>
      </c>
      <c r="T28" s="64">
        <f t="shared" si="7"/>
        <v>97</v>
      </c>
      <c r="U28" s="64">
        <f t="shared" si="7"/>
        <v>100</v>
      </c>
      <c r="V28" s="64">
        <f t="shared" si="7"/>
        <v>91</v>
      </c>
      <c r="W28" s="64">
        <f t="shared" si="7"/>
        <v>95</v>
      </c>
      <c r="X28" s="64">
        <f t="shared" si="7"/>
        <v>92</v>
      </c>
      <c r="Y28" s="64">
        <f t="shared" si="7"/>
        <v>105</v>
      </c>
      <c r="Z28" s="64">
        <f t="shared" si="7"/>
        <v>80</v>
      </c>
      <c r="AA28" s="64">
        <f t="shared" si="7"/>
        <v>82</v>
      </c>
      <c r="AB28" s="13">
        <f t="shared" si="3"/>
        <v>2269</v>
      </c>
    </row>
    <row r="29" ht="12.75" customHeight="1">
      <c r="A29" s="35"/>
      <c r="B29" s="27"/>
      <c r="C29" s="34"/>
      <c r="D29" s="13" t="s">
        <v>13</v>
      </c>
      <c r="E29" s="64">
        <f t="shared" ref="E29:AA29" si="8">SUM(E20,E23,E26)</f>
        <v>104</v>
      </c>
      <c r="F29" s="64">
        <f t="shared" si="8"/>
        <v>97</v>
      </c>
      <c r="G29" s="64">
        <f t="shared" si="8"/>
        <v>108</v>
      </c>
      <c r="H29" s="64">
        <f t="shared" si="8"/>
        <v>106</v>
      </c>
      <c r="I29" s="64">
        <f t="shared" si="8"/>
        <v>125</v>
      </c>
      <c r="J29" s="64">
        <f t="shared" si="8"/>
        <v>118</v>
      </c>
      <c r="K29" s="64">
        <f t="shared" si="8"/>
        <v>124</v>
      </c>
      <c r="L29" s="64">
        <f t="shared" si="8"/>
        <v>119</v>
      </c>
      <c r="M29" s="64">
        <f t="shared" si="8"/>
        <v>119</v>
      </c>
      <c r="N29" s="64">
        <f t="shared" si="8"/>
        <v>119</v>
      </c>
      <c r="O29" s="64">
        <f t="shared" si="8"/>
        <v>102</v>
      </c>
      <c r="P29" s="64">
        <f t="shared" si="8"/>
        <v>96</v>
      </c>
      <c r="Q29" s="64">
        <f t="shared" si="8"/>
        <v>134</v>
      </c>
      <c r="R29" s="64">
        <f t="shared" si="8"/>
        <v>122</v>
      </c>
      <c r="S29" s="64">
        <f t="shared" si="8"/>
        <v>90</v>
      </c>
      <c r="T29" s="64">
        <f t="shared" si="8"/>
        <v>99</v>
      </c>
      <c r="U29" s="64">
        <f t="shared" si="8"/>
        <v>112</v>
      </c>
      <c r="V29" s="64">
        <f t="shared" si="8"/>
        <v>97</v>
      </c>
      <c r="W29" s="64">
        <f t="shared" si="8"/>
        <v>95</v>
      </c>
      <c r="X29" s="64">
        <f t="shared" si="8"/>
        <v>95</v>
      </c>
      <c r="Y29" s="64">
        <f t="shared" si="8"/>
        <v>100</v>
      </c>
      <c r="Z29" s="64">
        <f t="shared" si="8"/>
        <v>97</v>
      </c>
      <c r="AA29" s="64">
        <f t="shared" si="8"/>
        <v>89</v>
      </c>
      <c r="AB29" s="13">
        <f t="shared" si="3"/>
        <v>2467</v>
      </c>
    </row>
    <row r="30" ht="12.75" customHeight="1">
      <c r="A30" s="35"/>
      <c r="B30" s="28"/>
      <c r="C30" s="36"/>
      <c r="D30" s="13" t="s">
        <v>14</v>
      </c>
      <c r="E30" s="66">
        <f t="shared" ref="E30:AA30" si="9">SUM(E28:E29)</f>
        <v>207</v>
      </c>
      <c r="F30" s="66">
        <f t="shared" si="9"/>
        <v>186</v>
      </c>
      <c r="G30" s="66">
        <f t="shared" si="9"/>
        <v>198</v>
      </c>
      <c r="H30" s="66">
        <f t="shared" si="9"/>
        <v>197</v>
      </c>
      <c r="I30" s="66">
        <f t="shared" si="9"/>
        <v>222</v>
      </c>
      <c r="J30" s="66">
        <f t="shared" si="9"/>
        <v>228</v>
      </c>
      <c r="K30" s="66">
        <f t="shared" si="9"/>
        <v>235</v>
      </c>
      <c r="L30" s="66">
        <f t="shared" si="9"/>
        <v>229</v>
      </c>
      <c r="M30" s="66">
        <f t="shared" si="9"/>
        <v>231</v>
      </c>
      <c r="N30" s="66">
        <f t="shared" si="9"/>
        <v>231</v>
      </c>
      <c r="O30" s="66">
        <f t="shared" si="9"/>
        <v>192</v>
      </c>
      <c r="P30" s="66">
        <f t="shared" si="9"/>
        <v>184</v>
      </c>
      <c r="Q30" s="66">
        <f t="shared" si="9"/>
        <v>249</v>
      </c>
      <c r="R30" s="66">
        <f t="shared" si="9"/>
        <v>234</v>
      </c>
      <c r="S30" s="66">
        <f t="shared" si="9"/>
        <v>187</v>
      </c>
      <c r="T30" s="66">
        <f t="shared" si="9"/>
        <v>196</v>
      </c>
      <c r="U30" s="66">
        <f t="shared" si="9"/>
        <v>212</v>
      </c>
      <c r="V30" s="66">
        <f t="shared" si="9"/>
        <v>188</v>
      </c>
      <c r="W30" s="66">
        <f t="shared" si="9"/>
        <v>190</v>
      </c>
      <c r="X30" s="66">
        <f t="shared" si="9"/>
        <v>187</v>
      </c>
      <c r="Y30" s="66">
        <f t="shared" si="9"/>
        <v>205</v>
      </c>
      <c r="Z30" s="66">
        <f t="shared" si="9"/>
        <v>177</v>
      </c>
      <c r="AA30" s="66">
        <f t="shared" si="9"/>
        <v>171</v>
      </c>
      <c r="AB30" s="13">
        <f t="shared" si="3"/>
        <v>4736</v>
      </c>
    </row>
    <row r="31" ht="12.75" customHeight="1">
      <c r="A31" s="24"/>
      <c r="B31" s="15"/>
      <c r="C31" s="15"/>
      <c r="D31" s="1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59"/>
    </row>
    <row r="32" ht="12.75" customHeight="1">
      <c r="A32" s="41" t="s">
        <v>25</v>
      </c>
      <c r="B32" s="14" t="s">
        <v>26</v>
      </c>
      <c r="C32" s="15"/>
      <c r="D32" s="1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59"/>
    </row>
    <row r="33" ht="12.75" customHeight="1">
      <c r="A33" s="19">
        <v>1.0</v>
      </c>
      <c r="B33" s="20" t="s">
        <v>27</v>
      </c>
      <c r="C33" s="15"/>
      <c r="D33" s="16"/>
      <c r="E33" s="63">
        <v>275.0</v>
      </c>
      <c r="F33" s="63">
        <v>258.0</v>
      </c>
      <c r="G33" s="63">
        <v>276.0</v>
      </c>
      <c r="H33" s="63">
        <v>269.0</v>
      </c>
      <c r="I33" s="63">
        <v>276.0</v>
      </c>
      <c r="J33" s="63">
        <v>294.0</v>
      </c>
      <c r="K33" s="63">
        <v>299.0</v>
      </c>
      <c r="L33" s="63">
        <v>303.0</v>
      </c>
      <c r="M33" s="63">
        <v>294.0</v>
      </c>
      <c r="N33" s="63">
        <v>291.0</v>
      </c>
      <c r="O33" s="63">
        <v>269.0</v>
      </c>
      <c r="P33" s="63">
        <v>236.0</v>
      </c>
      <c r="Q33" s="63">
        <v>299.0</v>
      </c>
      <c r="R33" s="63">
        <v>297.0</v>
      </c>
      <c r="S33" s="63">
        <v>227.0</v>
      </c>
      <c r="T33" s="63">
        <v>235.0</v>
      </c>
      <c r="U33" s="63">
        <v>259.0</v>
      </c>
      <c r="V33" s="63">
        <v>245.0</v>
      </c>
      <c r="W33" s="63">
        <v>243.0</v>
      </c>
      <c r="X33" s="63">
        <v>261.0</v>
      </c>
      <c r="Y33" s="63">
        <v>255.0</v>
      </c>
      <c r="Z33" s="63">
        <v>240.0</v>
      </c>
      <c r="AA33" s="63">
        <v>250.0</v>
      </c>
      <c r="AB33" s="13">
        <f t="shared" ref="AB33:AB36" si="10">SUM(E33:AA33)</f>
        <v>6151</v>
      </c>
    </row>
    <row r="34" ht="12.75" customHeight="1">
      <c r="A34" s="19">
        <v>2.0</v>
      </c>
      <c r="B34" s="20" t="s">
        <v>28</v>
      </c>
      <c r="C34" s="15"/>
      <c r="D34" s="16"/>
      <c r="E34" s="67">
        <v>207.0</v>
      </c>
      <c r="F34" s="67">
        <v>186.0</v>
      </c>
      <c r="G34" s="67">
        <v>198.0</v>
      </c>
      <c r="H34" s="67">
        <v>197.0</v>
      </c>
      <c r="I34" s="67">
        <v>222.0</v>
      </c>
      <c r="J34" s="67">
        <v>228.0</v>
      </c>
      <c r="K34" s="67">
        <v>235.0</v>
      </c>
      <c r="L34" s="67">
        <v>229.0</v>
      </c>
      <c r="M34" s="67">
        <v>231.0</v>
      </c>
      <c r="N34" s="67">
        <v>231.0</v>
      </c>
      <c r="O34" s="67">
        <v>192.0</v>
      </c>
      <c r="P34" s="67">
        <v>184.0</v>
      </c>
      <c r="Q34" s="67">
        <v>249.0</v>
      </c>
      <c r="R34" s="67">
        <v>234.0</v>
      </c>
      <c r="S34" s="67">
        <v>187.0</v>
      </c>
      <c r="T34" s="67">
        <v>196.0</v>
      </c>
      <c r="U34" s="67">
        <v>212.0</v>
      </c>
      <c r="V34" s="67">
        <v>188.0</v>
      </c>
      <c r="W34" s="67">
        <v>190.0</v>
      </c>
      <c r="X34" s="67">
        <v>187.0</v>
      </c>
      <c r="Y34" s="67">
        <v>205.0</v>
      </c>
      <c r="Z34" s="67">
        <v>177.0</v>
      </c>
      <c r="AA34" s="67">
        <v>171.0</v>
      </c>
      <c r="AB34" s="13">
        <f t="shared" si="10"/>
        <v>4736</v>
      </c>
    </row>
    <row r="35" ht="12.75" customHeight="1">
      <c r="A35" s="19">
        <v>3.0</v>
      </c>
      <c r="B35" s="20" t="s">
        <v>29</v>
      </c>
      <c r="C35" s="15"/>
      <c r="D35" s="16"/>
      <c r="E35" s="63">
        <v>0.0</v>
      </c>
      <c r="F35" s="63">
        <v>0.0</v>
      </c>
      <c r="G35" s="63">
        <v>0.0</v>
      </c>
      <c r="H35" s="63">
        <v>0.0</v>
      </c>
      <c r="I35" s="63">
        <v>1.0</v>
      </c>
      <c r="J35" s="63">
        <v>0.0</v>
      </c>
      <c r="K35" s="63">
        <v>0.0</v>
      </c>
      <c r="L35" s="63">
        <v>3.0</v>
      </c>
      <c r="M35" s="63">
        <v>1.0</v>
      </c>
      <c r="N35" s="63">
        <v>0.0</v>
      </c>
      <c r="O35" s="63">
        <v>0.0</v>
      </c>
      <c r="P35" s="63">
        <v>0.0</v>
      </c>
      <c r="Q35" s="63">
        <v>0.0</v>
      </c>
      <c r="R35" s="63">
        <v>0.0</v>
      </c>
      <c r="S35" s="63">
        <v>0.0</v>
      </c>
      <c r="T35" s="63">
        <v>0.0</v>
      </c>
      <c r="U35" s="63">
        <v>1.0</v>
      </c>
      <c r="V35" s="63">
        <v>0.0</v>
      </c>
      <c r="W35" s="63">
        <v>0.0</v>
      </c>
      <c r="X35" s="63">
        <v>1.0</v>
      </c>
      <c r="Y35" s="63">
        <v>0.0</v>
      </c>
      <c r="Z35" s="63">
        <v>0.0</v>
      </c>
      <c r="AA35" s="63">
        <v>0.0</v>
      </c>
      <c r="AB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64">
        <f t="shared" ref="E36:AA36" si="11">E33-(E34+E35)</f>
        <v>68</v>
      </c>
      <c r="F36" s="64">
        <f t="shared" si="11"/>
        <v>72</v>
      </c>
      <c r="G36" s="64">
        <f t="shared" si="11"/>
        <v>78</v>
      </c>
      <c r="H36" s="64">
        <f t="shared" si="11"/>
        <v>72</v>
      </c>
      <c r="I36" s="64">
        <f t="shared" si="11"/>
        <v>53</v>
      </c>
      <c r="J36" s="64">
        <f t="shared" si="11"/>
        <v>66</v>
      </c>
      <c r="K36" s="64">
        <f t="shared" si="11"/>
        <v>64</v>
      </c>
      <c r="L36" s="64">
        <f t="shared" si="11"/>
        <v>71</v>
      </c>
      <c r="M36" s="64">
        <f t="shared" si="11"/>
        <v>62</v>
      </c>
      <c r="N36" s="64">
        <f t="shared" si="11"/>
        <v>60</v>
      </c>
      <c r="O36" s="64">
        <f t="shared" si="11"/>
        <v>77</v>
      </c>
      <c r="P36" s="64">
        <f t="shared" si="11"/>
        <v>52</v>
      </c>
      <c r="Q36" s="64">
        <f t="shared" si="11"/>
        <v>50</v>
      </c>
      <c r="R36" s="64">
        <f t="shared" si="11"/>
        <v>63</v>
      </c>
      <c r="S36" s="64">
        <f t="shared" si="11"/>
        <v>40</v>
      </c>
      <c r="T36" s="64">
        <f t="shared" si="11"/>
        <v>39</v>
      </c>
      <c r="U36" s="64">
        <f t="shared" si="11"/>
        <v>46</v>
      </c>
      <c r="V36" s="64">
        <f t="shared" si="11"/>
        <v>57</v>
      </c>
      <c r="W36" s="64">
        <f t="shared" si="11"/>
        <v>53</v>
      </c>
      <c r="X36" s="64">
        <f t="shared" si="11"/>
        <v>73</v>
      </c>
      <c r="Y36" s="64">
        <f t="shared" si="11"/>
        <v>50</v>
      </c>
      <c r="Z36" s="64">
        <f t="shared" si="11"/>
        <v>63</v>
      </c>
      <c r="AA36" s="64">
        <f t="shared" si="11"/>
        <v>79</v>
      </c>
      <c r="AB36" s="13">
        <f t="shared" si="10"/>
        <v>1408</v>
      </c>
    </row>
    <row r="37" ht="12.75" customHeight="1">
      <c r="A37" s="24"/>
      <c r="B37" s="15"/>
      <c r="C37" s="15"/>
      <c r="D37" s="15"/>
      <c r="E37" s="68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65"/>
      <c r="U37" s="65"/>
      <c r="V37" s="65"/>
      <c r="W37" s="65"/>
      <c r="X37" s="65"/>
      <c r="Y37" s="65"/>
      <c r="Z37" s="65"/>
      <c r="AA37" s="65"/>
      <c r="AB37" s="59"/>
    </row>
    <row r="38" ht="12.75" customHeight="1">
      <c r="A38" s="42" t="s">
        <v>31</v>
      </c>
      <c r="B38" s="14" t="s">
        <v>32</v>
      </c>
      <c r="C38" s="15"/>
      <c r="D38" s="1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59"/>
    </row>
    <row r="39" ht="12.75" customHeight="1">
      <c r="A39" s="30"/>
      <c r="B39" s="43" t="s">
        <v>33</v>
      </c>
      <c r="C39" s="23"/>
      <c r="D39" s="19" t="s">
        <v>12</v>
      </c>
      <c r="E39" s="63">
        <v>0.0</v>
      </c>
      <c r="F39" s="63">
        <v>0.0</v>
      </c>
      <c r="G39" s="63">
        <v>0.0</v>
      </c>
      <c r="H39" s="63">
        <v>0.0</v>
      </c>
      <c r="I39" s="63">
        <v>0.0</v>
      </c>
      <c r="J39" s="63">
        <v>0.0</v>
      </c>
      <c r="K39" s="63">
        <v>0.0</v>
      </c>
      <c r="L39" s="63">
        <v>0.0</v>
      </c>
      <c r="M39" s="63">
        <v>0.0</v>
      </c>
      <c r="N39" s="63">
        <v>0.0</v>
      </c>
      <c r="O39" s="63">
        <v>0.0</v>
      </c>
      <c r="P39" s="63">
        <v>0.0</v>
      </c>
      <c r="Q39" s="63">
        <v>0.0</v>
      </c>
      <c r="R39" s="63">
        <v>0.0</v>
      </c>
      <c r="S39" s="63">
        <v>0.0</v>
      </c>
      <c r="T39" s="63">
        <v>0.0</v>
      </c>
      <c r="U39" s="63">
        <v>0.0</v>
      </c>
      <c r="V39" s="63">
        <v>0.0</v>
      </c>
      <c r="W39" s="63">
        <v>0.0</v>
      </c>
      <c r="X39" s="63">
        <v>0.0</v>
      </c>
      <c r="Y39" s="63">
        <v>1.0</v>
      </c>
      <c r="Z39" s="63">
        <v>1.0</v>
      </c>
      <c r="AA39" s="63">
        <v>0.0</v>
      </c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63">
        <v>0.0</v>
      </c>
      <c r="F40" s="63">
        <v>0.0</v>
      </c>
      <c r="G40" s="63">
        <v>0.0</v>
      </c>
      <c r="H40" s="63">
        <v>1.0</v>
      </c>
      <c r="I40" s="63">
        <v>0.0</v>
      </c>
      <c r="J40" s="63">
        <v>0.0</v>
      </c>
      <c r="K40" s="63">
        <v>0.0</v>
      </c>
      <c r="L40" s="63">
        <v>0.0</v>
      </c>
      <c r="M40" s="63">
        <v>0.0</v>
      </c>
      <c r="N40" s="63">
        <v>0.0</v>
      </c>
      <c r="O40" s="63">
        <v>0.0</v>
      </c>
      <c r="P40" s="63">
        <v>0.0</v>
      </c>
      <c r="Q40" s="63">
        <v>0.0</v>
      </c>
      <c r="R40" s="63">
        <v>0.0</v>
      </c>
      <c r="S40" s="63">
        <v>0.0</v>
      </c>
      <c r="T40" s="63">
        <v>0.0</v>
      </c>
      <c r="U40" s="63">
        <v>0.0</v>
      </c>
      <c r="V40" s="63">
        <v>0.0</v>
      </c>
      <c r="W40" s="63">
        <v>0.0</v>
      </c>
      <c r="X40" s="63">
        <v>0.0</v>
      </c>
      <c r="Y40" s="63">
        <v>1.0</v>
      </c>
      <c r="Z40" s="63">
        <v>2.0</v>
      </c>
      <c r="AA40" s="63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3</v>
      </c>
      <c r="AA41" s="13">
        <f t="shared" si="13"/>
        <v>0</v>
      </c>
      <c r="AB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13"/>
    </row>
    <row r="45" ht="12.75" customHeight="1">
      <c r="A45" s="30"/>
      <c r="B45" s="47" t="s">
        <v>17</v>
      </c>
      <c r="C45" s="62" t="s">
        <v>38</v>
      </c>
      <c r="D45" s="16"/>
      <c r="E45" s="19">
        <v>11.0</v>
      </c>
      <c r="F45" s="19">
        <v>17.0</v>
      </c>
      <c r="G45" s="19">
        <v>15.0</v>
      </c>
      <c r="H45" s="19">
        <v>8.0</v>
      </c>
      <c r="I45" s="19">
        <v>13.0</v>
      </c>
      <c r="J45" s="19">
        <v>30.0</v>
      </c>
      <c r="K45" s="19">
        <v>27.0</v>
      </c>
      <c r="L45" s="19">
        <v>10.0</v>
      </c>
      <c r="M45" s="19">
        <v>20.0</v>
      </c>
      <c r="N45" s="19">
        <v>17.0</v>
      </c>
      <c r="O45" s="19">
        <v>9.0</v>
      </c>
      <c r="P45" s="19">
        <v>6.0</v>
      </c>
      <c r="Q45" s="19">
        <v>12.0</v>
      </c>
      <c r="R45" s="19">
        <v>14.0</v>
      </c>
      <c r="S45" s="19">
        <v>14.0</v>
      </c>
      <c r="T45" s="19">
        <v>6.0</v>
      </c>
      <c r="U45" s="19">
        <v>12.0</v>
      </c>
      <c r="V45" s="19">
        <v>18.0</v>
      </c>
      <c r="W45" s="19">
        <v>13.0</v>
      </c>
      <c r="X45" s="19">
        <v>8.0</v>
      </c>
      <c r="Y45" s="19">
        <v>13.0</v>
      </c>
      <c r="Z45" s="19">
        <v>20.0</v>
      </c>
      <c r="AA45" s="19">
        <v>6.0</v>
      </c>
      <c r="AB45" s="13">
        <f t="shared" ref="AB45:AB57" si="14">SUM(E45:AA45)</f>
        <v>319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24.0</v>
      </c>
      <c r="F46" s="19">
        <v>29.0</v>
      </c>
      <c r="G46" s="19">
        <v>19.0</v>
      </c>
      <c r="H46" s="19">
        <v>26.0</v>
      </c>
      <c r="I46" s="19">
        <v>31.0</v>
      </c>
      <c r="J46" s="19">
        <v>24.0</v>
      </c>
      <c r="K46" s="19">
        <v>36.0</v>
      </c>
      <c r="L46" s="19">
        <v>26.0</v>
      </c>
      <c r="M46" s="19">
        <v>24.0</v>
      </c>
      <c r="N46" s="19">
        <v>19.0</v>
      </c>
      <c r="O46" s="19">
        <v>21.0</v>
      </c>
      <c r="P46" s="19">
        <v>22.0</v>
      </c>
      <c r="Q46" s="19">
        <v>31.0</v>
      </c>
      <c r="R46" s="19">
        <v>22.0</v>
      </c>
      <c r="S46" s="19">
        <v>16.0</v>
      </c>
      <c r="T46" s="19">
        <v>20.0</v>
      </c>
      <c r="U46" s="19">
        <v>25.0</v>
      </c>
      <c r="V46" s="19">
        <v>29.0</v>
      </c>
      <c r="W46" s="19">
        <v>34.0</v>
      </c>
      <c r="X46" s="19">
        <v>35.0</v>
      </c>
      <c r="Y46" s="19">
        <v>30.0</v>
      </c>
      <c r="Z46" s="19">
        <v>23.0</v>
      </c>
      <c r="AA46" s="19">
        <v>20.0</v>
      </c>
      <c r="AB46" s="13">
        <f t="shared" si="14"/>
        <v>586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19.0</v>
      </c>
      <c r="F47" s="19">
        <v>8.0</v>
      </c>
      <c r="G47" s="19">
        <v>10.0</v>
      </c>
      <c r="H47" s="19">
        <v>10.0</v>
      </c>
      <c r="I47" s="19">
        <v>11.0</v>
      </c>
      <c r="J47" s="19">
        <v>11.0</v>
      </c>
      <c r="K47" s="19">
        <v>14.0</v>
      </c>
      <c r="L47" s="19">
        <v>21.0</v>
      </c>
      <c r="M47" s="19">
        <v>18.0</v>
      </c>
      <c r="N47" s="19">
        <v>12.0</v>
      </c>
      <c r="O47" s="19">
        <v>16.0</v>
      </c>
      <c r="P47" s="19">
        <v>13.0</v>
      </c>
      <c r="Q47" s="19">
        <v>21.0</v>
      </c>
      <c r="R47" s="19">
        <v>19.0</v>
      </c>
      <c r="S47" s="19">
        <v>12.0</v>
      </c>
      <c r="T47" s="19">
        <v>13.0</v>
      </c>
      <c r="U47" s="19">
        <v>9.0</v>
      </c>
      <c r="V47" s="19">
        <v>14.0</v>
      </c>
      <c r="W47" s="19">
        <v>14.0</v>
      </c>
      <c r="X47" s="19">
        <v>14.0</v>
      </c>
      <c r="Y47" s="19">
        <v>9.0</v>
      </c>
      <c r="Z47" s="19">
        <v>10.0</v>
      </c>
      <c r="AA47" s="19">
        <v>11.0</v>
      </c>
      <c r="AB47" s="13">
        <f t="shared" si="14"/>
        <v>309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14.0</v>
      </c>
      <c r="F48" s="19">
        <v>21.0</v>
      </c>
      <c r="G48" s="19">
        <v>17.0</v>
      </c>
      <c r="H48" s="19">
        <v>25.0</v>
      </c>
      <c r="I48" s="19">
        <v>24.0</v>
      </c>
      <c r="J48" s="19">
        <v>20.0</v>
      </c>
      <c r="K48" s="19">
        <v>17.0</v>
      </c>
      <c r="L48" s="19">
        <v>20.0</v>
      </c>
      <c r="M48" s="19">
        <v>33.0</v>
      </c>
      <c r="N48" s="19">
        <v>20.0</v>
      </c>
      <c r="O48" s="19">
        <v>19.0</v>
      </c>
      <c r="P48" s="19">
        <v>17.0</v>
      </c>
      <c r="Q48" s="19">
        <v>22.0</v>
      </c>
      <c r="R48" s="19">
        <v>27.0</v>
      </c>
      <c r="S48" s="19">
        <v>24.0</v>
      </c>
      <c r="T48" s="19">
        <v>21.0</v>
      </c>
      <c r="U48" s="19">
        <v>28.0</v>
      </c>
      <c r="V48" s="19">
        <v>20.0</v>
      </c>
      <c r="W48" s="19">
        <v>18.0</v>
      </c>
      <c r="X48" s="19">
        <v>23.0</v>
      </c>
      <c r="Y48" s="19">
        <v>20.0</v>
      </c>
      <c r="Z48" s="19">
        <v>17.0</v>
      </c>
      <c r="AA48" s="19">
        <v>22.0</v>
      </c>
      <c r="AB48" s="13">
        <f t="shared" si="14"/>
        <v>489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22.0</v>
      </c>
      <c r="F49" s="19">
        <v>16.0</v>
      </c>
      <c r="G49" s="19">
        <v>26.0</v>
      </c>
      <c r="H49" s="19">
        <v>17.0</v>
      </c>
      <c r="I49" s="19">
        <v>14.0</v>
      </c>
      <c r="J49" s="19">
        <v>30.0</v>
      </c>
      <c r="K49" s="19">
        <v>31.0</v>
      </c>
      <c r="L49" s="19">
        <v>21.0</v>
      </c>
      <c r="M49" s="19">
        <v>13.0</v>
      </c>
      <c r="N49" s="19">
        <v>14.0</v>
      </c>
      <c r="O49" s="19">
        <v>13.0</v>
      </c>
      <c r="P49" s="19">
        <v>21.0</v>
      </c>
      <c r="Q49" s="19">
        <v>23.0</v>
      </c>
      <c r="R49" s="19">
        <v>16.0</v>
      </c>
      <c r="S49" s="19">
        <v>7.0</v>
      </c>
      <c r="T49" s="19">
        <v>9.0</v>
      </c>
      <c r="U49" s="19">
        <v>13.0</v>
      </c>
      <c r="V49" s="19">
        <v>8.0</v>
      </c>
      <c r="W49" s="19">
        <v>15.0</v>
      </c>
      <c r="X49" s="19">
        <v>15.0</v>
      </c>
      <c r="Y49" s="19">
        <v>14.0</v>
      </c>
      <c r="Z49" s="19">
        <v>9.0</v>
      </c>
      <c r="AA49" s="19">
        <v>15.0</v>
      </c>
      <c r="AB49" s="13">
        <f t="shared" si="14"/>
        <v>382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21.0</v>
      </c>
      <c r="F50" s="19">
        <v>11.0</v>
      </c>
      <c r="G50" s="19">
        <v>18.0</v>
      </c>
      <c r="H50" s="19">
        <v>7.0</v>
      </c>
      <c r="I50" s="19">
        <v>19.0</v>
      </c>
      <c r="J50" s="19">
        <v>13.0</v>
      </c>
      <c r="K50" s="19">
        <v>12.0</v>
      </c>
      <c r="L50" s="19">
        <v>12.0</v>
      </c>
      <c r="M50" s="19">
        <v>19.0</v>
      </c>
      <c r="N50" s="19">
        <v>23.0</v>
      </c>
      <c r="O50" s="19">
        <v>6.0</v>
      </c>
      <c r="P50" s="19">
        <v>8.0</v>
      </c>
      <c r="Q50" s="19">
        <v>11.0</v>
      </c>
      <c r="R50" s="19">
        <v>18.0</v>
      </c>
      <c r="S50" s="19">
        <v>6.0</v>
      </c>
      <c r="T50" s="19">
        <v>13.0</v>
      </c>
      <c r="U50" s="19">
        <v>16.0</v>
      </c>
      <c r="V50" s="19">
        <v>17.0</v>
      </c>
      <c r="W50" s="19">
        <v>9.0</v>
      </c>
      <c r="X50" s="19">
        <v>13.0</v>
      </c>
      <c r="Y50" s="19">
        <v>9.0</v>
      </c>
      <c r="Z50" s="19">
        <v>4.0</v>
      </c>
      <c r="AA50" s="19">
        <v>11.0</v>
      </c>
      <c r="AB50" s="13">
        <f t="shared" si="14"/>
        <v>296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3.0</v>
      </c>
      <c r="F51" s="19">
        <v>0.0</v>
      </c>
      <c r="G51" s="19">
        <v>2.0</v>
      </c>
      <c r="H51" s="19">
        <v>2.0</v>
      </c>
      <c r="I51" s="19">
        <v>1.0</v>
      </c>
      <c r="J51" s="19">
        <v>2.0</v>
      </c>
      <c r="K51" s="19">
        <v>3.0</v>
      </c>
      <c r="L51" s="19">
        <v>7.0</v>
      </c>
      <c r="M51" s="19">
        <v>2.0</v>
      </c>
      <c r="N51" s="19">
        <v>2.0</v>
      </c>
      <c r="O51" s="19">
        <v>3.0</v>
      </c>
      <c r="P51" s="19">
        <v>7.0</v>
      </c>
      <c r="Q51" s="19">
        <v>6.0</v>
      </c>
      <c r="R51" s="19">
        <v>2.0</v>
      </c>
      <c r="S51" s="19">
        <v>3.0</v>
      </c>
      <c r="T51" s="19">
        <v>0.0</v>
      </c>
      <c r="U51" s="19">
        <v>3.0</v>
      </c>
      <c r="V51" s="19">
        <v>3.0</v>
      </c>
      <c r="W51" s="19">
        <v>3.0</v>
      </c>
      <c r="X51" s="19">
        <v>1.0</v>
      </c>
      <c r="Y51" s="19">
        <v>4.0</v>
      </c>
      <c r="Z51" s="19">
        <v>3.0</v>
      </c>
      <c r="AA51" s="19">
        <v>5.0</v>
      </c>
      <c r="AB51" s="13">
        <f t="shared" si="14"/>
        <v>67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3.0</v>
      </c>
      <c r="F52" s="19">
        <v>1.0</v>
      </c>
      <c r="G52" s="19">
        <v>2.0</v>
      </c>
      <c r="H52" s="19">
        <v>3.0</v>
      </c>
      <c r="I52" s="19">
        <v>7.0</v>
      </c>
      <c r="J52" s="19">
        <v>2.0</v>
      </c>
      <c r="K52" s="19">
        <v>2.0</v>
      </c>
      <c r="L52" s="19">
        <v>2.0</v>
      </c>
      <c r="M52" s="19">
        <v>5.0</v>
      </c>
      <c r="N52" s="19">
        <v>2.0</v>
      </c>
      <c r="O52" s="19">
        <v>3.0</v>
      </c>
      <c r="P52" s="19">
        <v>6.0</v>
      </c>
      <c r="Q52" s="19">
        <v>4.0</v>
      </c>
      <c r="R52" s="19">
        <v>8.0</v>
      </c>
      <c r="S52" s="19">
        <v>5.0</v>
      </c>
      <c r="T52" s="19">
        <v>5.0</v>
      </c>
      <c r="U52" s="19">
        <v>2.0</v>
      </c>
      <c r="V52" s="19">
        <v>4.0</v>
      </c>
      <c r="W52" s="19">
        <v>3.0</v>
      </c>
      <c r="X52" s="19">
        <v>2.0</v>
      </c>
      <c r="Y52" s="19">
        <v>5.0</v>
      </c>
      <c r="Z52" s="19">
        <v>3.0</v>
      </c>
      <c r="AA52" s="19">
        <v>2.0</v>
      </c>
      <c r="AB52" s="13">
        <f t="shared" si="14"/>
        <v>81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0.0</v>
      </c>
      <c r="K53" s="19">
        <v>0.0</v>
      </c>
      <c r="L53" s="19">
        <v>2.0</v>
      </c>
      <c r="M53" s="19">
        <v>2.0</v>
      </c>
      <c r="N53" s="19">
        <v>1.0</v>
      </c>
      <c r="O53" s="19">
        <v>0.0</v>
      </c>
      <c r="P53" s="19">
        <v>0.0</v>
      </c>
      <c r="Q53" s="19">
        <v>1.0</v>
      </c>
      <c r="R53" s="19">
        <v>0.0</v>
      </c>
      <c r="S53" s="19">
        <v>1.0</v>
      </c>
      <c r="T53" s="19">
        <v>0.0</v>
      </c>
      <c r="U53" s="19">
        <v>0.0</v>
      </c>
      <c r="V53" s="19">
        <v>0.0</v>
      </c>
      <c r="W53" s="19">
        <v>1.0</v>
      </c>
      <c r="X53" s="19">
        <v>0.0</v>
      </c>
      <c r="Y53" s="19">
        <v>3.0</v>
      </c>
      <c r="Z53" s="19">
        <v>0.0</v>
      </c>
      <c r="AA53" s="19">
        <v>0.0</v>
      </c>
      <c r="AB53" s="13">
        <f t="shared" si="14"/>
        <v>12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25.0</v>
      </c>
      <c r="F54" s="19">
        <v>17.0</v>
      </c>
      <c r="G54" s="19">
        <v>22.0</v>
      </c>
      <c r="H54" s="19">
        <v>18.0</v>
      </c>
      <c r="I54" s="19">
        <v>27.0</v>
      </c>
      <c r="J54" s="19">
        <v>33.0</v>
      </c>
      <c r="K54" s="19">
        <v>37.0</v>
      </c>
      <c r="L54" s="19">
        <v>38.0</v>
      </c>
      <c r="M54" s="19">
        <v>31.0</v>
      </c>
      <c r="N54" s="19">
        <v>34.0</v>
      </c>
      <c r="O54" s="19">
        <v>39.0</v>
      </c>
      <c r="P54" s="19">
        <v>19.0</v>
      </c>
      <c r="Q54" s="19">
        <v>32.0</v>
      </c>
      <c r="R54" s="19">
        <v>25.0</v>
      </c>
      <c r="S54" s="19">
        <v>38.0</v>
      </c>
      <c r="T54" s="19">
        <v>25.0</v>
      </c>
      <c r="U54" s="19">
        <v>31.0</v>
      </c>
      <c r="V54" s="19">
        <v>21.0</v>
      </c>
      <c r="W54" s="19">
        <v>26.0</v>
      </c>
      <c r="X54" s="19">
        <v>26.0</v>
      </c>
      <c r="Y54" s="19">
        <v>28.0</v>
      </c>
      <c r="Z54" s="19">
        <v>23.0</v>
      </c>
      <c r="AA54" s="19">
        <v>21.0</v>
      </c>
      <c r="AB54" s="13">
        <f t="shared" si="14"/>
        <v>636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1.0</v>
      </c>
      <c r="G55" s="19">
        <v>0.0</v>
      </c>
      <c r="H55" s="19">
        <v>1.0</v>
      </c>
      <c r="I55" s="19">
        <v>0.0</v>
      </c>
      <c r="J55" s="19">
        <v>1.0</v>
      </c>
      <c r="K55" s="19">
        <v>1.0</v>
      </c>
      <c r="L55" s="19">
        <v>1.0</v>
      </c>
      <c r="M55" s="19">
        <v>0.0</v>
      </c>
      <c r="N55" s="19">
        <v>1.0</v>
      </c>
      <c r="O55" s="19">
        <v>2.0</v>
      </c>
      <c r="P55" s="19">
        <v>2.0</v>
      </c>
      <c r="Q55" s="19">
        <v>3.0</v>
      </c>
      <c r="R55" s="19">
        <v>3.0</v>
      </c>
      <c r="S55" s="19">
        <v>1.0</v>
      </c>
      <c r="T55" s="19">
        <v>1.0</v>
      </c>
      <c r="U55" s="19">
        <v>0.0</v>
      </c>
      <c r="V55" s="19">
        <v>0.0</v>
      </c>
      <c r="W55" s="19">
        <v>0.0</v>
      </c>
      <c r="X55" s="19">
        <v>1.0</v>
      </c>
      <c r="Y55" s="19">
        <v>0.0</v>
      </c>
      <c r="Z55" s="19">
        <v>1.0</v>
      </c>
      <c r="AA55" s="19">
        <v>0.0</v>
      </c>
      <c r="AB55" s="13">
        <f t="shared" si="14"/>
        <v>21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27.0</v>
      </c>
      <c r="F56" s="19">
        <v>19.0</v>
      </c>
      <c r="G56" s="19">
        <v>12.0</v>
      </c>
      <c r="H56" s="19">
        <v>17.0</v>
      </c>
      <c r="I56" s="19">
        <v>28.0</v>
      </c>
      <c r="J56" s="19">
        <v>23.0</v>
      </c>
      <c r="K56" s="19">
        <v>27.0</v>
      </c>
      <c r="L56" s="19">
        <v>42.0</v>
      </c>
      <c r="M56" s="19">
        <v>33.0</v>
      </c>
      <c r="N56" s="19">
        <v>36.0</v>
      </c>
      <c r="O56" s="19">
        <v>33.0</v>
      </c>
      <c r="P56" s="19">
        <v>35.0</v>
      </c>
      <c r="Q56" s="19">
        <v>39.0</v>
      </c>
      <c r="R56" s="19">
        <v>36.0</v>
      </c>
      <c r="S56" s="19">
        <v>32.0</v>
      </c>
      <c r="T56" s="19">
        <v>37.0</v>
      </c>
      <c r="U56" s="19">
        <v>32.0</v>
      </c>
      <c r="V56" s="19">
        <v>26.0</v>
      </c>
      <c r="W56" s="19">
        <v>30.0</v>
      </c>
      <c r="X56" s="19">
        <v>26.0</v>
      </c>
      <c r="Y56" s="19">
        <v>33.0</v>
      </c>
      <c r="Z56" s="19">
        <v>29.0</v>
      </c>
      <c r="AA56" s="19">
        <v>28.0</v>
      </c>
      <c r="AB56" s="13">
        <f t="shared" si="14"/>
        <v>680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2.0</v>
      </c>
      <c r="G57" s="19">
        <v>1.0</v>
      </c>
      <c r="H57" s="19">
        <v>3.0</v>
      </c>
      <c r="I57" s="19">
        <v>4.0</v>
      </c>
      <c r="J57" s="19">
        <v>3.0</v>
      </c>
      <c r="K57" s="19">
        <v>1.0</v>
      </c>
      <c r="L57" s="19">
        <v>2.0</v>
      </c>
      <c r="M57" s="19">
        <v>4.0</v>
      </c>
      <c r="N57" s="19">
        <v>4.0</v>
      </c>
      <c r="O57" s="19">
        <v>3.0</v>
      </c>
      <c r="P57" s="19">
        <v>2.0</v>
      </c>
      <c r="Q57" s="19">
        <v>5.0</v>
      </c>
      <c r="R57" s="19">
        <v>2.0</v>
      </c>
      <c r="S57" s="19">
        <v>3.0</v>
      </c>
      <c r="T57" s="19">
        <v>1.0</v>
      </c>
      <c r="U57" s="19">
        <v>1.0</v>
      </c>
      <c r="V57" s="19">
        <v>1.0</v>
      </c>
      <c r="W57" s="19">
        <v>2.0</v>
      </c>
      <c r="X57" s="19">
        <v>2.0</v>
      </c>
      <c r="Y57" s="19">
        <v>2.0</v>
      </c>
      <c r="Z57" s="19">
        <v>4.0</v>
      </c>
      <c r="AA57" s="19">
        <v>6.0</v>
      </c>
      <c r="AB57" s="13">
        <f t="shared" si="14"/>
        <v>59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A60" si="15">SUM(E45:E57)</f>
        <v>171</v>
      </c>
      <c r="F60" s="19">
        <f t="shared" si="15"/>
        <v>142</v>
      </c>
      <c r="G60" s="19">
        <f t="shared" si="15"/>
        <v>144</v>
      </c>
      <c r="H60" s="19">
        <f t="shared" si="15"/>
        <v>138</v>
      </c>
      <c r="I60" s="19">
        <f t="shared" si="15"/>
        <v>179</v>
      </c>
      <c r="J60" s="19">
        <f t="shared" si="15"/>
        <v>192</v>
      </c>
      <c r="K60" s="19">
        <f t="shared" si="15"/>
        <v>208</v>
      </c>
      <c r="L60" s="19">
        <f t="shared" si="15"/>
        <v>204</v>
      </c>
      <c r="M60" s="19">
        <f t="shared" si="15"/>
        <v>204</v>
      </c>
      <c r="N60" s="19">
        <f t="shared" si="15"/>
        <v>185</v>
      </c>
      <c r="O60" s="19">
        <f t="shared" si="15"/>
        <v>167</v>
      </c>
      <c r="P60" s="19">
        <f t="shared" si="15"/>
        <v>158</v>
      </c>
      <c r="Q60" s="19">
        <f t="shared" si="15"/>
        <v>210</v>
      </c>
      <c r="R60" s="19">
        <f t="shared" si="15"/>
        <v>192</v>
      </c>
      <c r="S60" s="19">
        <f t="shared" si="15"/>
        <v>162</v>
      </c>
      <c r="T60" s="19">
        <f t="shared" si="15"/>
        <v>151</v>
      </c>
      <c r="U60" s="19">
        <f t="shared" si="15"/>
        <v>172</v>
      </c>
      <c r="V60" s="19">
        <f t="shared" si="15"/>
        <v>161</v>
      </c>
      <c r="W60" s="19">
        <f t="shared" si="15"/>
        <v>168</v>
      </c>
      <c r="X60" s="19">
        <f t="shared" si="15"/>
        <v>166</v>
      </c>
      <c r="Y60" s="19">
        <f t="shared" si="15"/>
        <v>170</v>
      </c>
      <c r="Z60" s="19">
        <f t="shared" si="15"/>
        <v>146</v>
      </c>
      <c r="AA60" s="19">
        <f t="shared" si="15"/>
        <v>147</v>
      </c>
      <c r="AB60" s="13">
        <f t="shared" ref="AB60:AB62" si="16">SUM(E60:AA60)</f>
        <v>3937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33.0</v>
      </c>
      <c r="F61" s="19">
        <v>44.0</v>
      </c>
      <c r="G61" s="19">
        <v>54.0</v>
      </c>
      <c r="H61" s="19">
        <v>59.0</v>
      </c>
      <c r="I61" s="19">
        <v>43.0</v>
      </c>
      <c r="J61" s="19">
        <v>34.0</v>
      </c>
      <c r="K61" s="19">
        <v>27.0</v>
      </c>
      <c r="L61" s="19">
        <v>25.0</v>
      </c>
      <c r="M61" s="19">
        <v>27.0</v>
      </c>
      <c r="N61" s="19">
        <v>46.0</v>
      </c>
      <c r="O61" s="19">
        <v>25.0</v>
      </c>
      <c r="P61" s="19">
        <v>25.0</v>
      </c>
      <c r="Q61" s="19">
        <v>39.0</v>
      </c>
      <c r="R61" s="19">
        <v>42.0</v>
      </c>
      <c r="S61" s="19">
        <v>25.0</v>
      </c>
      <c r="T61" s="19">
        <v>44.0</v>
      </c>
      <c r="U61" s="19">
        <v>40.0</v>
      </c>
      <c r="V61" s="19">
        <v>27.0</v>
      </c>
      <c r="W61" s="19">
        <v>22.0</v>
      </c>
      <c r="X61" s="19">
        <v>21.0</v>
      </c>
      <c r="Y61" s="19">
        <v>35.0</v>
      </c>
      <c r="Z61" s="19">
        <v>31.0</v>
      </c>
      <c r="AA61" s="19">
        <v>24.0</v>
      </c>
      <c r="AB61" s="13">
        <f t="shared" si="16"/>
        <v>792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A62" si="17">SUM(E60:E61)</f>
        <v>204</v>
      </c>
      <c r="F62" s="13">
        <f t="shared" si="17"/>
        <v>186</v>
      </c>
      <c r="G62" s="13">
        <f t="shared" si="17"/>
        <v>198</v>
      </c>
      <c r="H62" s="13">
        <f t="shared" si="17"/>
        <v>197</v>
      </c>
      <c r="I62" s="13">
        <f t="shared" si="17"/>
        <v>222</v>
      </c>
      <c r="J62" s="13">
        <f t="shared" si="17"/>
        <v>226</v>
      </c>
      <c r="K62" s="13">
        <f t="shared" si="17"/>
        <v>235</v>
      </c>
      <c r="L62" s="13">
        <f t="shared" si="17"/>
        <v>229</v>
      </c>
      <c r="M62" s="13">
        <f t="shared" si="17"/>
        <v>231</v>
      </c>
      <c r="N62" s="13">
        <f t="shared" si="17"/>
        <v>231</v>
      </c>
      <c r="O62" s="13">
        <f t="shared" si="17"/>
        <v>192</v>
      </c>
      <c r="P62" s="13">
        <f t="shared" si="17"/>
        <v>183</v>
      </c>
      <c r="Q62" s="13">
        <f t="shared" si="17"/>
        <v>249</v>
      </c>
      <c r="R62" s="13">
        <f t="shared" si="17"/>
        <v>234</v>
      </c>
      <c r="S62" s="13">
        <f t="shared" si="17"/>
        <v>187</v>
      </c>
      <c r="T62" s="13">
        <f t="shared" si="17"/>
        <v>195</v>
      </c>
      <c r="U62" s="13">
        <f t="shared" si="17"/>
        <v>212</v>
      </c>
      <c r="V62" s="13">
        <f t="shared" si="17"/>
        <v>188</v>
      </c>
      <c r="W62" s="13">
        <f t="shared" si="17"/>
        <v>190</v>
      </c>
      <c r="X62" s="13">
        <f t="shared" si="17"/>
        <v>187</v>
      </c>
      <c r="Y62" s="13">
        <f t="shared" si="17"/>
        <v>205</v>
      </c>
      <c r="Z62" s="13">
        <f t="shared" si="17"/>
        <v>177</v>
      </c>
      <c r="AA62" s="13">
        <f t="shared" si="17"/>
        <v>171</v>
      </c>
      <c r="AB62" s="13">
        <f t="shared" si="16"/>
        <v>4729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S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A15 E45:AA5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60:AA61">
    <cfRule type="containsBlanks" dxfId="1" priority="10">
      <formula>LEN(TRIM(E60))=0</formula>
    </cfRule>
  </conditionalFormatting>
  <conditionalFormatting sqref="U34:AA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