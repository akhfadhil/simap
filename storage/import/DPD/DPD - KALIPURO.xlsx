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D" sheetId="1" r:id="rId4"/>
    <sheet state="visible" name="KETAPANG" sheetId="2" r:id="rId5"/>
    <sheet state="visible" name="BULUSAN" sheetId="3" r:id="rId6"/>
    <sheet state="visible" name="KLATAK" sheetId="4" r:id="rId7"/>
    <sheet state="visible" name="KALIPURO" sheetId="5" r:id="rId8"/>
    <sheet state="visible" name="GOMBENGSARI" sheetId="6" r:id="rId9"/>
    <sheet state="visible" name="KELIR" sheetId="7" r:id="rId10"/>
    <sheet state="visible" name="PESUCEN" sheetId="8" r:id="rId11"/>
    <sheet state="visible" name="TELEMUNG" sheetId="9" r:id="rId12"/>
    <sheet state="visible" name="BULUSARI" sheetId="10" r:id="rId13"/>
  </sheets>
  <definedNames/>
  <calcPr/>
  <extLst>
    <ext uri="GoogleSheetsCustomDataVersion2">
      <go:sheetsCustomData xmlns:go="http://customooxmlschemas.google.com/" r:id="rId14" roundtripDataChecksum="T0hhbZD6ySh3KEmolIoRt+qFAh1K2HhsYml3oXQfH08="/>
    </ext>
  </extLst>
</workbook>
</file>

<file path=xl/sharedStrings.xml><?xml version="1.0" encoding="utf-8"?>
<sst xmlns="http://schemas.openxmlformats.org/spreadsheetml/2006/main" count="1115" uniqueCount="126">
  <si>
    <t>Kecamatan</t>
  </si>
  <si>
    <t>KALIPURO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</si>
  <si>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</si>
  <si>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</si>
  <si>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</si>
  <si>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</si>
  <si>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</si>
  <si>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</si>
  <si>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</si>
  <si>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</si>
  <si>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</si>
  <si>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</si>
  <si>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</si>
  <si>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</si>
  <si>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</si>
  <si>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</si>
  <si>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</si>
  <si>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</si>
  <si>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</si>
  <si>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</si>
  <si>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</si>
  <si>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</si>
  <si>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</si>
  <si>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</si>
  <si>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</si>
  <si>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</si>
  <si>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</si>
  <si>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</si>
  <si>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</si>
  <si>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</si>
  <si>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</si>
  <si>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</si>
  <si>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</si>
  <si>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</si>
  <si>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</si>
  <si>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</si>
  <si>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</si>
  <si>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AA. AHMAD NAWARDI</t>
  </si>
  <si>
    <t>Ir. H. AA LA NYALLA MAHMUD MATTALITI, M.HP.</t>
  </si>
  <si>
    <t>ABDUL QADIR AMIR HARTONO, S.E., S.H., M.H.</t>
  </si>
  <si>
    <t>ADILLA AZIS, S.E.</t>
  </si>
  <si>
    <t>5.</t>
  </si>
  <si>
    <t>Ir. H. AGUS RAHARDJO, MSc.M.</t>
  </si>
  <si>
    <t>6.</t>
  </si>
  <si>
    <t>Drs. AYUB KHAN</t>
  </si>
  <si>
    <t>7.</t>
  </si>
  <si>
    <t>BAMBANG HARIANTO</t>
  </si>
  <si>
    <t>8.</t>
  </si>
  <si>
    <t>CATUR RUDI UTANTO, S.Sos.</t>
  </si>
  <si>
    <t>9.</t>
  </si>
  <si>
    <t>DODDY DWI NUGROHO</t>
  </si>
  <si>
    <t>10.</t>
  </si>
  <si>
    <t>KONDANG KUSUMANING AYU</t>
  </si>
  <si>
    <t>11.</t>
  </si>
  <si>
    <t>KUNJUNG WAHYUDI</t>
  </si>
  <si>
    <t>12.</t>
  </si>
  <si>
    <t>Dr. LIA ISTIFHAMA</t>
  </si>
  <si>
    <t>13.</t>
  </si>
  <si>
    <t>MOHAMMAD TRIJANTO, S.H., M.M., M.H.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</si>
  <si>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</si>
  <si>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</si>
  <si>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</si>
  <si>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</si>
  <si>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</si>
  <si>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</si>
  <si>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</si>
  <si>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</si>
  <si>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</si>
  <si>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KETAPANG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</si>
  <si>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</si>
  <si>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</si>
  <si>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</si>
  <si>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</si>
  <si>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</si>
  <si>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</si>
  <si>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</si>
  <si>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</si>
  <si>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</si>
  <si>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</si>
  <si>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</si>
  <si>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</si>
  <si>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</si>
  <si>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</si>
  <si>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</si>
  <si>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</si>
  <si>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</si>
  <si>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</si>
  <si>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</si>
  <si>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</si>
  <si>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</si>
  <si>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</si>
  <si>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</si>
  <si>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</si>
  <si>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</si>
  <si>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</si>
  <si>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</si>
  <si>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</si>
  <si>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</si>
  <si>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</si>
  <si>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</si>
  <si>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</si>
  <si>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</si>
  <si>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</si>
  <si>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</si>
  <si>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</si>
  <si>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</si>
  <si>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</si>
  <si>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</si>
  <si>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</si>
  <si>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</si>
  <si>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</si>
  <si>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</si>
  <si>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</si>
  <si>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</si>
  <si>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TPS 046</t>
  </si>
  <si>
    <t>TPS 047</t>
  </si>
  <si>
    <t>TPS 048</t>
  </si>
  <si>
    <t>TPS 049</t>
  </si>
  <si>
    <t>TPS 050</t>
  </si>
  <si>
    <t>TPS 051</t>
  </si>
  <si>
    <t>TPS 052</t>
  </si>
  <si>
    <t>Jumlah surat suara yang diterima, termasuk surat suara cadangan 2% dari DPT</t>
  </si>
  <si>
    <t>BULUSAN</t>
  </si>
  <si>
    <t>KLATAK</t>
  </si>
  <si>
    <t>PESUCEN</t>
  </si>
  <si>
    <t>TELEMUNG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</si>
</sst>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Calibri"/>
      <scheme val="minor"/>
    </font>
    <font>
      <sz val="10.0"/>
      <color rgb="FF000000"/>
      <name val="Bookman Old Style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/>
    <font>
      <color theme="1"/>
      <name val="Bookman Old Style"/>
    </font>
  </fonts>
  <fills count="2">
    <fill>
      <patternFill patternType="none"/>
    </fill>
    <fill>
      <patternFill patternType="lightGray"/>
    </fill>
  </fills>
  <borders count="16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Font="1"/>
    <xf borderId="1" fillId="0" fontId="3" numFmtId="0" xfId="0" applyBorder="1" applyFont="1"/>
    <xf borderId="2" fillId="0" fontId="2" numFmtId="0" xfId="0" applyBorder="1" applyFont="1"/>
    <xf borderId="3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/>
    </xf>
    <xf borderId="0" fillId="0" fontId="4" numFmtId="0" xfId="0" applyAlignment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4" numFmtId="3" xfId="0" applyAlignment="1" applyBorder="1" applyFont="1" applyNumberFormat="1">
      <alignment horizontal="center"/>
    </xf>
    <xf borderId="4" fillId="0" fontId="4" numFmtId="0" xfId="0" applyAlignment="1" applyBorder="1" applyFont="1">
      <alignment horizontal="center"/>
    </xf>
    <xf borderId="4" fillId="0" fontId="2" numFmtId="3" xfId="0" applyAlignment="1" applyBorder="1" applyFont="1" applyNumberFormat="1">
      <alignment horizontal="center"/>
    </xf>
    <xf borderId="0" fillId="0" fontId="2" numFmtId="0" xfId="0" applyAlignment="1" applyFont="1">
      <alignment horizontal="left" shrinkToFit="0" vertical="center" wrapText="1"/>
    </xf>
    <xf borderId="4" fillId="0" fontId="4" numFmtId="0" xfId="0" applyAlignment="1" applyBorder="1" applyFont="1">
      <alignment vertical="center"/>
    </xf>
    <xf borderId="4" fillId="0" fontId="3" numFmtId="3" xfId="0" applyBorder="1" applyFont="1" applyNumberFormat="1"/>
    <xf borderId="4" fillId="0" fontId="3" numFmtId="0" xfId="0" applyBorder="1" applyFont="1"/>
    <xf borderId="2" fillId="0" fontId="2" numFmtId="0" xfId="0" applyAlignment="1" applyBorder="1" applyFont="1">
      <alignment horizontal="left" shrinkToFit="0" vertical="center" wrapText="1"/>
    </xf>
    <xf borderId="1" fillId="0" fontId="5" numFmtId="0" xfId="0" applyBorder="1" applyFont="1"/>
    <xf borderId="3" fillId="0" fontId="5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4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4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6" fillId="0" fontId="2" numFmtId="0" xfId="0" applyAlignment="1" applyBorder="1" applyFont="1">
      <alignment horizontal="center" vertical="center"/>
    </xf>
    <xf borderId="10" fillId="0" fontId="5" numFmtId="0" xfId="0" applyBorder="1" applyFont="1"/>
    <xf borderId="2" fillId="0" fontId="2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shrinkToFit="0" vertical="center" wrapText="1"/>
    </xf>
    <xf borderId="12" fillId="0" fontId="5" numFmtId="0" xfId="0" applyBorder="1" applyFont="1"/>
    <xf borderId="13" fillId="0" fontId="5" numFmtId="0" xfId="0" applyBorder="1" applyFont="1"/>
    <xf borderId="4" fillId="0" fontId="2" numFmtId="0" xfId="0" applyAlignment="1" applyBorder="1" applyFont="1">
      <alignment vertical="center"/>
    </xf>
    <xf borderId="11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shrinkToFit="0" vertical="center" wrapText="1"/>
    </xf>
    <xf borderId="6" fillId="0" fontId="4" numFmtId="0" xfId="0" applyAlignment="1" applyBorder="1" applyFont="1">
      <alignment vertical="center"/>
    </xf>
    <xf borderId="3" fillId="0" fontId="3" numFmtId="0" xfId="0" applyBorder="1" applyFont="1"/>
    <xf borderId="2" fillId="0" fontId="3" numFmtId="3" xfId="0" applyBorder="1" applyFont="1" applyNumberFormat="1"/>
    <xf borderId="2" fillId="0" fontId="3" numFmtId="0" xfId="0" applyBorder="1" applyFont="1"/>
    <xf borderId="4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vertical="center"/>
    </xf>
    <xf borderId="4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2" fillId="0" fontId="4" numFmtId="0" xfId="0" applyAlignment="1" applyBorder="1" applyFont="1">
      <alignment vertical="center"/>
    </xf>
    <xf borderId="1" fillId="0" fontId="4" numFmtId="0" xfId="0" applyBorder="1" applyFont="1"/>
    <xf borderId="11" fillId="0" fontId="2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4" numFmtId="0" xfId="0" applyAlignment="1" applyBorder="1" applyFont="1">
      <alignment horizontal="center" vertical="center"/>
    </xf>
    <xf borderId="14" fillId="0" fontId="5" numFmtId="0" xfId="0" applyBorder="1" applyFont="1"/>
    <xf borderId="1" fillId="0" fontId="4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horizontal="center"/>
    </xf>
    <xf borderId="4" fillId="0" fontId="6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3.57"/>
    <col customWidth="1" min="3" max="3" width="48.43"/>
    <col customWidth="1" min="4" max="4" width="5.86"/>
    <col customWidth="1" min="5" max="5" width="20.57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C5" s="1"/>
      <c r="D5" s="1"/>
      <c r="F5" s="2"/>
      <c r="G5" s="2"/>
      <c r="H5" s="2"/>
      <c r="I5" s="2"/>
      <c r="J5" s="2"/>
      <c r="K5" s="2"/>
      <c r="L5" s="2"/>
      <c r="M5" s="2"/>
      <c r="N5" s="2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C6" s="1"/>
      <c r="D6" s="1"/>
      <c r="F6" s="3"/>
      <c r="G6" s="4"/>
      <c r="H6" s="5"/>
      <c r="I6" s="5"/>
      <c r="J6" s="5"/>
      <c r="K6" s="5"/>
      <c r="L6" s="5"/>
      <c r="M6" s="5"/>
      <c r="N6" s="5"/>
      <c r="O6" s="5"/>
      <c r="P6" s="6"/>
      <c r="Q6" s="5"/>
      <c r="R6" s="5"/>
      <c r="S6" s="5"/>
      <c r="T6" s="5"/>
      <c r="U6" s="5"/>
      <c r="V6" s="5"/>
      <c r="W6" s="6"/>
      <c r="X6" s="5"/>
      <c r="Y6" s="5"/>
      <c r="Z6" s="5"/>
    </row>
    <row r="7" ht="15.75" customHeight="1">
      <c r="C7" s="1"/>
      <c r="D7" s="1"/>
      <c r="F7" s="2"/>
      <c r="G7" s="2"/>
      <c r="H7" s="7"/>
      <c r="I7" s="8"/>
      <c r="J7" s="8"/>
      <c r="K7" s="8"/>
      <c r="L7" s="8"/>
      <c r="M7" s="8"/>
      <c r="N7" s="8"/>
      <c r="O7" s="8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C8" s="1" t="s">
        <v>0</v>
      </c>
      <c r="D8" s="1" t="s">
        <v>1</v>
      </c>
      <c r="F8" s="10"/>
      <c r="G8" s="10"/>
      <c r="H8" s="11"/>
      <c r="I8" s="12"/>
      <c r="J8" s="12"/>
      <c r="K8" s="12"/>
      <c r="L8" s="12"/>
      <c r="M8" s="12"/>
      <c r="N8" s="12"/>
      <c r="O8" s="12"/>
      <c r="P8" s="13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5.75" customHeight="1">
      <c r="C9" s="1" t="s">
        <v>2</v>
      </c>
      <c r="D9" s="1" t="s">
        <v>3</v>
      </c>
      <c r="F9" s="10"/>
      <c r="G9" s="10"/>
      <c r="H9" s="11"/>
      <c r="I9" s="12"/>
      <c r="J9" s="12"/>
      <c r="K9" s="12"/>
      <c r="L9" s="12"/>
      <c r="M9" s="12"/>
      <c r="N9" s="12"/>
      <c r="O9" s="12"/>
      <c r="P9" s="13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75" customHeight="1">
      <c r="C10" s="1" t="s">
        <v>4</v>
      </c>
      <c r="D10" s="1" t="s">
        <v>5</v>
      </c>
      <c r="F10" s="2"/>
      <c r="G10" s="2"/>
      <c r="H10" s="7"/>
      <c r="I10" s="8"/>
      <c r="J10" s="8"/>
      <c r="K10" s="8"/>
      <c r="L10" s="8"/>
      <c r="M10" s="8"/>
      <c r="N10" s="8"/>
      <c r="O10" s="8"/>
      <c r="P10" s="15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2"/>
      <c r="B11" s="16"/>
      <c r="C11" s="16"/>
      <c r="D11" s="16"/>
      <c r="E11" s="2"/>
      <c r="F11" s="10"/>
      <c r="G11" s="10"/>
      <c r="H11" s="11"/>
      <c r="I11" s="12"/>
      <c r="J11" s="12"/>
      <c r="K11" s="12"/>
      <c r="L11" s="12"/>
      <c r="M11" s="12"/>
      <c r="N11" s="12"/>
      <c r="O11" s="17"/>
      <c r="P11" s="18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5.75" customHeight="1">
      <c r="A12" s="8" t="s">
        <v>6</v>
      </c>
      <c r="B12" s="20" t="s">
        <v>7</v>
      </c>
      <c r="C12" s="21"/>
      <c r="D12" s="22"/>
      <c r="E12" s="23" t="s">
        <v>8</v>
      </c>
      <c r="F12" s="24"/>
      <c r="G12" s="10"/>
      <c r="H12" s="11"/>
      <c r="I12" s="12"/>
      <c r="J12" s="12"/>
      <c r="K12" s="12"/>
      <c r="L12" s="12"/>
      <c r="M12" s="12"/>
      <c r="N12" s="12"/>
      <c r="O12" s="17"/>
      <c r="P12" s="18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5.75" customHeight="1">
      <c r="A13" s="12" t="s">
        <v>9</v>
      </c>
      <c r="B13" s="25" t="s">
        <v>10</v>
      </c>
      <c r="C13" s="21"/>
      <c r="D13" s="22"/>
      <c r="E13" s="26"/>
      <c r="F13" s="24"/>
      <c r="G13" s="10"/>
      <c r="H13" s="11"/>
      <c r="I13" s="12"/>
      <c r="J13" s="12"/>
      <c r="K13" s="12"/>
      <c r="L13" s="12"/>
      <c r="M13" s="12"/>
      <c r="N13" s="12"/>
      <c r="O13" s="12"/>
      <c r="P13" s="13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2"/>
      <c r="B14" s="27" t="s">
        <v>11</v>
      </c>
      <c r="C14" s="28"/>
      <c r="D14" s="12" t="s">
        <v>12</v>
      </c>
      <c r="E14" s="29">
        <f>KETAPANG!BE14+BULUSAN!AC14+KLATAK!AV14+KALIPURO!AR14+GOMBENGSARI!AC14+KELIR!W14+PESUCEN!R14+TELEMUNG!T14+BULUSARI!R14</f>
        <v>31987</v>
      </c>
      <c r="F14" s="24"/>
      <c r="G14" s="10"/>
      <c r="H14" s="11"/>
      <c r="I14" s="12"/>
      <c r="J14" s="12"/>
      <c r="K14" s="12"/>
      <c r="L14" s="12"/>
      <c r="M14" s="12"/>
      <c r="N14" s="12"/>
      <c r="O14" s="12"/>
      <c r="P14" s="13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2"/>
      <c r="B15" s="30"/>
      <c r="C15" s="31"/>
      <c r="D15" s="12" t="s">
        <v>13</v>
      </c>
      <c r="E15" s="29">
        <f>KETAPANG!BE15+BULUSAN!AC15+KLATAK!AV15+KALIPURO!AR15+GOMBENGSARI!AC15+KELIR!W15+PESUCEN!R15+TELEMUNG!T15+BULUSARI!R15</f>
        <v>33057</v>
      </c>
      <c r="F15" s="32"/>
      <c r="G15" s="2"/>
      <c r="H15" s="7"/>
      <c r="I15" s="8"/>
      <c r="J15" s="8"/>
      <c r="K15" s="8"/>
      <c r="L15" s="8"/>
      <c r="M15" s="8"/>
      <c r="N15" s="8"/>
      <c r="O15" s="8"/>
      <c r="P15" s="15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8"/>
      <c r="B16" s="26"/>
      <c r="C16" s="33"/>
      <c r="D16" s="8" t="s">
        <v>14</v>
      </c>
      <c r="E16" s="34">
        <f>SUM(E14:E15)</f>
        <v>65044</v>
      </c>
      <c r="F16" s="24"/>
      <c r="G16" s="10"/>
      <c r="H16" s="11"/>
      <c r="I16" s="12"/>
      <c r="J16" s="12"/>
      <c r="K16" s="12"/>
      <c r="L16" s="12"/>
      <c r="M16" s="12"/>
      <c r="N16" s="12"/>
      <c r="O16" s="12"/>
      <c r="P16" s="13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29"/>
      <c r="B17" s="21"/>
      <c r="C17" s="21"/>
      <c r="D17" s="22"/>
      <c r="E17" s="29"/>
      <c r="F17" s="24"/>
      <c r="G17" s="10"/>
      <c r="H17" s="11"/>
      <c r="I17" s="12"/>
      <c r="J17" s="12"/>
      <c r="K17" s="12"/>
      <c r="L17" s="12"/>
      <c r="M17" s="12"/>
      <c r="N17" s="12"/>
      <c r="O17" s="12"/>
      <c r="P17" s="13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2" t="s">
        <v>15</v>
      </c>
      <c r="B18" s="25" t="s">
        <v>16</v>
      </c>
      <c r="C18" s="21"/>
      <c r="D18" s="22"/>
      <c r="E18" s="29"/>
      <c r="F18" s="32"/>
      <c r="G18" s="2"/>
      <c r="H18" s="7"/>
      <c r="I18" s="8"/>
      <c r="J18" s="8"/>
      <c r="K18" s="8"/>
      <c r="L18" s="8"/>
      <c r="M18" s="8"/>
      <c r="N18" s="8"/>
      <c r="O18" s="8"/>
      <c r="P18" s="15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12"/>
      <c r="B19" s="35" t="s">
        <v>17</v>
      </c>
      <c r="C19" s="36" t="s">
        <v>18</v>
      </c>
      <c r="D19" s="12" t="s">
        <v>12</v>
      </c>
      <c r="E19" s="29">
        <f>KETAPANG!BE19+BULUSAN!AC19+KLATAK!AV19+KALIPURO!AR19+GOMBENGSARI!AC19+KELIR!W19+PESUCEN!R19+TELEMUNG!T19+BULUSARI!R19</f>
        <v>24074</v>
      </c>
      <c r="F19" s="24"/>
      <c r="G19" s="10"/>
      <c r="H19" s="11"/>
      <c r="I19" s="12"/>
      <c r="J19" s="12"/>
      <c r="K19" s="12"/>
      <c r="L19" s="12"/>
      <c r="M19" s="12"/>
      <c r="N19" s="12"/>
      <c r="O19" s="12"/>
      <c r="P19" s="13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2"/>
      <c r="B20" s="37"/>
      <c r="C20" s="37"/>
      <c r="D20" s="12" t="s">
        <v>13</v>
      </c>
      <c r="E20" s="29">
        <f>KETAPANG!BE20+BULUSAN!AC20+KLATAK!AV20+KALIPURO!AR20+GOMBENGSARI!AC20+KELIR!W20+PESUCEN!R20+TELEMUNG!T20+BULUSARI!R20</f>
        <v>26769</v>
      </c>
      <c r="F20" s="24"/>
      <c r="G20" s="10"/>
      <c r="H20" s="11"/>
      <c r="I20" s="12"/>
      <c r="J20" s="12"/>
      <c r="K20" s="12"/>
      <c r="L20" s="12"/>
      <c r="M20" s="12"/>
      <c r="N20" s="12"/>
      <c r="O20" s="12"/>
      <c r="P20" s="13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8"/>
      <c r="B21" s="38"/>
      <c r="C21" s="38"/>
      <c r="D21" s="8" t="s">
        <v>14</v>
      </c>
      <c r="E21" s="34">
        <f>SUM(E19:E20)</f>
        <v>50843</v>
      </c>
      <c r="F21" s="32"/>
      <c r="G21" s="2"/>
      <c r="H21" s="7"/>
      <c r="I21" s="8"/>
      <c r="J21" s="8"/>
      <c r="K21" s="8"/>
      <c r="L21" s="8"/>
      <c r="M21" s="8"/>
      <c r="N21" s="8"/>
      <c r="O21" s="8"/>
      <c r="P21" s="15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12"/>
      <c r="B22" s="35" t="s">
        <v>19</v>
      </c>
      <c r="C22" s="36" t="s">
        <v>20</v>
      </c>
      <c r="D22" s="12" t="s">
        <v>12</v>
      </c>
      <c r="E22" s="29">
        <f>KETAPANG!BE22+BULUSAN!AC22+KLATAK!AV22+KALIPURO!AR22+GOMBENGSARI!AC22+KELIR!W22+PESUCEN!R22+TELEMUNG!T22+BULUSARI!R22</f>
        <v>142</v>
      </c>
      <c r="F22" s="32"/>
      <c r="G22" s="2"/>
      <c r="H22" s="7"/>
      <c r="I22" s="8"/>
      <c r="J22" s="8"/>
      <c r="K22" s="8"/>
      <c r="L22" s="8"/>
      <c r="M22" s="8"/>
      <c r="N22" s="8"/>
      <c r="O22" s="8"/>
      <c r="P22" s="15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12"/>
      <c r="B23" s="37"/>
      <c r="C23" s="37"/>
      <c r="D23" s="12" t="s">
        <v>13</v>
      </c>
      <c r="E23" s="29">
        <f>KETAPANG!BE23+BULUSAN!AC23+KLATAK!AV23+KALIPURO!AR23+GOMBENGSARI!AC23+KELIR!W23+PESUCEN!R23+TELEMUNG!T23+BULUSARI!R23</f>
        <v>113</v>
      </c>
      <c r="F23" s="32"/>
      <c r="G23" s="2"/>
      <c r="H23" s="7"/>
      <c r="I23" s="8"/>
      <c r="J23" s="8"/>
      <c r="K23" s="8"/>
      <c r="L23" s="8"/>
      <c r="M23" s="8"/>
      <c r="N23" s="8"/>
      <c r="O23" s="8"/>
      <c r="P23" s="15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8"/>
      <c r="B24" s="38"/>
      <c r="C24" s="38"/>
      <c r="D24" s="8" t="s">
        <v>14</v>
      </c>
      <c r="E24" s="34">
        <f>SUM(E22:E23)</f>
        <v>255</v>
      </c>
      <c r="F24" s="32"/>
      <c r="G24" s="2"/>
      <c r="H24" s="7"/>
      <c r="I24" s="8"/>
      <c r="J24" s="8"/>
      <c r="K24" s="8"/>
      <c r="L24" s="8"/>
      <c r="M24" s="8"/>
      <c r="N24" s="8"/>
      <c r="O24" s="8"/>
      <c r="P24" s="15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12"/>
      <c r="B25" s="35" t="s">
        <v>21</v>
      </c>
      <c r="C25" s="36" t="s">
        <v>22</v>
      </c>
      <c r="D25" s="12" t="s">
        <v>12</v>
      </c>
      <c r="E25" s="29">
        <f>KETAPANG!BE25+BULUSAN!AC25+KLATAK!AV25+KALIPURO!AR25+GOMBENGSARI!AC25+KELIR!W25+PESUCEN!R25+TELEMUNG!T25+BULUSARI!R25</f>
        <v>351</v>
      </c>
      <c r="F25" s="24"/>
      <c r="G25" s="10"/>
      <c r="H25" s="11"/>
      <c r="I25" s="12"/>
      <c r="J25" s="12"/>
      <c r="K25" s="12"/>
      <c r="L25" s="12"/>
      <c r="M25" s="12"/>
      <c r="N25" s="12"/>
      <c r="O25" s="17"/>
      <c r="P25" s="18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2"/>
      <c r="B26" s="37"/>
      <c r="C26" s="37"/>
      <c r="D26" s="12" t="s">
        <v>13</v>
      </c>
      <c r="E26" s="29">
        <f>KETAPANG!BE26+BULUSAN!AC26+KLATAK!AV26+KALIPURO!AR26+GOMBENGSARI!AC26+KELIR!W26+PESUCEN!R26+TELEMUNG!T26+BULUSARI!R26</f>
        <v>423</v>
      </c>
      <c r="F26" s="32"/>
      <c r="G26" s="2"/>
      <c r="H26" s="7"/>
      <c r="I26" s="8"/>
      <c r="J26" s="8"/>
      <c r="K26" s="8"/>
      <c r="L26" s="8"/>
      <c r="M26" s="8"/>
      <c r="N26" s="8"/>
      <c r="O26" s="39"/>
      <c r="P26" s="18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8"/>
      <c r="B27" s="38"/>
      <c r="C27" s="38"/>
      <c r="D27" s="8" t="s">
        <v>14</v>
      </c>
      <c r="E27" s="34">
        <f>SUM(E25:E26)</f>
        <v>774</v>
      </c>
      <c r="F27" s="24"/>
      <c r="G27" s="10"/>
      <c r="H27" s="11"/>
      <c r="I27" s="12"/>
      <c r="J27" s="12"/>
      <c r="K27" s="12"/>
      <c r="L27" s="12"/>
      <c r="M27" s="12"/>
      <c r="N27" s="12"/>
      <c r="O27" s="12"/>
      <c r="P27" s="13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8"/>
      <c r="B28" s="40" t="s">
        <v>23</v>
      </c>
      <c r="C28" s="41" t="s">
        <v>24</v>
      </c>
      <c r="D28" s="8" t="s">
        <v>12</v>
      </c>
      <c r="E28" s="34">
        <f t="shared" ref="E28:E29" si="1">E19+E22+E25</f>
        <v>24567</v>
      </c>
      <c r="F28" s="32"/>
      <c r="G28" s="2"/>
      <c r="H28" s="7"/>
      <c r="I28" s="8"/>
      <c r="J28" s="8"/>
      <c r="K28" s="8"/>
      <c r="L28" s="8"/>
      <c r="M28" s="8"/>
      <c r="N28" s="8"/>
      <c r="O28" s="8"/>
      <c r="P28" s="15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8"/>
      <c r="B29" s="37"/>
      <c r="C29" s="37"/>
      <c r="D29" s="8" t="s">
        <v>13</v>
      </c>
      <c r="E29" s="34">
        <f t="shared" si="1"/>
        <v>27305</v>
      </c>
      <c r="F29" s="24"/>
      <c r="G29" s="10"/>
      <c r="H29" s="11"/>
      <c r="I29" s="12"/>
      <c r="J29" s="12"/>
      <c r="K29" s="12"/>
      <c r="L29" s="12"/>
      <c r="M29" s="12"/>
      <c r="N29" s="12"/>
      <c r="O29" s="12"/>
      <c r="P29" s="13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8"/>
      <c r="B30" s="38"/>
      <c r="C30" s="38"/>
      <c r="D30" s="8" t="s">
        <v>14</v>
      </c>
      <c r="E30" s="34">
        <f>SUM(E28:E29)</f>
        <v>51872</v>
      </c>
      <c r="F30" s="32"/>
      <c r="G30" s="2"/>
      <c r="H30" s="7"/>
      <c r="I30" s="8"/>
      <c r="J30" s="8"/>
      <c r="K30" s="8"/>
      <c r="L30" s="8"/>
      <c r="M30" s="8"/>
      <c r="N30" s="8"/>
      <c r="O30" s="8"/>
      <c r="P30" s="15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29"/>
      <c r="B31" s="21"/>
      <c r="C31" s="21"/>
      <c r="D31" s="22"/>
      <c r="E31" s="29"/>
      <c r="F31" s="42"/>
      <c r="G31" s="4"/>
      <c r="H31" s="5"/>
      <c r="I31" s="5"/>
      <c r="J31" s="43"/>
      <c r="K31" s="12"/>
      <c r="L31" s="12"/>
      <c r="M31" s="12"/>
      <c r="N31" s="12"/>
      <c r="O31" s="17"/>
      <c r="P31" s="44"/>
      <c r="Q31" s="5"/>
      <c r="R31" s="5"/>
      <c r="S31" s="5"/>
      <c r="T31" s="43"/>
      <c r="U31" s="19"/>
      <c r="V31" s="19"/>
      <c r="W31" s="45"/>
      <c r="X31" s="5"/>
      <c r="Y31" s="5"/>
      <c r="Z31" s="5"/>
    </row>
    <row r="32" ht="15.75" customHeight="1">
      <c r="A32" s="8" t="s">
        <v>25</v>
      </c>
      <c r="B32" s="20" t="s">
        <v>26</v>
      </c>
      <c r="C32" s="21"/>
      <c r="D32" s="22"/>
      <c r="E32" s="34"/>
      <c r="F32" s="32"/>
      <c r="G32" s="2"/>
      <c r="H32" s="7"/>
      <c r="I32" s="8"/>
      <c r="J32" s="8"/>
      <c r="K32" s="8"/>
      <c r="L32" s="8"/>
      <c r="M32" s="8"/>
      <c r="N32" s="8"/>
      <c r="O32" s="39"/>
      <c r="P32" s="18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2">
        <v>1.0</v>
      </c>
      <c r="B33" s="25" t="s">
        <v>27</v>
      </c>
      <c r="C33" s="21"/>
      <c r="D33" s="22"/>
      <c r="E33" s="29">
        <f>KETAPANG!BE33+BULUSAN!AC33+KLATAK!AV33+KALIPURO!AR33+GOMBENGSARI!AC33+KELIR!W33+PESUCEN!R33+TELEMUNG!T33+BULUSARI!R33</f>
        <v>64880</v>
      </c>
      <c r="F33" s="24"/>
      <c r="G33" s="10"/>
      <c r="H33" s="11"/>
      <c r="I33" s="12"/>
      <c r="J33" s="12"/>
      <c r="K33" s="12"/>
      <c r="L33" s="12"/>
      <c r="M33" s="12"/>
      <c r="N33" s="12"/>
      <c r="O33" s="12"/>
      <c r="P33" s="13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2">
        <v>2.0</v>
      </c>
      <c r="B34" s="25" t="s">
        <v>28</v>
      </c>
      <c r="C34" s="21"/>
      <c r="D34" s="22"/>
      <c r="E34" s="29">
        <f>KETAPANG!BE34+BULUSAN!AC34+KLATAK!AV34+KALIPURO!AR34+GOMBENGSARI!AC34+KELIR!W34+PESUCEN!R34+TELEMUNG!T34+BULUSARI!R34</f>
        <v>51872</v>
      </c>
      <c r="F34" s="24"/>
      <c r="G34" s="10"/>
      <c r="H34" s="11"/>
      <c r="I34" s="12"/>
      <c r="J34" s="12"/>
      <c r="K34" s="12"/>
      <c r="L34" s="12"/>
      <c r="M34" s="12"/>
      <c r="N34" s="12"/>
      <c r="O34" s="12"/>
      <c r="P34" s="13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2">
        <v>3.0</v>
      </c>
      <c r="B35" s="25" t="s">
        <v>29</v>
      </c>
      <c r="C35" s="21"/>
      <c r="D35" s="22"/>
      <c r="E35" s="29">
        <f>KETAPANG!BE35+BULUSAN!AC35+KLATAK!AV35+KALIPURO!AR35+GOMBENGSARI!AC35+KELIR!W35+PESUCEN!R35+TELEMUNG!T35+BULUSARI!R35</f>
        <v>55</v>
      </c>
      <c r="F35" s="32"/>
      <c r="G35" s="2"/>
      <c r="H35" s="7"/>
      <c r="I35" s="8"/>
      <c r="J35" s="8"/>
      <c r="K35" s="8"/>
      <c r="L35" s="8"/>
      <c r="M35" s="8"/>
      <c r="N35" s="8"/>
      <c r="O35" s="8"/>
      <c r="P35" s="15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12">
        <v>4.0</v>
      </c>
      <c r="B36" s="25" t="s">
        <v>30</v>
      </c>
      <c r="C36" s="21"/>
      <c r="D36" s="22"/>
      <c r="E36" s="34">
        <f>E33-(E34+E35)</f>
        <v>12953</v>
      </c>
      <c r="F36" s="42"/>
      <c r="G36" s="4"/>
      <c r="H36" s="5"/>
      <c r="I36" s="5"/>
      <c r="J36" s="43"/>
      <c r="K36" s="12"/>
      <c r="L36" s="12"/>
      <c r="M36" s="12"/>
      <c r="N36" s="12"/>
      <c r="O36" s="17"/>
      <c r="P36" s="44"/>
      <c r="Q36" s="5"/>
      <c r="R36" s="5"/>
      <c r="S36" s="5"/>
      <c r="T36" s="43"/>
      <c r="U36" s="19"/>
      <c r="V36" s="19"/>
      <c r="W36" s="45"/>
      <c r="X36" s="5"/>
      <c r="Y36" s="5"/>
      <c r="Z36" s="5"/>
    </row>
    <row r="37" ht="15.75" customHeight="1">
      <c r="A37" s="29"/>
      <c r="B37" s="21"/>
      <c r="C37" s="21"/>
      <c r="D37" s="21"/>
      <c r="E37" s="22"/>
      <c r="F37" s="32"/>
      <c r="G37" s="2"/>
      <c r="H37" s="7"/>
      <c r="I37" s="8"/>
      <c r="J37" s="8"/>
      <c r="K37" s="8"/>
      <c r="L37" s="8"/>
      <c r="M37" s="8"/>
      <c r="N37" s="8"/>
      <c r="O37" s="39"/>
      <c r="P37" s="18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8" t="s">
        <v>31</v>
      </c>
      <c r="B38" s="20" t="s">
        <v>32</v>
      </c>
      <c r="C38" s="21"/>
      <c r="D38" s="22"/>
      <c r="E38" s="34"/>
      <c r="F38" s="24"/>
      <c r="G38" s="10"/>
      <c r="H38" s="11"/>
      <c r="I38" s="12"/>
      <c r="J38" s="12"/>
      <c r="K38" s="12"/>
      <c r="L38" s="12"/>
      <c r="M38" s="12"/>
      <c r="N38" s="12"/>
      <c r="O38" s="17"/>
      <c r="P38" s="18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12"/>
      <c r="B39" s="27" t="s">
        <v>33</v>
      </c>
      <c r="C39" s="28"/>
      <c r="D39" s="12" t="s">
        <v>12</v>
      </c>
      <c r="E39" s="29">
        <f>KETAPANG!BE39+BULUSAN!AC39+KLATAK!AV39+KALIPURO!AR39+GOMBENGSARI!AC39+KELIR!W39+PESUCEN!R39+TELEMUNG!T39+BULUSARI!R39</f>
        <v>64</v>
      </c>
      <c r="F39" s="24"/>
      <c r="G39" s="10"/>
      <c r="H39" s="11"/>
      <c r="I39" s="12"/>
      <c r="J39" s="12"/>
      <c r="K39" s="12"/>
      <c r="L39" s="12"/>
      <c r="M39" s="12"/>
      <c r="N39" s="12"/>
      <c r="O39" s="12"/>
      <c r="P39" s="13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2"/>
      <c r="B40" s="30"/>
      <c r="C40" s="31"/>
      <c r="D40" s="12" t="s">
        <v>13</v>
      </c>
      <c r="E40" s="29">
        <f>KETAPANG!BE40+BULUSAN!AC40+KLATAK!AV40+KALIPURO!AR40+GOMBENGSARI!AC40+KELIR!W40+PESUCEN!R40+TELEMUNG!T40+BULUSARI!R40</f>
        <v>85</v>
      </c>
      <c r="F40" s="24"/>
      <c r="G40" s="10"/>
      <c r="H40" s="11"/>
      <c r="I40" s="12"/>
      <c r="J40" s="12"/>
      <c r="K40" s="12"/>
      <c r="L40" s="12"/>
      <c r="M40" s="12"/>
      <c r="N40" s="12"/>
      <c r="O40" s="12"/>
      <c r="P40" s="13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8"/>
      <c r="B41" s="26"/>
      <c r="C41" s="33"/>
      <c r="D41" s="8" t="s">
        <v>14</v>
      </c>
      <c r="E41" s="34">
        <f>SUM(E39:E40)</f>
        <v>149</v>
      </c>
      <c r="F41" s="24"/>
      <c r="G41" s="10"/>
      <c r="H41" s="11"/>
      <c r="I41" s="12"/>
      <c r="J41" s="12"/>
      <c r="K41" s="12"/>
      <c r="L41" s="12"/>
      <c r="M41" s="12"/>
      <c r="N41" s="12"/>
      <c r="O41" s="12"/>
      <c r="P41" s="13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29"/>
      <c r="B42" s="21"/>
      <c r="C42" s="21"/>
      <c r="D42" s="22"/>
      <c r="E42" s="29"/>
      <c r="F42" s="24"/>
      <c r="G42" s="10"/>
      <c r="H42" s="11"/>
      <c r="I42" s="12"/>
      <c r="J42" s="12"/>
      <c r="K42" s="12"/>
      <c r="L42" s="12"/>
      <c r="M42" s="12"/>
      <c r="N42" s="12"/>
      <c r="O42" s="12"/>
      <c r="P42" s="13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8" t="s">
        <v>34</v>
      </c>
      <c r="B43" s="20" t="s">
        <v>35</v>
      </c>
      <c r="C43" s="21"/>
      <c r="D43" s="22"/>
      <c r="E43" s="34"/>
      <c r="F43" s="24"/>
      <c r="G43" s="10"/>
      <c r="H43" s="11"/>
      <c r="I43" s="12"/>
      <c r="J43" s="12"/>
      <c r="K43" s="12"/>
      <c r="L43" s="12"/>
      <c r="M43" s="12"/>
      <c r="N43" s="12"/>
      <c r="O43" s="12"/>
      <c r="P43" s="13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2"/>
      <c r="B44" s="25" t="s">
        <v>36</v>
      </c>
      <c r="C44" s="21"/>
      <c r="D44" s="22"/>
      <c r="E44" s="29">
        <f>KETAPANG!BE44+BULUSAN!AC44+KLATAK!AV44+KALIPURO!AR44+GOMBENGSARI!AC44+KELIR!W44+PESUCEN!R44+TELEMUNG!T44+BULUSARI!R44</f>
        <v>0</v>
      </c>
      <c r="F44" s="24"/>
      <c r="G44" s="10"/>
      <c r="H44" s="11"/>
      <c r="I44" s="12"/>
      <c r="J44" s="12"/>
      <c r="K44" s="12"/>
      <c r="L44" s="12"/>
      <c r="M44" s="12"/>
      <c r="N44" s="12"/>
      <c r="O44" s="12"/>
      <c r="P44" s="13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2"/>
      <c r="B45" s="46" t="s">
        <v>17</v>
      </c>
      <c r="C45" s="47" t="s">
        <v>37</v>
      </c>
      <c r="D45" s="22"/>
      <c r="E45" s="29">
        <f>KETAPANG!BE45+BULUSAN!AC45+KLATAK!AV45+KALIPURO!AR45+GOMBENGSARI!AC45+KELIR!W45+PESUCEN!R45+TELEMUNG!T45+BULUSARI!R45</f>
        <v>5150</v>
      </c>
      <c r="F45" s="24"/>
      <c r="G45" s="10"/>
      <c r="H45" s="11"/>
      <c r="I45" s="12"/>
      <c r="J45" s="12"/>
      <c r="K45" s="12"/>
      <c r="L45" s="12"/>
      <c r="M45" s="12"/>
      <c r="N45" s="12"/>
      <c r="O45" s="12"/>
      <c r="P45" s="13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2"/>
      <c r="B46" s="46" t="s">
        <v>19</v>
      </c>
      <c r="C46" s="47" t="s">
        <v>38</v>
      </c>
      <c r="D46" s="22"/>
      <c r="E46" s="29">
        <f>KETAPANG!BE46+BULUSAN!AC46+KLATAK!AV46+KALIPURO!AR46+GOMBENGSARI!AC46+KELIR!W46+PESUCEN!R46+TELEMUNG!T46+BULUSARI!R46</f>
        <v>7942</v>
      </c>
      <c r="F46" s="24"/>
      <c r="G46" s="10"/>
      <c r="H46" s="11"/>
      <c r="I46" s="12"/>
      <c r="J46" s="12"/>
      <c r="K46" s="12"/>
      <c r="L46" s="12"/>
      <c r="M46" s="12"/>
      <c r="N46" s="12"/>
      <c r="O46" s="12"/>
      <c r="P46" s="13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2"/>
      <c r="B47" s="46" t="s">
        <v>21</v>
      </c>
      <c r="C47" s="47" t="s">
        <v>39</v>
      </c>
      <c r="D47" s="22"/>
      <c r="E47" s="29">
        <f>KETAPANG!BE47+BULUSAN!AC47+KLATAK!AV47+KALIPURO!AR47+GOMBENGSARI!AC47+KELIR!W47+PESUCEN!R47+TELEMUNG!T47+BULUSARI!R47</f>
        <v>3316</v>
      </c>
      <c r="F47" s="24"/>
      <c r="G47" s="10"/>
      <c r="H47" s="11"/>
      <c r="I47" s="12"/>
      <c r="J47" s="12"/>
      <c r="K47" s="12"/>
      <c r="L47" s="12"/>
      <c r="M47" s="12"/>
      <c r="N47" s="12"/>
      <c r="O47" s="12"/>
      <c r="P47" s="13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2"/>
      <c r="B48" s="46" t="s">
        <v>23</v>
      </c>
      <c r="C48" s="47" t="s">
        <v>40</v>
      </c>
      <c r="D48" s="22"/>
      <c r="E48" s="29">
        <f>KETAPANG!BE48+BULUSAN!AC48+KLATAK!AV48+KALIPURO!AR48+GOMBENGSARI!AC48+KELIR!W48+PESUCEN!R48+TELEMUNG!T48+BULUSARI!R48</f>
        <v>4517</v>
      </c>
      <c r="F48" s="24"/>
      <c r="G48" s="10"/>
      <c r="H48" s="11"/>
      <c r="I48" s="12"/>
      <c r="J48" s="12"/>
      <c r="K48" s="12"/>
      <c r="L48" s="12"/>
      <c r="M48" s="12"/>
      <c r="N48" s="12"/>
      <c r="O48" s="12"/>
      <c r="P48" s="13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2"/>
      <c r="B49" s="46" t="s">
        <v>41</v>
      </c>
      <c r="C49" s="47" t="s">
        <v>42</v>
      </c>
      <c r="D49" s="22"/>
      <c r="E49" s="29">
        <f>KETAPANG!BE49+BULUSAN!AC49+KLATAK!AV49+KALIPURO!AR49+GOMBENGSARI!AC49+KELIR!W49+PESUCEN!R49+TELEMUNG!T49+BULUSARI!R49</f>
        <v>4440</v>
      </c>
      <c r="F49" s="24"/>
      <c r="G49" s="10"/>
      <c r="H49" s="11"/>
      <c r="I49" s="12"/>
      <c r="J49" s="12"/>
      <c r="K49" s="12"/>
      <c r="L49" s="12"/>
      <c r="M49" s="12"/>
      <c r="N49" s="12"/>
      <c r="O49" s="12"/>
      <c r="P49" s="13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2"/>
      <c r="B50" s="46" t="s">
        <v>43</v>
      </c>
      <c r="C50" s="47" t="s">
        <v>44</v>
      </c>
      <c r="D50" s="22"/>
      <c r="E50" s="29">
        <f>KETAPANG!BE50+BULUSAN!AC50+KLATAK!AV50+KALIPURO!AR50+GOMBENGSARI!AC50+KELIR!W50+PESUCEN!R50+TELEMUNG!T50+BULUSARI!R50</f>
        <v>3948</v>
      </c>
      <c r="F50" s="24"/>
      <c r="G50" s="10"/>
      <c r="H50" s="11"/>
      <c r="I50" s="12"/>
      <c r="J50" s="12"/>
      <c r="K50" s="12"/>
      <c r="L50" s="12"/>
      <c r="M50" s="12"/>
      <c r="N50" s="12"/>
      <c r="O50" s="12"/>
      <c r="P50" s="13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2"/>
      <c r="B51" s="46" t="s">
        <v>45</v>
      </c>
      <c r="C51" s="47" t="s">
        <v>46</v>
      </c>
      <c r="D51" s="22"/>
      <c r="E51" s="29">
        <f>KETAPANG!BE51+BULUSAN!AC51+KLATAK!AV51+KALIPURO!AR51+GOMBENGSARI!AC51+KELIR!W51+PESUCEN!R51+TELEMUNG!T51+BULUSARI!R51</f>
        <v>550</v>
      </c>
      <c r="F51" s="24"/>
      <c r="G51" s="10"/>
      <c r="H51" s="11"/>
      <c r="I51" s="12"/>
      <c r="J51" s="12"/>
      <c r="K51" s="12"/>
      <c r="L51" s="12"/>
      <c r="M51" s="12"/>
      <c r="N51" s="12"/>
      <c r="O51" s="12"/>
      <c r="P51" s="13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2"/>
      <c r="B52" s="46" t="s">
        <v>47</v>
      </c>
      <c r="C52" s="47" t="s">
        <v>48</v>
      </c>
      <c r="D52" s="22"/>
      <c r="E52" s="29">
        <f>KETAPANG!BE52+BULUSAN!AC52+KLATAK!AV52+KALIPURO!AR52+GOMBENGSARI!AC52+KELIR!W52+PESUCEN!R52+TELEMUNG!T52+BULUSARI!R52</f>
        <v>933</v>
      </c>
      <c r="F52" s="24"/>
      <c r="G52" s="10"/>
      <c r="H52" s="11"/>
      <c r="I52" s="12"/>
      <c r="J52" s="12"/>
      <c r="K52" s="12"/>
      <c r="L52" s="12"/>
      <c r="M52" s="12"/>
      <c r="N52" s="12"/>
      <c r="O52" s="17"/>
      <c r="P52" s="18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2"/>
      <c r="B53" s="46" t="s">
        <v>49</v>
      </c>
      <c r="C53" s="47" t="s">
        <v>50</v>
      </c>
      <c r="D53" s="22"/>
      <c r="E53" s="29">
        <f>KETAPANG!BE53+BULUSAN!AC53+KLATAK!AV53+KALIPURO!AR53+GOMBENGSARI!AC53+KELIR!W53+PESUCEN!R53+TELEMUNG!T53+BULUSARI!R53</f>
        <v>214</v>
      </c>
      <c r="F53" s="32"/>
      <c r="G53" s="2"/>
      <c r="H53" s="7"/>
      <c r="I53" s="8"/>
      <c r="J53" s="8"/>
      <c r="K53" s="8"/>
      <c r="L53" s="8"/>
      <c r="M53" s="8"/>
      <c r="N53" s="8"/>
      <c r="O53" s="39"/>
      <c r="P53" s="18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2"/>
      <c r="B54" s="46" t="s">
        <v>51</v>
      </c>
      <c r="C54" s="47" t="s">
        <v>52</v>
      </c>
      <c r="D54" s="22"/>
      <c r="E54" s="29">
        <f>KETAPANG!BE54+BULUSAN!AC54+KLATAK!AV54+KALIPURO!AR54+GOMBENGSARI!AC54+KELIR!W54+PESUCEN!R54+TELEMUNG!T54+BULUSARI!R54</f>
        <v>5370</v>
      </c>
      <c r="F54" s="32"/>
      <c r="G54" s="2"/>
      <c r="H54" s="7"/>
      <c r="I54" s="8"/>
      <c r="J54" s="8"/>
      <c r="K54" s="8"/>
      <c r="L54" s="8"/>
      <c r="M54" s="8"/>
      <c r="N54" s="8"/>
      <c r="O54" s="8"/>
      <c r="P54" s="15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12"/>
      <c r="B55" s="46" t="s">
        <v>53</v>
      </c>
      <c r="C55" s="47" t="s">
        <v>54</v>
      </c>
      <c r="D55" s="22"/>
      <c r="E55" s="29">
        <f>KETAPANG!BE55+BULUSAN!AC55+KLATAK!AV55+KALIPURO!AR55+GOMBENGSARI!AC55+KELIR!W55+PESUCEN!R55+TELEMUNG!T55+BULUSARI!R55</f>
        <v>328</v>
      </c>
      <c r="F55" s="24"/>
      <c r="G55" s="10"/>
      <c r="H55" s="11"/>
      <c r="I55" s="12"/>
      <c r="J55" s="12"/>
      <c r="K55" s="12"/>
      <c r="L55" s="12"/>
      <c r="M55" s="12"/>
      <c r="N55" s="12"/>
      <c r="O55" s="12"/>
      <c r="P55" s="13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2"/>
      <c r="B56" s="46" t="s">
        <v>55</v>
      </c>
      <c r="C56" s="47" t="s">
        <v>56</v>
      </c>
      <c r="D56" s="22"/>
      <c r="E56" s="29">
        <f>KETAPANG!BE56+BULUSAN!AC56+KLATAK!AV56+KALIPURO!AR56+GOMBENGSARI!AC56+KELIR!W56+PESUCEN!R56+TELEMUNG!T56+BULUSARI!R56</f>
        <v>5674</v>
      </c>
      <c r="F56" s="32"/>
      <c r="G56" s="2"/>
      <c r="H56" s="7"/>
      <c r="I56" s="8"/>
      <c r="J56" s="8"/>
      <c r="K56" s="8"/>
      <c r="L56" s="8"/>
      <c r="M56" s="8"/>
      <c r="N56" s="8"/>
      <c r="O56" s="8"/>
      <c r="P56" s="15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12"/>
      <c r="B57" s="46" t="s">
        <v>57</v>
      </c>
      <c r="C57" s="47" t="s">
        <v>58</v>
      </c>
      <c r="D57" s="22"/>
      <c r="E57" s="29">
        <f>KETAPANG!BE57+BULUSAN!AC57+KLATAK!AV57+KALIPURO!AR57+GOMBENGSARI!AC57+KELIR!W57+PESUCEN!R57+TELEMUNG!T57+BULUSARI!R57</f>
        <v>455</v>
      </c>
      <c r="F57" s="24"/>
      <c r="G57" s="10"/>
      <c r="H57" s="10"/>
      <c r="I57" s="10"/>
      <c r="J57" s="10"/>
      <c r="K57" s="10"/>
      <c r="L57" s="10"/>
      <c r="M57" s="10"/>
      <c r="N57" s="10"/>
      <c r="O57" s="48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9"/>
      <c r="B58" s="21"/>
      <c r="C58" s="21"/>
      <c r="D58" s="22"/>
      <c r="E58" s="29"/>
      <c r="F58" s="24"/>
      <c r="G58" s="10"/>
      <c r="H58" s="10"/>
      <c r="I58" s="10"/>
      <c r="J58" s="10"/>
      <c r="K58" s="10"/>
      <c r="L58" s="10"/>
      <c r="M58" s="10"/>
      <c r="N58" s="10"/>
      <c r="O58" s="10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8" t="s">
        <v>59</v>
      </c>
      <c r="B59" s="20" t="s">
        <v>60</v>
      </c>
      <c r="C59" s="21"/>
      <c r="D59" s="22"/>
      <c r="E59" s="34"/>
      <c r="F59" s="24"/>
      <c r="G59" s="10"/>
      <c r="H59" s="10"/>
      <c r="I59" s="10"/>
      <c r="J59" s="10"/>
      <c r="K59" s="10"/>
      <c r="L59" s="10"/>
      <c r="M59" s="10"/>
      <c r="N59" s="10"/>
      <c r="O59" s="10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8"/>
      <c r="B60" s="49" t="s">
        <v>61</v>
      </c>
      <c r="C60" s="50" t="s">
        <v>62</v>
      </c>
      <c r="D60" s="22"/>
      <c r="E60" s="29">
        <f>KETAPANG!BE60+BULUSAN!AC60+KLATAK!AV60+KALIPURO!AR60+GOMBENGSARI!AC60+KELIR!W60+PESUCEN!R60+TELEMUNG!T60+BULUSARI!R60</f>
        <v>42837</v>
      </c>
      <c r="F60" s="24"/>
      <c r="G60" s="10"/>
      <c r="H60" s="10"/>
      <c r="I60" s="10"/>
      <c r="J60" s="10"/>
      <c r="K60" s="10"/>
      <c r="L60" s="10"/>
      <c r="M60" s="10"/>
      <c r="N60" s="10"/>
      <c r="O60" s="10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8"/>
      <c r="B61" s="49" t="s">
        <v>63</v>
      </c>
      <c r="C61" s="50" t="s">
        <v>64</v>
      </c>
      <c r="D61" s="22"/>
      <c r="E61" s="29">
        <f>KETAPANG!BE61+BULUSAN!AC61+KLATAK!AV61+KALIPURO!AR61+GOMBENGSARI!AC61+KELIR!W61+PESUCEN!R61+TELEMUNG!T61+BULUSARI!R61</f>
        <v>9035</v>
      </c>
      <c r="F61" s="24"/>
      <c r="G61" s="10"/>
      <c r="H61" s="10"/>
      <c r="I61" s="10"/>
      <c r="J61" s="10"/>
      <c r="K61" s="10"/>
      <c r="L61" s="10"/>
      <c r="M61" s="10"/>
      <c r="N61" s="10"/>
      <c r="O61" s="48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7.75" customHeight="1">
      <c r="A62" s="8"/>
      <c r="B62" s="49" t="s">
        <v>65</v>
      </c>
      <c r="C62" s="50" t="s">
        <v>66</v>
      </c>
      <c r="D62" s="22"/>
      <c r="E62" s="34">
        <f>SUM(E60:E61)</f>
        <v>51872</v>
      </c>
      <c r="F62" s="24"/>
      <c r="G62" s="10"/>
      <c r="H62" s="10"/>
      <c r="I62" s="10"/>
      <c r="J62" s="10"/>
      <c r="K62" s="10"/>
      <c r="L62" s="10"/>
      <c r="M62" s="10"/>
      <c r="N62" s="10"/>
      <c r="O62" s="48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0"/>
      <c r="B63" s="51"/>
      <c r="C63" s="52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48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0"/>
      <c r="B64" s="51"/>
      <c r="C64" s="52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48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hidden="1" customHeight="1">
      <c r="A65" s="10"/>
      <c r="B65" s="51"/>
      <c r="C65" s="52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48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hidden="1" customHeight="1">
      <c r="A66" s="10"/>
      <c r="B66" s="51"/>
      <c r="C66" s="52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48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hidden="1" customHeight="1">
      <c r="A67" s="10"/>
      <c r="B67" s="51"/>
      <c r="C67" s="52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48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hidden="1" customHeight="1">
      <c r="A68" s="10"/>
      <c r="B68" s="51"/>
      <c r="C68" s="52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48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hidden="1" customHeight="1">
      <c r="A69" s="10"/>
      <c r="B69" s="51"/>
      <c r="C69" s="52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48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hidden="1" customHeight="1">
      <c r="A70" s="10"/>
      <c r="B70" s="51"/>
      <c r="C70" s="52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48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hidden="1" customHeight="1">
      <c r="A71" s="10"/>
      <c r="B71" s="51"/>
      <c r="C71" s="52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48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hidden="1" customHeight="1">
      <c r="A72" s="10"/>
      <c r="B72" s="51"/>
      <c r="C72" s="52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48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hidden="1" customHeight="1">
      <c r="A73" s="10"/>
      <c r="B73" s="51"/>
      <c r="C73" s="52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48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hidden="1" customHeight="1">
      <c r="A74" s="10"/>
      <c r="B74" s="51"/>
      <c r="C74" s="52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48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hidden="1" customHeight="1">
      <c r="A75" s="10"/>
      <c r="B75" s="51"/>
      <c r="C75" s="52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48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hidden="1" customHeight="1">
      <c r="A76" s="10"/>
      <c r="B76" s="51"/>
      <c r="C76" s="52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48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hidden="1" customHeight="1">
      <c r="A77" s="10"/>
      <c r="B77" s="51"/>
      <c r="C77" s="52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48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hidden="1" customHeight="1">
      <c r="A78" s="10"/>
      <c r="B78" s="51"/>
      <c r="C78" s="52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48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hidden="1" customHeight="1">
      <c r="A79" s="10"/>
      <c r="B79" s="51"/>
      <c r="C79" s="52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48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hidden="1" customHeight="1">
      <c r="A80" s="10"/>
      <c r="B80" s="51"/>
      <c r="C80" s="52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48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hidden="1" customHeight="1">
      <c r="A81" s="10"/>
      <c r="B81" s="51"/>
      <c r="C81" s="52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48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hidden="1" customHeight="1">
      <c r="A82" s="10"/>
      <c r="B82" s="51"/>
      <c r="C82" s="52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48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hidden="1" customHeight="1">
      <c r="A83" s="10"/>
      <c r="B83" s="51"/>
      <c r="C83" s="52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48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hidden="1" customHeight="1">
      <c r="A84" s="10"/>
      <c r="B84" s="51"/>
      <c r="C84" s="52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48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hidden="1" customHeight="1">
      <c r="A85" s="10"/>
      <c r="B85" s="51"/>
      <c r="C85" s="52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48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hidden="1" customHeight="1">
      <c r="A86" s="10"/>
      <c r="B86" s="51"/>
      <c r="C86" s="52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48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hidden="1" customHeight="1">
      <c r="A87" s="10"/>
      <c r="B87" s="51"/>
      <c r="C87" s="52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48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hidden="1" customHeight="1">
      <c r="A88" s="10"/>
      <c r="B88" s="51"/>
      <c r="C88" s="52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48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hidden="1" customHeight="1">
      <c r="A89" s="10"/>
      <c r="B89" s="51"/>
      <c r="C89" s="52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48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hidden="1" customHeight="1">
      <c r="A90" s="10"/>
      <c r="B90" s="51"/>
      <c r="C90" s="52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48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hidden="1" customHeight="1">
      <c r="A91" s="10"/>
      <c r="B91" s="51"/>
      <c r="C91" s="5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48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hidden="1" customHeight="1">
      <c r="A92" s="10"/>
      <c r="B92" s="51"/>
      <c r="C92" s="5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48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hidden="1" customHeight="1">
      <c r="A93" s="10"/>
      <c r="B93" s="51"/>
      <c r="C93" s="5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48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hidden="1" customHeight="1">
      <c r="A94" s="10"/>
      <c r="B94" s="51"/>
      <c r="C94" s="52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48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hidden="1" customHeight="1">
      <c r="A95" s="10"/>
      <c r="B95" s="51"/>
      <c r="C95" s="52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48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hidden="1" customHeight="1">
      <c r="A96" s="10"/>
      <c r="B96" s="51"/>
      <c r="C96" s="52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48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hidden="1" customHeight="1">
      <c r="A97" s="10"/>
      <c r="B97" s="51"/>
      <c r="C97" s="52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48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hidden="1" customHeight="1">
      <c r="A98" s="10"/>
      <c r="B98" s="51"/>
      <c r="C98" s="52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48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hidden="1" customHeight="1">
      <c r="A99" s="10"/>
      <c r="B99" s="51"/>
      <c r="C99" s="52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48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hidden="1" customHeight="1">
      <c r="A100" s="10"/>
      <c r="B100" s="51"/>
      <c r="C100" s="52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48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hidden="1" customHeight="1">
      <c r="A101" s="10"/>
      <c r="B101" s="51"/>
      <c r="C101" s="52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48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hidden="1" customHeight="1">
      <c r="A102" s="10"/>
      <c r="B102" s="51"/>
      <c r="C102" s="52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48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hidden="1" customHeight="1">
      <c r="A103" s="10"/>
      <c r="B103" s="51"/>
      <c r="C103" s="52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48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hidden="1" customHeight="1">
      <c r="A104" s="10"/>
      <c r="B104" s="51"/>
      <c r="C104" s="52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48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hidden="1" customHeight="1">
      <c r="A105" s="10"/>
      <c r="B105" s="51"/>
      <c r="C105" s="52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48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hidden="1" customHeight="1">
      <c r="A106" s="10"/>
      <c r="B106" s="51"/>
      <c r="C106" s="52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48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hidden="1" customHeight="1">
      <c r="A107" s="10"/>
      <c r="B107" s="51"/>
      <c r="C107" s="52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48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hidden="1" customHeight="1">
      <c r="A108" s="10"/>
      <c r="B108" s="51"/>
      <c r="C108" s="52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48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hidden="1" customHeight="1">
      <c r="A109" s="10"/>
      <c r="B109" s="51"/>
      <c r="C109" s="52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48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hidden="1" customHeight="1">
      <c r="A110" s="10"/>
      <c r="B110" s="51"/>
      <c r="C110" s="52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48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hidden="1" customHeight="1">
      <c r="A111" s="10"/>
      <c r="B111" s="51"/>
      <c r="C111" s="52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48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hidden="1" customHeight="1">
      <c r="A112" s="10"/>
      <c r="B112" s="51"/>
      <c r="C112" s="52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48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hidden="1" customHeight="1">
      <c r="A113" s="10"/>
      <c r="B113" s="51"/>
      <c r="C113" s="52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48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hidden="1" customHeight="1">
      <c r="A114" s="10"/>
      <c r="B114" s="51"/>
      <c r="C114" s="52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48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hidden="1" customHeight="1">
      <c r="A115" s="10"/>
      <c r="B115" s="51"/>
      <c r="C115" s="52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48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hidden="1" customHeight="1">
      <c r="A116" s="10"/>
      <c r="B116" s="51"/>
      <c r="C116" s="52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48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hidden="1" customHeight="1">
      <c r="A117" s="10"/>
      <c r="B117" s="51"/>
      <c r="C117" s="52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48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hidden="1" customHeight="1">
      <c r="A118" s="10"/>
      <c r="B118" s="51"/>
      <c r="C118" s="52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48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hidden="1" customHeight="1">
      <c r="A119" s="10"/>
      <c r="B119" s="51"/>
      <c r="C119" s="52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48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hidden="1" customHeight="1">
      <c r="A120" s="10"/>
      <c r="B120" s="51"/>
      <c r="C120" s="52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48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hidden="1" customHeight="1">
      <c r="A121" s="10"/>
      <c r="B121" s="51"/>
      <c r="C121" s="52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48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hidden="1" customHeight="1">
      <c r="A122" s="10"/>
      <c r="B122" s="51"/>
      <c r="C122" s="52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48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hidden="1" customHeight="1">
      <c r="A123" s="10"/>
      <c r="B123" s="51"/>
      <c r="C123" s="52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48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hidden="1" customHeight="1">
      <c r="A124" s="10"/>
      <c r="B124" s="51"/>
      <c r="C124" s="52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48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hidden="1" customHeight="1">
      <c r="A125" s="10"/>
      <c r="B125" s="51"/>
      <c r="C125" s="52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48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hidden="1" customHeight="1">
      <c r="A126" s="10"/>
      <c r="B126" s="51"/>
      <c r="C126" s="52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48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hidden="1" customHeight="1">
      <c r="A127" s="10"/>
      <c r="B127" s="51"/>
      <c r="C127" s="52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48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hidden="1" customHeight="1">
      <c r="A128" s="10"/>
      <c r="B128" s="51"/>
      <c r="C128" s="52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48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hidden="1" customHeight="1">
      <c r="A129" s="10"/>
      <c r="B129" s="51"/>
      <c r="C129" s="52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48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hidden="1" customHeight="1">
      <c r="A130" s="10"/>
      <c r="B130" s="51"/>
      <c r="C130" s="52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48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hidden="1" customHeight="1">
      <c r="A131" s="10"/>
      <c r="B131" s="51"/>
      <c r="C131" s="52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48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hidden="1" customHeight="1">
      <c r="A132" s="10"/>
      <c r="B132" s="51"/>
      <c r="C132" s="52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48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hidden="1" customHeight="1">
      <c r="A133" s="10"/>
      <c r="B133" s="51"/>
      <c r="C133" s="52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48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hidden="1" customHeight="1">
      <c r="A134" s="10"/>
      <c r="B134" s="51"/>
      <c r="C134" s="52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48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hidden="1" customHeight="1">
      <c r="A135" s="10"/>
      <c r="B135" s="51"/>
      <c r="C135" s="52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48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hidden="1" customHeight="1">
      <c r="A136" s="10"/>
      <c r="B136" s="51"/>
      <c r="C136" s="52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48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hidden="1" customHeight="1">
      <c r="A137" s="10"/>
      <c r="B137" s="51"/>
      <c r="C137" s="52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48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hidden="1" customHeight="1">
      <c r="A138" s="10"/>
      <c r="B138" s="51"/>
      <c r="C138" s="52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48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hidden="1" customHeight="1">
      <c r="A139" s="10"/>
      <c r="B139" s="51"/>
      <c r="C139" s="52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48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hidden="1" customHeight="1">
      <c r="A140" s="10"/>
      <c r="B140" s="51"/>
      <c r="C140" s="52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48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hidden="1" customHeight="1">
      <c r="A141" s="10"/>
      <c r="B141" s="51"/>
      <c r="C141" s="52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48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hidden="1" customHeight="1">
      <c r="A142" s="10"/>
      <c r="B142" s="51"/>
      <c r="C142" s="52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48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hidden="1" customHeight="1">
      <c r="A143" s="10"/>
      <c r="B143" s="51"/>
      <c r="C143" s="52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48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hidden="1" customHeight="1">
      <c r="A144" s="10"/>
      <c r="B144" s="51"/>
      <c r="C144" s="52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48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hidden="1" customHeight="1">
      <c r="A145" s="10"/>
      <c r="B145" s="51"/>
      <c r="C145" s="52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48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hidden="1" customHeight="1">
      <c r="A146" s="10"/>
      <c r="B146" s="51"/>
      <c r="C146" s="52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48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hidden="1" customHeight="1">
      <c r="A147" s="10"/>
      <c r="B147" s="51"/>
      <c r="C147" s="52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48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hidden="1" customHeight="1">
      <c r="A148" s="10"/>
      <c r="B148" s="51"/>
      <c r="C148" s="52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48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hidden="1" customHeight="1">
      <c r="A149" s="10"/>
      <c r="B149" s="51"/>
      <c r="C149" s="52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48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hidden="1" customHeight="1">
      <c r="A150" s="10"/>
      <c r="B150" s="51"/>
      <c r="C150" s="52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48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hidden="1" customHeight="1">
      <c r="A151" s="10"/>
      <c r="B151" s="51"/>
      <c r="C151" s="52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48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hidden="1" customHeight="1">
      <c r="A152" s="10"/>
      <c r="B152" s="51"/>
      <c r="C152" s="52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48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hidden="1" customHeight="1">
      <c r="A153" s="10"/>
      <c r="B153" s="51"/>
      <c r="C153" s="52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48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hidden="1" customHeight="1">
      <c r="A154" s="10"/>
      <c r="B154" s="51"/>
      <c r="C154" s="52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48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hidden="1" customHeight="1">
      <c r="A155" s="10"/>
      <c r="B155" s="51"/>
      <c r="C155" s="52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48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hidden="1" customHeight="1">
      <c r="A156" s="10"/>
      <c r="B156" s="51"/>
      <c r="C156" s="52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48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hidden="1" customHeight="1">
      <c r="A157" s="10"/>
      <c r="B157" s="51"/>
      <c r="C157" s="52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48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hidden="1" customHeight="1">
      <c r="A158" s="10"/>
      <c r="B158" s="51"/>
      <c r="C158" s="52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48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hidden="1" customHeight="1">
      <c r="A159" s="10"/>
      <c r="B159" s="51"/>
      <c r="C159" s="52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48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hidden="1" customHeight="1">
      <c r="A160" s="10"/>
      <c r="B160" s="51"/>
      <c r="C160" s="52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48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hidden="1" customHeight="1">
      <c r="A161" s="10"/>
      <c r="B161" s="51"/>
      <c r="C161" s="52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48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hidden="1" customHeight="1">
      <c r="A162" s="10"/>
      <c r="B162" s="51"/>
      <c r="C162" s="52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48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hidden="1" customHeight="1">
      <c r="A163" s="10"/>
      <c r="B163" s="51"/>
      <c r="C163" s="52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48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hidden="1" customHeight="1">
      <c r="A164" s="10"/>
      <c r="B164" s="51"/>
      <c r="C164" s="52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48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hidden="1" customHeight="1">
      <c r="A165" s="10"/>
      <c r="B165" s="51"/>
      <c r="C165" s="52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48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hidden="1" customHeight="1">
      <c r="A166" s="10"/>
      <c r="B166" s="51"/>
      <c r="C166" s="52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48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hidden="1" customHeight="1">
      <c r="A167" s="10"/>
      <c r="B167" s="51"/>
      <c r="C167" s="52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48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hidden="1" customHeight="1">
      <c r="A168" s="10"/>
      <c r="B168" s="51"/>
      <c r="C168" s="52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48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hidden="1" customHeight="1">
      <c r="A169" s="10"/>
      <c r="B169" s="51"/>
      <c r="C169" s="52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48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hidden="1" customHeight="1">
      <c r="A170" s="10"/>
      <c r="B170" s="51"/>
      <c r="C170" s="52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48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hidden="1" customHeight="1">
      <c r="A171" s="10"/>
      <c r="B171" s="51"/>
      <c r="C171" s="52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48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hidden="1" customHeight="1">
      <c r="A172" s="10"/>
      <c r="B172" s="51"/>
      <c r="C172" s="52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48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hidden="1" customHeight="1">
      <c r="A173" s="10"/>
      <c r="B173" s="51"/>
      <c r="C173" s="52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48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hidden="1" customHeight="1">
      <c r="A174" s="10"/>
      <c r="B174" s="51"/>
      <c r="C174" s="52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48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hidden="1" customHeight="1">
      <c r="A175" s="10"/>
      <c r="B175" s="51"/>
      <c r="C175" s="52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48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hidden="1" customHeight="1">
      <c r="A176" s="10"/>
      <c r="B176" s="51"/>
      <c r="C176" s="52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48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hidden="1" customHeight="1">
      <c r="A177" s="10"/>
      <c r="B177" s="51"/>
      <c r="C177" s="52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48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hidden="1" customHeight="1">
      <c r="A178" s="10"/>
      <c r="B178" s="51"/>
      <c r="C178" s="52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48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hidden="1" customHeight="1">
      <c r="A179" s="10"/>
      <c r="B179" s="51"/>
      <c r="C179" s="52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48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hidden="1" customHeight="1">
      <c r="A180" s="10"/>
      <c r="B180" s="51"/>
      <c r="C180" s="52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48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hidden="1" customHeight="1">
      <c r="A181" s="10"/>
      <c r="B181" s="51"/>
      <c r="C181" s="52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48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hidden="1" customHeight="1">
      <c r="A182" s="10"/>
      <c r="B182" s="51"/>
      <c r="C182" s="52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48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hidden="1" customHeight="1">
      <c r="A183" s="10"/>
      <c r="B183" s="51"/>
      <c r="C183" s="52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48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hidden="1" customHeight="1">
      <c r="A184" s="10"/>
      <c r="B184" s="51"/>
      <c r="C184" s="52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48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hidden="1" customHeight="1">
      <c r="A185" s="10"/>
      <c r="B185" s="51"/>
      <c r="C185" s="52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48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hidden="1" customHeight="1">
      <c r="A186" s="10"/>
      <c r="B186" s="51"/>
      <c r="C186" s="52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48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hidden="1" customHeight="1">
      <c r="A187" s="10"/>
      <c r="B187" s="51"/>
      <c r="C187" s="52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48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hidden="1" customHeight="1">
      <c r="A188" s="10"/>
      <c r="B188" s="51"/>
      <c r="C188" s="52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48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hidden="1" customHeight="1">
      <c r="A189" s="10"/>
      <c r="B189" s="51"/>
      <c r="C189" s="52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48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hidden="1" customHeight="1">
      <c r="A190" s="10"/>
      <c r="B190" s="51"/>
      <c r="C190" s="52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48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hidden="1" customHeight="1">
      <c r="A191" s="10"/>
      <c r="B191" s="51"/>
      <c r="C191" s="52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48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hidden="1" customHeight="1">
      <c r="A192" s="10"/>
      <c r="B192" s="51"/>
      <c r="C192" s="52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48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hidden="1" customHeight="1">
      <c r="A193" s="10"/>
      <c r="B193" s="51"/>
      <c r="C193" s="52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48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hidden="1" customHeight="1">
      <c r="A194" s="10"/>
      <c r="B194" s="51"/>
      <c r="C194" s="52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48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hidden="1" customHeight="1">
      <c r="A195" s="10"/>
      <c r="B195" s="51"/>
      <c r="C195" s="52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48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hidden="1" customHeight="1">
      <c r="A196" s="10"/>
      <c r="B196" s="51"/>
      <c r="C196" s="52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48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hidden="1" customHeight="1">
      <c r="A197" s="10"/>
      <c r="B197" s="51"/>
      <c r="C197" s="52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48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hidden="1" customHeight="1">
      <c r="A198" s="10"/>
      <c r="B198" s="51"/>
      <c r="C198" s="52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48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hidden="1" customHeight="1">
      <c r="A199" s="10"/>
      <c r="B199" s="51"/>
      <c r="C199" s="52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48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hidden="1" customHeight="1">
      <c r="A200" s="10"/>
      <c r="B200" s="51"/>
      <c r="C200" s="52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48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hidden="1" customHeight="1">
      <c r="A201" s="10"/>
      <c r="B201" s="51"/>
      <c r="C201" s="52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48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hidden="1" customHeight="1">
      <c r="A202" s="10"/>
      <c r="B202" s="51"/>
      <c r="C202" s="52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48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hidden="1" customHeight="1">
      <c r="A203" s="10"/>
      <c r="B203" s="51"/>
      <c r="C203" s="52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48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hidden="1" customHeight="1">
      <c r="A204" s="10"/>
      <c r="B204" s="51"/>
      <c r="C204" s="52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48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hidden="1" customHeight="1">
      <c r="A205" s="10"/>
      <c r="B205" s="51"/>
      <c r="C205" s="52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48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hidden="1" customHeight="1">
      <c r="A206" s="10"/>
      <c r="B206" s="51"/>
      <c r="C206" s="52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48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hidden="1" customHeight="1">
      <c r="A207" s="10"/>
      <c r="B207" s="51"/>
      <c r="C207" s="52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48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hidden="1" customHeight="1">
      <c r="A208" s="10"/>
      <c r="B208" s="51"/>
      <c r="C208" s="52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48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hidden="1" customHeight="1">
      <c r="A209" s="10"/>
      <c r="B209" s="51"/>
      <c r="C209" s="52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48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hidden="1" customHeight="1">
      <c r="A210" s="10"/>
      <c r="B210" s="51"/>
      <c r="C210" s="52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48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hidden="1" customHeight="1">
      <c r="A211" s="10"/>
      <c r="B211" s="51"/>
      <c r="C211" s="52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48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hidden="1" customHeight="1">
      <c r="A212" s="10"/>
      <c r="B212" s="51"/>
      <c r="C212" s="52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48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hidden="1" customHeight="1">
      <c r="A213" s="10"/>
      <c r="B213" s="51"/>
      <c r="C213" s="52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48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hidden="1" customHeight="1">
      <c r="A214" s="10"/>
      <c r="B214" s="51"/>
      <c r="C214" s="52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48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hidden="1" customHeight="1">
      <c r="A215" s="10"/>
      <c r="B215" s="51"/>
      <c r="C215" s="52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48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hidden="1" customHeight="1">
      <c r="A216" s="10"/>
      <c r="B216" s="51"/>
      <c r="C216" s="52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48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hidden="1" customHeight="1">
      <c r="A217" s="10"/>
      <c r="B217" s="51"/>
      <c r="C217" s="52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48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hidden="1" customHeight="1">
      <c r="A218" s="10"/>
      <c r="B218" s="51"/>
      <c r="C218" s="52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48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hidden="1" customHeight="1">
      <c r="A219" s="10"/>
      <c r="B219" s="51"/>
      <c r="C219" s="52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48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hidden="1" customHeight="1">
      <c r="A220" s="10"/>
      <c r="B220" s="51"/>
      <c r="C220" s="52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48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hidden="1" customHeight="1">
      <c r="A221" s="10"/>
      <c r="B221" s="51"/>
      <c r="C221" s="52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48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hidden="1" customHeight="1">
      <c r="A222" s="10"/>
      <c r="B222" s="51"/>
      <c r="C222" s="52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48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hidden="1" customHeight="1">
      <c r="A223" s="10"/>
      <c r="B223" s="51"/>
      <c r="C223" s="52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48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hidden="1" customHeight="1">
      <c r="A224" s="10"/>
      <c r="B224" s="51"/>
      <c r="C224" s="52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48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hidden="1" customHeight="1">
      <c r="A225" s="10"/>
      <c r="B225" s="51"/>
      <c r="C225" s="52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48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hidden="1" customHeight="1">
      <c r="A226" s="10"/>
      <c r="B226" s="51"/>
      <c r="C226" s="52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48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hidden="1" customHeight="1">
      <c r="A227" s="10"/>
      <c r="B227" s="51"/>
      <c r="C227" s="52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48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hidden="1" customHeight="1">
      <c r="A228" s="10"/>
      <c r="B228" s="51"/>
      <c r="C228" s="52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48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hidden="1" customHeight="1">
      <c r="A229" s="10"/>
      <c r="B229" s="51"/>
      <c r="C229" s="52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48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hidden="1" customHeight="1">
      <c r="A230" s="10"/>
      <c r="B230" s="51"/>
      <c r="C230" s="52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48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hidden="1" customHeight="1">
      <c r="A231" s="10"/>
      <c r="B231" s="51"/>
      <c r="C231" s="52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48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hidden="1" customHeight="1">
      <c r="A232" s="10"/>
      <c r="B232" s="51"/>
      <c r="C232" s="52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48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hidden="1" customHeight="1">
      <c r="A233" s="10"/>
      <c r="B233" s="51"/>
      <c r="C233" s="52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48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hidden="1" customHeight="1">
      <c r="A234" s="10"/>
      <c r="B234" s="51"/>
      <c r="C234" s="52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48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hidden="1" customHeight="1">
      <c r="A235" s="10"/>
      <c r="B235" s="51"/>
      <c r="C235" s="52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48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hidden="1" customHeight="1">
      <c r="A236" s="10"/>
      <c r="B236" s="51"/>
      <c r="C236" s="52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48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hidden="1" customHeight="1">
      <c r="A237" s="10"/>
      <c r="B237" s="51"/>
      <c r="C237" s="52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48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hidden="1" customHeight="1">
      <c r="A238" s="10"/>
      <c r="B238" s="51"/>
      <c r="C238" s="52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48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hidden="1" customHeight="1">
      <c r="A239" s="10"/>
      <c r="B239" s="51"/>
      <c r="C239" s="52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48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hidden="1" customHeight="1">
      <c r="A240" s="10"/>
      <c r="B240" s="51"/>
      <c r="C240" s="52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48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hidden="1" customHeight="1">
      <c r="A241" s="10"/>
      <c r="B241" s="51"/>
      <c r="C241" s="52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48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hidden="1" customHeight="1">
      <c r="A242" s="10"/>
      <c r="B242" s="51"/>
      <c r="C242" s="52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48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hidden="1" customHeight="1">
      <c r="A243" s="10"/>
      <c r="B243" s="51"/>
      <c r="C243" s="52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48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hidden="1" customHeight="1">
      <c r="A244" s="10"/>
      <c r="B244" s="51"/>
      <c r="C244" s="52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48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hidden="1" customHeight="1">
      <c r="A245" s="10"/>
      <c r="B245" s="51"/>
      <c r="C245" s="52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48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hidden="1" customHeight="1">
      <c r="A246" s="10"/>
      <c r="B246" s="51"/>
      <c r="C246" s="52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48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hidden="1" customHeight="1">
      <c r="A247" s="10"/>
      <c r="B247" s="51"/>
      <c r="C247" s="52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48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hidden="1" customHeight="1">
      <c r="A248" s="10"/>
      <c r="B248" s="51"/>
      <c r="C248" s="52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48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hidden="1" customHeight="1">
      <c r="A249" s="10"/>
      <c r="B249" s="51"/>
      <c r="C249" s="52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48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hidden="1" customHeight="1">
      <c r="A250" s="10"/>
      <c r="B250" s="51"/>
      <c r="C250" s="52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48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hidden="1" customHeight="1">
      <c r="A251" s="10"/>
      <c r="B251" s="51"/>
      <c r="C251" s="52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48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hidden="1" customHeight="1">
      <c r="A252" s="10"/>
      <c r="B252" s="51"/>
      <c r="C252" s="52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48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hidden="1" customHeight="1">
      <c r="A253" s="10"/>
      <c r="B253" s="51"/>
      <c r="C253" s="52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48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hidden="1" customHeight="1">
      <c r="A254" s="10"/>
      <c r="B254" s="51"/>
      <c r="C254" s="52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48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hidden="1" customHeight="1">
      <c r="A255" s="10"/>
      <c r="B255" s="51"/>
      <c r="C255" s="52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48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hidden="1" customHeight="1">
      <c r="A256" s="10"/>
      <c r="B256" s="51"/>
      <c r="C256" s="52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48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hidden="1" customHeight="1">
      <c r="A257" s="10"/>
      <c r="B257" s="51"/>
      <c r="C257" s="52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48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hidden="1" customHeight="1">
      <c r="A258" s="10"/>
      <c r="B258" s="51"/>
      <c r="C258" s="52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48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hidden="1" customHeight="1">
      <c r="A259" s="10"/>
      <c r="B259" s="51"/>
      <c r="C259" s="52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48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hidden="1" customHeight="1">
      <c r="A260" s="10"/>
      <c r="B260" s="51"/>
      <c r="C260" s="52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48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hidden="1" customHeight="1">
      <c r="A261" s="10"/>
      <c r="B261" s="51"/>
      <c r="C261" s="52"/>
      <c r="D261" s="10"/>
      <c r="E261" s="10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hidden="1" customHeight="1">
      <c r="A262" s="10"/>
      <c r="B262" s="51"/>
      <c r="C262" s="52"/>
      <c r="D262" s="10"/>
      <c r="E262" s="10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B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61:D61"/>
    <mergeCell ref="C62:D62"/>
    <mergeCell ref="C54:D54"/>
    <mergeCell ref="C55:D55"/>
    <mergeCell ref="C56:D56"/>
    <mergeCell ref="C57:D57"/>
    <mergeCell ref="A58:D58"/>
    <mergeCell ref="B59:D59"/>
    <mergeCell ref="C60:D60"/>
  </mergeCells>
  <conditionalFormatting sqref="E30">
    <cfRule type="expression" dxfId="0" priority="1">
      <formula>E30&lt;&gt;E62</formula>
    </cfRule>
  </conditionalFormatting>
  <conditionalFormatting sqref="E30">
    <cfRule type="expression" dxfId="0" priority="2">
      <formula>E30&lt;&gt;E34</formula>
    </cfRule>
  </conditionalFormatting>
  <conditionalFormatting sqref="E62">
    <cfRule type="expression" dxfId="0" priority="3">
      <formula>E62&lt;&gt;E30</formula>
    </cfRule>
  </conditionalFormatting>
  <conditionalFormatting sqref="E62">
    <cfRule type="expression" dxfId="0" priority="4">
      <formula>E62&lt;&gt;E34</formula>
    </cfRule>
  </conditionalFormatting>
  <conditionalFormatting sqref="F58:O60">
    <cfRule type="cellIs" dxfId="0" priority="5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67.14"/>
    <col customWidth="1" min="4" max="4" width="14.57"/>
    <col customWidth="1" min="5" max="13" width="9.14"/>
    <col customWidth="1" min="14" max="14" width="9.57"/>
    <col customWidth="1" min="15" max="57" width="9.14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ht="12.75" customHeight="1">
      <c r="A2" s="1"/>
      <c r="B2" s="1"/>
      <c r="C2" s="1" t="s">
        <v>0</v>
      </c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ht="15.0" customHeight="1">
      <c r="A3" s="1"/>
      <c r="B3" s="1"/>
      <c r="C3" s="1" t="s">
        <v>2</v>
      </c>
      <c r="D3" s="1" t="s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ht="15.0" customHeight="1">
      <c r="A4" s="1"/>
      <c r="B4" s="1"/>
      <c r="C4" s="1" t="s">
        <v>4</v>
      </c>
      <c r="D4" s="1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ht="12.75" customHeight="1">
      <c r="A9" s="1"/>
      <c r="B9" s="1"/>
      <c r="C9" s="1" t="s">
        <v>67</v>
      </c>
      <c r="D9" s="1" t="s">
        <v>68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ht="12.75" customHeight="1">
      <c r="A11" s="2"/>
      <c r="B11" s="16"/>
      <c r="C11" s="16"/>
      <c r="D11" s="16"/>
      <c r="E11" s="2"/>
      <c r="F11" s="2"/>
      <c r="G11" s="2"/>
      <c r="H11" s="2"/>
      <c r="I11" s="2"/>
      <c r="J11" s="2"/>
      <c r="K11" s="2"/>
      <c r="L11" s="2"/>
      <c r="M11" s="2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ht="12.75" customHeight="1">
      <c r="A12" s="8" t="s">
        <v>6</v>
      </c>
      <c r="B12" s="20" t="s">
        <v>7</v>
      </c>
      <c r="C12" s="21"/>
      <c r="D12" s="22"/>
      <c r="E12" s="34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53" t="s">
        <v>8</v>
      </c>
    </row>
    <row r="13" ht="12.75" customHeight="1">
      <c r="A13" s="12" t="s">
        <v>9</v>
      </c>
      <c r="B13" s="25" t="s">
        <v>10</v>
      </c>
      <c r="C13" s="21"/>
      <c r="D13" s="22"/>
      <c r="E13" s="8" t="s">
        <v>69</v>
      </c>
      <c r="F13" s="8" t="s">
        <v>70</v>
      </c>
      <c r="G13" s="8" t="s">
        <v>71</v>
      </c>
      <c r="H13" s="8" t="s">
        <v>72</v>
      </c>
      <c r="I13" s="8" t="s">
        <v>73</v>
      </c>
      <c r="J13" s="8" t="s">
        <v>74</v>
      </c>
      <c r="K13" s="8" t="s">
        <v>75</v>
      </c>
      <c r="L13" s="8" t="s">
        <v>76</v>
      </c>
      <c r="M13" s="8" t="s">
        <v>77</v>
      </c>
      <c r="N13" s="8" t="s">
        <v>78</v>
      </c>
      <c r="O13" s="8" t="s">
        <v>79</v>
      </c>
      <c r="P13" s="8" t="s">
        <v>80</v>
      </c>
      <c r="Q13" s="8" t="s">
        <v>81</v>
      </c>
      <c r="R13" s="8" t="s">
        <v>82</v>
      </c>
      <c r="S13" s="8" t="s">
        <v>83</v>
      </c>
      <c r="T13" s="8" t="s">
        <v>84</v>
      </c>
      <c r="U13" s="8" t="s">
        <v>85</v>
      </c>
      <c r="V13" s="8" t="s">
        <v>86</v>
      </c>
      <c r="W13" s="8" t="s">
        <v>87</v>
      </c>
      <c r="X13" s="8" t="s">
        <v>88</v>
      </c>
      <c r="Y13" s="8" t="s">
        <v>89</v>
      </c>
      <c r="Z13" s="8" t="s">
        <v>90</v>
      </c>
      <c r="AA13" s="8" t="s">
        <v>91</v>
      </c>
      <c r="AB13" s="8" t="s">
        <v>92</v>
      </c>
      <c r="AC13" s="8" t="s">
        <v>93</v>
      </c>
      <c r="AD13" s="8" t="s">
        <v>94</v>
      </c>
      <c r="AE13" s="8" t="s">
        <v>95</v>
      </c>
      <c r="AF13" s="8" t="s">
        <v>96</v>
      </c>
      <c r="AG13" s="8" t="s">
        <v>97</v>
      </c>
      <c r="AH13" s="8" t="s">
        <v>98</v>
      </c>
      <c r="AI13" s="8" t="s">
        <v>99</v>
      </c>
      <c r="AJ13" s="8" t="s">
        <v>100</v>
      </c>
      <c r="AK13" s="8" t="s">
        <v>101</v>
      </c>
      <c r="AL13" s="8" t="s">
        <v>102</v>
      </c>
      <c r="AM13" s="8" t="s">
        <v>103</v>
      </c>
      <c r="AN13" s="8" t="s">
        <v>104</v>
      </c>
      <c r="AO13" s="8" t="s">
        <v>105</v>
      </c>
      <c r="AP13" s="8" t="s">
        <v>106</v>
      </c>
      <c r="AQ13" s="8" t="s">
        <v>107</v>
      </c>
      <c r="AR13" s="8" t="s">
        <v>108</v>
      </c>
      <c r="AS13" s="8" t="s">
        <v>109</v>
      </c>
      <c r="AT13" s="8" t="s">
        <v>110</v>
      </c>
      <c r="AU13" s="8" t="s">
        <v>111</v>
      </c>
      <c r="AV13" s="8" t="s">
        <v>112</v>
      </c>
      <c r="AW13" s="8" t="s">
        <v>113</v>
      </c>
      <c r="AX13" s="8" t="s">
        <v>114</v>
      </c>
      <c r="AY13" s="8" t="s">
        <v>115</v>
      </c>
      <c r="AZ13" s="8" t="s">
        <v>116</v>
      </c>
      <c r="BA13" s="8" t="s">
        <v>117</v>
      </c>
      <c r="BB13" s="8" t="s">
        <v>118</v>
      </c>
      <c r="BC13" s="8" t="s">
        <v>119</v>
      </c>
      <c r="BD13" s="8" t="s">
        <v>120</v>
      </c>
      <c r="BE13" s="33"/>
    </row>
    <row r="14" ht="12.75" customHeight="1">
      <c r="A14" s="24"/>
      <c r="B14" s="27" t="s">
        <v>11</v>
      </c>
      <c r="C14" s="28"/>
      <c r="D14" s="12" t="s">
        <v>12</v>
      </c>
      <c r="E14" s="12">
        <v>138.0</v>
      </c>
      <c r="F14" s="12">
        <v>139.0</v>
      </c>
      <c r="G14" s="12">
        <v>141.0</v>
      </c>
      <c r="H14" s="12">
        <v>142.0</v>
      </c>
      <c r="I14" s="12">
        <v>141.0</v>
      </c>
      <c r="J14" s="12">
        <v>101.0</v>
      </c>
      <c r="K14" s="12">
        <v>124.0</v>
      </c>
      <c r="L14" s="12">
        <v>133.0</v>
      </c>
      <c r="M14" s="12">
        <v>108.0</v>
      </c>
      <c r="N14" s="12">
        <v>93.0</v>
      </c>
      <c r="O14" s="12">
        <v>138.0</v>
      </c>
      <c r="P14" s="12">
        <v>122.0</v>
      </c>
      <c r="Q14" s="12">
        <v>138.0</v>
      </c>
      <c r="R14" s="12">
        <v>144.0</v>
      </c>
      <c r="S14" s="12">
        <v>140.0</v>
      </c>
      <c r="T14" s="12">
        <v>125.0</v>
      </c>
      <c r="U14" s="12">
        <v>124.0</v>
      </c>
      <c r="V14" s="12">
        <v>128.0</v>
      </c>
      <c r="W14" s="12">
        <v>112.0</v>
      </c>
      <c r="X14" s="12">
        <v>95.0</v>
      </c>
      <c r="Y14" s="12">
        <v>140.0</v>
      </c>
      <c r="Z14" s="12">
        <v>128.0</v>
      </c>
      <c r="AA14" s="12">
        <v>139.0</v>
      </c>
      <c r="AB14" s="12">
        <v>146.0</v>
      </c>
      <c r="AC14" s="12">
        <v>149.0</v>
      </c>
      <c r="AD14" s="12">
        <v>140.0</v>
      </c>
      <c r="AE14" s="12">
        <v>107.0</v>
      </c>
      <c r="AF14" s="12">
        <v>142.0</v>
      </c>
      <c r="AG14" s="12">
        <v>142.0</v>
      </c>
      <c r="AH14" s="12">
        <v>141.0</v>
      </c>
      <c r="AI14" s="12">
        <v>133.0</v>
      </c>
      <c r="AJ14" s="12">
        <v>135.0</v>
      </c>
      <c r="AK14" s="12">
        <v>132.0</v>
      </c>
      <c r="AL14" s="12">
        <v>146.0</v>
      </c>
      <c r="AM14" s="12">
        <v>127.0</v>
      </c>
      <c r="AN14" s="12">
        <v>148.0</v>
      </c>
      <c r="AO14" s="12">
        <v>143.0</v>
      </c>
      <c r="AP14" s="12">
        <v>131.0</v>
      </c>
      <c r="AQ14" s="12">
        <v>98.0</v>
      </c>
      <c r="AR14" s="12">
        <v>143.0</v>
      </c>
      <c r="AS14" s="12">
        <v>135.0</v>
      </c>
      <c r="AT14" s="12">
        <v>136.0</v>
      </c>
      <c r="AU14" s="12">
        <v>137.0</v>
      </c>
      <c r="AV14" s="12">
        <v>139.0</v>
      </c>
      <c r="AW14" s="12">
        <v>123.0</v>
      </c>
      <c r="AX14" s="12">
        <v>125.0</v>
      </c>
      <c r="AY14" s="12">
        <v>91.0</v>
      </c>
      <c r="AZ14" s="12">
        <v>137.0</v>
      </c>
      <c r="BA14" s="12">
        <v>121.0</v>
      </c>
      <c r="BB14" s="12">
        <v>125.0</v>
      </c>
      <c r="BC14" s="12">
        <v>121.0</v>
      </c>
      <c r="BD14" s="12">
        <v>116.0</v>
      </c>
      <c r="BE14" s="8">
        <f t="shared" ref="BE14:BE16" si="1">SUM(E14:BD14)</f>
        <v>6742</v>
      </c>
    </row>
    <row r="15" ht="12.75" customHeight="1">
      <c r="A15" s="24"/>
      <c r="B15" s="30"/>
      <c r="C15" s="31"/>
      <c r="D15" s="12" t="s">
        <v>13</v>
      </c>
      <c r="E15" s="12">
        <v>128.0</v>
      </c>
      <c r="F15" s="12">
        <v>132.0</v>
      </c>
      <c r="G15" s="12">
        <v>148.0</v>
      </c>
      <c r="H15" s="12">
        <v>139.0</v>
      </c>
      <c r="I15" s="12">
        <v>142.0</v>
      </c>
      <c r="J15" s="12">
        <v>125.0</v>
      </c>
      <c r="K15" s="12">
        <v>155.0</v>
      </c>
      <c r="L15" s="12">
        <v>131.0</v>
      </c>
      <c r="M15" s="12">
        <v>107.0</v>
      </c>
      <c r="N15" s="12">
        <v>94.0</v>
      </c>
      <c r="O15" s="12">
        <v>156.0</v>
      </c>
      <c r="P15" s="12">
        <v>129.0</v>
      </c>
      <c r="Q15" s="12">
        <v>148.0</v>
      </c>
      <c r="R15" s="12">
        <v>139.0</v>
      </c>
      <c r="S15" s="12">
        <v>136.0</v>
      </c>
      <c r="T15" s="12">
        <v>132.0</v>
      </c>
      <c r="U15" s="12">
        <v>139.0</v>
      </c>
      <c r="V15" s="12">
        <v>141.0</v>
      </c>
      <c r="W15" s="12">
        <v>123.0</v>
      </c>
      <c r="X15" s="12">
        <v>100.0</v>
      </c>
      <c r="Y15" s="12">
        <v>142.0</v>
      </c>
      <c r="Z15" s="12">
        <v>146.0</v>
      </c>
      <c r="AA15" s="12">
        <v>146.0</v>
      </c>
      <c r="AB15" s="12">
        <v>154.0</v>
      </c>
      <c r="AC15" s="12">
        <v>150.0</v>
      </c>
      <c r="AD15" s="12">
        <v>157.0</v>
      </c>
      <c r="AE15" s="12">
        <v>105.0</v>
      </c>
      <c r="AF15" s="12">
        <v>153.0</v>
      </c>
      <c r="AG15" s="12">
        <v>145.0</v>
      </c>
      <c r="AH15" s="12">
        <v>147.0</v>
      </c>
      <c r="AI15" s="12">
        <v>140.0</v>
      </c>
      <c r="AJ15" s="12">
        <v>155.0</v>
      </c>
      <c r="AK15" s="12">
        <v>124.0</v>
      </c>
      <c r="AL15" s="12">
        <v>150.0</v>
      </c>
      <c r="AM15" s="12">
        <v>142.0</v>
      </c>
      <c r="AN15" s="12">
        <v>148.0</v>
      </c>
      <c r="AO15" s="12">
        <v>154.0</v>
      </c>
      <c r="AP15" s="12">
        <v>135.0</v>
      </c>
      <c r="AQ15" s="12">
        <v>120.0</v>
      </c>
      <c r="AR15" s="12">
        <v>147.0</v>
      </c>
      <c r="AS15" s="12">
        <v>149.0</v>
      </c>
      <c r="AT15" s="12">
        <v>134.0</v>
      </c>
      <c r="AU15" s="12">
        <v>133.0</v>
      </c>
      <c r="AV15" s="12">
        <v>133.0</v>
      </c>
      <c r="AW15" s="12">
        <v>129.0</v>
      </c>
      <c r="AX15" s="12">
        <v>137.0</v>
      </c>
      <c r="AY15" s="12">
        <v>102.0</v>
      </c>
      <c r="AZ15" s="12">
        <v>147.0</v>
      </c>
      <c r="BA15" s="12">
        <v>126.0</v>
      </c>
      <c r="BB15" s="12">
        <v>126.0</v>
      </c>
      <c r="BC15" s="12">
        <v>134.0</v>
      </c>
      <c r="BD15" s="12">
        <v>104.0</v>
      </c>
      <c r="BE15" s="8">
        <f t="shared" si="1"/>
        <v>7058</v>
      </c>
    </row>
    <row r="16" ht="12.75" customHeight="1">
      <c r="A16" s="32"/>
      <c r="B16" s="26"/>
      <c r="C16" s="33"/>
      <c r="D16" s="8" t="s">
        <v>14</v>
      </c>
      <c r="E16" s="8">
        <f t="shared" ref="E16:BD16" si="2">SUM(E14:E15)</f>
        <v>266</v>
      </c>
      <c r="F16" s="8">
        <f t="shared" si="2"/>
        <v>271</v>
      </c>
      <c r="G16" s="8">
        <f t="shared" si="2"/>
        <v>289</v>
      </c>
      <c r="H16" s="8">
        <f t="shared" si="2"/>
        <v>281</v>
      </c>
      <c r="I16" s="8">
        <f t="shared" si="2"/>
        <v>283</v>
      </c>
      <c r="J16" s="8">
        <f t="shared" si="2"/>
        <v>226</v>
      </c>
      <c r="K16" s="8">
        <f t="shared" si="2"/>
        <v>279</v>
      </c>
      <c r="L16" s="8">
        <f t="shared" si="2"/>
        <v>264</v>
      </c>
      <c r="M16" s="8">
        <f t="shared" si="2"/>
        <v>215</v>
      </c>
      <c r="N16" s="8">
        <f t="shared" si="2"/>
        <v>187</v>
      </c>
      <c r="O16" s="8">
        <f t="shared" si="2"/>
        <v>294</v>
      </c>
      <c r="P16" s="8">
        <f t="shared" si="2"/>
        <v>251</v>
      </c>
      <c r="Q16" s="8">
        <f t="shared" si="2"/>
        <v>286</v>
      </c>
      <c r="R16" s="8">
        <f t="shared" si="2"/>
        <v>283</v>
      </c>
      <c r="S16" s="8">
        <f t="shared" si="2"/>
        <v>276</v>
      </c>
      <c r="T16" s="8">
        <f t="shared" si="2"/>
        <v>257</v>
      </c>
      <c r="U16" s="8">
        <f t="shared" si="2"/>
        <v>263</v>
      </c>
      <c r="V16" s="8">
        <f t="shared" si="2"/>
        <v>269</v>
      </c>
      <c r="W16" s="8">
        <f t="shared" si="2"/>
        <v>235</v>
      </c>
      <c r="X16" s="8">
        <f t="shared" si="2"/>
        <v>195</v>
      </c>
      <c r="Y16" s="8">
        <f t="shared" si="2"/>
        <v>282</v>
      </c>
      <c r="Z16" s="8">
        <f t="shared" si="2"/>
        <v>274</v>
      </c>
      <c r="AA16" s="8">
        <f t="shared" si="2"/>
        <v>285</v>
      </c>
      <c r="AB16" s="8">
        <f t="shared" si="2"/>
        <v>300</v>
      </c>
      <c r="AC16" s="8">
        <f t="shared" si="2"/>
        <v>299</v>
      </c>
      <c r="AD16" s="8">
        <f t="shared" si="2"/>
        <v>297</v>
      </c>
      <c r="AE16" s="8">
        <f t="shared" si="2"/>
        <v>212</v>
      </c>
      <c r="AF16" s="8">
        <f t="shared" si="2"/>
        <v>295</v>
      </c>
      <c r="AG16" s="8">
        <f t="shared" si="2"/>
        <v>287</v>
      </c>
      <c r="AH16" s="8">
        <f t="shared" si="2"/>
        <v>288</v>
      </c>
      <c r="AI16" s="8">
        <f t="shared" si="2"/>
        <v>273</v>
      </c>
      <c r="AJ16" s="8">
        <f t="shared" si="2"/>
        <v>290</v>
      </c>
      <c r="AK16" s="8">
        <f t="shared" si="2"/>
        <v>256</v>
      </c>
      <c r="AL16" s="8">
        <f t="shared" si="2"/>
        <v>296</v>
      </c>
      <c r="AM16" s="8">
        <f t="shared" si="2"/>
        <v>269</v>
      </c>
      <c r="AN16" s="8">
        <f t="shared" si="2"/>
        <v>296</v>
      </c>
      <c r="AO16" s="8">
        <f t="shared" si="2"/>
        <v>297</v>
      </c>
      <c r="AP16" s="8">
        <f t="shared" si="2"/>
        <v>266</v>
      </c>
      <c r="AQ16" s="8">
        <f t="shared" si="2"/>
        <v>218</v>
      </c>
      <c r="AR16" s="8">
        <f t="shared" si="2"/>
        <v>290</v>
      </c>
      <c r="AS16" s="8">
        <f t="shared" si="2"/>
        <v>284</v>
      </c>
      <c r="AT16" s="8">
        <f t="shared" si="2"/>
        <v>270</v>
      </c>
      <c r="AU16" s="8">
        <f t="shared" si="2"/>
        <v>270</v>
      </c>
      <c r="AV16" s="8">
        <f t="shared" si="2"/>
        <v>272</v>
      </c>
      <c r="AW16" s="8">
        <f t="shared" si="2"/>
        <v>252</v>
      </c>
      <c r="AX16" s="8">
        <f t="shared" si="2"/>
        <v>262</v>
      </c>
      <c r="AY16" s="8">
        <f t="shared" si="2"/>
        <v>193</v>
      </c>
      <c r="AZ16" s="8">
        <f t="shared" si="2"/>
        <v>284</v>
      </c>
      <c r="BA16" s="8">
        <f t="shared" si="2"/>
        <v>247</v>
      </c>
      <c r="BB16" s="8">
        <f t="shared" si="2"/>
        <v>251</v>
      </c>
      <c r="BC16" s="8">
        <f t="shared" si="2"/>
        <v>255</v>
      </c>
      <c r="BD16" s="8">
        <f t="shared" si="2"/>
        <v>220</v>
      </c>
      <c r="BE16" s="8">
        <f t="shared" si="1"/>
        <v>13800</v>
      </c>
    </row>
    <row r="17" ht="12.75" customHeight="1">
      <c r="A17" s="29"/>
      <c r="B17" s="21"/>
      <c r="C17" s="21"/>
      <c r="D17" s="22"/>
      <c r="E17" s="12"/>
      <c r="F17" s="12"/>
      <c r="G17" s="12"/>
      <c r="H17" s="12"/>
      <c r="I17" s="12"/>
      <c r="J17" s="12"/>
      <c r="K17" s="12"/>
      <c r="L17" s="12"/>
      <c r="M17" s="12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8"/>
    </row>
    <row r="18" ht="12.75" customHeight="1">
      <c r="A18" s="54" t="s">
        <v>15</v>
      </c>
      <c r="B18" s="25" t="s">
        <v>16</v>
      </c>
      <c r="C18" s="21"/>
      <c r="D18" s="22"/>
      <c r="E18" s="12"/>
      <c r="F18" s="12"/>
      <c r="G18" s="12"/>
      <c r="H18" s="12"/>
      <c r="I18" s="12"/>
      <c r="J18" s="12"/>
      <c r="K18" s="12"/>
      <c r="L18" s="12"/>
      <c r="M18" s="12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8"/>
    </row>
    <row r="19" ht="12.75" customHeight="1">
      <c r="A19" s="54"/>
      <c r="B19" s="55" t="s">
        <v>17</v>
      </c>
      <c r="C19" s="36" t="s">
        <v>18</v>
      </c>
      <c r="D19" s="12" t="s">
        <v>12</v>
      </c>
      <c r="E19" s="12">
        <v>98.0</v>
      </c>
      <c r="F19" s="12">
        <v>98.0</v>
      </c>
      <c r="G19" s="12">
        <v>96.0</v>
      </c>
      <c r="H19" s="12">
        <v>100.0</v>
      </c>
      <c r="I19" s="12">
        <v>100.0</v>
      </c>
      <c r="J19" s="12">
        <v>70.0</v>
      </c>
      <c r="K19" s="12">
        <v>81.0</v>
      </c>
      <c r="L19" s="12">
        <v>85.0</v>
      </c>
      <c r="M19" s="12">
        <v>75.0</v>
      </c>
      <c r="N19" s="12">
        <v>71.0</v>
      </c>
      <c r="O19" s="12">
        <v>77.0</v>
      </c>
      <c r="P19" s="12">
        <v>74.0</v>
      </c>
      <c r="Q19" s="12">
        <v>94.0</v>
      </c>
      <c r="R19" s="12">
        <v>97.0</v>
      </c>
      <c r="S19" s="12">
        <v>83.0</v>
      </c>
      <c r="T19" s="12">
        <v>91.0</v>
      </c>
      <c r="U19" s="12">
        <v>72.0</v>
      </c>
      <c r="V19" s="12">
        <v>92.0</v>
      </c>
      <c r="W19" s="12">
        <v>68.0</v>
      </c>
      <c r="X19" s="12">
        <v>78.0</v>
      </c>
      <c r="Y19" s="12">
        <v>104.0</v>
      </c>
      <c r="Z19" s="12">
        <v>99.0</v>
      </c>
      <c r="AA19" s="12">
        <v>129.0</v>
      </c>
      <c r="AB19" s="12">
        <v>116.0</v>
      </c>
      <c r="AC19" s="12">
        <v>114.0</v>
      </c>
      <c r="AD19" s="12">
        <v>110.0</v>
      </c>
      <c r="AE19" s="12">
        <v>90.0</v>
      </c>
      <c r="AF19" s="12">
        <v>118.0</v>
      </c>
      <c r="AG19" s="12">
        <v>102.0</v>
      </c>
      <c r="AH19" s="12">
        <v>120.0</v>
      </c>
      <c r="AI19" s="12">
        <v>105.0</v>
      </c>
      <c r="AJ19" s="12">
        <v>100.0</v>
      </c>
      <c r="AK19" s="12">
        <v>97.0</v>
      </c>
      <c r="AL19" s="12">
        <v>96.0</v>
      </c>
      <c r="AM19" s="12">
        <v>90.0</v>
      </c>
      <c r="AN19" s="12">
        <v>101.0</v>
      </c>
      <c r="AO19" s="12">
        <v>97.0</v>
      </c>
      <c r="AP19" s="12">
        <v>96.0</v>
      </c>
      <c r="AQ19" s="12">
        <v>67.0</v>
      </c>
      <c r="AR19" s="12">
        <v>97.0</v>
      </c>
      <c r="AS19" s="12">
        <v>95.0</v>
      </c>
      <c r="AT19" s="12">
        <v>100.0</v>
      </c>
      <c r="AU19" s="12">
        <v>103.0</v>
      </c>
      <c r="AV19" s="12">
        <v>110.0</v>
      </c>
      <c r="AW19" s="12">
        <v>104.0</v>
      </c>
      <c r="AX19" s="12">
        <v>83.0</v>
      </c>
      <c r="AY19" s="12">
        <v>65.0</v>
      </c>
      <c r="AZ19" s="12">
        <v>103.0</v>
      </c>
      <c r="BA19" s="12">
        <v>94.0</v>
      </c>
      <c r="BB19" s="12">
        <v>92.0</v>
      </c>
      <c r="BC19" s="12">
        <v>94.0</v>
      </c>
      <c r="BD19" s="12">
        <v>77.0</v>
      </c>
      <c r="BE19" s="8">
        <f t="shared" ref="BE19:BE30" si="3">SUM(E19:BD19)</f>
        <v>4868</v>
      </c>
    </row>
    <row r="20" ht="12.75" customHeight="1">
      <c r="A20" s="56"/>
      <c r="B20" s="31"/>
      <c r="C20" s="37"/>
      <c r="D20" s="12" t="s">
        <v>13</v>
      </c>
      <c r="E20" s="12">
        <v>100.0</v>
      </c>
      <c r="F20" s="12">
        <v>97.0</v>
      </c>
      <c r="G20" s="12">
        <v>117.0</v>
      </c>
      <c r="H20" s="12">
        <v>112.0</v>
      </c>
      <c r="I20" s="12">
        <v>118.0</v>
      </c>
      <c r="J20" s="12">
        <v>97.0</v>
      </c>
      <c r="K20" s="12">
        <v>115.0</v>
      </c>
      <c r="L20" s="12">
        <v>106.0</v>
      </c>
      <c r="M20" s="12">
        <v>84.0</v>
      </c>
      <c r="N20" s="12">
        <v>76.0</v>
      </c>
      <c r="O20" s="12">
        <v>98.0</v>
      </c>
      <c r="P20" s="12">
        <v>92.0</v>
      </c>
      <c r="Q20" s="12">
        <v>117.0</v>
      </c>
      <c r="R20" s="12">
        <v>108.0</v>
      </c>
      <c r="S20" s="12">
        <v>107.0</v>
      </c>
      <c r="T20" s="12">
        <v>106.0</v>
      </c>
      <c r="U20" s="12">
        <v>100.0</v>
      </c>
      <c r="V20" s="12">
        <v>110.0</v>
      </c>
      <c r="W20" s="12">
        <v>90.0</v>
      </c>
      <c r="X20" s="12">
        <v>88.0</v>
      </c>
      <c r="Y20" s="12">
        <v>113.0</v>
      </c>
      <c r="Z20" s="12">
        <v>119.0</v>
      </c>
      <c r="AA20" s="12">
        <v>137.0</v>
      </c>
      <c r="AB20" s="12">
        <v>127.0</v>
      </c>
      <c r="AC20" s="12">
        <v>151.0</v>
      </c>
      <c r="AD20" s="12">
        <v>152.0</v>
      </c>
      <c r="AE20" s="12">
        <v>97.0</v>
      </c>
      <c r="AF20" s="12">
        <v>118.0</v>
      </c>
      <c r="AG20" s="12">
        <v>121.0</v>
      </c>
      <c r="AH20" s="12">
        <v>127.0</v>
      </c>
      <c r="AI20" s="12">
        <v>114.0</v>
      </c>
      <c r="AJ20" s="12">
        <v>120.0</v>
      </c>
      <c r="AK20" s="12">
        <v>104.0</v>
      </c>
      <c r="AL20" s="12">
        <v>117.0</v>
      </c>
      <c r="AM20" s="12">
        <v>105.0</v>
      </c>
      <c r="AN20" s="12">
        <v>118.0</v>
      </c>
      <c r="AO20" s="12">
        <v>118.0</v>
      </c>
      <c r="AP20" s="12">
        <v>104.0</v>
      </c>
      <c r="AQ20" s="12">
        <v>94.0</v>
      </c>
      <c r="AR20" s="12">
        <v>114.0</v>
      </c>
      <c r="AS20" s="12">
        <v>122.0</v>
      </c>
      <c r="AT20" s="12">
        <v>104.0</v>
      </c>
      <c r="AU20" s="12">
        <v>101.0</v>
      </c>
      <c r="AV20" s="12">
        <v>110.0</v>
      </c>
      <c r="AW20" s="12">
        <v>106.0</v>
      </c>
      <c r="AX20" s="12">
        <v>116.0</v>
      </c>
      <c r="AY20" s="12">
        <v>84.0</v>
      </c>
      <c r="AZ20" s="12">
        <v>114.0</v>
      </c>
      <c r="BA20" s="12">
        <v>97.0</v>
      </c>
      <c r="BB20" s="12">
        <v>83.0</v>
      </c>
      <c r="BC20" s="12">
        <v>102.0</v>
      </c>
      <c r="BD20" s="12">
        <v>83.0</v>
      </c>
      <c r="BE20" s="8">
        <f t="shared" si="3"/>
        <v>5630</v>
      </c>
    </row>
    <row r="21" ht="12.75" customHeight="1">
      <c r="A21" s="57"/>
      <c r="B21" s="33"/>
      <c r="C21" s="38"/>
      <c r="D21" s="8" t="s">
        <v>14</v>
      </c>
      <c r="E21" s="8">
        <f t="shared" ref="E21:BD21" si="4">SUM(E19:E20)</f>
        <v>198</v>
      </c>
      <c r="F21" s="8">
        <f t="shared" si="4"/>
        <v>195</v>
      </c>
      <c r="G21" s="8">
        <f t="shared" si="4"/>
        <v>213</v>
      </c>
      <c r="H21" s="8">
        <f t="shared" si="4"/>
        <v>212</v>
      </c>
      <c r="I21" s="8">
        <f t="shared" si="4"/>
        <v>218</v>
      </c>
      <c r="J21" s="8">
        <f t="shared" si="4"/>
        <v>167</v>
      </c>
      <c r="K21" s="8">
        <f t="shared" si="4"/>
        <v>196</v>
      </c>
      <c r="L21" s="8">
        <f t="shared" si="4"/>
        <v>191</v>
      </c>
      <c r="M21" s="8">
        <f t="shared" si="4"/>
        <v>159</v>
      </c>
      <c r="N21" s="8">
        <f t="shared" si="4"/>
        <v>147</v>
      </c>
      <c r="O21" s="8">
        <f t="shared" si="4"/>
        <v>175</v>
      </c>
      <c r="P21" s="8">
        <f t="shared" si="4"/>
        <v>166</v>
      </c>
      <c r="Q21" s="8">
        <f t="shared" si="4"/>
        <v>211</v>
      </c>
      <c r="R21" s="8">
        <f t="shared" si="4"/>
        <v>205</v>
      </c>
      <c r="S21" s="8">
        <f t="shared" si="4"/>
        <v>190</v>
      </c>
      <c r="T21" s="8">
        <f t="shared" si="4"/>
        <v>197</v>
      </c>
      <c r="U21" s="8">
        <f t="shared" si="4"/>
        <v>172</v>
      </c>
      <c r="V21" s="8">
        <f t="shared" si="4"/>
        <v>202</v>
      </c>
      <c r="W21" s="8">
        <f t="shared" si="4"/>
        <v>158</v>
      </c>
      <c r="X21" s="8">
        <f t="shared" si="4"/>
        <v>166</v>
      </c>
      <c r="Y21" s="8">
        <f t="shared" si="4"/>
        <v>217</v>
      </c>
      <c r="Z21" s="8">
        <f t="shared" si="4"/>
        <v>218</v>
      </c>
      <c r="AA21" s="8">
        <f t="shared" si="4"/>
        <v>266</v>
      </c>
      <c r="AB21" s="8">
        <f t="shared" si="4"/>
        <v>243</v>
      </c>
      <c r="AC21" s="8">
        <f t="shared" si="4"/>
        <v>265</v>
      </c>
      <c r="AD21" s="8">
        <f t="shared" si="4"/>
        <v>262</v>
      </c>
      <c r="AE21" s="8">
        <f t="shared" si="4"/>
        <v>187</v>
      </c>
      <c r="AF21" s="8">
        <f t="shared" si="4"/>
        <v>236</v>
      </c>
      <c r="AG21" s="8">
        <f t="shared" si="4"/>
        <v>223</v>
      </c>
      <c r="AH21" s="8">
        <f t="shared" si="4"/>
        <v>247</v>
      </c>
      <c r="AI21" s="8">
        <f t="shared" si="4"/>
        <v>219</v>
      </c>
      <c r="AJ21" s="8">
        <f t="shared" si="4"/>
        <v>220</v>
      </c>
      <c r="AK21" s="8">
        <f t="shared" si="4"/>
        <v>201</v>
      </c>
      <c r="AL21" s="8">
        <f t="shared" si="4"/>
        <v>213</v>
      </c>
      <c r="AM21" s="8">
        <f t="shared" si="4"/>
        <v>195</v>
      </c>
      <c r="AN21" s="8">
        <f t="shared" si="4"/>
        <v>219</v>
      </c>
      <c r="AO21" s="8">
        <f t="shared" si="4"/>
        <v>215</v>
      </c>
      <c r="AP21" s="8">
        <f t="shared" si="4"/>
        <v>200</v>
      </c>
      <c r="AQ21" s="8">
        <f t="shared" si="4"/>
        <v>161</v>
      </c>
      <c r="AR21" s="8">
        <f t="shared" si="4"/>
        <v>211</v>
      </c>
      <c r="AS21" s="8">
        <f t="shared" si="4"/>
        <v>217</v>
      </c>
      <c r="AT21" s="8">
        <f t="shared" si="4"/>
        <v>204</v>
      </c>
      <c r="AU21" s="8">
        <f t="shared" si="4"/>
        <v>204</v>
      </c>
      <c r="AV21" s="8">
        <f t="shared" si="4"/>
        <v>220</v>
      </c>
      <c r="AW21" s="8">
        <f t="shared" si="4"/>
        <v>210</v>
      </c>
      <c r="AX21" s="8">
        <f t="shared" si="4"/>
        <v>199</v>
      </c>
      <c r="AY21" s="8">
        <f t="shared" si="4"/>
        <v>149</v>
      </c>
      <c r="AZ21" s="8">
        <f t="shared" si="4"/>
        <v>217</v>
      </c>
      <c r="BA21" s="8">
        <f t="shared" si="4"/>
        <v>191</v>
      </c>
      <c r="BB21" s="8">
        <f t="shared" si="4"/>
        <v>175</v>
      </c>
      <c r="BC21" s="8">
        <f t="shared" si="4"/>
        <v>196</v>
      </c>
      <c r="BD21" s="8">
        <f t="shared" si="4"/>
        <v>160</v>
      </c>
      <c r="BE21" s="8">
        <f t="shared" si="3"/>
        <v>10498</v>
      </c>
    </row>
    <row r="22" ht="12.75" customHeight="1">
      <c r="A22" s="56"/>
      <c r="B22" s="55" t="s">
        <v>19</v>
      </c>
      <c r="C22" s="36" t="s">
        <v>20</v>
      </c>
      <c r="D22" s="12" t="s">
        <v>12</v>
      </c>
      <c r="E22" s="12">
        <v>2.0</v>
      </c>
      <c r="F22" s="12">
        <v>2.0</v>
      </c>
      <c r="G22" s="12">
        <v>1.0</v>
      </c>
      <c r="H22" s="12">
        <v>0.0</v>
      </c>
      <c r="I22" s="12">
        <v>0.0</v>
      </c>
      <c r="J22" s="12">
        <v>0.0</v>
      </c>
      <c r="K22" s="12">
        <v>1.0</v>
      </c>
      <c r="L22" s="12">
        <v>2.0</v>
      </c>
      <c r="M22" s="12">
        <v>0.0</v>
      </c>
      <c r="N22" s="12">
        <v>2.0</v>
      </c>
      <c r="O22" s="12">
        <v>2.0</v>
      </c>
      <c r="P22" s="12">
        <v>0.0</v>
      </c>
      <c r="Q22" s="12">
        <v>2.0</v>
      </c>
      <c r="R22" s="12">
        <v>0.0</v>
      </c>
      <c r="S22" s="12">
        <v>0.0</v>
      </c>
      <c r="T22" s="12">
        <v>1.0</v>
      </c>
      <c r="U22" s="12">
        <v>1.0</v>
      </c>
      <c r="V22" s="12"/>
      <c r="W22" s="12">
        <v>2.0</v>
      </c>
      <c r="X22" s="12">
        <v>1.0</v>
      </c>
      <c r="Y22" s="12"/>
      <c r="Z22" s="12"/>
      <c r="AA22" s="12">
        <v>1.0</v>
      </c>
      <c r="AB22" s="12">
        <v>2.0</v>
      </c>
      <c r="AC22" s="12">
        <v>1.0</v>
      </c>
      <c r="AD22" s="12">
        <v>1.0</v>
      </c>
      <c r="AE22" s="12"/>
      <c r="AF22" s="12"/>
      <c r="AG22" s="12"/>
      <c r="AH22" s="12"/>
      <c r="AI22" s="12">
        <v>1.0</v>
      </c>
      <c r="AJ22" s="12">
        <v>0.0</v>
      </c>
      <c r="AK22" s="12">
        <v>0.0</v>
      </c>
      <c r="AL22" s="12">
        <v>1.0</v>
      </c>
      <c r="AM22" s="12">
        <v>1.0</v>
      </c>
      <c r="AN22" s="12">
        <v>0.0</v>
      </c>
      <c r="AO22" s="12">
        <v>0.0</v>
      </c>
      <c r="AP22" s="12">
        <v>1.0</v>
      </c>
      <c r="AQ22" s="12">
        <v>0.0</v>
      </c>
      <c r="AR22" s="12">
        <v>1.0</v>
      </c>
      <c r="AS22" s="12">
        <v>1.0</v>
      </c>
      <c r="AT22" s="12">
        <v>1.0</v>
      </c>
      <c r="AU22" s="12">
        <v>1.0</v>
      </c>
      <c r="AV22" s="12">
        <v>2.0</v>
      </c>
      <c r="AW22" s="12">
        <v>1.0</v>
      </c>
      <c r="AX22" s="12">
        <v>0.0</v>
      </c>
      <c r="AY22" s="12">
        <v>1.0</v>
      </c>
      <c r="AZ22" s="12">
        <v>3.0</v>
      </c>
      <c r="BA22" s="12">
        <v>3.0</v>
      </c>
      <c r="BB22" s="12">
        <v>0.0</v>
      </c>
      <c r="BC22" s="12">
        <v>1.0</v>
      </c>
      <c r="BD22" s="12">
        <v>3.0</v>
      </c>
      <c r="BE22" s="8">
        <f t="shared" si="3"/>
        <v>46</v>
      </c>
    </row>
    <row r="23" ht="15.0" customHeight="1">
      <c r="A23" s="56"/>
      <c r="B23" s="31"/>
      <c r="C23" s="37"/>
      <c r="D23" s="12" t="s">
        <v>13</v>
      </c>
      <c r="E23" s="12">
        <v>0.0</v>
      </c>
      <c r="F23" s="12">
        <v>1.0</v>
      </c>
      <c r="G23" s="12">
        <v>0.0</v>
      </c>
      <c r="H23" s="12">
        <v>1.0</v>
      </c>
      <c r="I23" s="12">
        <v>1.0</v>
      </c>
      <c r="J23" s="12">
        <v>1.0</v>
      </c>
      <c r="K23" s="12">
        <v>0.0</v>
      </c>
      <c r="L23" s="12">
        <v>0.0</v>
      </c>
      <c r="M23" s="12">
        <v>1.0</v>
      </c>
      <c r="N23" s="12">
        <v>1.0</v>
      </c>
      <c r="O23" s="12">
        <v>1.0</v>
      </c>
      <c r="P23" s="12">
        <v>0.0</v>
      </c>
      <c r="Q23" s="12">
        <v>1.0</v>
      </c>
      <c r="R23" s="12">
        <v>1.0</v>
      </c>
      <c r="S23" s="12">
        <v>0.0</v>
      </c>
      <c r="T23" s="12"/>
      <c r="U23" s="12"/>
      <c r="V23" s="12">
        <v>1.0</v>
      </c>
      <c r="W23" s="12">
        <v>2.0</v>
      </c>
      <c r="X23" s="12"/>
      <c r="Y23" s="12">
        <v>1.0</v>
      </c>
      <c r="Z23" s="12"/>
      <c r="AA23" s="12"/>
      <c r="AB23" s="12"/>
      <c r="AC23" s="12"/>
      <c r="AD23" s="12"/>
      <c r="AE23" s="12">
        <v>1.0</v>
      </c>
      <c r="AF23" s="12"/>
      <c r="AG23" s="12"/>
      <c r="AH23" s="12">
        <v>1.0</v>
      </c>
      <c r="AI23" s="12">
        <v>0.0</v>
      </c>
      <c r="AJ23" s="12">
        <v>1.0</v>
      </c>
      <c r="AK23" s="12">
        <v>2.0</v>
      </c>
      <c r="AL23" s="12">
        <v>1.0</v>
      </c>
      <c r="AM23" s="12">
        <v>0.0</v>
      </c>
      <c r="AN23" s="12">
        <v>0.0</v>
      </c>
      <c r="AO23" s="12">
        <v>1.0</v>
      </c>
      <c r="AP23" s="12">
        <v>0.0</v>
      </c>
      <c r="AQ23" s="12">
        <v>0.0</v>
      </c>
      <c r="AR23" s="12">
        <v>2.0</v>
      </c>
      <c r="AS23" s="12">
        <v>0.0</v>
      </c>
      <c r="AT23" s="12">
        <v>0.0</v>
      </c>
      <c r="AU23" s="12">
        <v>0.0</v>
      </c>
      <c r="AV23" s="12">
        <v>2.0</v>
      </c>
      <c r="AW23" s="12">
        <v>0.0</v>
      </c>
      <c r="AX23" s="12">
        <v>0.0</v>
      </c>
      <c r="AY23" s="12">
        <v>0.0</v>
      </c>
      <c r="AZ23" s="12">
        <v>2.0</v>
      </c>
      <c r="BA23" s="12">
        <v>0.0</v>
      </c>
      <c r="BB23" s="12">
        <v>0.0</v>
      </c>
      <c r="BC23" s="12">
        <v>0.0</v>
      </c>
      <c r="BD23" s="12">
        <v>0.0</v>
      </c>
      <c r="BE23" s="8">
        <f t="shared" si="3"/>
        <v>26</v>
      </c>
    </row>
    <row r="24" ht="15.0" customHeight="1">
      <c r="A24" s="57"/>
      <c r="B24" s="33"/>
      <c r="C24" s="38"/>
      <c r="D24" s="8" t="s">
        <v>14</v>
      </c>
      <c r="E24" s="8">
        <f t="shared" ref="E24:BD24" si="5">SUM(E22:E23)</f>
        <v>2</v>
      </c>
      <c r="F24" s="8">
        <f t="shared" si="5"/>
        <v>3</v>
      </c>
      <c r="G24" s="8">
        <f t="shared" si="5"/>
        <v>1</v>
      </c>
      <c r="H24" s="8">
        <f t="shared" si="5"/>
        <v>1</v>
      </c>
      <c r="I24" s="8">
        <f t="shared" si="5"/>
        <v>1</v>
      </c>
      <c r="J24" s="8">
        <f t="shared" si="5"/>
        <v>1</v>
      </c>
      <c r="K24" s="8">
        <f t="shared" si="5"/>
        <v>1</v>
      </c>
      <c r="L24" s="8">
        <f t="shared" si="5"/>
        <v>2</v>
      </c>
      <c r="M24" s="8">
        <f t="shared" si="5"/>
        <v>1</v>
      </c>
      <c r="N24" s="8">
        <f t="shared" si="5"/>
        <v>3</v>
      </c>
      <c r="O24" s="8">
        <f t="shared" si="5"/>
        <v>3</v>
      </c>
      <c r="P24" s="8">
        <f t="shared" si="5"/>
        <v>0</v>
      </c>
      <c r="Q24" s="8">
        <f t="shared" si="5"/>
        <v>3</v>
      </c>
      <c r="R24" s="8">
        <f t="shared" si="5"/>
        <v>1</v>
      </c>
      <c r="S24" s="8">
        <f t="shared" si="5"/>
        <v>0</v>
      </c>
      <c r="T24" s="8">
        <f t="shared" si="5"/>
        <v>1</v>
      </c>
      <c r="U24" s="8">
        <f t="shared" si="5"/>
        <v>1</v>
      </c>
      <c r="V24" s="8">
        <f t="shared" si="5"/>
        <v>1</v>
      </c>
      <c r="W24" s="8">
        <f t="shared" si="5"/>
        <v>4</v>
      </c>
      <c r="X24" s="8">
        <f t="shared" si="5"/>
        <v>1</v>
      </c>
      <c r="Y24" s="8">
        <f t="shared" si="5"/>
        <v>1</v>
      </c>
      <c r="Z24" s="8">
        <f t="shared" si="5"/>
        <v>0</v>
      </c>
      <c r="AA24" s="8">
        <f t="shared" si="5"/>
        <v>1</v>
      </c>
      <c r="AB24" s="8">
        <f t="shared" si="5"/>
        <v>2</v>
      </c>
      <c r="AC24" s="8">
        <f t="shared" si="5"/>
        <v>1</v>
      </c>
      <c r="AD24" s="8">
        <f t="shared" si="5"/>
        <v>1</v>
      </c>
      <c r="AE24" s="8">
        <f t="shared" si="5"/>
        <v>1</v>
      </c>
      <c r="AF24" s="8">
        <f t="shared" si="5"/>
        <v>0</v>
      </c>
      <c r="AG24" s="8">
        <f t="shared" si="5"/>
        <v>0</v>
      </c>
      <c r="AH24" s="8">
        <f t="shared" si="5"/>
        <v>1</v>
      </c>
      <c r="AI24" s="8">
        <f t="shared" si="5"/>
        <v>1</v>
      </c>
      <c r="AJ24" s="8">
        <f t="shared" si="5"/>
        <v>1</v>
      </c>
      <c r="AK24" s="8">
        <f t="shared" si="5"/>
        <v>2</v>
      </c>
      <c r="AL24" s="8">
        <f t="shared" si="5"/>
        <v>2</v>
      </c>
      <c r="AM24" s="8">
        <f t="shared" si="5"/>
        <v>1</v>
      </c>
      <c r="AN24" s="8">
        <f t="shared" si="5"/>
        <v>0</v>
      </c>
      <c r="AO24" s="8">
        <f t="shared" si="5"/>
        <v>1</v>
      </c>
      <c r="AP24" s="8">
        <f t="shared" si="5"/>
        <v>1</v>
      </c>
      <c r="AQ24" s="8">
        <f t="shared" si="5"/>
        <v>0</v>
      </c>
      <c r="AR24" s="8">
        <f t="shared" si="5"/>
        <v>3</v>
      </c>
      <c r="AS24" s="8">
        <f t="shared" si="5"/>
        <v>1</v>
      </c>
      <c r="AT24" s="8">
        <f t="shared" si="5"/>
        <v>1</v>
      </c>
      <c r="AU24" s="8">
        <f t="shared" si="5"/>
        <v>1</v>
      </c>
      <c r="AV24" s="8">
        <f t="shared" si="5"/>
        <v>4</v>
      </c>
      <c r="AW24" s="8">
        <f t="shared" si="5"/>
        <v>1</v>
      </c>
      <c r="AX24" s="8">
        <f t="shared" si="5"/>
        <v>0</v>
      </c>
      <c r="AY24" s="8">
        <f t="shared" si="5"/>
        <v>1</v>
      </c>
      <c r="AZ24" s="8">
        <f t="shared" si="5"/>
        <v>5</v>
      </c>
      <c r="BA24" s="8">
        <f t="shared" si="5"/>
        <v>3</v>
      </c>
      <c r="BB24" s="8">
        <f t="shared" si="5"/>
        <v>0</v>
      </c>
      <c r="BC24" s="8">
        <f t="shared" si="5"/>
        <v>1</v>
      </c>
      <c r="BD24" s="8">
        <f t="shared" si="5"/>
        <v>3</v>
      </c>
      <c r="BE24" s="8">
        <f t="shared" si="3"/>
        <v>72</v>
      </c>
    </row>
    <row r="25" ht="15.0" customHeight="1">
      <c r="A25" s="56"/>
      <c r="B25" s="55" t="s">
        <v>21</v>
      </c>
      <c r="C25" s="36" t="s">
        <v>22</v>
      </c>
      <c r="D25" s="12" t="s">
        <v>12</v>
      </c>
      <c r="E25" s="12">
        <v>1.0</v>
      </c>
      <c r="F25" s="12">
        <v>0.0</v>
      </c>
      <c r="G25" s="12">
        <v>0.0</v>
      </c>
      <c r="H25" s="12">
        <v>0.0</v>
      </c>
      <c r="I25" s="12">
        <v>0.0</v>
      </c>
      <c r="J25" s="12">
        <v>1.0</v>
      </c>
      <c r="K25" s="12">
        <v>1.0</v>
      </c>
      <c r="L25" s="12">
        <v>0.0</v>
      </c>
      <c r="M25" s="12">
        <v>0.0</v>
      </c>
      <c r="N25" s="12">
        <v>0.0</v>
      </c>
      <c r="O25" s="12">
        <v>0.0</v>
      </c>
      <c r="P25" s="12">
        <v>4.0</v>
      </c>
      <c r="Q25" s="12">
        <v>7.0</v>
      </c>
      <c r="R25" s="12">
        <v>2.0</v>
      </c>
      <c r="S25" s="12">
        <v>1.0</v>
      </c>
      <c r="T25" s="12"/>
      <c r="U25" s="12">
        <v>2.0</v>
      </c>
      <c r="V25" s="12">
        <v>1.0</v>
      </c>
      <c r="W25" s="12">
        <v>3.0</v>
      </c>
      <c r="X25" s="12">
        <v>2.0</v>
      </c>
      <c r="Y25" s="12">
        <v>1.0</v>
      </c>
      <c r="Z25" s="12">
        <v>2.0</v>
      </c>
      <c r="AA25" s="12"/>
      <c r="AB25" s="12">
        <v>3.0</v>
      </c>
      <c r="AC25" s="12">
        <v>1.0</v>
      </c>
      <c r="AD25" s="12">
        <v>7.0</v>
      </c>
      <c r="AE25" s="12">
        <v>2.0</v>
      </c>
      <c r="AF25" s="12"/>
      <c r="AG25" s="12"/>
      <c r="AH25" s="12">
        <v>1.0</v>
      </c>
      <c r="AI25" s="12">
        <v>1.0</v>
      </c>
      <c r="AJ25" s="12">
        <v>3.0</v>
      </c>
      <c r="AK25" s="12">
        <v>0.0</v>
      </c>
      <c r="AL25" s="12">
        <v>2.0</v>
      </c>
      <c r="AM25" s="12">
        <v>0.0</v>
      </c>
      <c r="AN25" s="12">
        <v>0.0</v>
      </c>
      <c r="AO25" s="12">
        <v>2.0</v>
      </c>
      <c r="AP25" s="12">
        <v>1.0</v>
      </c>
      <c r="AQ25" s="12">
        <v>1.0</v>
      </c>
      <c r="AR25" s="12">
        <v>2.0</v>
      </c>
      <c r="AS25" s="12">
        <v>0.0</v>
      </c>
      <c r="AT25" s="12">
        <v>0.0</v>
      </c>
      <c r="AU25" s="12">
        <v>0.0</v>
      </c>
      <c r="AV25" s="12">
        <v>1.0</v>
      </c>
      <c r="AW25" s="12">
        <v>0.0</v>
      </c>
      <c r="AX25" s="12">
        <v>1.0</v>
      </c>
      <c r="AY25" s="12">
        <v>1.0</v>
      </c>
      <c r="AZ25" s="12">
        <v>0.0</v>
      </c>
      <c r="BA25" s="12">
        <v>1.0</v>
      </c>
      <c r="BB25" s="12">
        <v>0.0</v>
      </c>
      <c r="BC25" s="12">
        <v>1.0</v>
      </c>
      <c r="BD25" s="12">
        <v>1.0</v>
      </c>
      <c r="BE25" s="8">
        <f t="shared" si="3"/>
        <v>60</v>
      </c>
    </row>
    <row r="26" ht="15.0" customHeight="1">
      <c r="A26" s="56"/>
      <c r="B26" s="31"/>
      <c r="C26" s="37"/>
      <c r="D26" s="12" t="s">
        <v>13</v>
      </c>
      <c r="E26" s="12">
        <v>2.0</v>
      </c>
      <c r="F26" s="12">
        <v>0.0</v>
      </c>
      <c r="G26" s="12">
        <v>2.0</v>
      </c>
      <c r="H26" s="12">
        <v>0.0</v>
      </c>
      <c r="I26" s="12">
        <v>0.0</v>
      </c>
      <c r="J26" s="12">
        <v>2.0</v>
      </c>
      <c r="K26" s="12">
        <v>2.0</v>
      </c>
      <c r="L26" s="12">
        <v>0.0</v>
      </c>
      <c r="M26" s="12">
        <v>0.0</v>
      </c>
      <c r="N26" s="12">
        <v>2.0</v>
      </c>
      <c r="O26" s="12">
        <v>2.0</v>
      </c>
      <c r="P26" s="12">
        <v>3.0</v>
      </c>
      <c r="Q26" s="12">
        <v>3.0</v>
      </c>
      <c r="R26" s="12">
        <v>2.0</v>
      </c>
      <c r="S26" s="12">
        <v>1.0</v>
      </c>
      <c r="T26" s="12"/>
      <c r="U26" s="12"/>
      <c r="V26" s="12">
        <v>2.0</v>
      </c>
      <c r="W26" s="12">
        <v>1.0</v>
      </c>
      <c r="X26" s="12">
        <v>4.0</v>
      </c>
      <c r="Y26" s="12">
        <v>2.0</v>
      </c>
      <c r="Z26" s="12"/>
      <c r="AA26" s="12">
        <v>1.0</v>
      </c>
      <c r="AB26" s="12">
        <v>2.0</v>
      </c>
      <c r="AC26" s="12">
        <v>2.0</v>
      </c>
      <c r="AD26" s="12">
        <v>6.0</v>
      </c>
      <c r="AE26" s="12"/>
      <c r="AF26" s="12"/>
      <c r="AG26" s="12"/>
      <c r="AH26" s="12">
        <v>4.0</v>
      </c>
      <c r="AI26" s="12">
        <v>7.0</v>
      </c>
      <c r="AJ26" s="12">
        <v>1.0</v>
      </c>
      <c r="AK26" s="12">
        <v>1.0</v>
      </c>
      <c r="AL26" s="12">
        <v>3.0</v>
      </c>
      <c r="AM26" s="12">
        <v>0.0</v>
      </c>
      <c r="AN26" s="12">
        <v>0.0</v>
      </c>
      <c r="AO26" s="12">
        <v>4.0</v>
      </c>
      <c r="AP26" s="12">
        <v>0.0</v>
      </c>
      <c r="AQ26" s="12">
        <v>1.0</v>
      </c>
      <c r="AR26" s="12">
        <v>5.0</v>
      </c>
      <c r="AS26" s="12">
        <v>1.0</v>
      </c>
      <c r="AT26" s="12">
        <v>0.0</v>
      </c>
      <c r="AU26" s="12">
        <v>0.0</v>
      </c>
      <c r="AV26" s="12">
        <v>4.0</v>
      </c>
      <c r="AW26" s="12">
        <v>0.0</v>
      </c>
      <c r="AX26" s="12">
        <v>1.0</v>
      </c>
      <c r="AY26" s="12">
        <v>0.0</v>
      </c>
      <c r="AZ26" s="12">
        <v>0.0</v>
      </c>
      <c r="BA26" s="12">
        <v>1.0</v>
      </c>
      <c r="BB26" s="12">
        <v>0.0</v>
      </c>
      <c r="BC26" s="12">
        <v>2.0</v>
      </c>
      <c r="BD26" s="12">
        <v>1.0</v>
      </c>
      <c r="BE26" s="8">
        <f t="shared" si="3"/>
        <v>77</v>
      </c>
    </row>
    <row r="27" ht="12.75" customHeight="1">
      <c r="A27" s="57"/>
      <c r="B27" s="33"/>
      <c r="C27" s="38"/>
      <c r="D27" s="8" t="s">
        <v>14</v>
      </c>
      <c r="E27" s="8">
        <f t="shared" ref="E27:BD27" si="6">SUM(E25:E26)</f>
        <v>3</v>
      </c>
      <c r="F27" s="8">
        <f t="shared" si="6"/>
        <v>0</v>
      </c>
      <c r="G27" s="8">
        <f t="shared" si="6"/>
        <v>2</v>
      </c>
      <c r="H27" s="8">
        <f t="shared" si="6"/>
        <v>0</v>
      </c>
      <c r="I27" s="8">
        <f t="shared" si="6"/>
        <v>0</v>
      </c>
      <c r="J27" s="8">
        <f t="shared" si="6"/>
        <v>3</v>
      </c>
      <c r="K27" s="8">
        <f t="shared" si="6"/>
        <v>3</v>
      </c>
      <c r="L27" s="8">
        <f t="shared" si="6"/>
        <v>0</v>
      </c>
      <c r="M27" s="8">
        <f t="shared" si="6"/>
        <v>0</v>
      </c>
      <c r="N27" s="8">
        <f t="shared" si="6"/>
        <v>2</v>
      </c>
      <c r="O27" s="8">
        <f t="shared" si="6"/>
        <v>2</v>
      </c>
      <c r="P27" s="8">
        <f t="shared" si="6"/>
        <v>7</v>
      </c>
      <c r="Q27" s="8">
        <f t="shared" si="6"/>
        <v>10</v>
      </c>
      <c r="R27" s="8">
        <f t="shared" si="6"/>
        <v>4</v>
      </c>
      <c r="S27" s="8">
        <f t="shared" si="6"/>
        <v>2</v>
      </c>
      <c r="T27" s="8">
        <f t="shared" si="6"/>
        <v>0</v>
      </c>
      <c r="U27" s="8">
        <f t="shared" si="6"/>
        <v>2</v>
      </c>
      <c r="V27" s="8">
        <f t="shared" si="6"/>
        <v>3</v>
      </c>
      <c r="W27" s="8">
        <f t="shared" si="6"/>
        <v>4</v>
      </c>
      <c r="X27" s="8">
        <f t="shared" si="6"/>
        <v>6</v>
      </c>
      <c r="Y27" s="8">
        <f t="shared" si="6"/>
        <v>3</v>
      </c>
      <c r="Z27" s="8">
        <f t="shared" si="6"/>
        <v>2</v>
      </c>
      <c r="AA27" s="8">
        <f t="shared" si="6"/>
        <v>1</v>
      </c>
      <c r="AB27" s="8">
        <f t="shared" si="6"/>
        <v>5</v>
      </c>
      <c r="AC27" s="8">
        <f t="shared" si="6"/>
        <v>3</v>
      </c>
      <c r="AD27" s="8">
        <f t="shared" si="6"/>
        <v>13</v>
      </c>
      <c r="AE27" s="8">
        <f t="shared" si="6"/>
        <v>2</v>
      </c>
      <c r="AF27" s="8">
        <f t="shared" si="6"/>
        <v>0</v>
      </c>
      <c r="AG27" s="8">
        <f t="shared" si="6"/>
        <v>0</v>
      </c>
      <c r="AH27" s="8">
        <f t="shared" si="6"/>
        <v>5</v>
      </c>
      <c r="AI27" s="8">
        <f t="shared" si="6"/>
        <v>8</v>
      </c>
      <c r="AJ27" s="8">
        <f t="shared" si="6"/>
        <v>4</v>
      </c>
      <c r="AK27" s="8">
        <f t="shared" si="6"/>
        <v>1</v>
      </c>
      <c r="AL27" s="8">
        <f t="shared" si="6"/>
        <v>5</v>
      </c>
      <c r="AM27" s="8">
        <f t="shared" si="6"/>
        <v>0</v>
      </c>
      <c r="AN27" s="8">
        <f t="shared" si="6"/>
        <v>0</v>
      </c>
      <c r="AO27" s="8">
        <f t="shared" si="6"/>
        <v>6</v>
      </c>
      <c r="AP27" s="8">
        <f t="shared" si="6"/>
        <v>1</v>
      </c>
      <c r="AQ27" s="8">
        <f t="shared" si="6"/>
        <v>2</v>
      </c>
      <c r="AR27" s="8">
        <f t="shared" si="6"/>
        <v>7</v>
      </c>
      <c r="AS27" s="8">
        <f t="shared" si="6"/>
        <v>1</v>
      </c>
      <c r="AT27" s="8">
        <f t="shared" si="6"/>
        <v>0</v>
      </c>
      <c r="AU27" s="8">
        <f t="shared" si="6"/>
        <v>0</v>
      </c>
      <c r="AV27" s="8">
        <f t="shared" si="6"/>
        <v>5</v>
      </c>
      <c r="AW27" s="8">
        <f t="shared" si="6"/>
        <v>0</v>
      </c>
      <c r="AX27" s="8">
        <f t="shared" si="6"/>
        <v>2</v>
      </c>
      <c r="AY27" s="8">
        <f t="shared" si="6"/>
        <v>1</v>
      </c>
      <c r="AZ27" s="8">
        <f t="shared" si="6"/>
        <v>0</v>
      </c>
      <c r="BA27" s="8">
        <f t="shared" si="6"/>
        <v>2</v>
      </c>
      <c r="BB27" s="8">
        <f t="shared" si="6"/>
        <v>0</v>
      </c>
      <c r="BC27" s="8">
        <f t="shared" si="6"/>
        <v>3</v>
      </c>
      <c r="BD27" s="8">
        <f t="shared" si="6"/>
        <v>2</v>
      </c>
      <c r="BE27" s="8">
        <f t="shared" si="3"/>
        <v>137</v>
      </c>
    </row>
    <row r="28" ht="12.75" customHeight="1">
      <c r="A28" s="57"/>
      <c r="B28" s="53" t="s">
        <v>23</v>
      </c>
      <c r="C28" s="41" t="s">
        <v>24</v>
      </c>
      <c r="D28" s="8" t="s">
        <v>12</v>
      </c>
      <c r="E28" s="8">
        <f t="shared" ref="E28:BD28" si="7">SUM(E19,E22,E25)</f>
        <v>101</v>
      </c>
      <c r="F28" s="8">
        <f t="shared" si="7"/>
        <v>100</v>
      </c>
      <c r="G28" s="8">
        <f t="shared" si="7"/>
        <v>97</v>
      </c>
      <c r="H28" s="8">
        <f t="shared" si="7"/>
        <v>100</v>
      </c>
      <c r="I28" s="8">
        <f t="shared" si="7"/>
        <v>100</v>
      </c>
      <c r="J28" s="8">
        <f t="shared" si="7"/>
        <v>71</v>
      </c>
      <c r="K28" s="8">
        <f t="shared" si="7"/>
        <v>83</v>
      </c>
      <c r="L28" s="8">
        <f t="shared" si="7"/>
        <v>87</v>
      </c>
      <c r="M28" s="8">
        <f t="shared" si="7"/>
        <v>75</v>
      </c>
      <c r="N28" s="8">
        <f t="shared" si="7"/>
        <v>73</v>
      </c>
      <c r="O28" s="8">
        <f t="shared" si="7"/>
        <v>79</v>
      </c>
      <c r="P28" s="8">
        <f t="shared" si="7"/>
        <v>78</v>
      </c>
      <c r="Q28" s="8">
        <f t="shared" si="7"/>
        <v>103</v>
      </c>
      <c r="R28" s="8">
        <f t="shared" si="7"/>
        <v>99</v>
      </c>
      <c r="S28" s="8">
        <f t="shared" si="7"/>
        <v>84</v>
      </c>
      <c r="T28" s="8">
        <f t="shared" si="7"/>
        <v>92</v>
      </c>
      <c r="U28" s="8">
        <f t="shared" si="7"/>
        <v>75</v>
      </c>
      <c r="V28" s="8">
        <f t="shared" si="7"/>
        <v>93</v>
      </c>
      <c r="W28" s="8">
        <f t="shared" si="7"/>
        <v>73</v>
      </c>
      <c r="X28" s="8">
        <f t="shared" si="7"/>
        <v>81</v>
      </c>
      <c r="Y28" s="8">
        <f t="shared" si="7"/>
        <v>105</v>
      </c>
      <c r="Z28" s="8">
        <f t="shared" si="7"/>
        <v>101</v>
      </c>
      <c r="AA28" s="8">
        <f t="shared" si="7"/>
        <v>130</v>
      </c>
      <c r="AB28" s="8">
        <f t="shared" si="7"/>
        <v>121</v>
      </c>
      <c r="AC28" s="8">
        <f t="shared" si="7"/>
        <v>116</v>
      </c>
      <c r="AD28" s="8">
        <f t="shared" si="7"/>
        <v>118</v>
      </c>
      <c r="AE28" s="8">
        <f t="shared" si="7"/>
        <v>92</v>
      </c>
      <c r="AF28" s="8">
        <f t="shared" si="7"/>
        <v>118</v>
      </c>
      <c r="AG28" s="8">
        <f t="shared" si="7"/>
        <v>102</v>
      </c>
      <c r="AH28" s="8">
        <f t="shared" si="7"/>
        <v>121</v>
      </c>
      <c r="AI28" s="8">
        <f t="shared" si="7"/>
        <v>107</v>
      </c>
      <c r="AJ28" s="8">
        <f t="shared" si="7"/>
        <v>103</v>
      </c>
      <c r="AK28" s="8">
        <f t="shared" si="7"/>
        <v>97</v>
      </c>
      <c r="AL28" s="8">
        <f t="shared" si="7"/>
        <v>99</v>
      </c>
      <c r="AM28" s="8">
        <f t="shared" si="7"/>
        <v>91</v>
      </c>
      <c r="AN28" s="8">
        <f t="shared" si="7"/>
        <v>101</v>
      </c>
      <c r="AO28" s="8">
        <f t="shared" si="7"/>
        <v>99</v>
      </c>
      <c r="AP28" s="8">
        <f t="shared" si="7"/>
        <v>98</v>
      </c>
      <c r="AQ28" s="8">
        <f t="shared" si="7"/>
        <v>68</v>
      </c>
      <c r="AR28" s="8">
        <f t="shared" si="7"/>
        <v>100</v>
      </c>
      <c r="AS28" s="8">
        <f t="shared" si="7"/>
        <v>96</v>
      </c>
      <c r="AT28" s="8">
        <f t="shared" si="7"/>
        <v>101</v>
      </c>
      <c r="AU28" s="8">
        <f t="shared" si="7"/>
        <v>104</v>
      </c>
      <c r="AV28" s="8">
        <f t="shared" si="7"/>
        <v>113</v>
      </c>
      <c r="AW28" s="8">
        <f t="shared" si="7"/>
        <v>105</v>
      </c>
      <c r="AX28" s="8">
        <f t="shared" si="7"/>
        <v>84</v>
      </c>
      <c r="AY28" s="8">
        <f t="shared" si="7"/>
        <v>67</v>
      </c>
      <c r="AZ28" s="8">
        <f t="shared" si="7"/>
        <v>106</v>
      </c>
      <c r="BA28" s="8">
        <f t="shared" si="7"/>
        <v>98</v>
      </c>
      <c r="BB28" s="8">
        <f t="shared" si="7"/>
        <v>92</v>
      </c>
      <c r="BC28" s="8">
        <f t="shared" si="7"/>
        <v>96</v>
      </c>
      <c r="BD28" s="8">
        <f t="shared" si="7"/>
        <v>81</v>
      </c>
      <c r="BE28" s="8">
        <f t="shared" si="3"/>
        <v>4974</v>
      </c>
    </row>
    <row r="29" ht="15.0" customHeight="1">
      <c r="A29" s="57"/>
      <c r="B29" s="31"/>
      <c r="C29" s="37"/>
      <c r="D29" s="8" t="s">
        <v>13</v>
      </c>
      <c r="E29" s="8">
        <f t="shared" ref="E29:BD29" si="8">SUM(E20,E23,E26)</f>
        <v>102</v>
      </c>
      <c r="F29" s="8">
        <f t="shared" si="8"/>
        <v>98</v>
      </c>
      <c r="G29" s="8">
        <f t="shared" si="8"/>
        <v>119</v>
      </c>
      <c r="H29" s="8">
        <f t="shared" si="8"/>
        <v>113</v>
      </c>
      <c r="I29" s="8">
        <f t="shared" si="8"/>
        <v>119</v>
      </c>
      <c r="J29" s="8">
        <f t="shared" si="8"/>
        <v>100</v>
      </c>
      <c r="K29" s="8">
        <f t="shared" si="8"/>
        <v>117</v>
      </c>
      <c r="L29" s="8">
        <f t="shared" si="8"/>
        <v>106</v>
      </c>
      <c r="M29" s="8">
        <f t="shared" si="8"/>
        <v>85</v>
      </c>
      <c r="N29" s="8">
        <f t="shared" si="8"/>
        <v>79</v>
      </c>
      <c r="O29" s="8">
        <f t="shared" si="8"/>
        <v>101</v>
      </c>
      <c r="P29" s="8">
        <f t="shared" si="8"/>
        <v>95</v>
      </c>
      <c r="Q29" s="8">
        <f t="shared" si="8"/>
        <v>121</v>
      </c>
      <c r="R29" s="8">
        <f t="shared" si="8"/>
        <v>111</v>
      </c>
      <c r="S29" s="8">
        <f t="shared" si="8"/>
        <v>108</v>
      </c>
      <c r="T29" s="8">
        <f t="shared" si="8"/>
        <v>106</v>
      </c>
      <c r="U29" s="8">
        <f t="shared" si="8"/>
        <v>100</v>
      </c>
      <c r="V29" s="8">
        <f t="shared" si="8"/>
        <v>113</v>
      </c>
      <c r="W29" s="8">
        <f t="shared" si="8"/>
        <v>93</v>
      </c>
      <c r="X29" s="8">
        <f t="shared" si="8"/>
        <v>92</v>
      </c>
      <c r="Y29" s="8">
        <f t="shared" si="8"/>
        <v>116</v>
      </c>
      <c r="Z29" s="8">
        <f t="shared" si="8"/>
        <v>119</v>
      </c>
      <c r="AA29" s="8">
        <f t="shared" si="8"/>
        <v>138</v>
      </c>
      <c r="AB29" s="8">
        <f t="shared" si="8"/>
        <v>129</v>
      </c>
      <c r="AC29" s="8">
        <f t="shared" si="8"/>
        <v>153</v>
      </c>
      <c r="AD29" s="8">
        <f t="shared" si="8"/>
        <v>158</v>
      </c>
      <c r="AE29" s="8">
        <f t="shared" si="8"/>
        <v>98</v>
      </c>
      <c r="AF29" s="8">
        <f t="shared" si="8"/>
        <v>118</v>
      </c>
      <c r="AG29" s="8">
        <f t="shared" si="8"/>
        <v>121</v>
      </c>
      <c r="AH29" s="8">
        <f t="shared" si="8"/>
        <v>132</v>
      </c>
      <c r="AI29" s="8">
        <f t="shared" si="8"/>
        <v>121</v>
      </c>
      <c r="AJ29" s="8">
        <f t="shared" si="8"/>
        <v>122</v>
      </c>
      <c r="AK29" s="8">
        <f t="shared" si="8"/>
        <v>107</v>
      </c>
      <c r="AL29" s="8">
        <f t="shared" si="8"/>
        <v>121</v>
      </c>
      <c r="AM29" s="8">
        <f t="shared" si="8"/>
        <v>105</v>
      </c>
      <c r="AN29" s="8">
        <f t="shared" si="8"/>
        <v>118</v>
      </c>
      <c r="AO29" s="8">
        <f t="shared" si="8"/>
        <v>123</v>
      </c>
      <c r="AP29" s="8">
        <f t="shared" si="8"/>
        <v>104</v>
      </c>
      <c r="AQ29" s="8">
        <f t="shared" si="8"/>
        <v>95</v>
      </c>
      <c r="AR29" s="8">
        <f t="shared" si="8"/>
        <v>121</v>
      </c>
      <c r="AS29" s="8">
        <f t="shared" si="8"/>
        <v>123</v>
      </c>
      <c r="AT29" s="8">
        <f t="shared" si="8"/>
        <v>104</v>
      </c>
      <c r="AU29" s="8">
        <f t="shared" si="8"/>
        <v>101</v>
      </c>
      <c r="AV29" s="8">
        <f t="shared" si="8"/>
        <v>116</v>
      </c>
      <c r="AW29" s="8">
        <f t="shared" si="8"/>
        <v>106</v>
      </c>
      <c r="AX29" s="8">
        <f t="shared" si="8"/>
        <v>117</v>
      </c>
      <c r="AY29" s="8">
        <f t="shared" si="8"/>
        <v>84</v>
      </c>
      <c r="AZ29" s="8">
        <f t="shared" si="8"/>
        <v>116</v>
      </c>
      <c r="BA29" s="8">
        <f t="shared" si="8"/>
        <v>98</v>
      </c>
      <c r="BB29" s="8">
        <f t="shared" si="8"/>
        <v>83</v>
      </c>
      <c r="BC29" s="8">
        <f t="shared" si="8"/>
        <v>104</v>
      </c>
      <c r="BD29" s="8">
        <f t="shared" si="8"/>
        <v>84</v>
      </c>
      <c r="BE29" s="8">
        <f t="shared" si="3"/>
        <v>5733</v>
      </c>
    </row>
    <row r="30" ht="12.75" customHeight="1">
      <c r="A30" s="57"/>
      <c r="B30" s="33"/>
      <c r="C30" s="38"/>
      <c r="D30" s="8" t="s">
        <v>14</v>
      </c>
      <c r="E30" s="8">
        <f t="shared" ref="E30:BD30" si="9">SUM(E28:E29)</f>
        <v>203</v>
      </c>
      <c r="F30" s="8">
        <f t="shared" si="9"/>
        <v>198</v>
      </c>
      <c r="G30" s="8">
        <f t="shared" si="9"/>
        <v>216</v>
      </c>
      <c r="H30" s="8">
        <f t="shared" si="9"/>
        <v>213</v>
      </c>
      <c r="I30" s="8">
        <f t="shared" si="9"/>
        <v>219</v>
      </c>
      <c r="J30" s="8">
        <f t="shared" si="9"/>
        <v>171</v>
      </c>
      <c r="K30" s="8">
        <f t="shared" si="9"/>
        <v>200</v>
      </c>
      <c r="L30" s="8">
        <f t="shared" si="9"/>
        <v>193</v>
      </c>
      <c r="M30" s="8">
        <f t="shared" si="9"/>
        <v>160</v>
      </c>
      <c r="N30" s="8">
        <f t="shared" si="9"/>
        <v>152</v>
      </c>
      <c r="O30" s="8">
        <f t="shared" si="9"/>
        <v>180</v>
      </c>
      <c r="P30" s="8">
        <f t="shared" si="9"/>
        <v>173</v>
      </c>
      <c r="Q30" s="8">
        <f t="shared" si="9"/>
        <v>224</v>
      </c>
      <c r="R30" s="8">
        <f t="shared" si="9"/>
        <v>210</v>
      </c>
      <c r="S30" s="8">
        <f t="shared" si="9"/>
        <v>192</v>
      </c>
      <c r="T30" s="8">
        <f t="shared" si="9"/>
        <v>198</v>
      </c>
      <c r="U30" s="8">
        <f t="shared" si="9"/>
        <v>175</v>
      </c>
      <c r="V30" s="8">
        <f t="shared" si="9"/>
        <v>206</v>
      </c>
      <c r="W30" s="8">
        <f t="shared" si="9"/>
        <v>166</v>
      </c>
      <c r="X30" s="8">
        <f t="shared" si="9"/>
        <v>173</v>
      </c>
      <c r="Y30" s="8">
        <f t="shared" si="9"/>
        <v>221</v>
      </c>
      <c r="Z30" s="8">
        <f t="shared" si="9"/>
        <v>220</v>
      </c>
      <c r="AA30" s="8">
        <f t="shared" si="9"/>
        <v>268</v>
      </c>
      <c r="AB30" s="8">
        <f t="shared" si="9"/>
        <v>250</v>
      </c>
      <c r="AC30" s="8">
        <f t="shared" si="9"/>
        <v>269</v>
      </c>
      <c r="AD30" s="8">
        <f t="shared" si="9"/>
        <v>276</v>
      </c>
      <c r="AE30" s="8">
        <f t="shared" si="9"/>
        <v>190</v>
      </c>
      <c r="AF30" s="8">
        <f t="shared" si="9"/>
        <v>236</v>
      </c>
      <c r="AG30" s="8">
        <f t="shared" si="9"/>
        <v>223</v>
      </c>
      <c r="AH30" s="8">
        <f t="shared" si="9"/>
        <v>253</v>
      </c>
      <c r="AI30" s="8">
        <f t="shared" si="9"/>
        <v>228</v>
      </c>
      <c r="AJ30" s="8">
        <f t="shared" si="9"/>
        <v>225</v>
      </c>
      <c r="AK30" s="8">
        <f t="shared" si="9"/>
        <v>204</v>
      </c>
      <c r="AL30" s="8">
        <f t="shared" si="9"/>
        <v>220</v>
      </c>
      <c r="AM30" s="8">
        <f t="shared" si="9"/>
        <v>196</v>
      </c>
      <c r="AN30" s="8">
        <f t="shared" si="9"/>
        <v>219</v>
      </c>
      <c r="AO30" s="8">
        <f t="shared" si="9"/>
        <v>222</v>
      </c>
      <c r="AP30" s="8">
        <f t="shared" si="9"/>
        <v>202</v>
      </c>
      <c r="AQ30" s="8">
        <f t="shared" si="9"/>
        <v>163</v>
      </c>
      <c r="AR30" s="8">
        <f t="shared" si="9"/>
        <v>221</v>
      </c>
      <c r="AS30" s="8">
        <f t="shared" si="9"/>
        <v>219</v>
      </c>
      <c r="AT30" s="8">
        <f t="shared" si="9"/>
        <v>205</v>
      </c>
      <c r="AU30" s="8">
        <f t="shared" si="9"/>
        <v>205</v>
      </c>
      <c r="AV30" s="8">
        <f t="shared" si="9"/>
        <v>229</v>
      </c>
      <c r="AW30" s="8">
        <f t="shared" si="9"/>
        <v>211</v>
      </c>
      <c r="AX30" s="8">
        <f t="shared" si="9"/>
        <v>201</v>
      </c>
      <c r="AY30" s="8">
        <f t="shared" si="9"/>
        <v>151</v>
      </c>
      <c r="AZ30" s="8">
        <f t="shared" si="9"/>
        <v>222</v>
      </c>
      <c r="BA30" s="8">
        <f t="shared" si="9"/>
        <v>196</v>
      </c>
      <c r="BB30" s="8">
        <f t="shared" si="9"/>
        <v>175</v>
      </c>
      <c r="BC30" s="8">
        <f t="shared" si="9"/>
        <v>200</v>
      </c>
      <c r="BD30" s="8">
        <f t="shared" si="9"/>
        <v>165</v>
      </c>
      <c r="BE30" s="8">
        <f t="shared" si="3"/>
        <v>10707</v>
      </c>
    </row>
    <row r="31" ht="12.75" customHeight="1">
      <c r="A31" s="29"/>
      <c r="B31" s="21"/>
      <c r="C31" s="21"/>
      <c r="D31" s="22"/>
      <c r="E31" s="12"/>
      <c r="F31" s="12"/>
      <c r="G31" s="12"/>
      <c r="H31" s="12"/>
      <c r="I31" s="12"/>
      <c r="J31" s="12"/>
      <c r="K31" s="12"/>
      <c r="L31" s="12"/>
      <c r="M31" s="12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8"/>
    </row>
    <row r="32" ht="12.75" customHeight="1">
      <c r="A32" s="58" t="s">
        <v>25</v>
      </c>
      <c r="B32" s="20" t="s">
        <v>26</v>
      </c>
      <c r="C32" s="21"/>
      <c r="D32" s="22"/>
      <c r="E32" s="8"/>
      <c r="F32" s="8"/>
      <c r="G32" s="8"/>
      <c r="H32" s="8"/>
      <c r="I32" s="8"/>
      <c r="J32" s="8"/>
      <c r="K32" s="8"/>
      <c r="L32" s="8"/>
      <c r="M32" s="8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8"/>
    </row>
    <row r="33" ht="12.75" customHeight="1">
      <c r="A33" s="12">
        <v>1.0</v>
      </c>
      <c r="B33" s="25" t="s">
        <v>121</v>
      </c>
      <c r="C33" s="21"/>
      <c r="D33" s="22"/>
      <c r="E33" s="12">
        <v>261.0</v>
      </c>
      <c r="F33" s="12">
        <v>267.0</v>
      </c>
      <c r="G33" s="12">
        <v>284.0</v>
      </c>
      <c r="H33" s="12">
        <v>275.0</v>
      </c>
      <c r="I33" s="12">
        <v>276.0</v>
      </c>
      <c r="J33" s="12">
        <v>220.0</v>
      </c>
      <c r="K33" s="12">
        <v>269.0</v>
      </c>
      <c r="L33" s="12">
        <v>261.0</v>
      </c>
      <c r="M33" s="12">
        <v>209.0</v>
      </c>
      <c r="N33" s="12">
        <v>180.0</v>
      </c>
      <c r="O33" s="12">
        <v>291.0</v>
      </c>
      <c r="P33" s="12">
        <v>247.0</v>
      </c>
      <c r="Q33" s="12">
        <v>281.0</v>
      </c>
      <c r="R33" s="12">
        <v>278.0</v>
      </c>
      <c r="S33" s="12">
        <v>266.0</v>
      </c>
      <c r="T33" s="12">
        <v>262.0</v>
      </c>
      <c r="U33" s="12">
        <v>258.0</v>
      </c>
      <c r="V33" s="12">
        <v>265.0</v>
      </c>
      <c r="W33" s="12">
        <v>230.0</v>
      </c>
      <c r="X33" s="12">
        <v>188.0</v>
      </c>
      <c r="Y33" s="12">
        <v>281.0</v>
      </c>
      <c r="Z33" s="12">
        <v>269.0</v>
      </c>
      <c r="AA33" s="12">
        <v>279.0</v>
      </c>
      <c r="AB33" s="12">
        <v>295.0</v>
      </c>
      <c r="AC33" s="12">
        <v>305.0</v>
      </c>
      <c r="AD33" s="12">
        <v>305.0</v>
      </c>
      <c r="AE33" s="12">
        <v>207.0</v>
      </c>
      <c r="AF33" s="12">
        <v>290.0</v>
      </c>
      <c r="AG33" s="12">
        <v>282.0</v>
      </c>
      <c r="AH33" s="12">
        <v>283.0</v>
      </c>
      <c r="AI33" s="12">
        <v>268.0</v>
      </c>
      <c r="AJ33" s="12">
        <v>287.0</v>
      </c>
      <c r="AK33" s="12">
        <v>262.0</v>
      </c>
      <c r="AL33" s="12">
        <v>293.0</v>
      </c>
      <c r="AM33" s="12">
        <v>265.0</v>
      </c>
      <c r="AN33" s="12">
        <v>291.0</v>
      </c>
      <c r="AO33" s="12">
        <v>296.0</v>
      </c>
      <c r="AP33" s="12">
        <v>261.0</v>
      </c>
      <c r="AQ33" s="12">
        <v>212.0</v>
      </c>
      <c r="AR33" s="12">
        <v>286.0</v>
      </c>
      <c r="AS33" s="12">
        <v>279.0</v>
      </c>
      <c r="AT33" s="12">
        <v>276.0</v>
      </c>
      <c r="AU33" s="12">
        <v>264.0</v>
      </c>
      <c r="AV33" s="12">
        <v>267.0</v>
      </c>
      <c r="AW33" s="12">
        <v>247.0</v>
      </c>
      <c r="AX33" s="12">
        <v>211.0</v>
      </c>
      <c r="AY33" s="12">
        <v>183.0</v>
      </c>
      <c r="AZ33" s="12">
        <v>279.0</v>
      </c>
      <c r="BA33" s="12">
        <v>241.0</v>
      </c>
      <c r="BB33" s="12">
        <v>257.0</v>
      </c>
      <c r="BC33" s="12">
        <v>249.0</v>
      </c>
      <c r="BD33" s="12">
        <v>214.0</v>
      </c>
      <c r="BE33" s="8">
        <f t="shared" ref="BE33:BE36" si="10">SUM(E33:BD33)</f>
        <v>13552</v>
      </c>
    </row>
    <row r="34" ht="15.0" customHeight="1">
      <c r="A34" s="12">
        <v>2.0</v>
      </c>
      <c r="B34" s="25" t="s">
        <v>28</v>
      </c>
      <c r="C34" s="21"/>
      <c r="D34" s="22"/>
      <c r="E34" s="8">
        <v>203.0</v>
      </c>
      <c r="F34" s="8">
        <v>198.0</v>
      </c>
      <c r="G34" s="8">
        <v>216.0</v>
      </c>
      <c r="H34" s="8">
        <v>213.0</v>
      </c>
      <c r="I34" s="8">
        <v>219.0</v>
      </c>
      <c r="J34" s="8">
        <v>171.0</v>
      </c>
      <c r="K34" s="8">
        <v>200.0</v>
      </c>
      <c r="L34" s="8">
        <v>193.0</v>
      </c>
      <c r="M34" s="8">
        <v>160.0</v>
      </c>
      <c r="N34" s="8">
        <v>152.0</v>
      </c>
      <c r="O34" s="8">
        <v>180.0</v>
      </c>
      <c r="P34" s="8">
        <v>173.0</v>
      </c>
      <c r="Q34" s="8">
        <v>224.0</v>
      </c>
      <c r="R34" s="8">
        <v>210.0</v>
      </c>
      <c r="S34" s="8">
        <v>192.0</v>
      </c>
      <c r="T34" s="8">
        <v>198.0</v>
      </c>
      <c r="U34" s="8">
        <v>175.0</v>
      </c>
      <c r="V34" s="8">
        <v>206.0</v>
      </c>
      <c r="W34" s="8">
        <v>166.0</v>
      </c>
      <c r="X34" s="8">
        <v>173.0</v>
      </c>
      <c r="Y34" s="8">
        <v>221.0</v>
      </c>
      <c r="Z34" s="8">
        <v>220.0</v>
      </c>
      <c r="AA34" s="8">
        <v>268.0</v>
      </c>
      <c r="AB34" s="8">
        <v>250.0</v>
      </c>
      <c r="AC34" s="8">
        <v>269.0</v>
      </c>
      <c r="AD34" s="8">
        <v>276.0</v>
      </c>
      <c r="AE34" s="8">
        <v>190.0</v>
      </c>
      <c r="AF34" s="8">
        <v>236.0</v>
      </c>
      <c r="AG34" s="8">
        <v>223.0</v>
      </c>
      <c r="AH34" s="8">
        <v>253.0</v>
      </c>
      <c r="AI34" s="8">
        <v>228.0</v>
      </c>
      <c r="AJ34" s="8">
        <v>225.0</v>
      </c>
      <c r="AK34" s="8">
        <v>204.0</v>
      </c>
      <c r="AL34" s="8">
        <v>220.0</v>
      </c>
      <c r="AM34" s="8">
        <v>196.0</v>
      </c>
      <c r="AN34" s="8">
        <v>219.0</v>
      </c>
      <c r="AO34" s="8">
        <v>222.0</v>
      </c>
      <c r="AP34" s="8">
        <v>202.0</v>
      </c>
      <c r="AQ34" s="8">
        <v>163.0</v>
      </c>
      <c r="AR34" s="8">
        <v>221.0</v>
      </c>
      <c r="AS34" s="8">
        <v>219.0</v>
      </c>
      <c r="AT34" s="8">
        <v>205.0</v>
      </c>
      <c r="AU34" s="8">
        <v>205.0</v>
      </c>
      <c r="AV34" s="8">
        <v>229.0</v>
      </c>
      <c r="AW34" s="8">
        <v>211.0</v>
      </c>
      <c r="AX34" s="8">
        <v>201.0</v>
      </c>
      <c r="AY34" s="8">
        <v>151.0</v>
      </c>
      <c r="AZ34" s="8">
        <v>222.0</v>
      </c>
      <c r="BA34" s="8">
        <v>196.0</v>
      </c>
      <c r="BB34" s="8">
        <v>175.0</v>
      </c>
      <c r="BC34" s="8">
        <v>200.0</v>
      </c>
      <c r="BD34" s="8">
        <v>165.0</v>
      </c>
      <c r="BE34" s="8">
        <f t="shared" si="10"/>
        <v>10707</v>
      </c>
    </row>
    <row r="35" ht="12.75" customHeight="1">
      <c r="A35" s="12">
        <v>3.0</v>
      </c>
      <c r="B35" s="25" t="s">
        <v>29</v>
      </c>
      <c r="C35" s="21"/>
      <c r="D35" s="22"/>
      <c r="E35" s="12">
        <v>0.0</v>
      </c>
      <c r="F35" s="12">
        <v>0.0</v>
      </c>
      <c r="G35" s="12">
        <v>0.0</v>
      </c>
      <c r="H35" s="12">
        <v>0.0</v>
      </c>
      <c r="I35" s="12">
        <v>0.0</v>
      </c>
      <c r="J35" s="12">
        <v>0.0</v>
      </c>
      <c r="K35" s="12">
        <v>1.0</v>
      </c>
      <c r="L35" s="12">
        <v>3.0</v>
      </c>
      <c r="M35" s="12">
        <v>0.0</v>
      </c>
      <c r="N35" s="12">
        <v>0.0</v>
      </c>
      <c r="O35" s="12">
        <v>0.0</v>
      </c>
      <c r="P35" s="12">
        <v>0.0</v>
      </c>
      <c r="Q35" s="12">
        <v>0.0</v>
      </c>
      <c r="R35" s="12">
        <v>0.0</v>
      </c>
      <c r="S35" s="12">
        <v>0.0</v>
      </c>
      <c r="T35" s="12">
        <v>0.0</v>
      </c>
      <c r="U35" s="12">
        <v>0.0</v>
      </c>
      <c r="V35" s="12">
        <v>0.0</v>
      </c>
      <c r="W35" s="12">
        <v>0.0</v>
      </c>
      <c r="X35" s="12">
        <v>0.0</v>
      </c>
      <c r="Y35" s="12">
        <v>0.0</v>
      </c>
      <c r="Z35" s="12">
        <v>0.0</v>
      </c>
      <c r="AA35" s="12">
        <v>0.0</v>
      </c>
      <c r="AB35" s="12">
        <v>0.0</v>
      </c>
      <c r="AC35" s="12">
        <v>0.0</v>
      </c>
      <c r="AD35" s="12">
        <v>0.0</v>
      </c>
      <c r="AE35" s="12">
        <v>0.0</v>
      </c>
      <c r="AF35" s="12">
        <v>0.0</v>
      </c>
      <c r="AG35" s="12">
        <v>0.0</v>
      </c>
      <c r="AH35" s="12">
        <v>0.0</v>
      </c>
      <c r="AI35" s="12">
        <v>1.0</v>
      </c>
      <c r="AJ35" s="12">
        <v>2.0</v>
      </c>
      <c r="AK35" s="12">
        <v>0.0</v>
      </c>
      <c r="AL35" s="12">
        <v>0.0</v>
      </c>
      <c r="AM35" s="12">
        <v>0.0</v>
      </c>
      <c r="AN35" s="12">
        <v>2.0</v>
      </c>
      <c r="AO35" s="12">
        <v>0.0</v>
      </c>
      <c r="AP35" s="12">
        <v>0.0</v>
      </c>
      <c r="AQ35" s="12">
        <v>0.0</v>
      </c>
      <c r="AR35" s="12">
        <v>0.0</v>
      </c>
      <c r="AS35" s="12">
        <v>0.0</v>
      </c>
      <c r="AT35" s="12">
        <v>1.0</v>
      </c>
      <c r="AU35" s="12">
        <v>0.0</v>
      </c>
      <c r="AV35" s="12">
        <v>0.0</v>
      </c>
      <c r="AW35" s="12">
        <v>1.0</v>
      </c>
      <c r="AX35" s="12">
        <v>0.0</v>
      </c>
      <c r="AY35" s="12">
        <v>0.0</v>
      </c>
      <c r="AZ35" s="12">
        <v>0.0</v>
      </c>
      <c r="BA35" s="12">
        <v>0.0</v>
      </c>
      <c r="BB35" s="12">
        <v>1.0</v>
      </c>
      <c r="BC35" s="12">
        <v>0.0</v>
      </c>
      <c r="BD35" s="12">
        <v>0.0</v>
      </c>
      <c r="BE35" s="8">
        <f t="shared" si="10"/>
        <v>12</v>
      </c>
    </row>
    <row r="36" ht="12.75" customHeight="1">
      <c r="A36" s="12">
        <v>4.0</v>
      </c>
      <c r="B36" s="25" t="s">
        <v>30</v>
      </c>
      <c r="C36" s="21"/>
      <c r="D36" s="22"/>
      <c r="E36" s="8">
        <f t="shared" ref="E36:BD36" si="11">E33-(E34+E35)</f>
        <v>58</v>
      </c>
      <c r="F36" s="8">
        <f t="shared" si="11"/>
        <v>69</v>
      </c>
      <c r="G36" s="8">
        <f t="shared" si="11"/>
        <v>68</v>
      </c>
      <c r="H36" s="8">
        <f t="shared" si="11"/>
        <v>62</v>
      </c>
      <c r="I36" s="8">
        <f t="shared" si="11"/>
        <v>57</v>
      </c>
      <c r="J36" s="8">
        <f t="shared" si="11"/>
        <v>49</v>
      </c>
      <c r="K36" s="8">
        <f t="shared" si="11"/>
        <v>68</v>
      </c>
      <c r="L36" s="8">
        <f t="shared" si="11"/>
        <v>65</v>
      </c>
      <c r="M36" s="8">
        <f t="shared" si="11"/>
        <v>49</v>
      </c>
      <c r="N36" s="8">
        <f t="shared" si="11"/>
        <v>28</v>
      </c>
      <c r="O36" s="8">
        <f t="shared" si="11"/>
        <v>111</v>
      </c>
      <c r="P36" s="8">
        <f t="shared" si="11"/>
        <v>74</v>
      </c>
      <c r="Q36" s="8">
        <f t="shared" si="11"/>
        <v>57</v>
      </c>
      <c r="R36" s="8">
        <f t="shared" si="11"/>
        <v>68</v>
      </c>
      <c r="S36" s="8">
        <f t="shared" si="11"/>
        <v>74</v>
      </c>
      <c r="T36" s="8">
        <f t="shared" si="11"/>
        <v>64</v>
      </c>
      <c r="U36" s="8">
        <f t="shared" si="11"/>
        <v>83</v>
      </c>
      <c r="V36" s="8">
        <f t="shared" si="11"/>
        <v>59</v>
      </c>
      <c r="W36" s="8">
        <f t="shared" si="11"/>
        <v>64</v>
      </c>
      <c r="X36" s="8">
        <f t="shared" si="11"/>
        <v>15</v>
      </c>
      <c r="Y36" s="8">
        <f t="shared" si="11"/>
        <v>60</v>
      </c>
      <c r="Z36" s="8">
        <f t="shared" si="11"/>
        <v>49</v>
      </c>
      <c r="AA36" s="8">
        <f t="shared" si="11"/>
        <v>11</v>
      </c>
      <c r="AB36" s="8">
        <f t="shared" si="11"/>
        <v>45</v>
      </c>
      <c r="AC36" s="8">
        <f t="shared" si="11"/>
        <v>36</v>
      </c>
      <c r="AD36" s="8">
        <f t="shared" si="11"/>
        <v>29</v>
      </c>
      <c r="AE36" s="8">
        <f t="shared" si="11"/>
        <v>17</v>
      </c>
      <c r="AF36" s="8">
        <f t="shared" si="11"/>
        <v>54</v>
      </c>
      <c r="AG36" s="8">
        <f t="shared" si="11"/>
        <v>59</v>
      </c>
      <c r="AH36" s="8">
        <f t="shared" si="11"/>
        <v>30</v>
      </c>
      <c r="AI36" s="8">
        <f t="shared" si="11"/>
        <v>39</v>
      </c>
      <c r="AJ36" s="8">
        <f t="shared" si="11"/>
        <v>60</v>
      </c>
      <c r="AK36" s="8">
        <f t="shared" si="11"/>
        <v>58</v>
      </c>
      <c r="AL36" s="8">
        <f t="shared" si="11"/>
        <v>73</v>
      </c>
      <c r="AM36" s="8">
        <f t="shared" si="11"/>
        <v>69</v>
      </c>
      <c r="AN36" s="8">
        <f t="shared" si="11"/>
        <v>70</v>
      </c>
      <c r="AO36" s="8">
        <f t="shared" si="11"/>
        <v>74</v>
      </c>
      <c r="AP36" s="8">
        <f t="shared" si="11"/>
        <v>59</v>
      </c>
      <c r="AQ36" s="8">
        <f t="shared" si="11"/>
        <v>49</v>
      </c>
      <c r="AR36" s="8">
        <f t="shared" si="11"/>
        <v>65</v>
      </c>
      <c r="AS36" s="8">
        <f t="shared" si="11"/>
        <v>60</v>
      </c>
      <c r="AT36" s="8">
        <f t="shared" si="11"/>
        <v>70</v>
      </c>
      <c r="AU36" s="8">
        <f t="shared" si="11"/>
        <v>59</v>
      </c>
      <c r="AV36" s="8">
        <f t="shared" si="11"/>
        <v>38</v>
      </c>
      <c r="AW36" s="8">
        <f t="shared" si="11"/>
        <v>35</v>
      </c>
      <c r="AX36" s="8">
        <f t="shared" si="11"/>
        <v>10</v>
      </c>
      <c r="AY36" s="8">
        <f t="shared" si="11"/>
        <v>32</v>
      </c>
      <c r="AZ36" s="8">
        <f t="shared" si="11"/>
        <v>57</v>
      </c>
      <c r="BA36" s="8">
        <f t="shared" si="11"/>
        <v>45</v>
      </c>
      <c r="BB36" s="8">
        <f t="shared" si="11"/>
        <v>81</v>
      </c>
      <c r="BC36" s="8">
        <f t="shared" si="11"/>
        <v>49</v>
      </c>
      <c r="BD36" s="8">
        <f t="shared" si="11"/>
        <v>49</v>
      </c>
      <c r="BE36" s="8">
        <f t="shared" si="10"/>
        <v>2833</v>
      </c>
    </row>
    <row r="37" ht="12.75" customHeight="1">
      <c r="A37" s="59"/>
      <c r="B37" s="60"/>
      <c r="C37" s="60"/>
      <c r="D37" s="60"/>
      <c r="E37" s="29"/>
      <c r="F37" s="21"/>
      <c r="G37" s="21"/>
      <c r="H37" s="21"/>
      <c r="I37" s="22"/>
      <c r="J37" s="12"/>
      <c r="K37" s="12"/>
      <c r="L37" s="12"/>
      <c r="M37" s="12"/>
      <c r="N37" s="17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8"/>
    </row>
    <row r="38" ht="12.75" customHeight="1">
      <c r="A38" s="61" t="s">
        <v>31</v>
      </c>
      <c r="B38" s="20" t="s">
        <v>32</v>
      </c>
      <c r="C38" s="21"/>
      <c r="D38" s="22"/>
      <c r="E38" s="8"/>
      <c r="F38" s="8"/>
      <c r="G38" s="8"/>
      <c r="H38" s="8"/>
      <c r="I38" s="8"/>
      <c r="J38" s="8"/>
      <c r="K38" s="8"/>
      <c r="L38" s="8"/>
      <c r="M38" s="8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8"/>
    </row>
    <row r="39" ht="12.75" customHeight="1">
      <c r="A39" s="54"/>
      <c r="B39" s="62" t="s">
        <v>33</v>
      </c>
      <c r="C39" s="28"/>
      <c r="D39" s="12" t="s">
        <v>12</v>
      </c>
      <c r="E39" s="12"/>
      <c r="F39" s="12"/>
      <c r="G39" s="12">
        <v>1.0</v>
      </c>
      <c r="H39" s="12">
        <v>1.0</v>
      </c>
      <c r="I39" s="12"/>
      <c r="J39" s="12"/>
      <c r="K39" s="12">
        <v>1.0</v>
      </c>
      <c r="L39" s="12"/>
      <c r="M39" s="12"/>
      <c r="N39" s="12">
        <v>1.0</v>
      </c>
      <c r="O39" s="12"/>
      <c r="P39" s="12"/>
      <c r="Q39" s="12"/>
      <c r="R39" s="12"/>
      <c r="S39" s="12">
        <v>1.0</v>
      </c>
      <c r="T39" s="12"/>
      <c r="U39" s="12"/>
      <c r="V39" s="12"/>
      <c r="W39" s="12"/>
      <c r="X39" s="12"/>
      <c r="Y39" s="12"/>
      <c r="Z39" s="12"/>
      <c r="AA39" s="12"/>
      <c r="AB39" s="12">
        <v>1.0</v>
      </c>
      <c r="AC39" s="12">
        <v>1.0</v>
      </c>
      <c r="AD39" s="12">
        <v>2.0</v>
      </c>
      <c r="AE39" s="12">
        <v>1.0</v>
      </c>
      <c r="AF39" s="12"/>
      <c r="AG39" s="12"/>
      <c r="AH39" s="12"/>
      <c r="AI39" s="12"/>
      <c r="AJ39" s="12"/>
      <c r="AK39" s="12"/>
      <c r="AL39" s="12">
        <v>1.0</v>
      </c>
      <c r="AM39" s="12"/>
      <c r="AN39" s="12"/>
      <c r="AO39" s="12">
        <v>3.0</v>
      </c>
      <c r="AP39" s="12"/>
      <c r="AQ39" s="12"/>
      <c r="AR39" s="12">
        <v>2.0</v>
      </c>
      <c r="AS39" s="12">
        <v>1.0</v>
      </c>
      <c r="AT39" s="12"/>
      <c r="AU39" s="12"/>
      <c r="AV39" s="12"/>
      <c r="AW39" s="12"/>
      <c r="AX39" s="12">
        <v>1.0</v>
      </c>
      <c r="AY39" s="12"/>
      <c r="AZ39" s="12"/>
      <c r="BA39" s="12"/>
      <c r="BB39" s="12"/>
      <c r="BC39" s="12"/>
      <c r="BD39" s="12"/>
      <c r="BE39" s="8">
        <f t="shared" ref="BE39:BE41" si="12">SUM(E39:BD39)</f>
        <v>18</v>
      </c>
    </row>
    <row r="40" ht="12.75" customHeight="1">
      <c r="A40" s="56"/>
      <c r="C40" s="31"/>
      <c r="D40" s="12" t="s">
        <v>13</v>
      </c>
      <c r="E40" s="12"/>
      <c r="F40" s="12">
        <v>1.0</v>
      </c>
      <c r="G40" s="12">
        <v>4.0</v>
      </c>
      <c r="H40" s="12">
        <v>1.0</v>
      </c>
      <c r="I40" s="12">
        <v>1.0</v>
      </c>
      <c r="J40" s="12"/>
      <c r="K40" s="12">
        <v>1.0</v>
      </c>
      <c r="L40" s="12"/>
      <c r="M40" s="12"/>
      <c r="N40" s="12">
        <v>1.0</v>
      </c>
      <c r="O40" s="12"/>
      <c r="P40" s="12"/>
      <c r="Q40" s="12"/>
      <c r="R40" s="12"/>
      <c r="S40" s="12">
        <v>5.0</v>
      </c>
      <c r="T40" s="12"/>
      <c r="U40" s="12"/>
      <c r="V40" s="12"/>
      <c r="W40" s="12"/>
      <c r="X40" s="12"/>
      <c r="Y40" s="12"/>
      <c r="Z40" s="12"/>
      <c r="AA40" s="12"/>
      <c r="AB40" s="12">
        <v>4.0</v>
      </c>
      <c r="AC40" s="12">
        <v>5.0</v>
      </c>
      <c r="AD40" s="12">
        <v>5.0</v>
      </c>
      <c r="AE40" s="12">
        <v>2.0</v>
      </c>
      <c r="AF40" s="12"/>
      <c r="AG40" s="12"/>
      <c r="AH40" s="12"/>
      <c r="AI40" s="12"/>
      <c r="AJ40" s="12"/>
      <c r="AK40" s="12"/>
      <c r="AL40" s="12">
        <v>4.0</v>
      </c>
      <c r="AM40" s="12"/>
      <c r="AN40" s="12"/>
      <c r="AO40" s="12">
        <v>5.0</v>
      </c>
      <c r="AP40" s="12"/>
      <c r="AQ40" s="12">
        <v>1.0</v>
      </c>
      <c r="AR40" s="12">
        <v>1.0</v>
      </c>
      <c r="AS40" s="12"/>
      <c r="AT40" s="12"/>
      <c r="AU40" s="12"/>
      <c r="AV40" s="12"/>
      <c r="AW40" s="12"/>
      <c r="AX40" s="12">
        <v>1.0</v>
      </c>
      <c r="AY40" s="12"/>
      <c r="AZ40" s="12"/>
      <c r="BA40" s="12"/>
      <c r="BB40" s="12"/>
      <c r="BC40" s="12"/>
      <c r="BD40" s="12"/>
      <c r="BE40" s="8">
        <f t="shared" si="12"/>
        <v>42</v>
      </c>
    </row>
    <row r="41" ht="12.75" customHeight="1">
      <c r="A41" s="58"/>
      <c r="B41" s="63"/>
      <c r="C41" s="33"/>
      <c r="D41" s="8" t="s">
        <v>14</v>
      </c>
      <c r="E41" s="8">
        <f t="shared" ref="E41:BD41" si="13">SUM(E39:E40)</f>
        <v>0</v>
      </c>
      <c r="F41" s="8">
        <f t="shared" si="13"/>
        <v>1</v>
      </c>
      <c r="G41" s="8">
        <f t="shared" si="13"/>
        <v>5</v>
      </c>
      <c r="H41" s="8">
        <f t="shared" si="13"/>
        <v>2</v>
      </c>
      <c r="I41" s="8">
        <f t="shared" si="13"/>
        <v>1</v>
      </c>
      <c r="J41" s="8">
        <f t="shared" si="13"/>
        <v>0</v>
      </c>
      <c r="K41" s="8">
        <f t="shared" si="13"/>
        <v>2</v>
      </c>
      <c r="L41" s="8">
        <f t="shared" si="13"/>
        <v>0</v>
      </c>
      <c r="M41" s="8">
        <f t="shared" si="13"/>
        <v>0</v>
      </c>
      <c r="N41" s="8">
        <f t="shared" si="13"/>
        <v>2</v>
      </c>
      <c r="O41" s="8">
        <f t="shared" si="13"/>
        <v>0</v>
      </c>
      <c r="P41" s="8">
        <f t="shared" si="13"/>
        <v>0</v>
      </c>
      <c r="Q41" s="8">
        <f t="shared" si="13"/>
        <v>0</v>
      </c>
      <c r="R41" s="8">
        <f t="shared" si="13"/>
        <v>0</v>
      </c>
      <c r="S41" s="8">
        <f t="shared" si="13"/>
        <v>6</v>
      </c>
      <c r="T41" s="8">
        <f t="shared" si="13"/>
        <v>0</v>
      </c>
      <c r="U41" s="8">
        <f t="shared" si="13"/>
        <v>0</v>
      </c>
      <c r="V41" s="8">
        <f t="shared" si="13"/>
        <v>0</v>
      </c>
      <c r="W41" s="8">
        <f t="shared" si="13"/>
        <v>0</v>
      </c>
      <c r="X41" s="8">
        <f t="shared" si="13"/>
        <v>0</v>
      </c>
      <c r="Y41" s="8">
        <f t="shared" si="13"/>
        <v>0</v>
      </c>
      <c r="Z41" s="8">
        <f t="shared" si="13"/>
        <v>0</v>
      </c>
      <c r="AA41" s="8">
        <f t="shared" si="13"/>
        <v>0</v>
      </c>
      <c r="AB41" s="8">
        <f t="shared" si="13"/>
        <v>5</v>
      </c>
      <c r="AC41" s="8">
        <f t="shared" si="13"/>
        <v>6</v>
      </c>
      <c r="AD41" s="8">
        <f t="shared" si="13"/>
        <v>7</v>
      </c>
      <c r="AE41" s="8">
        <f t="shared" si="13"/>
        <v>3</v>
      </c>
      <c r="AF41" s="8">
        <f t="shared" si="13"/>
        <v>0</v>
      </c>
      <c r="AG41" s="8">
        <f t="shared" si="13"/>
        <v>0</v>
      </c>
      <c r="AH41" s="8">
        <f t="shared" si="13"/>
        <v>0</v>
      </c>
      <c r="AI41" s="8">
        <f t="shared" si="13"/>
        <v>0</v>
      </c>
      <c r="AJ41" s="8">
        <f t="shared" si="13"/>
        <v>0</v>
      </c>
      <c r="AK41" s="8">
        <f t="shared" si="13"/>
        <v>0</v>
      </c>
      <c r="AL41" s="8">
        <f t="shared" si="13"/>
        <v>5</v>
      </c>
      <c r="AM41" s="8">
        <f t="shared" si="13"/>
        <v>0</v>
      </c>
      <c r="AN41" s="8">
        <f t="shared" si="13"/>
        <v>0</v>
      </c>
      <c r="AO41" s="8">
        <f t="shared" si="13"/>
        <v>8</v>
      </c>
      <c r="AP41" s="8">
        <f t="shared" si="13"/>
        <v>0</v>
      </c>
      <c r="AQ41" s="8">
        <f t="shared" si="13"/>
        <v>1</v>
      </c>
      <c r="AR41" s="8">
        <f t="shared" si="13"/>
        <v>3</v>
      </c>
      <c r="AS41" s="8">
        <f t="shared" si="13"/>
        <v>1</v>
      </c>
      <c r="AT41" s="8">
        <f t="shared" si="13"/>
        <v>0</v>
      </c>
      <c r="AU41" s="8">
        <f t="shared" si="13"/>
        <v>0</v>
      </c>
      <c r="AV41" s="8">
        <f t="shared" si="13"/>
        <v>0</v>
      </c>
      <c r="AW41" s="8">
        <f t="shared" si="13"/>
        <v>0</v>
      </c>
      <c r="AX41" s="8">
        <f t="shared" si="13"/>
        <v>2</v>
      </c>
      <c r="AY41" s="8">
        <f t="shared" si="13"/>
        <v>0</v>
      </c>
      <c r="AZ41" s="8">
        <f t="shared" si="13"/>
        <v>0</v>
      </c>
      <c r="BA41" s="8">
        <f t="shared" si="13"/>
        <v>0</v>
      </c>
      <c r="BB41" s="8">
        <f t="shared" si="13"/>
        <v>0</v>
      </c>
      <c r="BC41" s="8">
        <f t="shared" si="13"/>
        <v>0</v>
      </c>
      <c r="BD41" s="8">
        <f t="shared" si="13"/>
        <v>0</v>
      </c>
      <c r="BE41" s="8">
        <f t="shared" si="12"/>
        <v>60</v>
      </c>
    </row>
    <row r="42" ht="12.75" customHeight="1">
      <c r="A42" s="64"/>
      <c r="B42" s="63"/>
      <c r="C42" s="63"/>
      <c r="D42" s="33"/>
      <c r="E42" s="29"/>
      <c r="F42" s="21"/>
      <c r="G42" s="21"/>
      <c r="H42" s="21"/>
      <c r="I42" s="22"/>
      <c r="J42" s="12"/>
      <c r="K42" s="12"/>
      <c r="L42" s="12"/>
      <c r="M42" s="12"/>
      <c r="N42" s="17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8"/>
    </row>
    <row r="43" ht="12.75" customHeight="1">
      <c r="A43" s="61" t="s">
        <v>34</v>
      </c>
      <c r="B43" s="20" t="s">
        <v>35</v>
      </c>
      <c r="C43" s="21"/>
      <c r="D43" s="22"/>
      <c r="E43" s="8"/>
      <c r="F43" s="8"/>
      <c r="G43" s="8"/>
      <c r="H43" s="8"/>
      <c r="I43" s="8"/>
      <c r="J43" s="8"/>
      <c r="K43" s="8"/>
      <c r="L43" s="8"/>
      <c r="M43" s="8"/>
      <c r="N43" s="8"/>
      <c r="O43" s="39"/>
      <c r="P43" s="18"/>
      <c r="Q43" s="19"/>
      <c r="R43" s="19"/>
      <c r="S43" s="19"/>
      <c r="T43" s="19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8"/>
    </row>
    <row r="44" ht="15.0" customHeight="1">
      <c r="A44" s="54"/>
      <c r="B44" s="62" t="s">
        <v>36</v>
      </c>
      <c r="C44" s="65"/>
      <c r="D44" s="28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7"/>
      <c r="P44" s="18"/>
      <c r="Q44" s="19"/>
      <c r="R44" s="19"/>
      <c r="S44" s="19"/>
      <c r="T44" s="1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8"/>
    </row>
    <row r="45" ht="15.0" customHeight="1">
      <c r="A45" s="24"/>
      <c r="B45" s="46" t="s">
        <v>17</v>
      </c>
      <c r="C45" s="66" t="s">
        <v>37</v>
      </c>
      <c r="D45" s="22"/>
      <c r="E45" s="12">
        <v>8.0</v>
      </c>
      <c r="F45" s="12">
        <v>11.0</v>
      </c>
      <c r="G45" s="12">
        <v>7.0</v>
      </c>
      <c r="H45" s="12">
        <v>8.0</v>
      </c>
      <c r="I45" s="12">
        <v>9.0</v>
      </c>
      <c r="J45" s="12">
        <v>6.0</v>
      </c>
      <c r="K45" s="12">
        <v>21.0</v>
      </c>
      <c r="L45" s="12">
        <v>11.0</v>
      </c>
      <c r="M45" s="12">
        <v>14.0</v>
      </c>
      <c r="N45" s="12">
        <v>12.0</v>
      </c>
      <c r="O45" s="12">
        <v>11.0</v>
      </c>
      <c r="P45" s="12">
        <v>11.0</v>
      </c>
      <c r="Q45" s="12">
        <v>13.0</v>
      </c>
      <c r="R45" s="12">
        <v>6.0</v>
      </c>
      <c r="S45" s="12">
        <v>8.0</v>
      </c>
      <c r="T45" s="12">
        <v>7.0</v>
      </c>
      <c r="U45" s="12">
        <v>10.0</v>
      </c>
      <c r="V45" s="12">
        <v>19.0</v>
      </c>
      <c r="W45" s="12">
        <v>6.0</v>
      </c>
      <c r="X45" s="12">
        <v>29.0</v>
      </c>
      <c r="Y45" s="12">
        <v>29.0</v>
      </c>
      <c r="Z45" s="12">
        <v>29.0</v>
      </c>
      <c r="AA45" s="12">
        <v>22.0</v>
      </c>
      <c r="AB45" s="12">
        <v>30.0</v>
      </c>
      <c r="AC45" s="12">
        <v>36.0</v>
      </c>
      <c r="AD45" s="12">
        <v>14.0</v>
      </c>
      <c r="AE45" s="12">
        <v>11.0</v>
      </c>
      <c r="AF45" s="12">
        <v>16.0</v>
      </c>
      <c r="AG45" s="12">
        <v>22.0</v>
      </c>
      <c r="AH45" s="12">
        <v>17.0</v>
      </c>
      <c r="AI45" s="12">
        <v>30.0</v>
      </c>
      <c r="AJ45" s="12">
        <v>15.0</v>
      </c>
      <c r="AK45" s="12">
        <v>16.0</v>
      </c>
      <c r="AL45" s="12">
        <v>19.0</v>
      </c>
      <c r="AM45" s="12">
        <v>11.0</v>
      </c>
      <c r="AN45" s="12">
        <v>13.0</v>
      </c>
      <c r="AO45" s="12">
        <v>28.0</v>
      </c>
      <c r="AP45" s="12">
        <v>17.0</v>
      </c>
      <c r="AQ45" s="12">
        <v>5.0</v>
      </c>
      <c r="AR45" s="12">
        <v>24.0</v>
      </c>
      <c r="AS45" s="12">
        <v>10.0</v>
      </c>
      <c r="AT45" s="12">
        <v>10.0</v>
      </c>
      <c r="AU45" s="12">
        <v>16.0</v>
      </c>
      <c r="AV45" s="12">
        <v>20.0</v>
      </c>
      <c r="AW45" s="12">
        <v>16.0</v>
      </c>
      <c r="AX45" s="12">
        <v>10.0</v>
      </c>
      <c r="AY45" s="12">
        <v>15.0</v>
      </c>
      <c r="AZ45" s="12">
        <v>29.0</v>
      </c>
      <c r="BA45" s="12">
        <v>20.0</v>
      </c>
      <c r="BB45" s="12">
        <v>22.0</v>
      </c>
      <c r="BC45" s="12">
        <v>28.0</v>
      </c>
      <c r="BD45" s="12">
        <v>14.0</v>
      </c>
      <c r="BE45" s="8">
        <f t="shared" ref="BE45:BE57" si="14">SUM(E45:BD45)</f>
        <v>841</v>
      </c>
    </row>
    <row r="46" ht="12.75" customHeight="1">
      <c r="A46" s="24"/>
      <c r="B46" s="46" t="s">
        <v>19</v>
      </c>
      <c r="C46" s="66" t="s">
        <v>38</v>
      </c>
      <c r="D46" s="22"/>
      <c r="E46" s="12">
        <v>40.0</v>
      </c>
      <c r="F46" s="12">
        <v>35.0</v>
      </c>
      <c r="G46" s="12">
        <v>22.0</v>
      </c>
      <c r="H46" s="12">
        <v>41.0</v>
      </c>
      <c r="I46" s="12">
        <v>36.0</v>
      </c>
      <c r="J46" s="12">
        <v>23.0</v>
      </c>
      <c r="K46" s="12">
        <v>35.0</v>
      </c>
      <c r="L46" s="12">
        <v>30.0</v>
      </c>
      <c r="M46" s="12">
        <v>20.0</v>
      </c>
      <c r="N46" s="12">
        <v>23.0</v>
      </c>
      <c r="O46" s="12">
        <v>40.0</v>
      </c>
      <c r="P46" s="12">
        <v>26.0</v>
      </c>
      <c r="Q46" s="12">
        <v>39.0</v>
      </c>
      <c r="R46" s="12">
        <v>27.0</v>
      </c>
      <c r="S46" s="12">
        <v>30.0</v>
      </c>
      <c r="T46" s="12">
        <v>29.0</v>
      </c>
      <c r="U46" s="12">
        <v>25.0</v>
      </c>
      <c r="V46" s="12">
        <v>20.0</v>
      </c>
      <c r="W46" s="12">
        <v>25.0</v>
      </c>
      <c r="X46" s="12">
        <v>25.0</v>
      </c>
      <c r="Y46" s="12">
        <v>25.0</v>
      </c>
      <c r="Z46" s="12">
        <v>34.0</v>
      </c>
      <c r="AA46" s="12">
        <v>31.0</v>
      </c>
      <c r="AB46" s="12">
        <v>19.0</v>
      </c>
      <c r="AC46" s="12">
        <v>35.0</v>
      </c>
      <c r="AD46" s="12">
        <v>12.0</v>
      </c>
      <c r="AE46" s="12">
        <v>27.0</v>
      </c>
      <c r="AF46" s="12">
        <v>44.0</v>
      </c>
      <c r="AG46" s="12">
        <v>27.0</v>
      </c>
      <c r="AH46" s="12">
        <v>33.0</v>
      </c>
      <c r="AI46" s="12">
        <v>39.0</v>
      </c>
      <c r="AJ46" s="12">
        <v>39.0</v>
      </c>
      <c r="AK46" s="12">
        <v>32.0</v>
      </c>
      <c r="AL46" s="12">
        <v>30.0</v>
      </c>
      <c r="AM46" s="12">
        <v>20.0</v>
      </c>
      <c r="AN46" s="12">
        <v>45.0</v>
      </c>
      <c r="AO46" s="12">
        <v>30.0</v>
      </c>
      <c r="AP46" s="12">
        <v>32.0</v>
      </c>
      <c r="AQ46" s="12">
        <v>31.0</v>
      </c>
      <c r="AR46" s="12">
        <v>41.0</v>
      </c>
      <c r="AS46" s="12">
        <v>42.0</v>
      </c>
      <c r="AT46" s="12">
        <v>36.0</v>
      </c>
      <c r="AU46" s="12">
        <v>44.0</v>
      </c>
      <c r="AV46" s="12">
        <v>50.0</v>
      </c>
      <c r="AW46" s="12">
        <v>54.0</v>
      </c>
      <c r="AX46" s="12">
        <v>37.0</v>
      </c>
      <c r="AY46" s="12">
        <v>37.0</v>
      </c>
      <c r="AZ46" s="12">
        <v>39.0</v>
      </c>
      <c r="BA46" s="12">
        <v>34.0</v>
      </c>
      <c r="BB46" s="12">
        <v>36.0</v>
      </c>
      <c r="BC46" s="12">
        <v>30.0</v>
      </c>
      <c r="BD46" s="12">
        <v>19.0</v>
      </c>
      <c r="BE46" s="8">
        <f t="shared" si="14"/>
        <v>1675</v>
      </c>
    </row>
    <row r="47" ht="15.0" customHeight="1">
      <c r="A47" s="24"/>
      <c r="B47" s="46" t="s">
        <v>21</v>
      </c>
      <c r="C47" s="66" t="s">
        <v>39</v>
      </c>
      <c r="D47" s="22"/>
      <c r="E47" s="12">
        <v>11.0</v>
      </c>
      <c r="F47" s="12">
        <v>19.0</v>
      </c>
      <c r="G47" s="12">
        <v>12.0</v>
      </c>
      <c r="H47" s="12">
        <v>16.0</v>
      </c>
      <c r="I47" s="12">
        <v>14.0</v>
      </c>
      <c r="J47" s="12">
        <v>16.0</v>
      </c>
      <c r="K47" s="12">
        <v>12.0</v>
      </c>
      <c r="L47" s="12">
        <v>14.0</v>
      </c>
      <c r="M47" s="12">
        <v>12.0</v>
      </c>
      <c r="N47" s="12">
        <v>14.0</v>
      </c>
      <c r="O47" s="12">
        <v>13.0</v>
      </c>
      <c r="P47" s="12">
        <v>13.0</v>
      </c>
      <c r="Q47" s="12">
        <v>9.0</v>
      </c>
      <c r="R47" s="12">
        <v>23.0</v>
      </c>
      <c r="S47" s="12">
        <v>13.0</v>
      </c>
      <c r="T47" s="12">
        <v>17.0</v>
      </c>
      <c r="U47" s="12">
        <v>19.0</v>
      </c>
      <c r="V47" s="12">
        <v>23.0</v>
      </c>
      <c r="W47" s="12">
        <v>18.0</v>
      </c>
      <c r="X47" s="12">
        <v>23.0</v>
      </c>
      <c r="Y47" s="12">
        <v>16.0</v>
      </c>
      <c r="Z47" s="12">
        <v>20.0</v>
      </c>
      <c r="AA47" s="12">
        <v>20.0</v>
      </c>
      <c r="AB47" s="12">
        <v>26.0</v>
      </c>
      <c r="AC47" s="12">
        <v>14.0</v>
      </c>
      <c r="AD47" s="12">
        <v>3.0</v>
      </c>
      <c r="AE47" s="12">
        <v>16.0</v>
      </c>
      <c r="AF47" s="12">
        <v>13.0</v>
      </c>
      <c r="AG47" s="12">
        <v>14.0</v>
      </c>
      <c r="AH47" s="12">
        <v>17.0</v>
      </c>
      <c r="AI47" s="12">
        <v>16.0</v>
      </c>
      <c r="AJ47" s="12">
        <v>9.0</v>
      </c>
      <c r="AK47" s="12">
        <v>15.0</v>
      </c>
      <c r="AL47" s="12">
        <v>17.0</v>
      </c>
      <c r="AM47" s="12">
        <v>16.0</v>
      </c>
      <c r="AN47" s="12">
        <v>10.0</v>
      </c>
      <c r="AO47" s="12">
        <v>8.0</v>
      </c>
      <c r="AP47" s="12">
        <v>13.0</v>
      </c>
      <c r="AQ47" s="12">
        <v>7.0</v>
      </c>
      <c r="AR47" s="12">
        <v>12.0</v>
      </c>
      <c r="AS47" s="12">
        <v>9.0</v>
      </c>
      <c r="AT47" s="12">
        <v>10.0</v>
      </c>
      <c r="AU47" s="12">
        <v>14.0</v>
      </c>
      <c r="AV47" s="12">
        <v>6.0</v>
      </c>
      <c r="AW47" s="12">
        <v>10.0</v>
      </c>
      <c r="AX47" s="12">
        <v>15.0</v>
      </c>
      <c r="AY47" s="12">
        <v>5.0</v>
      </c>
      <c r="AZ47" s="12">
        <v>16.0</v>
      </c>
      <c r="BA47" s="12">
        <v>8.0</v>
      </c>
      <c r="BB47" s="12">
        <v>17.0</v>
      </c>
      <c r="BC47" s="12">
        <v>20.0</v>
      </c>
      <c r="BD47" s="12">
        <v>15.0</v>
      </c>
      <c r="BE47" s="8">
        <f t="shared" si="14"/>
        <v>738</v>
      </c>
    </row>
    <row r="48" ht="15.0" customHeight="1">
      <c r="A48" s="24"/>
      <c r="B48" s="46" t="s">
        <v>23</v>
      </c>
      <c r="C48" s="66" t="s">
        <v>40</v>
      </c>
      <c r="D48" s="22"/>
      <c r="E48" s="12">
        <v>14.0</v>
      </c>
      <c r="F48" s="12">
        <v>16.0</v>
      </c>
      <c r="G48" s="12">
        <v>14.0</v>
      </c>
      <c r="H48" s="12">
        <v>17.0</v>
      </c>
      <c r="I48" s="12">
        <v>16.0</v>
      </c>
      <c r="J48" s="12">
        <v>16.0</v>
      </c>
      <c r="K48" s="12">
        <v>11.0</v>
      </c>
      <c r="L48" s="12">
        <v>15.0</v>
      </c>
      <c r="M48" s="12">
        <v>18.0</v>
      </c>
      <c r="N48" s="12">
        <v>14.0</v>
      </c>
      <c r="O48" s="12">
        <v>11.0</v>
      </c>
      <c r="P48" s="12">
        <v>28.0</v>
      </c>
      <c r="Q48" s="12">
        <v>23.0</v>
      </c>
      <c r="R48" s="12">
        <v>21.0</v>
      </c>
      <c r="S48" s="12">
        <v>17.0</v>
      </c>
      <c r="T48" s="12">
        <v>19.0</v>
      </c>
      <c r="U48" s="12">
        <v>13.0</v>
      </c>
      <c r="V48" s="12">
        <v>14.0</v>
      </c>
      <c r="W48" s="12">
        <v>9.0</v>
      </c>
      <c r="X48" s="12">
        <v>9.0</v>
      </c>
      <c r="Y48" s="12">
        <v>19.0</v>
      </c>
      <c r="Z48" s="12">
        <v>19.0</v>
      </c>
      <c r="AA48" s="12">
        <v>37.0</v>
      </c>
      <c r="AB48" s="12">
        <v>13.0</v>
      </c>
      <c r="AC48" s="12">
        <v>27.0</v>
      </c>
      <c r="AD48" s="12">
        <v>9.0</v>
      </c>
      <c r="AE48" s="12">
        <v>18.0</v>
      </c>
      <c r="AF48" s="12">
        <v>24.0</v>
      </c>
      <c r="AG48" s="12">
        <v>11.0</v>
      </c>
      <c r="AH48" s="12">
        <v>28.0</v>
      </c>
      <c r="AI48" s="12">
        <v>13.0</v>
      </c>
      <c r="AJ48" s="12">
        <v>16.0</v>
      </c>
      <c r="AK48" s="12">
        <v>15.0</v>
      </c>
      <c r="AL48" s="12">
        <v>21.0</v>
      </c>
      <c r="AM48" s="12">
        <v>10.0</v>
      </c>
      <c r="AN48" s="12">
        <v>20.0</v>
      </c>
      <c r="AO48" s="12">
        <v>19.0</v>
      </c>
      <c r="AP48" s="12">
        <v>21.0</v>
      </c>
      <c r="AQ48" s="12">
        <v>7.0</v>
      </c>
      <c r="AR48" s="12">
        <v>11.0</v>
      </c>
      <c r="AS48" s="12">
        <v>13.0</v>
      </c>
      <c r="AT48" s="12">
        <v>25.0</v>
      </c>
      <c r="AU48" s="12">
        <v>15.0</v>
      </c>
      <c r="AV48" s="12">
        <v>14.0</v>
      </c>
      <c r="AW48" s="12">
        <v>13.0</v>
      </c>
      <c r="AX48" s="12">
        <v>18.0</v>
      </c>
      <c r="AY48" s="12">
        <v>10.0</v>
      </c>
      <c r="AZ48" s="12">
        <v>21.0</v>
      </c>
      <c r="BA48" s="12">
        <v>10.0</v>
      </c>
      <c r="BB48" s="12">
        <v>17.0</v>
      </c>
      <c r="BC48" s="12">
        <v>23.0</v>
      </c>
      <c r="BD48" s="12">
        <v>20.0</v>
      </c>
      <c r="BE48" s="8">
        <f t="shared" si="14"/>
        <v>872</v>
      </c>
    </row>
    <row r="49" ht="12.75" customHeight="1">
      <c r="A49" s="24"/>
      <c r="B49" s="46" t="s">
        <v>41</v>
      </c>
      <c r="C49" s="66" t="s">
        <v>42</v>
      </c>
      <c r="D49" s="22"/>
      <c r="E49" s="12">
        <v>27.0</v>
      </c>
      <c r="F49" s="12">
        <v>15.0</v>
      </c>
      <c r="G49" s="12">
        <v>27.0</v>
      </c>
      <c r="H49" s="12">
        <v>27.0</v>
      </c>
      <c r="I49" s="12">
        <v>29.0</v>
      </c>
      <c r="J49" s="12">
        <v>19.0</v>
      </c>
      <c r="K49" s="12">
        <v>12.0</v>
      </c>
      <c r="L49" s="12">
        <v>19.0</v>
      </c>
      <c r="M49" s="12">
        <v>17.0</v>
      </c>
      <c r="N49" s="12">
        <v>22.0</v>
      </c>
      <c r="O49" s="12">
        <v>18.0</v>
      </c>
      <c r="P49" s="12">
        <v>15.0</v>
      </c>
      <c r="Q49" s="12">
        <v>26.0</v>
      </c>
      <c r="R49" s="12">
        <v>26.0</v>
      </c>
      <c r="S49" s="12">
        <v>22.0</v>
      </c>
      <c r="T49" s="12">
        <v>24.0</v>
      </c>
      <c r="U49" s="12">
        <v>19.0</v>
      </c>
      <c r="V49" s="12">
        <v>16.0</v>
      </c>
      <c r="W49" s="12">
        <v>14.0</v>
      </c>
      <c r="X49" s="12">
        <v>13.0</v>
      </c>
      <c r="Y49" s="12">
        <v>17.0</v>
      </c>
      <c r="Z49" s="12">
        <v>29.0</v>
      </c>
      <c r="AA49" s="12">
        <v>29.0</v>
      </c>
      <c r="AB49" s="12">
        <v>24.0</v>
      </c>
      <c r="AC49" s="12">
        <v>17.0</v>
      </c>
      <c r="AD49" s="12">
        <v>10.0</v>
      </c>
      <c r="AE49" s="12">
        <v>19.0</v>
      </c>
      <c r="AF49" s="12">
        <v>31.0</v>
      </c>
      <c r="AG49" s="12">
        <v>24.0</v>
      </c>
      <c r="AH49" s="12">
        <v>27.0</v>
      </c>
      <c r="AI49" s="12">
        <v>14.0</v>
      </c>
      <c r="AJ49" s="12">
        <v>23.0</v>
      </c>
      <c r="AK49" s="12">
        <v>26.0</v>
      </c>
      <c r="AL49" s="12">
        <v>12.0</v>
      </c>
      <c r="AM49" s="12">
        <v>16.0</v>
      </c>
      <c r="AN49" s="12">
        <v>15.0</v>
      </c>
      <c r="AO49" s="12">
        <v>19.0</v>
      </c>
      <c r="AP49" s="12">
        <v>22.0</v>
      </c>
      <c r="AQ49" s="12">
        <v>15.0</v>
      </c>
      <c r="AR49" s="12">
        <v>26.0</v>
      </c>
      <c r="AS49" s="12">
        <v>19.0</v>
      </c>
      <c r="AT49" s="12">
        <v>19.0</v>
      </c>
      <c r="AU49" s="12">
        <v>14.0</v>
      </c>
      <c r="AV49" s="12">
        <v>10.0</v>
      </c>
      <c r="AW49" s="12">
        <v>13.0</v>
      </c>
      <c r="AX49" s="12">
        <v>20.0</v>
      </c>
      <c r="AY49" s="12">
        <v>11.0</v>
      </c>
      <c r="AZ49" s="12">
        <v>20.0</v>
      </c>
      <c r="BA49" s="12">
        <v>14.0</v>
      </c>
      <c r="BB49" s="12">
        <v>16.0</v>
      </c>
      <c r="BC49" s="12">
        <v>28.0</v>
      </c>
      <c r="BD49" s="12">
        <v>22.0</v>
      </c>
      <c r="BE49" s="8">
        <f t="shared" si="14"/>
        <v>1028</v>
      </c>
    </row>
    <row r="50" ht="15.0" customHeight="1">
      <c r="A50" s="24"/>
      <c r="B50" s="46" t="s">
        <v>43</v>
      </c>
      <c r="C50" s="66" t="s">
        <v>44</v>
      </c>
      <c r="D50" s="22"/>
      <c r="E50" s="12">
        <v>14.0</v>
      </c>
      <c r="F50" s="12">
        <v>12.0</v>
      </c>
      <c r="G50" s="12">
        <v>20.0</v>
      </c>
      <c r="H50" s="12">
        <v>18.0</v>
      </c>
      <c r="I50" s="12">
        <v>16.0</v>
      </c>
      <c r="J50" s="12">
        <v>8.0</v>
      </c>
      <c r="K50" s="12">
        <v>28.0</v>
      </c>
      <c r="L50" s="12">
        <v>17.0</v>
      </c>
      <c r="M50" s="12">
        <v>12.0</v>
      </c>
      <c r="N50" s="12">
        <v>11.0</v>
      </c>
      <c r="O50" s="12">
        <v>8.0</v>
      </c>
      <c r="P50" s="12">
        <v>11.0</v>
      </c>
      <c r="Q50" s="12">
        <v>29.0</v>
      </c>
      <c r="R50" s="12">
        <v>16.0</v>
      </c>
      <c r="S50" s="12">
        <v>15.0</v>
      </c>
      <c r="T50" s="12">
        <v>10.0</v>
      </c>
      <c r="U50" s="12">
        <v>7.0</v>
      </c>
      <c r="V50" s="12">
        <v>26.0</v>
      </c>
      <c r="W50" s="12">
        <v>14.0</v>
      </c>
      <c r="X50" s="12">
        <v>18.0</v>
      </c>
      <c r="Y50" s="12">
        <v>23.0</v>
      </c>
      <c r="Z50" s="12">
        <v>20.0</v>
      </c>
      <c r="AA50" s="12">
        <v>41.0</v>
      </c>
      <c r="AB50" s="12">
        <v>26.0</v>
      </c>
      <c r="AC50" s="12">
        <v>20.0</v>
      </c>
      <c r="AD50" s="12">
        <v>25.0</v>
      </c>
      <c r="AE50" s="12">
        <v>11.0</v>
      </c>
      <c r="AF50" s="12">
        <v>15.0</v>
      </c>
      <c r="AG50" s="12">
        <v>33.0</v>
      </c>
      <c r="AH50" s="12">
        <v>18.0</v>
      </c>
      <c r="AI50" s="12">
        <v>39.0</v>
      </c>
      <c r="AJ50" s="12">
        <v>12.0</v>
      </c>
      <c r="AK50" s="12">
        <v>13.0</v>
      </c>
      <c r="AL50" s="12">
        <v>19.0</v>
      </c>
      <c r="AM50" s="12">
        <v>11.0</v>
      </c>
      <c r="AN50" s="12">
        <v>14.0</v>
      </c>
      <c r="AO50" s="12">
        <v>14.0</v>
      </c>
      <c r="AP50" s="12">
        <v>9.0</v>
      </c>
      <c r="AQ50" s="12">
        <v>12.0</v>
      </c>
      <c r="AR50" s="12">
        <v>19.0</v>
      </c>
      <c r="AS50" s="12">
        <v>24.0</v>
      </c>
      <c r="AT50" s="12">
        <v>19.0</v>
      </c>
      <c r="AU50" s="12">
        <v>24.0</v>
      </c>
      <c r="AV50" s="12">
        <v>31.0</v>
      </c>
      <c r="AW50" s="12">
        <v>37.0</v>
      </c>
      <c r="AX50" s="12">
        <v>23.0</v>
      </c>
      <c r="AY50" s="12">
        <v>15.0</v>
      </c>
      <c r="AZ50" s="12">
        <v>29.0</v>
      </c>
      <c r="BA50" s="12">
        <v>25.0</v>
      </c>
      <c r="BB50" s="12">
        <v>8.0</v>
      </c>
      <c r="BC50" s="12">
        <v>22.0</v>
      </c>
      <c r="BD50" s="12">
        <v>21.0</v>
      </c>
      <c r="BE50" s="8">
        <f t="shared" si="14"/>
        <v>982</v>
      </c>
    </row>
    <row r="51" ht="15.0" customHeight="1">
      <c r="A51" s="24"/>
      <c r="B51" s="46" t="s">
        <v>45</v>
      </c>
      <c r="C51" s="66" t="s">
        <v>46</v>
      </c>
      <c r="D51" s="22"/>
      <c r="E51" s="12">
        <v>1.0</v>
      </c>
      <c r="F51" s="12">
        <v>4.0</v>
      </c>
      <c r="G51" s="12">
        <v>3.0</v>
      </c>
      <c r="H51" s="12">
        <v>4.0</v>
      </c>
      <c r="I51" s="12">
        <v>0.0</v>
      </c>
      <c r="J51" s="12">
        <v>2.0</v>
      </c>
      <c r="K51" s="12">
        <v>1.0</v>
      </c>
      <c r="L51" s="12">
        <v>3.0</v>
      </c>
      <c r="M51" s="12">
        <v>2.0</v>
      </c>
      <c r="N51" s="12">
        <v>2.0</v>
      </c>
      <c r="O51" s="12">
        <v>3.0</v>
      </c>
      <c r="P51" s="12">
        <v>2.0</v>
      </c>
      <c r="Q51" s="12">
        <v>3.0</v>
      </c>
      <c r="R51" s="12">
        <v>2.0</v>
      </c>
      <c r="S51" s="12">
        <v>2.0</v>
      </c>
      <c r="T51" s="12">
        <v>6.0</v>
      </c>
      <c r="U51" s="12">
        <v>3.0</v>
      </c>
      <c r="V51" s="12">
        <v>5.0</v>
      </c>
      <c r="W51" s="12">
        <v>3.0</v>
      </c>
      <c r="X51" s="12">
        <v>1.0</v>
      </c>
      <c r="Y51" s="12">
        <v>3.0</v>
      </c>
      <c r="Z51" s="12">
        <v>1.0</v>
      </c>
      <c r="AA51" s="12">
        <v>4.0</v>
      </c>
      <c r="AB51" s="12">
        <v>1.0</v>
      </c>
      <c r="AC51" s="12">
        <v>3.0</v>
      </c>
      <c r="AD51" s="12">
        <v>2.0</v>
      </c>
      <c r="AE51" s="12">
        <v>1.0</v>
      </c>
      <c r="AF51" s="12">
        <v>4.0</v>
      </c>
      <c r="AG51" s="12">
        <v>0.0</v>
      </c>
      <c r="AH51" s="12">
        <v>0.0</v>
      </c>
      <c r="AI51" s="12">
        <v>3.0</v>
      </c>
      <c r="AJ51" s="12">
        <v>4.0</v>
      </c>
      <c r="AK51" s="12">
        <v>8.0</v>
      </c>
      <c r="AL51" s="12">
        <v>4.0</v>
      </c>
      <c r="AM51" s="12">
        <v>7.0</v>
      </c>
      <c r="AN51" s="12">
        <v>1.0</v>
      </c>
      <c r="AO51" s="12">
        <v>3.0</v>
      </c>
      <c r="AP51" s="12">
        <v>2.0</v>
      </c>
      <c r="AQ51" s="12">
        <v>1.0</v>
      </c>
      <c r="AR51" s="12">
        <v>1.0</v>
      </c>
      <c r="AS51" s="12">
        <v>1.0</v>
      </c>
      <c r="AT51" s="12">
        <v>2.0</v>
      </c>
      <c r="AU51" s="12">
        <v>4.0</v>
      </c>
      <c r="AV51" s="12">
        <v>2.0</v>
      </c>
      <c r="AW51" s="12">
        <v>1.0</v>
      </c>
      <c r="AX51" s="12">
        <v>1.0</v>
      </c>
      <c r="AY51" s="12">
        <v>0.0</v>
      </c>
      <c r="AZ51" s="12">
        <v>1.0</v>
      </c>
      <c r="BA51" s="12">
        <v>0.0</v>
      </c>
      <c r="BB51" s="12">
        <v>7.0</v>
      </c>
      <c r="BC51" s="12">
        <v>4.0</v>
      </c>
      <c r="BD51" s="12">
        <v>3.0</v>
      </c>
      <c r="BE51" s="8">
        <f t="shared" si="14"/>
        <v>131</v>
      </c>
    </row>
    <row r="52" ht="12.75" customHeight="1">
      <c r="A52" s="24"/>
      <c r="B52" s="46" t="s">
        <v>47</v>
      </c>
      <c r="C52" s="66" t="s">
        <v>48</v>
      </c>
      <c r="D52" s="22"/>
      <c r="E52" s="12">
        <v>5.0</v>
      </c>
      <c r="F52" s="12">
        <v>3.0</v>
      </c>
      <c r="G52" s="12">
        <v>3.0</v>
      </c>
      <c r="H52" s="12">
        <v>2.0</v>
      </c>
      <c r="I52" s="12">
        <v>12.0</v>
      </c>
      <c r="J52" s="12">
        <v>8.0</v>
      </c>
      <c r="K52" s="12">
        <v>5.0</v>
      </c>
      <c r="L52" s="12">
        <v>10.0</v>
      </c>
      <c r="M52" s="12">
        <v>5.0</v>
      </c>
      <c r="N52" s="12">
        <v>4.0</v>
      </c>
      <c r="O52" s="12">
        <v>9.0</v>
      </c>
      <c r="P52" s="12">
        <v>4.0</v>
      </c>
      <c r="Q52" s="12">
        <v>6.0</v>
      </c>
      <c r="R52" s="12">
        <v>7.0</v>
      </c>
      <c r="S52" s="12">
        <v>6.0</v>
      </c>
      <c r="T52" s="12">
        <v>1.0</v>
      </c>
      <c r="U52" s="12">
        <v>6.0</v>
      </c>
      <c r="V52" s="12">
        <v>2.0</v>
      </c>
      <c r="W52" s="12">
        <v>3.0</v>
      </c>
      <c r="X52" s="12">
        <v>3.0</v>
      </c>
      <c r="Y52" s="12">
        <v>2.0</v>
      </c>
      <c r="Z52" s="12">
        <v>1.0</v>
      </c>
      <c r="AA52" s="12">
        <v>3.0</v>
      </c>
      <c r="AB52" s="12">
        <v>0.0</v>
      </c>
      <c r="AC52" s="12">
        <v>6.0</v>
      </c>
      <c r="AD52" s="12">
        <v>3.0</v>
      </c>
      <c r="AE52" s="12">
        <v>4.0</v>
      </c>
      <c r="AF52" s="12">
        <v>6.0</v>
      </c>
      <c r="AG52" s="12">
        <v>2.0</v>
      </c>
      <c r="AH52" s="12">
        <v>2.0</v>
      </c>
      <c r="AI52" s="67">
        <v>2.0</v>
      </c>
      <c r="AJ52" s="67">
        <v>4.0</v>
      </c>
      <c r="AK52" s="67">
        <v>4.0</v>
      </c>
      <c r="AL52" s="67">
        <v>12.0</v>
      </c>
      <c r="AM52" s="67">
        <v>5.0</v>
      </c>
      <c r="AN52" s="67">
        <v>2.0</v>
      </c>
      <c r="AO52" s="67">
        <v>18.0</v>
      </c>
      <c r="AP52" s="67">
        <v>4.0</v>
      </c>
      <c r="AQ52" s="67">
        <v>3.0</v>
      </c>
      <c r="AR52" s="67">
        <v>2.0</v>
      </c>
      <c r="AS52" s="67">
        <v>1.0</v>
      </c>
      <c r="AT52" s="67">
        <v>6.0</v>
      </c>
      <c r="AU52" s="67">
        <v>2.0</v>
      </c>
      <c r="AV52" s="67">
        <v>2.0</v>
      </c>
      <c r="AW52" s="67">
        <v>1.0</v>
      </c>
      <c r="AX52" s="12">
        <v>4.0</v>
      </c>
      <c r="AY52" s="12">
        <v>1.0</v>
      </c>
      <c r="AZ52" s="12">
        <v>1.0</v>
      </c>
      <c r="BA52" s="12">
        <v>1.0</v>
      </c>
      <c r="BB52" s="12">
        <v>3.0</v>
      </c>
      <c r="BC52" s="12">
        <v>2.0</v>
      </c>
      <c r="BD52" s="12">
        <v>2.0</v>
      </c>
      <c r="BE52" s="8">
        <f t="shared" si="14"/>
        <v>215</v>
      </c>
    </row>
    <row r="53" ht="12.75" customHeight="1">
      <c r="A53" s="24"/>
      <c r="B53" s="46" t="s">
        <v>49</v>
      </c>
      <c r="C53" s="66" t="s">
        <v>50</v>
      </c>
      <c r="D53" s="22"/>
      <c r="E53" s="12">
        <v>1.0</v>
      </c>
      <c r="F53" s="12">
        <v>1.0</v>
      </c>
      <c r="G53" s="12">
        <v>1.0</v>
      </c>
      <c r="H53" s="12">
        <v>2.0</v>
      </c>
      <c r="I53" s="12">
        <v>0.0</v>
      </c>
      <c r="J53" s="12">
        <v>1.0</v>
      </c>
      <c r="K53" s="12">
        <v>1.0</v>
      </c>
      <c r="L53" s="12">
        <v>0.0</v>
      </c>
      <c r="M53" s="12">
        <v>3.0</v>
      </c>
      <c r="N53" s="12">
        <v>2.0</v>
      </c>
      <c r="O53" s="12">
        <v>2.0</v>
      </c>
      <c r="P53" s="12">
        <v>1.0</v>
      </c>
      <c r="Q53" s="12">
        <v>1.0</v>
      </c>
      <c r="R53" s="12">
        <v>1.0</v>
      </c>
      <c r="S53" s="12">
        <v>0.0</v>
      </c>
      <c r="T53" s="12">
        <v>1.0</v>
      </c>
      <c r="U53" s="12">
        <v>0.0</v>
      </c>
      <c r="V53" s="12">
        <v>1.0</v>
      </c>
      <c r="W53" s="12">
        <v>0.0</v>
      </c>
      <c r="X53" s="12">
        <v>0.0</v>
      </c>
      <c r="Y53" s="12">
        <v>2.0</v>
      </c>
      <c r="Z53" s="12">
        <v>0.0</v>
      </c>
      <c r="AA53" s="12">
        <v>0.0</v>
      </c>
      <c r="AB53" s="12">
        <v>0.0</v>
      </c>
      <c r="AC53" s="12">
        <v>0.0</v>
      </c>
      <c r="AD53" s="12">
        <v>2.0</v>
      </c>
      <c r="AE53" s="12">
        <v>0.0</v>
      </c>
      <c r="AF53" s="12">
        <v>0.0</v>
      </c>
      <c r="AG53" s="12">
        <v>1.0</v>
      </c>
      <c r="AH53" s="12">
        <v>0.0</v>
      </c>
      <c r="AI53" s="67">
        <v>3.0</v>
      </c>
      <c r="AJ53" s="67">
        <v>0.0</v>
      </c>
      <c r="AK53" s="67">
        <v>1.0</v>
      </c>
      <c r="AL53" s="67">
        <v>0.0</v>
      </c>
      <c r="AM53" s="67">
        <v>4.0</v>
      </c>
      <c r="AN53" s="67">
        <v>1.0</v>
      </c>
      <c r="AO53" s="67">
        <v>0.0</v>
      </c>
      <c r="AP53" s="67">
        <v>1.0</v>
      </c>
      <c r="AQ53" s="67">
        <v>0.0</v>
      </c>
      <c r="AR53" s="67">
        <v>1.0</v>
      </c>
      <c r="AS53" s="67">
        <v>0.0</v>
      </c>
      <c r="AT53" s="67">
        <v>0.0</v>
      </c>
      <c r="AU53" s="67">
        <v>1.0</v>
      </c>
      <c r="AV53" s="67">
        <v>1.0</v>
      </c>
      <c r="AW53" s="67">
        <v>1.0</v>
      </c>
      <c r="AX53" s="12">
        <v>2.0</v>
      </c>
      <c r="AY53" s="12">
        <v>0.0</v>
      </c>
      <c r="AZ53" s="12">
        <v>2.0</v>
      </c>
      <c r="BA53" s="12">
        <v>0.0</v>
      </c>
      <c r="BB53" s="12">
        <v>0.0</v>
      </c>
      <c r="BC53" s="12">
        <v>0.0</v>
      </c>
      <c r="BD53" s="12">
        <v>0.0</v>
      </c>
      <c r="BE53" s="8">
        <f t="shared" si="14"/>
        <v>42</v>
      </c>
    </row>
    <row r="54" ht="12.75" customHeight="1">
      <c r="A54" s="24"/>
      <c r="B54" s="46" t="s">
        <v>51</v>
      </c>
      <c r="C54" s="66" t="s">
        <v>52</v>
      </c>
      <c r="D54" s="22"/>
      <c r="E54" s="12">
        <v>21.0</v>
      </c>
      <c r="F54" s="12">
        <v>17.0</v>
      </c>
      <c r="G54" s="12">
        <v>32.0</v>
      </c>
      <c r="H54" s="12">
        <v>19.0</v>
      </c>
      <c r="I54" s="12">
        <v>25.0</v>
      </c>
      <c r="J54" s="12">
        <v>21.0</v>
      </c>
      <c r="K54" s="12">
        <v>13.0</v>
      </c>
      <c r="L54" s="12">
        <v>27.0</v>
      </c>
      <c r="M54" s="12">
        <v>17.0</v>
      </c>
      <c r="N54" s="12">
        <v>6.0</v>
      </c>
      <c r="O54" s="12">
        <v>20.0</v>
      </c>
      <c r="P54" s="12">
        <v>18.0</v>
      </c>
      <c r="Q54" s="12">
        <v>28.0</v>
      </c>
      <c r="R54" s="12">
        <v>19.0</v>
      </c>
      <c r="S54" s="12">
        <v>22.0</v>
      </c>
      <c r="T54" s="12">
        <v>12.0</v>
      </c>
      <c r="U54" s="12">
        <v>25.0</v>
      </c>
      <c r="V54" s="12">
        <v>23.0</v>
      </c>
      <c r="W54" s="12">
        <v>25.0</v>
      </c>
      <c r="X54" s="12">
        <v>16.0</v>
      </c>
      <c r="Y54" s="12">
        <v>20.0</v>
      </c>
      <c r="Z54" s="12">
        <v>0.0</v>
      </c>
      <c r="AA54" s="12">
        <v>26.0</v>
      </c>
      <c r="AB54" s="12">
        <v>26.0</v>
      </c>
      <c r="AC54" s="12">
        <v>19.0</v>
      </c>
      <c r="AD54" s="12">
        <v>13.0</v>
      </c>
      <c r="AE54" s="12">
        <v>14.0</v>
      </c>
      <c r="AF54" s="12">
        <v>18.0</v>
      </c>
      <c r="AG54" s="12">
        <v>24.0</v>
      </c>
      <c r="AH54" s="12">
        <v>22.0</v>
      </c>
      <c r="AI54" s="67">
        <v>17.0</v>
      </c>
      <c r="AJ54" s="67">
        <v>24.0</v>
      </c>
      <c r="AK54" s="67">
        <v>31.0</v>
      </c>
      <c r="AL54" s="67">
        <v>22.0</v>
      </c>
      <c r="AM54" s="67">
        <v>34.0</v>
      </c>
      <c r="AN54" s="67">
        <v>27.0</v>
      </c>
      <c r="AO54" s="67">
        <v>21.0</v>
      </c>
      <c r="AP54" s="67">
        <v>22.0</v>
      </c>
      <c r="AQ54" s="67">
        <v>15.0</v>
      </c>
      <c r="AR54" s="67">
        <v>28.0</v>
      </c>
      <c r="AS54" s="67">
        <v>28.0</v>
      </c>
      <c r="AT54" s="67">
        <v>15.0</v>
      </c>
      <c r="AU54" s="67">
        <v>19.0</v>
      </c>
      <c r="AV54" s="67">
        <v>28.0</v>
      </c>
      <c r="AW54" s="67">
        <v>17.0</v>
      </c>
      <c r="AX54" s="12">
        <v>24.0</v>
      </c>
      <c r="AY54" s="12">
        <v>17.0</v>
      </c>
      <c r="AZ54" s="12">
        <v>20.0</v>
      </c>
      <c r="BA54" s="12">
        <v>26.0</v>
      </c>
      <c r="BB54" s="12">
        <v>18.0</v>
      </c>
      <c r="BC54" s="12">
        <v>6.0</v>
      </c>
      <c r="BD54" s="12">
        <v>12.0</v>
      </c>
      <c r="BE54" s="8">
        <f t="shared" si="14"/>
        <v>1059</v>
      </c>
    </row>
    <row r="55" ht="12.75" customHeight="1">
      <c r="A55" s="24"/>
      <c r="B55" s="46" t="s">
        <v>53</v>
      </c>
      <c r="C55" s="66" t="s">
        <v>54</v>
      </c>
      <c r="D55" s="22"/>
      <c r="E55" s="12">
        <v>3.0</v>
      </c>
      <c r="F55" s="12">
        <v>2.0</v>
      </c>
      <c r="G55" s="12">
        <v>2.0</v>
      </c>
      <c r="H55" s="12">
        <v>0.0</v>
      </c>
      <c r="I55" s="12">
        <v>2.0</v>
      </c>
      <c r="J55" s="12">
        <v>3.0</v>
      </c>
      <c r="K55" s="12">
        <v>2.0</v>
      </c>
      <c r="L55" s="12">
        <v>0.0</v>
      </c>
      <c r="M55" s="12">
        <v>3.0</v>
      </c>
      <c r="N55" s="12">
        <v>2.0</v>
      </c>
      <c r="O55" s="12">
        <v>0.0</v>
      </c>
      <c r="P55" s="12">
        <v>2.0</v>
      </c>
      <c r="Q55" s="12">
        <v>2.0</v>
      </c>
      <c r="R55" s="12">
        <v>3.0</v>
      </c>
      <c r="S55" s="12">
        <v>2.0</v>
      </c>
      <c r="T55" s="12">
        <v>0.0</v>
      </c>
      <c r="U55" s="12">
        <v>1.0</v>
      </c>
      <c r="V55" s="12">
        <v>0.0</v>
      </c>
      <c r="W55" s="12">
        <v>0.0</v>
      </c>
      <c r="X55" s="12">
        <v>0.0</v>
      </c>
      <c r="Y55" s="12">
        <v>1.0</v>
      </c>
      <c r="Z55" s="12">
        <v>14.0</v>
      </c>
      <c r="AA55" s="12">
        <v>0.0</v>
      </c>
      <c r="AB55" s="12">
        <v>1.0</v>
      </c>
      <c r="AC55" s="12">
        <v>1.0</v>
      </c>
      <c r="AD55" s="12">
        <v>0.0</v>
      </c>
      <c r="AE55" s="12">
        <v>1.0</v>
      </c>
      <c r="AF55" s="12">
        <v>3.0</v>
      </c>
      <c r="AG55" s="12">
        <v>0.0</v>
      </c>
      <c r="AH55" s="12">
        <v>1.0</v>
      </c>
      <c r="AI55" s="67">
        <v>0.0</v>
      </c>
      <c r="AJ55" s="67">
        <v>2.0</v>
      </c>
      <c r="AK55" s="67">
        <v>3.0</v>
      </c>
      <c r="AL55" s="67">
        <v>3.0</v>
      </c>
      <c r="AM55" s="67">
        <v>2.0</v>
      </c>
      <c r="AN55" s="67">
        <v>1.0</v>
      </c>
      <c r="AO55" s="67">
        <v>1.0</v>
      </c>
      <c r="AP55" s="67">
        <v>0.0</v>
      </c>
      <c r="AQ55" s="67">
        <v>5.0</v>
      </c>
      <c r="AR55" s="67">
        <v>2.0</v>
      </c>
      <c r="AS55" s="67">
        <v>1.0</v>
      </c>
      <c r="AT55" s="67">
        <v>0.0</v>
      </c>
      <c r="AU55" s="67">
        <v>0.0</v>
      </c>
      <c r="AV55" s="67">
        <v>3.0</v>
      </c>
      <c r="AW55" s="67">
        <v>1.0</v>
      </c>
      <c r="AX55" s="12">
        <v>0.0</v>
      </c>
      <c r="AY55" s="12">
        <v>0.0</v>
      </c>
      <c r="AZ55" s="12">
        <v>2.0</v>
      </c>
      <c r="BA55" s="12">
        <v>1.0</v>
      </c>
      <c r="BB55" s="12">
        <v>0.0</v>
      </c>
      <c r="BC55" s="12">
        <v>2.0</v>
      </c>
      <c r="BD55" s="12">
        <v>0.0</v>
      </c>
      <c r="BE55" s="8">
        <f t="shared" si="14"/>
        <v>80</v>
      </c>
    </row>
    <row r="56" ht="12.75" customHeight="1">
      <c r="A56" s="24"/>
      <c r="B56" s="46" t="s">
        <v>55</v>
      </c>
      <c r="C56" s="66" t="s">
        <v>56</v>
      </c>
      <c r="D56" s="22"/>
      <c r="E56" s="12">
        <v>21.0</v>
      </c>
      <c r="F56" s="12">
        <v>22.0</v>
      </c>
      <c r="G56" s="12">
        <v>28.0</v>
      </c>
      <c r="H56" s="12">
        <v>28.0</v>
      </c>
      <c r="I56" s="12">
        <v>14.0</v>
      </c>
      <c r="J56" s="12">
        <v>19.0</v>
      </c>
      <c r="K56" s="12">
        <v>21.0</v>
      </c>
      <c r="L56" s="12">
        <v>21.0</v>
      </c>
      <c r="M56" s="12">
        <v>13.0</v>
      </c>
      <c r="N56" s="12">
        <v>21.0</v>
      </c>
      <c r="O56" s="12">
        <v>12.0</v>
      </c>
      <c r="P56" s="12">
        <v>14.0</v>
      </c>
      <c r="Q56" s="12">
        <v>21.0</v>
      </c>
      <c r="R56" s="12">
        <v>24.0</v>
      </c>
      <c r="S56" s="12">
        <v>17.0</v>
      </c>
      <c r="T56" s="12">
        <v>23.0</v>
      </c>
      <c r="U56" s="12">
        <v>24.0</v>
      </c>
      <c r="V56" s="12">
        <v>15.0</v>
      </c>
      <c r="W56" s="12">
        <v>21.0</v>
      </c>
      <c r="X56" s="12">
        <v>10.0</v>
      </c>
      <c r="Y56" s="12">
        <v>25.0</v>
      </c>
      <c r="Z56" s="12">
        <v>17.0</v>
      </c>
      <c r="AA56" s="12">
        <v>21.0</v>
      </c>
      <c r="AB56" s="12">
        <v>19.0</v>
      </c>
      <c r="AC56" s="12">
        <v>25.0</v>
      </c>
      <c r="AD56" s="12">
        <v>24.0</v>
      </c>
      <c r="AE56" s="12">
        <v>16.0</v>
      </c>
      <c r="AF56" s="12">
        <v>35.0</v>
      </c>
      <c r="AG56" s="12">
        <v>15.0</v>
      </c>
      <c r="AH56" s="12">
        <v>20.0</v>
      </c>
      <c r="AI56" s="67">
        <v>22.0</v>
      </c>
      <c r="AJ56" s="67">
        <v>30.0</v>
      </c>
      <c r="AK56" s="67">
        <v>21.0</v>
      </c>
      <c r="AL56" s="67">
        <v>27.0</v>
      </c>
      <c r="AM56" s="67">
        <v>19.0</v>
      </c>
      <c r="AN56" s="67">
        <v>20.0</v>
      </c>
      <c r="AO56" s="68">
        <v>20.0</v>
      </c>
      <c r="AP56" s="68">
        <v>21.0</v>
      </c>
      <c r="AQ56" s="68">
        <v>6.0</v>
      </c>
      <c r="AR56" s="68">
        <v>26.0</v>
      </c>
      <c r="AS56" s="68">
        <v>44.0</v>
      </c>
      <c r="AT56" s="68">
        <v>35.0</v>
      </c>
      <c r="AU56" s="68">
        <v>20.0</v>
      </c>
      <c r="AV56" s="68">
        <v>28.0</v>
      </c>
      <c r="AW56" s="67">
        <v>23.0</v>
      </c>
      <c r="AX56" s="12">
        <v>29.0</v>
      </c>
      <c r="AY56" s="12">
        <v>16.0</v>
      </c>
      <c r="AZ56" s="12">
        <v>16.0</v>
      </c>
      <c r="BA56" s="12">
        <v>28.0</v>
      </c>
      <c r="BB56" s="12">
        <v>12.0</v>
      </c>
      <c r="BC56" s="12">
        <v>17.0</v>
      </c>
      <c r="BD56" s="12">
        <v>21.0</v>
      </c>
      <c r="BE56" s="8">
        <f t="shared" si="14"/>
        <v>1107</v>
      </c>
    </row>
    <row r="57" ht="12.75" customHeight="1">
      <c r="A57" s="64"/>
      <c r="B57" s="46" t="s">
        <v>57</v>
      </c>
      <c r="C57" s="66" t="s">
        <v>58</v>
      </c>
      <c r="D57" s="22"/>
      <c r="E57" s="12">
        <v>0.0</v>
      </c>
      <c r="F57" s="12">
        <v>4.0</v>
      </c>
      <c r="G57" s="12">
        <v>1.0</v>
      </c>
      <c r="H57" s="12">
        <v>3.0</v>
      </c>
      <c r="I57" s="12">
        <v>2.0</v>
      </c>
      <c r="J57" s="12">
        <v>3.0</v>
      </c>
      <c r="K57" s="12">
        <v>3.0</v>
      </c>
      <c r="L57" s="12">
        <v>5.0</v>
      </c>
      <c r="M57" s="12">
        <v>1.0</v>
      </c>
      <c r="N57" s="12">
        <v>2.0</v>
      </c>
      <c r="O57" s="12">
        <v>3.0</v>
      </c>
      <c r="P57" s="12">
        <v>0.0</v>
      </c>
      <c r="Q57" s="12">
        <v>1.0</v>
      </c>
      <c r="R57" s="12">
        <v>4.0</v>
      </c>
      <c r="S57" s="12">
        <v>8.0</v>
      </c>
      <c r="T57" s="12">
        <v>3.0</v>
      </c>
      <c r="U57" s="12">
        <v>0.0</v>
      </c>
      <c r="V57" s="12">
        <v>3.0</v>
      </c>
      <c r="W57" s="12">
        <v>7.0</v>
      </c>
      <c r="X57" s="12">
        <v>2.0</v>
      </c>
      <c r="Y57" s="12">
        <v>2.0</v>
      </c>
      <c r="Z57" s="12">
        <v>1.0</v>
      </c>
      <c r="AA57" s="12">
        <v>1.0</v>
      </c>
      <c r="AB57" s="12">
        <v>5.0</v>
      </c>
      <c r="AC57" s="12">
        <v>1.0</v>
      </c>
      <c r="AD57" s="12">
        <v>0.0</v>
      </c>
      <c r="AE57" s="12">
        <v>1.0</v>
      </c>
      <c r="AF57" s="12">
        <v>0.0</v>
      </c>
      <c r="AG57" s="12">
        <v>2.0</v>
      </c>
      <c r="AH57" s="12">
        <v>4.0</v>
      </c>
      <c r="AI57" s="67">
        <v>2.0</v>
      </c>
      <c r="AJ57" s="67">
        <v>4.0</v>
      </c>
      <c r="AK57" s="67">
        <v>2.0</v>
      </c>
      <c r="AL57" s="67">
        <v>2.0</v>
      </c>
      <c r="AM57" s="67">
        <v>1.0</v>
      </c>
      <c r="AN57" s="67">
        <v>2.0</v>
      </c>
      <c r="AO57" s="67">
        <v>1.0</v>
      </c>
      <c r="AP57" s="67">
        <v>1.0</v>
      </c>
      <c r="AQ57" s="67">
        <v>2.0</v>
      </c>
      <c r="AR57" s="67">
        <v>0.0</v>
      </c>
      <c r="AS57" s="67">
        <v>0.0</v>
      </c>
      <c r="AT57" s="67">
        <v>0.0</v>
      </c>
      <c r="AU57" s="67">
        <v>2.0</v>
      </c>
      <c r="AV57" s="67">
        <v>1.0</v>
      </c>
      <c r="AW57" s="67">
        <v>2.0</v>
      </c>
      <c r="AX57" s="12">
        <v>2.0</v>
      </c>
      <c r="AY57" s="12">
        <v>0.0</v>
      </c>
      <c r="AZ57" s="12">
        <v>4.0</v>
      </c>
      <c r="BA57" s="12">
        <v>3.0</v>
      </c>
      <c r="BB57" s="12">
        <v>1.0</v>
      </c>
      <c r="BC57" s="12">
        <v>2.0</v>
      </c>
      <c r="BD57" s="12">
        <v>0.0</v>
      </c>
      <c r="BE57" s="8">
        <f t="shared" si="14"/>
        <v>106</v>
      </c>
    </row>
    <row r="58" ht="12.75" customHeight="1">
      <c r="A58" s="29"/>
      <c r="B58" s="21"/>
      <c r="C58" s="21"/>
      <c r="D58" s="22"/>
      <c r="E58" s="12"/>
      <c r="F58" s="12"/>
      <c r="G58" s="12"/>
      <c r="H58" s="12"/>
      <c r="I58" s="12"/>
      <c r="J58" s="12"/>
      <c r="K58" s="12"/>
      <c r="L58" s="12"/>
      <c r="M58" s="12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8"/>
    </row>
    <row r="59" ht="12.75" customHeight="1">
      <c r="A59" s="61" t="s">
        <v>59</v>
      </c>
      <c r="B59" s="20" t="s">
        <v>60</v>
      </c>
      <c r="C59" s="21"/>
      <c r="D59" s="22"/>
      <c r="E59" s="8"/>
      <c r="F59" s="8"/>
      <c r="G59" s="8"/>
      <c r="H59" s="8"/>
      <c r="I59" s="8"/>
      <c r="J59" s="8"/>
      <c r="K59" s="8"/>
      <c r="L59" s="8"/>
      <c r="M59" s="8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8"/>
    </row>
    <row r="60" ht="12.75" customHeight="1">
      <c r="A60" s="61"/>
      <c r="B60" s="69" t="s">
        <v>61</v>
      </c>
      <c r="C60" s="50" t="s">
        <v>62</v>
      </c>
      <c r="D60" s="22"/>
      <c r="E60" s="12">
        <f t="shared" ref="E60:BD60" si="15">SUM(E45:E57)</f>
        <v>166</v>
      </c>
      <c r="F60" s="12">
        <f t="shared" si="15"/>
        <v>161</v>
      </c>
      <c r="G60" s="12">
        <f t="shared" si="15"/>
        <v>172</v>
      </c>
      <c r="H60" s="12">
        <f t="shared" si="15"/>
        <v>185</v>
      </c>
      <c r="I60" s="12">
        <f t="shared" si="15"/>
        <v>175</v>
      </c>
      <c r="J60" s="12">
        <f t="shared" si="15"/>
        <v>145</v>
      </c>
      <c r="K60" s="12">
        <f t="shared" si="15"/>
        <v>165</v>
      </c>
      <c r="L60" s="12">
        <f t="shared" si="15"/>
        <v>172</v>
      </c>
      <c r="M60" s="12">
        <f t="shared" si="15"/>
        <v>137</v>
      </c>
      <c r="N60" s="12">
        <f t="shared" si="15"/>
        <v>135</v>
      </c>
      <c r="O60" s="12">
        <f t="shared" si="15"/>
        <v>150</v>
      </c>
      <c r="P60" s="12">
        <f t="shared" si="15"/>
        <v>145</v>
      </c>
      <c r="Q60" s="12">
        <f t="shared" si="15"/>
        <v>201</v>
      </c>
      <c r="R60" s="12">
        <f t="shared" si="15"/>
        <v>179</v>
      </c>
      <c r="S60" s="12">
        <f t="shared" si="15"/>
        <v>162</v>
      </c>
      <c r="T60" s="12">
        <f t="shared" si="15"/>
        <v>152</v>
      </c>
      <c r="U60" s="12">
        <f t="shared" si="15"/>
        <v>152</v>
      </c>
      <c r="V60" s="12">
        <f t="shared" si="15"/>
        <v>167</v>
      </c>
      <c r="W60" s="12">
        <f t="shared" si="15"/>
        <v>145</v>
      </c>
      <c r="X60" s="12">
        <f t="shared" si="15"/>
        <v>149</v>
      </c>
      <c r="Y60" s="12">
        <f t="shared" si="15"/>
        <v>184</v>
      </c>
      <c r="Z60" s="12">
        <f t="shared" si="15"/>
        <v>185</v>
      </c>
      <c r="AA60" s="12">
        <f t="shared" si="15"/>
        <v>235</v>
      </c>
      <c r="AB60" s="12">
        <f t="shared" si="15"/>
        <v>190</v>
      </c>
      <c r="AC60" s="12">
        <f t="shared" si="15"/>
        <v>204</v>
      </c>
      <c r="AD60" s="12">
        <f t="shared" si="15"/>
        <v>117</v>
      </c>
      <c r="AE60" s="12">
        <f t="shared" si="15"/>
        <v>139</v>
      </c>
      <c r="AF60" s="12">
        <f t="shared" si="15"/>
        <v>209</v>
      </c>
      <c r="AG60" s="12">
        <f t="shared" si="15"/>
        <v>175</v>
      </c>
      <c r="AH60" s="12">
        <f t="shared" si="15"/>
        <v>189</v>
      </c>
      <c r="AI60" s="12">
        <f t="shared" si="15"/>
        <v>200</v>
      </c>
      <c r="AJ60" s="12">
        <f t="shared" si="15"/>
        <v>182</v>
      </c>
      <c r="AK60" s="12">
        <f t="shared" si="15"/>
        <v>187</v>
      </c>
      <c r="AL60" s="12">
        <f t="shared" si="15"/>
        <v>188</v>
      </c>
      <c r="AM60" s="12">
        <f t="shared" si="15"/>
        <v>156</v>
      </c>
      <c r="AN60" s="12">
        <f t="shared" si="15"/>
        <v>171</v>
      </c>
      <c r="AO60" s="12">
        <f t="shared" si="15"/>
        <v>182</v>
      </c>
      <c r="AP60" s="12">
        <f t="shared" si="15"/>
        <v>165</v>
      </c>
      <c r="AQ60" s="12">
        <f t="shared" si="15"/>
        <v>109</v>
      </c>
      <c r="AR60" s="12">
        <f t="shared" si="15"/>
        <v>193</v>
      </c>
      <c r="AS60" s="12">
        <f t="shared" si="15"/>
        <v>192</v>
      </c>
      <c r="AT60" s="12">
        <f t="shared" si="15"/>
        <v>177</v>
      </c>
      <c r="AU60" s="12">
        <f t="shared" si="15"/>
        <v>175</v>
      </c>
      <c r="AV60" s="12">
        <f t="shared" si="15"/>
        <v>196</v>
      </c>
      <c r="AW60" s="12">
        <f t="shared" si="15"/>
        <v>189</v>
      </c>
      <c r="AX60" s="12">
        <f t="shared" si="15"/>
        <v>185</v>
      </c>
      <c r="AY60" s="12">
        <f t="shared" si="15"/>
        <v>127</v>
      </c>
      <c r="AZ60" s="12">
        <f t="shared" si="15"/>
        <v>200</v>
      </c>
      <c r="BA60" s="12">
        <f t="shared" si="15"/>
        <v>170</v>
      </c>
      <c r="BB60" s="12">
        <f t="shared" si="15"/>
        <v>157</v>
      </c>
      <c r="BC60" s="12">
        <f t="shared" si="15"/>
        <v>184</v>
      </c>
      <c r="BD60" s="12">
        <f t="shared" si="15"/>
        <v>149</v>
      </c>
      <c r="BE60" s="8">
        <f t="shared" ref="BE60:BE62" si="16">SUM(E60:BD60)</f>
        <v>8876</v>
      </c>
    </row>
    <row r="61" ht="12.75" customHeight="1">
      <c r="A61" s="57"/>
      <c r="B61" s="69" t="s">
        <v>63</v>
      </c>
      <c r="C61" s="50" t="s">
        <v>64</v>
      </c>
      <c r="D61" s="22"/>
      <c r="E61" s="12">
        <v>37.0</v>
      </c>
      <c r="F61" s="12">
        <v>37.0</v>
      </c>
      <c r="G61" s="12">
        <v>44.0</v>
      </c>
      <c r="H61" s="12">
        <v>28.0</v>
      </c>
      <c r="I61" s="12">
        <v>44.0</v>
      </c>
      <c r="J61" s="12">
        <v>26.0</v>
      </c>
      <c r="K61" s="12">
        <v>35.0</v>
      </c>
      <c r="L61" s="12">
        <v>21.0</v>
      </c>
      <c r="M61" s="12">
        <v>23.0</v>
      </c>
      <c r="N61" s="12">
        <v>17.0</v>
      </c>
      <c r="O61" s="12">
        <v>30.0</v>
      </c>
      <c r="P61" s="12">
        <v>28.0</v>
      </c>
      <c r="Q61" s="12">
        <v>23.0</v>
      </c>
      <c r="R61" s="12">
        <v>31.0</v>
      </c>
      <c r="S61" s="12">
        <v>30.0</v>
      </c>
      <c r="T61" s="12">
        <v>46.0</v>
      </c>
      <c r="U61" s="12">
        <v>23.0</v>
      </c>
      <c r="V61" s="12">
        <v>39.0</v>
      </c>
      <c r="W61" s="12">
        <v>21.0</v>
      </c>
      <c r="X61" s="12">
        <v>24.0</v>
      </c>
      <c r="Y61" s="12">
        <v>37.0</v>
      </c>
      <c r="Z61" s="12">
        <v>35.0</v>
      </c>
      <c r="AA61" s="12">
        <v>33.0</v>
      </c>
      <c r="AB61" s="12">
        <v>60.0</v>
      </c>
      <c r="AC61" s="12">
        <v>65.0</v>
      </c>
      <c r="AD61" s="12">
        <v>159.0</v>
      </c>
      <c r="AE61" s="12">
        <v>51.0</v>
      </c>
      <c r="AF61" s="12">
        <v>27.0</v>
      </c>
      <c r="AG61" s="12">
        <v>48.0</v>
      </c>
      <c r="AH61" s="12">
        <v>64.0</v>
      </c>
      <c r="AI61" s="12">
        <v>28.0</v>
      </c>
      <c r="AJ61" s="12">
        <v>43.0</v>
      </c>
      <c r="AK61" s="12">
        <v>17.0</v>
      </c>
      <c r="AL61" s="12">
        <v>32.0</v>
      </c>
      <c r="AM61" s="12">
        <v>40.0</v>
      </c>
      <c r="AN61" s="12">
        <v>48.0</v>
      </c>
      <c r="AO61" s="12">
        <v>40.0</v>
      </c>
      <c r="AP61" s="12">
        <v>37.0</v>
      </c>
      <c r="AQ61" s="12">
        <v>54.0</v>
      </c>
      <c r="AR61" s="12">
        <v>28.0</v>
      </c>
      <c r="AS61" s="12">
        <v>27.0</v>
      </c>
      <c r="AT61" s="67">
        <v>28.0</v>
      </c>
      <c r="AU61" s="67">
        <v>30.0</v>
      </c>
      <c r="AV61" s="67">
        <v>33.0</v>
      </c>
      <c r="AW61" s="67">
        <v>22.0</v>
      </c>
      <c r="AX61" s="67">
        <v>16.0</v>
      </c>
      <c r="AY61" s="67">
        <v>24.0</v>
      </c>
      <c r="AZ61" s="67">
        <v>22.0</v>
      </c>
      <c r="BA61" s="67">
        <v>26.0</v>
      </c>
      <c r="BB61" s="67">
        <v>18.0</v>
      </c>
      <c r="BC61" s="67">
        <v>16.0</v>
      </c>
      <c r="BD61" s="67">
        <v>16.0</v>
      </c>
      <c r="BE61" s="8">
        <f t="shared" si="16"/>
        <v>1831</v>
      </c>
    </row>
    <row r="62" ht="12.75" customHeight="1">
      <c r="A62" s="58"/>
      <c r="B62" s="69" t="s">
        <v>65</v>
      </c>
      <c r="C62" s="50" t="s">
        <v>66</v>
      </c>
      <c r="D62" s="22"/>
      <c r="E62" s="8">
        <f t="shared" ref="E62:BD62" si="17">SUM(E60:E61)</f>
        <v>203</v>
      </c>
      <c r="F62" s="8">
        <f t="shared" si="17"/>
        <v>198</v>
      </c>
      <c r="G62" s="8">
        <f t="shared" si="17"/>
        <v>216</v>
      </c>
      <c r="H62" s="8">
        <f t="shared" si="17"/>
        <v>213</v>
      </c>
      <c r="I62" s="8">
        <f t="shared" si="17"/>
        <v>219</v>
      </c>
      <c r="J62" s="8">
        <f t="shared" si="17"/>
        <v>171</v>
      </c>
      <c r="K62" s="8">
        <f t="shared" si="17"/>
        <v>200</v>
      </c>
      <c r="L62" s="8">
        <f t="shared" si="17"/>
        <v>193</v>
      </c>
      <c r="M62" s="8">
        <f t="shared" si="17"/>
        <v>160</v>
      </c>
      <c r="N62" s="8">
        <f t="shared" si="17"/>
        <v>152</v>
      </c>
      <c r="O62" s="8">
        <f t="shared" si="17"/>
        <v>180</v>
      </c>
      <c r="P62" s="8">
        <f t="shared" si="17"/>
        <v>173</v>
      </c>
      <c r="Q62" s="8">
        <f t="shared" si="17"/>
        <v>224</v>
      </c>
      <c r="R62" s="8">
        <f t="shared" si="17"/>
        <v>210</v>
      </c>
      <c r="S62" s="8">
        <f t="shared" si="17"/>
        <v>192</v>
      </c>
      <c r="T62" s="8">
        <f t="shared" si="17"/>
        <v>198</v>
      </c>
      <c r="U62" s="8">
        <f t="shared" si="17"/>
        <v>175</v>
      </c>
      <c r="V62" s="8">
        <f t="shared" si="17"/>
        <v>206</v>
      </c>
      <c r="W62" s="8">
        <f t="shared" si="17"/>
        <v>166</v>
      </c>
      <c r="X62" s="8">
        <f t="shared" si="17"/>
        <v>173</v>
      </c>
      <c r="Y62" s="8">
        <f t="shared" si="17"/>
        <v>221</v>
      </c>
      <c r="Z62" s="8">
        <f t="shared" si="17"/>
        <v>220</v>
      </c>
      <c r="AA62" s="8">
        <f t="shared" si="17"/>
        <v>268</v>
      </c>
      <c r="AB62" s="8">
        <f t="shared" si="17"/>
        <v>250</v>
      </c>
      <c r="AC62" s="8">
        <f t="shared" si="17"/>
        <v>269</v>
      </c>
      <c r="AD62" s="8">
        <f t="shared" si="17"/>
        <v>276</v>
      </c>
      <c r="AE62" s="8">
        <f t="shared" si="17"/>
        <v>190</v>
      </c>
      <c r="AF62" s="8">
        <f t="shared" si="17"/>
        <v>236</v>
      </c>
      <c r="AG62" s="8">
        <f t="shared" si="17"/>
        <v>223</v>
      </c>
      <c r="AH62" s="8">
        <f t="shared" si="17"/>
        <v>253</v>
      </c>
      <c r="AI62" s="8">
        <f t="shared" si="17"/>
        <v>228</v>
      </c>
      <c r="AJ62" s="8">
        <f t="shared" si="17"/>
        <v>225</v>
      </c>
      <c r="AK62" s="8">
        <f t="shared" si="17"/>
        <v>204</v>
      </c>
      <c r="AL62" s="8">
        <f t="shared" si="17"/>
        <v>220</v>
      </c>
      <c r="AM62" s="8">
        <f t="shared" si="17"/>
        <v>196</v>
      </c>
      <c r="AN62" s="8">
        <f t="shared" si="17"/>
        <v>219</v>
      </c>
      <c r="AO62" s="8">
        <f t="shared" si="17"/>
        <v>222</v>
      </c>
      <c r="AP62" s="8">
        <f t="shared" si="17"/>
        <v>202</v>
      </c>
      <c r="AQ62" s="8">
        <f t="shared" si="17"/>
        <v>163</v>
      </c>
      <c r="AR62" s="8">
        <f t="shared" si="17"/>
        <v>221</v>
      </c>
      <c r="AS62" s="8">
        <f t="shared" si="17"/>
        <v>219</v>
      </c>
      <c r="AT62" s="8">
        <f t="shared" si="17"/>
        <v>205</v>
      </c>
      <c r="AU62" s="8">
        <f t="shared" si="17"/>
        <v>205</v>
      </c>
      <c r="AV62" s="8">
        <f t="shared" si="17"/>
        <v>229</v>
      </c>
      <c r="AW62" s="8">
        <f t="shared" si="17"/>
        <v>211</v>
      </c>
      <c r="AX62" s="8">
        <f t="shared" si="17"/>
        <v>201</v>
      </c>
      <c r="AY62" s="8">
        <f t="shared" si="17"/>
        <v>151</v>
      </c>
      <c r="AZ62" s="8">
        <f t="shared" si="17"/>
        <v>222</v>
      </c>
      <c r="BA62" s="8">
        <f t="shared" si="17"/>
        <v>196</v>
      </c>
      <c r="BB62" s="8">
        <f t="shared" si="17"/>
        <v>175</v>
      </c>
      <c r="BC62" s="8">
        <f t="shared" si="17"/>
        <v>200</v>
      </c>
      <c r="BD62" s="8">
        <f t="shared" si="17"/>
        <v>165</v>
      </c>
      <c r="BE62" s="8">
        <f t="shared" si="16"/>
        <v>10707</v>
      </c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</row>
  </sheetData>
  <mergeCells count="46">
    <mergeCell ref="B12:D12"/>
    <mergeCell ref="E12:BD12"/>
    <mergeCell ref="BE12:BE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E37:I37"/>
    <mergeCell ref="B36:D36"/>
    <mergeCell ref="B38:D38"/>
    <mergeCell ref="B39:C41"/>
    <mergeCell ref="A42:D42"/>
    <mergeCell ref="E42:I42"/>
    <mergeCell ref="B43:D43"/>
    <mergeCell ref="B44:D44"/>
    <mergeCell ref="C45:D45"/>
    <mergeCell ref="C46:D46"/>
    <mergeCell ref="C47:D47"/>
    <mergeCell ref="C48:D48"/>
    <mergeCell ref="C49:D49"/>
    <mergeCell ref="C50:D50"/>
    <mergeCell ref="C51:D51"/>
    <mergeCell ref="B59:D59"/>
    <mergeCell ref="C60:D60"/>
    <mergeCell ref="C61:D61"/>
    <mergeCell ref="C62:D62"/>
    <mergeCell ref="C52:D52"/>
    <mergeCell ref="C53:D53"/>
    <mergeCell ref="C54:D54"/>
    <mergeCell ref="C55:D55"/>
    <mergeCell ref="C56:D56"/>
    <mergeCell ref="C57:D57"/>
    <mergeCell ref="A58:D58"/>
  </mergeCells>
  <conditionalFormatting sqref="E30:BD30">
    <cfRule type="expression" dxfId="0" priority="1">
      <formula>E30&lt;&gt;E62</formula>
    </cfRule>
  </conditionalFormatting>
  <conditionalFormatting sqref="E34:T34">
    <cfRule type="expression" dxfId="0" priority="2">
      <formula>E34&lt;&gt;E62</formula>
    </cfRule>
  </conditionalFormatting>
  <conditionalFormatting sqref="E14:BD15">
    <cfRule type="containsBlanks" dxfId="1" priority="3">
      <formula>LEN(TRIM(E14))=0</formula>
    </cfRule>
  </conditionalFormatting>
  <conditionalFormatting sqref="E19:BD20">
    <cfRule type="containsBlanks" dxfId="1" priority="4">
      <formula>LEN(TRIM(E19))=0</formula>
    </cfRule>
  </conditionalFormatting>
  <conditionalFormatting sqref="E22:BD23 E25:BD26 E33:BD33 E35:BD35 E39:BD40">
    <cfRule type="containsBlanks" dxfId="1" priority="5">
      <formula>LEN(TRIM(E22))=0</formula>
    </cfRule>
  </conditionalFormatting>
  <conditionalFormatting sqref="E30:BD30">
    <cfRule type="expression" dxfId="0" priority="6">
      <formula>E30&lt;&gt;E34</formula>
    </cfRule>
  </conditionalFormatting>
  <conditionalFormatting sqref="E34:BD34">
    <cfRule type="expression" dxfId="2" priority="7">
      <formula>E30&lt;&gt;E34</formula>
    </cfRule>
  </conditionalFormatting>
  <conditionalFormatting sqref="E34:BD34">
    <cfRule type="expression" dxfId="3" priority="8">
      <formula>E30=E34</formula>
    </cfRule>
  </conditionalFormatting>
  <conditionalFormatting sqref="E34:BD34">
    <cfRule type="expression" dxfId="0" priority="9">
      <formula>E34&lt;&gt;E30</formula>
    </cfRule>
  </conditionalFormatting>
  <conditionalFormatting sqref="E45:BD57">
    <cfRule type="containsBlanks" dxfId="1" priority="10">
      <formula>LEN(TRIM(E45))=0</formula>
    </cfRule>
  </conditionalFormatting>
  <conditionalFormatting sqref="E60:BD61">
    <cfRule type="containsBlanks" dxfId="1" priority="11">
      <formula>LEN(TRIM(E60))=0</formula>
    </cfRule>
  </conditionalFormatting>
  <conditionalFormatting sqref="U30:BD30">
    <cfRule type="expression" dxfId="0" priority="12">
      <formula>U30&lt;&gt;U47</formula>
    </cfRule>
  </conditionalFormatting>
  <conditionalFormatting sqref="U34:BD34">
    <cfRule type="expression" dxfId="0" priority="13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67.14"/>
    <col customWidth="1" min="4" max="4" width="14.57"/>
    <col customWidth="1" min="5" max="13" width="9.14"/>
    <col customWidth="1" min="14" max="14" width="9.57"/>
    <col customWidth="1" min="15" max="29" width="9.14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2.75" customHeight="1">
      <c r="A2" s="1"/>
      <c r="B2" s="1"/>
      <c r="C2" s="1" t="s">
        <v>0</v>
      </c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ht="15.0" customHeight="1">
      <c r="A3" s="1"/>
      <c r="B3" s="1"/>
      <c r="C3" s="1" t="s">
        <v>2</v>
      </c>
      <c r="D3" s="1" t="s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5.0" customHeight="1">
      <c r="A4" s="1"/>
      <c r="B4" s="1"/>
      <c r="C4" s="1" t="s">
        <v>4</v>
      </c>
      <c r="D4" s="1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ht="12.75" customHeight="1">
      <c r="A9" s="1"/>
      <c r="B9" s="1"/>
      <c r="C9" s="1" t="s">
        <v>67</v>
      </c>
      <c r="D9" s="1" t="s">
        <v>122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ht="12.75" customHeight="1">
      <c r="A11" s="2"/>
      <c r="B11" s="16"/>
      <c r="C11" s="16"/>
      <c r="D11" s="16"/>
      <c r="E11" s="2"/>
      <c r="F11" s="2"/>
      <c r="G11" s="2"/>
      <c r="H11" s="2"/>
      <c r="I11" s="2"/>
      <c r="J11" s="2"/>
      <c r="K11" s="2"/>
      <c r="L11" s="2"/>
      <c r="M11" s="2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12.75" customHeight="1">
      <c r="A12" s="8" t="s">
        <v>6</v>
      </c>
      <c r="B12" s="20" t="s">
        <v>7</v>
      </c>
      <c r="C12" s="21"/>
      <c r="D12" s="22"/>
      <c r="E12" s="34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53" t="s">
        <v>8</v>
      </c>
    </row>
    <row r="13" ht="12.75" customHeight="1">
      <c r="A13" s="12" t="s">
        <v>9</v>
      </c>
      <c r="B13" s="25" t="s">
        <v>10</v>
      </c>
      <c r="C13" s="21"/>
      <c r="D13" s="22"/>
      <c r="E13" s="8" t="s">
        <v>69</v>
      </c>
      <c r="F13" s="8" t="s">
        <v>70</v>
      </c>
      <c r="G13" s="8" t="s">
        <v>71</v>
      </c>
      <c r="H13" s="8" t="s">
        <v>72</v>
      </c>
      <c r="I13" s="8" t="s">
        <v>73</v>
      </c>
      <c r="J13" s="8" t="s">
        <v>74</v>
      </c>
      <c r="K13" s="8" t="s">
        <v>75</v>
      </c>
      <c r="L13" s="8" t="s">
        <v>76</v>
      </c>
      <c r="M13" s="8" t="s">
        <v>77</v>
      </c>
      <c r="N13" s="8" t="s">
        <v>78</v>
      </c>
      <c r="O13" s="8" t="s">
        <v>79</v>
      </c>
      <c r="P13" s="8" t="s">
        <v>80</v>
      </c>
      <c r="Q13" s="8" t="s">
        <v>81</v>
      </c>
      <c r="R13" s="8" t="s">
        <v>82</v>
      </c>
      <c r="S13" s="8" t="s">
        <v>83</v>
      </c>
      <c r="T13" s="8" t="s">
        <v>84</v>
      </c>
      <c r="U13" s="8" t="s">
        <v>85</v>
      </c>
      <c r="V13" s="8" t="s">
        <v>86</v>
      </c>
      <c r="W13" s="8" t="s">
        <v>87</v>
      </c>
      <c r="X13" s="8" t="s">
        <v>88</v>
      </c>
      <c r="Y13" s="8" t="s">
        <v>89</v>
      </c>
      <c r="Z13" s="8" t="s">
        <v>90</v>
      </c>
      <c r="AA13" s="8" t="s">
        <v>91</v>
      </c>
      <c r="AB13" s="8" t="s">
        <v>92</v>
      </c>
      <c r="AC13" s="33"/>
    </row>
    <row r="14" ht="12.75" customHeight="1">
      <c r="A14" s="24"/>
      <c r="B14" s="27" t="s">
        <v>11</v>
      </c>
      <c r="C14" s="28"/>
      <c r="D14" s="12" t="s">
        <v>12</v>
      </c>
      <c r="E14" s="12">
        <v>148.0</v>
      </c>
      <c r="F14" s="12">
        <v>140.0</v>
      </c>
      <c r="G14" s="12">
        <v>133.0</v>
      </c>
      <c r="H14" s="12">
        <v>145.0</v>
      </c>
      <c r="I14" s="12">
        <v>130.0</v>
      </c>
      <c r="J14" s="12">
        <v>136.0</v>
      </c>
      <c r="K14" s="12">
        <v>147.0</v>
      </c>
      <c r="L14" s="12">
        <v>130.0</v>
      </c>
      <c r="M14" s="12">
        <v>139.0</v>
      </c>
      <c r="N14" s="12">
        <v>140.0</v>
      </c>
      <c r="O14" s="12">
        <v>129.0</v>
      </c>
      <c r="P14" s="12">
        <v>109.0</v>
      </c>
      <c r="Q14" s="12">
        <v>148.0</v>
      </c>
      <c r="R14" s="12">
        <v>138.0</v>
      </c>
      <c r="S14" s="12">
        <v>139.0</v>
      </c>
      <c r="T14" s="12">
        <v>143.0</v>
      </c>
      <c r="U14" s="12">
        <v>140.0</v>
      </c>
      <c r="V14" s="12">
        <v>131.0</v>
      </c>
      <c r="W14" s="12">
        <v>132.0</v>
      </c>
      <c r="X14" s="12">
        <v>144.0</v>
      </c>
      <c r="Y14" s="12">
        <v>104.0</v>
      </c>
      <c r="Z14" s="12">
        <v>86.0</v>
      </c>
      <c r="AA14" s="12">
        <v>146.0</v>
      </c>
      <c r="AB14" s="12">
        <v>116.0</v>
      </c>
      <c r="AC14" s="8">
        <f t="shared" ref="AC14:AC16" si="1">SUM(E14:AB14)</f>
        <v>3193</v>
      </c>
    </row>
    <row r="15" ht="12.75" customHeight="1">
      <c r="A15" s="24"/>
      <c r="B15" s="30"/>
      <c r="C15" s="31"/>
      <c r="D15" s="12" t="s">
        <v>13</v>
      </c>
      <c r="E15" s="12">
        <v>146.0</v>
      </c>
      <c r="F15" s="12">
        <v>139.0</v>
      </c>
      <c r="G15" s="12">
        <v>139.0</v>
      </c>
      <c r="H15" s="12">
        <v>150.0</v>
      </c>
      <c r="I15" s="12">
        <v>136.0</v>
      </c>
      <c r="J15" s="12">
        <v>144.0</v>
      </c>
      <c r="K15" s="12">
        <v>133.0</v>
      </c>
      <c r="L15" s="12">
        <v>153.0</v>
      </c>
      <c r="M15" s="12">
        <v>145.0</v>
      </c>
      <c r="N15" s="12">
        <v>134.0</v>
      </c>
      <c r="O15" s="12">
        <v>144.0</v>
      </c>
      <c r="P15" s="12">
        <v>118.0</v>
      </c>
      <c r="Q15" s="12">
        <v>140.0</v>
      </c>
      <c r="R15" s="12">
        <v>146.0</v>
      </c>
      <c r="S15" s="12">
        <v>139.0</v>
      </c>
      <c r="T15" s="12">
        <v>142.0</v>
      </c>
      <c r="U15" s="12">
        <v>137.0</v>
      </c>
      <c r="V15" s="12">
        <v>134.0</v>
      </c>
      <c r="W15" s="12">
        <v>149.0</v>
      </c>
      <c r="X15" s="12">
        <v>148.0</v>
      </c>
      <c r="Y15" s="12">
        <v>122.0</v>
      </c>
      <c r="Z15" s="12">
        <v>110.0</v>
      </c>
      <c r="AA15" s="12">
        <v>142.0</v>
      </c>
      <c r="AB15" s="12">
        <v>124.0</v>
      </c>
      <c r="AC15" s="8">
        <f t="shared" si="1"/>
        <v>3314</v>
      </c>
    </row>
    <row r="16" ht="12.75" customHeight="1">
      <c r="A16" s="32"/>
      <c r="B16" s="26"/>
      <c r="C16" s="33"/>
      <c r="D16" s="8" t="s">
        <v>14</v>
      </c>
      <c r="E16" s="8">
        <f t="shared" ref="E16:AB16" si="2">SUM(E14:E15)</f>
        <v>294</v>
      </c>
      <c r="F16" s="8">
        <f t="shared" si="2"/>
        <v>279</v>
      </c>
      <c r="G16" s="8">
        <f t="shared" si="2"/>
        <v>272</v>
      </c>
      <c r="H16" s="8">
        <f t="shared" si="2"/>
        <v>295</v>
      </c>
      <c r="I16" s="8">
        <f t="shared" si="2"/>
        <v>266</v>
      </c>
      <c r="J16" s="8">
        <f t="shared" si="2"/>
        <v>280</v>
      </c>
      <c r="K16" s="8">
        <f t="shared" si="2"/>
        <v>280</v>
      </c>
      <c r="L16" s="8">
        <f t="shared" si="2"/>
        <v>283</v>
      </c>
      <c r="M16" s="8">
        <f t="shared" si="2"/>
        <v>284</v>
      </c>
      <c r="N16" s="8">
        <f t="shared" si="2"/>
        <v>274</v>
      </c>
      <c r="O16" s="8">
        <f t="shared" si="2"/>
        <v>273</v>
      </c>
      <c r="P16" s="8">
        <f t="shared" si="2"/>
        <v>227</v>
      </c>
      <c r="Q16" s="8">
        <f t="shared" si="2"/>
        <v>288</v>
      </c>
      <c r="R16" s="8">
        <f t="shared" si="2"/>
        <v>284</v>
      </c>
      <c r="S16" s="8">
        <f t="shared" si="2"/>
        <v>278</v>
      </c>
      <c r="T16" s="8">
        <f t="shared" si="2"/>
        <v>285</v>
      </c>
      <c r="U16" s="8">
        <f t="shared" si="2"/>
        <v>277</v>
      </c>
      <c r="V16" s="8">
        <f t="shared" si="2"/>
        <v>265</v>
      </c>
      <c r="W16" s="8">
        <f t="shared" si="2"/>
        <v>281</v>
      </c>
      <c r="X16" s="8">
        <f t="shared" si="2"/>
        <v>292</v>
      </c>
      <c r="Y16" s="8">
        <f t="shared" si="2"/>
        <v>226</v>
      </c>
      <c r="Z16" s="8">
        <f t="shared" si="2"/>
        <v>196</v>
      </c>
      <c r="AA16" s="8">
        <f t="shared" si="2"/>
        <v>288</v>
      </c>
      <c r="AB16" s="8">
        <f t="shared" si="2"/>
        <v>240</v>
      </c>
      <c r="AC16" s="8">
        <f t="shared" si="1"/>
        <v>6507</v>
      </c>
    </row>
    <row r="17" ht="12.75" customHeight="1">
      <c r="A17" s="29"/>
      <c r="B17" s="21"/>
      <c r="C17" s="21"/>
      <c r="D17" s="22"/>
      <c r="E17" s="12"/>
      <c r="F17" s="12"/>
      <c r="G17" s="12"/>
      <c r="H17" s="12"/>
      <c r="I17" s="12"/>
      <c r="J17" s="12"/>
      <c r="K17" s="12"/>
      <c r="L17" s="12"/>
      <c r="M17" s="12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8"/>
    </row>
    <row r="18" ht="12.75" customHeight="1">
      <c r="A18" s="54" t="s">
        <v>15</v>
      </c>
      <c r="B18" s="25" t="s">
        <v>16</v>
      </c>
      <c r="C18" s="21"/>
      <c r="D18" s="22"/>
      <c r="E18" s="12"/>
      <c r="F18" s="12"/>
      <c r="G18" s="12"/>
      <c r="H18" s="12"/>
      <c r="I18" s="12"/>
      <c r="J18" s="12"/>
      <c r="K18" s="12"/>
      <c r="L18" s="12"/>
      <c r="M18" s="12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8"/>
    </row>
    <row r="19" ht="12.75" customHeight="1">
      <c r="A19" s="54"/>
      <c r="B19" s="55" t="s">
        <v>17</v>
      </c>
      <c r="C19" s="36" t="s">
        <v>18</v>
      </c>
      <c r="D19" s="12" t="s">
        <v>12</v>
      </c>
      <c r="E19" s="12">
        <v>101.0</v>
      </c>
      <c r="F19" s="12">
        <v>102.0</v>
      </c>
      <c r="G19" s="12">
        <v>101.0</v>
      </c>
      <c r="H19" s="12">
        <v>122.0</v>
      </c>
      <c r="I19" s="12">
        <v>82.0</v>
      </c>
      <c r="J19" s="12">
        <v>102.0</v>
      </c>
      <c r="K19" s="12">
        <v>111.0</v>
      </c>
      <c r="L19" s="12">
        <v>98.0</v>
      </c>
      <c r="M19" s="12">
        <v>95.0</v>
      </c>
      <c r="N19" s="12">
        <v>102.0</v>
      </c>
      <c r="O19" s="12">
        <v>88.0</v>
      </c>
      <c r="P19" s="12">
        <v>68.0</v>
      </c>
      <c r="Q19" s="12">
        <v>92.0</v>
      </c>
      <c r="R19" s="12">
        <v>92.0</v>
      </c>
      <c r="S19" s="12">
        <v>86.0</v>
      </c>
      <c r="T19" s="12">
        <v>117.0</v>
      </c>
      <c r="U19" s="12">
        <v>122.0</v>
      </c>
      <c r="V19" s="12">
        <v>108.0</v>
      </c>
      <c r="W19" s="12">
        <v>106.0</v>
      </c>
      <c r="X19" s="12">
        <v>104.0</v>
      </c>
      <c r="Y19" s="12">
        <v>89.0</v>
      </c>
      <c r="Z19" s="12">
        <v>65.0</v>
      </c>
      <c r="AA19" s="12">
        <v>92.0</v>
      </c>
      <c r="AB19" s="12">
        <v>94.0</v>
      </c>
      <c r="AC19" s="8">
        <f t="shared" ref="AC19:AC30" si="3">SUM(E19:AB19)</f>
        <v>2339</v>
      </c>
    </row>
    <row r="20" ht="12.75" customHeight="1">
      <c r="A20" s="56"/>
      <c r="B20" s="31"/>
      <c r="C20" s="37"/>
      <c r="D20" s="12" t="s">
        <v>13</v>
      </c>
      <c r="E20" s="12">
        <v>117.0</v>
      </c>
      <c r="F20" s="12">
        <v>115.0</v>
      </c>
      <c r="G20" s="12">
        <v>119.0</v>
      </c>
      <c r="H20" s="12">
        <v>125.0</v>
      </c>
      <c r="I20" s="12">
        <v>107.0</v>
      </c>
      <c r="J20" s="12">
        <v>119.0</v>
      </c>
      <c r="K20" s="12">
        <v>107.0</v>
      </c>
      <c r="L20" s="12">
        <v>121.0</v>
      </c>
      <c r="M20" s="12">
        <v>119.0</v>
      </c>
      <c r="N20" s="12">
        <v>111.0</v>
      </c>
      <c r="O20" s="12">
        <v>116.0</v>
      </c>
      <c r="P20" s="12">
        <v>100.0</v>
      </c>
      <c r="Q20" s="12">
        <v>97.0</v>
      </c>
      <c r="R20" s="12">
        <v>109.0</v>
      </c>
      <c r="S20" s="12">
        <v>111.0</v>
      </c>
      <c r="T20" s="12">
        <v>121.0</v>
      </c>
      <c r="U20" s="12">
        <v>121.0</v>
      </c>
      <c r="V20" s="12">
        <v>121.0</v>
      </c>
      <c r="W20" s="12">
        <v>118.0</v>
      </c>
      <c r="X20" s="12">
        <v>116.0</v>
      </c>
      <c r="Y20" s="12">
        <v>101.0</v>
      </c>
      <c r="Z20" s="12">
        <v>91.0</v>
      </c>
      <c r="AA20" s="12">
        <v>110.0</v>
      </c>
      <c r="AB20" s="12">
        <v>108.0</v>
      </c>
      <c r="AC20" s="8">
        <f t="shared" si="3"/>
        <v>2700</v>
      </c>
    </row>
    <row r="21" ht="12.75" customHeight="1">
      <c r="A21" s="57"/>
      <c r="B21" s="33"/>
      <c r="C21" s="38"/>
      <c r="D21" s="8" t="s">
        <v>14</v>
      </c>
      <c r="E21" s="8">
        <f t="shared" ref="E21:AB21" si="4">SUM(E19:E20)</f>
        <v>218</v>
      </c>
      <c r="F21" s="8">
        <f t="shared" si="4"/>
        <v>217</v>
      </c>
      <c r="G21" s="8">
        <f t="shared" si="4"/>
        <v>220</v>
      </c>
      <c r="H21" s="8">
        <f t="shared" si="4"/>
        <v>247</v>
      </c>
      <c r="I21" s="8">
        <f t="shared" si="4"/>
        <v>189</v>
      </c>
      <c r="J21" s="8">
        <f t="shared" si="4"/>
        <v>221</v>
      </c>
      <c r="K21" s="8">
        <f t="shared" si="4"/>
        <v>218</v>
      </c>
      <c r="L21" s="8">
        <f t="shared" si="4"/>
        <v>219</v>
      </c>
      <c r="M21" s="8">
        <f t="shared" si="4"/>
        <v>214</v>
      </c>
      <c r="N21" s="8">
        <f t="shared" si="4"/>
        <v>213</v>
      </c>
      <c r="O21" s="8">
        <f t="shared" si="4"/>
        <v>204</v>
      </c>
      <c r="P21" s="8">
        <f t="shared" si="4"/>
        <v>168</v>
      </c>
      <c r="Q21" s="8">
        <f t="shared" si="4"/>
        <v>189</v>
      </c>
      <c r="R21" s="8">
        <f t="shared" si="4"/>
        <v>201</v>
      </c>
      <c r="S21" s="8">
        <f t="shared" si="4"/>
        <v>197</v>
      </c>
      <c r="T21" s="8">
        <f t="shared" si="4"/>
        <v>238</v>
      </c>
      <c r="U21" s="8">
        <f t="shared" si="4"/>
        <v>243</v>
      </c>
      <c r="V21" s="8">
        <f t="shared" si="4"/>
        <v>229</v>
      </c>
      <c r="W21" s="8">
        <f t="shared" si="4"/>
        <v>224</v>
      </c>
      <c r="X21" s="8">
        <f t="shared" si="4"/>
        <v>220</v>
      </c>
      <c r="Y21" s="8">
        <f t="shared" si="4"/>
        <v>190</v>
      </c>
      <c r="Z21" s="8">
        <f t="shared" si="4"/>
        <v>156</v>
      </c>
      <c r="AA21" s="8">
        <f t="shared" si="4"/>
        <v>202</v>
      </c>
      <c r="AB21" s="8">
        <f t="shared" si="4"/>
        <v>202</v>
      </c>
      <c r="AC21" s="8">
        <f t="shared" si="3"/>
        <v>5039</v>
      </c>
    </row>
    <row r="22" ht="12.75" customHeight="1">
      <c r="A22" s="56"/>
      <c r="B22" s="55" t="s">
        <v>19</v>
      </c>
      <c r="C22" s="36" t="s">
        <v>20</v>
      </c>
      <c r="D22" s="12" t="s">
        <v>12</v>
      </c>
      <c r="E22" s="12">
        <v>1.0</v>
      </c>
      <c r="F22" s="12">
        <v>0.0</v>
      </c>
      <c r="G22" s="12">
        <v>1.0</v>
      </c>
      <c r="H22" s="12">
        <v>1.0</v>
      </c>
      <c r="I22" s="12">
        <v>0.0</v>
      </c>
      <c r="J22" s="12">
        <v>0.0</v>
      </c>
      <c r="K22" s="12">
        <v>0.0</v>
      </c>
      <c r="L22" s="12">
        <v>0.0</v>
      </c>
      <c r="M22" s="12">
        <v>1.0</v>
      </c>
      <c r="N22" s="12">
        <v>0.0</v>
      </c>
      <c r="O22" s="12">
        <v>0.0</v>
      </c>
      <c r="P22" s="12">
        <v>0.0</v>
      </c>
      <c r="Q22" s="12">
        <v>1.0</v>
      </c>
      <c r="R22" s="12">
        <v>1.0</v>
      </c>
      <c r="S22" s="12">
        <v>0.0</v>
      </c>
      <c r="T22" s="12">
        <v>0.0</v>
      </c>
      <c r="U22" s="12">
        <v>1.0</v>
      </c>
      <c r="V22" s="12">
        <v>0.0</v>
      </c>
      <c r="W22" s="12">
        <v>1.0</v>
      </c>
      <c r="X22" s="12">
        <v>0.0</v>
      </c>
      <c r="Y22" s="12">
        <v>0.0</v>
      </c>
      <c r="Z22" s="12">
        <v>0.0</v>
      </c>
      <c r="AA22" s="12">
        <v>0.0</v>
      </c>
      <c r="AB22" s="12">
        <v>0.0</v>
      </c>
      <c r="AC22" s="8">
        <f t="shared" si="3"/>
        <v>8</v>
      </c>
    </row>
    <row r="23" ht="15.0" customHeight="1">
      <c r="A23" s="56"/>
      <c r="B23" s="31"/>
      <c r="C23" s="37"/>
      <c r="D23" s="12" t="s">
        <v>13</v>
      </c>
      <c r="E23" s="12">
        <v>1.0</v>
      </c>
      <c r="F23" s="12">
        <v>1.0</v>
      </c>
      <c r="G23" s="12">
        <v>0.0</v>
      </c>
      <c r="H23" s="12">
        <v>0.0</v>
      </c>
      <c r="I23" s="12">
        <v>0.0</v>
      </c>
      <c r="J23" s="12">
        <v>1.0</v>
      </c>
      <c r="K23" s="12">
        <v>1.0</v>
      </c>
      <c r="L23" s="12">
        <v>1.0</v>
      </c>
      <c r="M23" s="12">
        <v>0.0</v>
      </c>
      <c r="N23" s="12">
        <v>0.0</v>
      </c>
      <c r="O23" s="12">
        <v>0.0</v>
      </c>
      <c r="P23" s="12">
        <v>1.0</v>
      </c>
      <c r="Q23" s="12">
        <v>0.0</v>
      </c>
      <c r="R23" s="12">
        <v>0.0</v>
      </c>
      <c r="S23" s="12">
        <v>1.0</v>
      </c>
      <c r="T23" s="12">
        <v>2.0</v>
      </c>
      <c r="U23" s="12">
        <v>1.0</v>
      </c>
      <c r="V23" s="12">
        <v>1.0</v>
      </c>
      <c r="W23" s="12">
        <v>0.0</v>
      </c>
      <c r="X23" s="12">
        <v>1.0</v>
      </c>
      <c r="Y23" s="12">
        <v>1.0</v>
      </c>
      <c r="Z23" s="12">
        <v>1.0</v>
      </c>
      <c r="AA23" s="12">
        <v>1.0</v>
      </c>
      <c r="AB23" s="12">
        <v>1.0</v>
      </c>
      <c r="AC23" s="8">
        <f t="shared" si="3"/>
        <v>16</v>
      </c>
    </row>
    <row r="24" ht="15.0" customHeight="1">
      <c r="A24" s="57"/>
      <c r="B24" s="33"/>
      <c r="C24" s="38"/>
      <c r="D24" s="8" t="s">
        <v>14</v>
      </c>
      <c r="E24" s="8">
        <f t="shared" ref="E24:AB24" si="5">SUM(E22:E23)</f>
        <v>2</v>
      </c>
      <c r="F24" s="8">
        <f t="shared" si="5"/>
        <v>1</v>
      </c>
      <c r="G24" s="8">
        <f t="shared" si="5"/>
        <v>1</v>
      </c>
      <c r="H24" s="8">
        <f t="shared" si="5"/>
        <v>1</v>
      </c>
      <c r="I24" s="8">
        <f t="shared" si="5"/>
        <v>0</v>
      </c>
      <c r="J24" s="8">
        <f t="shared" si="5"/>
        <v>1</v>
      </c>
      <c r="K24" s="8">
        <f t="shared" si="5"/>
        <v>1</v>
      </c>
      <c r="L24" s="8">
        <f t="shared" si="5"/>
        <v>1</v>
      </c>
      <c r="M24" s="8">
        <f t="shared" si="5"/>
        <v>1</v>
      </c>
      <c r="N24" s="8">
        <f t="shared" si="5"/>
        <v>0</v>
      </c>
      <c r="O24" s="8">
        <f t="shared" si="5"/>
        <v>0</v>
      </c>
      <c r="P24" s="8">
        <f t="shared" si="5"/>
        <v>1</v>
      </c>
      <c r="Q24" s="8">
        <f t="shared" si="5"/>
        <v>1</v>
      </c>
      <c r="R24" s="8">
        <f t="shared" si="5"/>
        <v>1</v>
      </c>
      <c r="S24" s="8">
        <f t="shared" si="5"/>
        <v>1</v>
      </c>
      <c r="T24" s="8">
        <f t="shared" si="5"/>
        <v>2</v>
      </c>
      <c r="U24" s="8">
        <f t="shared" si="5"/>
        <v>2</v>
      </c>
      <c r="V24" s="8">
        <f t="shared" si="5"/>
        <v>1</v>
      </c>
      <c r="W24" s="8">
        <f t="shared" si="5"/>
        <v>1</v>
      </c>
      <c r="X24" s="8">
        <f t="shared" si="5"/>
        <v>1</v>
      </c>
      <c r="Y24" s="8">
        <f t="shared" si="5"/>
        <v>1</v>
      </c>
      <c r="Z24" s="8">
        <f t="shared" si="5"/>
        <v>1</v>
      </c>
      <c r="AA24" s="8">
        <f t="shared" si="5"/>
        <v>1</v>
      </c>
      <c r="AB24" s="8">
        <f t="shared" si="5"/>
        <v>1</v>
      </c>
      <c r="AC24" s="8">
        <f t="shared" si="3"/>
        <v>24</v>
      </c>
    </row>
    <row r="25" ht="15.0" customHeight="1">
      <c r="A25" s="56"/>
      <c r="B25" s="55" t="s">
        <v>21</v>
      </c>
      <c r="C25" s="36" t="s">
        <v>22</v>
      </c>
      <c r="D25" s="12" t="s">
        <v>12</v>
      </c>
      <c r="E25" s="12">
        <v>2.0</v>
      </c>
      <c r="F25" s="12">
        <v>1.0</v>
      </c>
      <c r="G25" s="12">
        <v>0.0</v>
      </c>
      <c r="H25" s="12">
        <v>0.0</v>
      </c>
      <c r="I25" s="12">
        <v>0.0</v>
      </c>
      <c r="J25" s="12">
        <v>0.0</v>
      </c>
      <c r="K25" s="12">
        <v>2.0</v>
      </c>
      <c r="L25" s="12">
        <v>4.0</v>
      </c>
      <c r="M25" s="12">
        <v>0.0</v>
      </c>
      <c r="N25" s="12">
        <v>0.0</v>
      </c>
      <c r="O25" s="12">
        <v>0.0</v>
      </c>
      <c r="P25" s="12">
        <v>3.0</v>
      </c>
      <c r="Q25" s="12">
        <v>1.0</v>
      </c>
      <c r="R25" s="12">
        <v>0.0</v>
      </c>
      <c r="S25" s="12">
        <v>1.0</v>
      </c>
      <c r="T25" s="12">
        <v>0.0</v>
      </c>
      <c r="U25" s="12">
        <v>3.0</v>
      </c>
      <c r="V25" s="12">
        <v>1.0</v>
      </c>
      <c r="W25" s="12">
        <v>0.0</v>
      </c>
      <c r="X25" s="12">
        <v>1.0</v>
      </c>
      <c r="Y25" s="12">
        <v>0.0</v>
      </c>
      <c r="Z25" s="12">
        <v>0.0</v>
      </c>
      <c r="AA25" s="12">
        <v>0.0</v>
      </c>
      <c r="AB25" s="12">
        <v>3.0</v>
      </c>
      <c r="AC25" s="8">
        <f t="shared" si="3"/>
        <v>22</v>
      </c>
    </row>
    <row r="26" ht="15.0" customHeight="1">
      <c r="A26" s="56"/>
      <c r="B26" s="31"/>
      <c r="C26" s="37"/>
      <c r="D26" s="12" t="s">
        <v>13</v>
      </c>
      <c r="E26" s="12">
        <v>4.0</v>
      </c>
      <c r="F26" s="12">
        <v>3.0</v>
      </c>
      <c r="G26" s="12">
        <v>0.0</v>
      </c>
      <c r="H26" s="12">
        <v>0.0</v>
      </c>
      <c r="I26" s="12">
        <v>1.0</v>
      </c>
      <c r="J26" s="12">
        <v>1.0</v>
      </c>
      <c r="K26" s="12">
        <v>0.0</v>
      </c>
      <c r="L26" s="12">
        <v>4.0</v>
      </c>
      <c r="M26" s="12">
        <v>0.0</v>
      </c>
      <c r="N26" s="12">
        <v>1.0</v>
      </c>
      <c r="O26" s="12">
        <v>1.0</v>
      </c>
      <c r="P26" s="12">
        <v>4.0</v>
      </c>
      <c r="Q26" s="12">
        <v>1.0</v>
      </c>
      <c r="R26" s="12">
        <v>0.0</v>
      </c>
      <c r="S26" s="12">
        <v>2.0</v>
      </c>
      <c r="T26" s="12">
        <v>0.0</v>
      </c>
      <c r="U26" s="12">
        <v>1.0</v>
      </c>
      <c r="V26" s="12">
        <v>1.0</v>
      </c>
      <c r="W26" s="12">
        <v>0.0</v>
      </c>
      <c r="X26" s="12">
        <v>3.0</v>
      </c>
      <c r="Y26" s="12">
        <v>0.0</v>
      </c>
      <c r="Z26" s="12">
        <v>0.0</v>
      </c>
      <c r="AA26" s="12">
        <v>0.0</v>
      </c>
      <c r="AB26" s="12">
        <v>4.0</v>
      </c>
      <c r="AC26" s="8">
        <f t="shared" si="3"/>
        <v>31</v>
      </c>
    </row>
    <row r="27" ht="12.75" customHeight="1">
      <c r="A27" s="57"/>
      <c r="B27" s="33"/>
      <c r="C27" s="38"/>
      <c r="D27" s="8" t="s">
        <v>14</v>
      </c>
      <c r="E27" s="8">
        <f t="shared" ref="E27:AB27" si="6">SUM(E25:E26)</f>
        <v>6</v>
      </c>
      <c r="F27" s="8">
        <f t="shared" si="6"/>
        <v>4</v>
      </c>
      <c r="G27" s="8">
        <f t="shared" si="6"/>
        <v>0</v>
      </c>
      <c r="H27" s="8">
        <f t="shared" si="6"/>
        <v>0</v>
      </c>
      <c r="I27" s="8">
        <f t="shared" si="6"/>
        <v>1</v>
      </c>
      <c r="J27" s="8">
        <f t="shared" si="6"/>
        <v>1</v>
      </c>
      <c r="K27" s="8">
        <f t="shared" si="6"/>
        <v>2</v>
      </c>
      <c r="L27" s="8">
        <f t="shared" si="6"/>
        <v>8</v>
      </c>
      <c r="M27" s="8">
        <f t="shared" si="6"/>
        <v>0</v>
      </c>
      <c r="N27" s="8">
        <f t="shared" si="6"/>
        <v>1</v>
      </c>
      <c r="O27" s="8">
        <f t="shared" si="6"/>
        <v>1</v>
      </c>
      <c r="P27" s="8">
        <f t="shared" si="6"/>
        <v>7</v>
      </c>
      <c r="Q27" s="8">
        <f t="shared" si="6"/>
        <v>2</v>
      </c>
      <c r="R27" s="8">
        <f t="shared" si="6"/>
        <v>0</v>
      </c>
      <c r="S27" s="8">
        <f t="shared" si="6"/>
        <v>3</v>
      </c>
      <c r="T27" s="8">
        <f t="shared" si="6"/>
        <v>0</v>
      </c>
      <c r="U27" s="8">
        <f t="shared" si="6"/>
        <v>4</v>
      </c>
      <c r="V27" s="8">
        <f t="shared" si="6"/>
        <v>2</v>
      </c>
      <c r="W27" s="8">
        <f t="shared" si="6"/>
        <v>0</v>
      </c>
      <c r="X27" s="8">
        <f t="shared" si="6"/>
        <v>4</v>
      </c>
      <c r="Y27" s="8">
        <f t="shared" si="6"/>
        <v>0</v>
      </c>
      <c r="Z27" s="8">
        <f t="shared" si="6"/>
        <v>0</v>
      </c>
      <c r="AA27" s="8">
        <f t="shared" si="6"/>
        <v>0</v>
      </c>
      <c r="AB27" s="8">
        <f t="shared" si="6"/>
        <v>7</v>
      </c>
      <c r="AC27" s="8">
        <f t="shared" si="3"/>
        <v>53</v>
      </c>
    </row>
    <row r="28" ht="12.75" customHeight="1">
      <c r="A28" s="57"/>
      <c r="B28" s="53" t="s">
        <v>23</v>
      </c>
      <c r="C28" s="41" t="s">
        <v>24</v>
      </c>
      <c r="D28" s="8" t="s">
        <v>12</v>
      </c>
      <c r="E28" s="8">
        <f t="shared" ref="E28:AB28" si="7">SUM(E19,E22,E25)</f>
        <v>104</v>
      </c>
      <c r="F28" s="8">
        <f t="shared" si="7"/>
        <v>103</v>
      </c>
      <c r="G28" s="8">
        <f t="shared" si="7"/>
        <v>102</v>
      </c>
      <c r="H28" s="8">
        <f t="shared" si="7"/>
        <v>123</v>
      </c>
      <c r="I28" s="8">
        <f t="shared" si="7"/>
        <v>82</v>
      </c>
      <c r="J28" s="8">
        <f t="shared" si="7"/>
        <v>102</v>
      </c>
      <c r="K28" s="8">
        <f t="shared" si="7"/>
        <v>113</v>
      </c>
      <c r="L28" s="8">
        <f t="shared" si="7"/>
        <v>102</v>
      </c>
      <c r="M28" s="8">
        <f t="shared" si="7"/>
        <v>96</v>
      </c>
      <c r="N28" s="8">
        <f t="shared" si="7"/>
        <v>102</v>
      </c>
      <c r="O28" s="8">
        <f t="shared" si="7"/>
        <v>88</v>
      </c>
      <c r="P28" s="8">
        <f t="shared" si="7"/>
        <v>71</v>
      </c>
      <c r="Q28" s="8">
        <f t="shared" si="7"/>
        <v>94</v>
      </c>
      <c r="R28" s="8">
        <f t="shared" si="7"/>
        <v>93</v>
      </c>
      <c r="S28" s="8">
        <f t="shared" si="7"/>
        <v>87</v>
      </c>
      <c r="T28" s="8">
        <f t="shared" si="7"/>
        <v>117</v>
      </c>
      <c r="U28" s="8">
        <f t="shared" si="7"/>
        <v>126</v>
      </c>
      <c r="V28" s="8">
        <f t="shared" si="7"/>
        <v>109</v>
      </c>
      <c r="W28" s="8">
        <f t="shared" si="7"/>
        <v>107</v>
      </c>
      <c r="X28" s="8">
        <f t="shared" si="7"/>
        <v>105</v>
      </c>
      <c r="Y28" s="8">
        <f t="shared" si="7"/>
        <v>89</v>
      </c>
      <c r="Z28" s="8">
        <f t="shared" si="7"/>
        <v>65</v>
      </c>
      <c r="AA28" s="8">
        <f t="shared" si="7"/>
        <v>92</v>
      </c>
      <c r="AB28" s="8">
        <f t="shared" si="7"/>
        <v>97</v>
      </c>
      <c r="AC28" s="8">
        <f t="shared" si="3"/>
        <v>2369</v>
      </c>
    </row>
    <row r="29" ht="15.0" customHeight="1">
      <c r="A29" s="57"/>
      <c r="B29" s="31"/>
      <c r="C29" s="37"/>
      <c r="D29" s="8" t="s">
        <v>13</v>
      </c>
      <c r="E29" s="8">
        <f t="shared" ref="E29:AB29" si="8">SUM(E20,E23,E26)</f>
        <v>122</v>
      </c>
      <c r="F29" s="8">
        <f t="shared" si="8"/>
        <v>119</v>
      </c>
      <c r="G29" s="8">
        <f t="shared" si="8"/>
        <v>119</v>
      </c>
      <c r="H29" s="8">
        <f t="shared" si="8"/>
        <v>125</v>
      </c>
      <c r="I29" s="8">
        <f t="shared" si="8"/>
        <v>108</v>
      </c>
      <c r="J29" s="8">
        <f t="shared" si="8"/>
        <v>121</v>
      </c>
      <c r="K29" s="8">
        <f t="shared" si="8"/>
        <v>108</v>
      </c>
      <c r="L29" s="8">
        <f t="shared" si="8"/>
        <v>126</v>
      </c>
      <c r="M29" s="8">
        <f t="shared" si="8"/>
        <v>119</v>
      </c>
      <c r="N29" s="8">
        <f t="shared" si="8"/>
        <v>112</v>
      </c>
      <c r="O29" s="8">
        <f t="shared" si="8"/>
        <v>117</v>
      </c>
      <c r="P29" s="8">
        <f t="shared" si="8"/>
        <v>105</v>
      </c>
      <c r="Q29" s="8">
        <f t="shared" si="8"/>
        <v>98</v>
      </c>
      <c r="R29" s="8">
        <f t="shared" si="8"/>
        <v>109</v>
      </c>
      <c r="S29" s="8">
        <f t="shared" si="8"/>
        <v>114</v>
      </c>
      <c r="T29" s="8">
        <f t="shared" si="8"/>
        <v>123</v>
      </c>
      <c r="U29" s="8">
        <f t="shared" si="8"/>
        <v>123</v>
      </c>
      <c r="V29" s="8">
        <f t="shared" si="8"/>
        <v>123</v>
      </c>
      <c r="W29" s="8">
        <f t="shared" si="8"/>
        <v>118</v>
      </c>
      <c r="X29" s="8">
        <f t="shared" si="8"/>
        <v>120</v>
      </c>
      <c r="Y29" s="8">
        <f t="shared" si="8"/>
        <v>102</v>
      </c>
      <c r="Z29" s="8">
        <f t="shared" si="8"/>
        <v>92</v>
      </c>
      <c r="AA29" s="8">
        <f t="shared" si="8"/>
        <v>111</v>
      </c>
      <c r="AB29" s="8">
        <f t="shared" si="8"/>
        <v>113</v>
      </c>
      <c r="AC29" s="8">
        <f t="shared" si="3"/>
        <v>2747</v>
      </c>
    </row>
    <row r="30" ht="12.75" customHeight="1">
      <c r="A30" s="57"/>
      <c r="B30" s="33"/>
      <c r="C30" s="38"/>
      <c r="D30" s="8" t="s">
        <v>14</v>
      </c>
      <c r="E30" s="8">
        <f t="shared" ref="E30:AB30" si="9">SUM(E28:E29)</f>
        <v>226</v>
      </c>
      <c r="F30" s="8">
        <f t="shared" si="9"/>
        <v>222</v>
      </c>
      <c r="G30" s="8">
        <f t="shared" si="9"/>
        <v>221</v>
      </c>
      <c r="H30" s="8">
        <f t="shared" si="9"/>
        <v>248</v>
      </c>
      <c r="I30" s="8">
        <f t="shared" si="9"/>
        <v>190</v>
      </c>
      <c r="J30" s="8">
        <f t="shared" si="9"/>
        <v>223</v>
      </c>
      <c r="K30" s="8">
        <f t="shared" si="9"/>
        <v>221</v>
      </c>
      <c r="L30" s="8">
        <f t="shared" si="9"/>
        <v>228</v>
      </c>
      <c r="M30" s="8">
        <f t="shared" si="9"/>
        <v>215</v>
      </c>
      <c r="N30" s="8">
        <f t="shared" si="9"/>
        <v>214</v>
      </c>
      <c r="O30" s="8">
        <f t="shared" si="9"/>
        <v>205</v>
      </c>
      <c r="P30" s="8">
        <f t="shared" si="9"/>
        <v>176</v>
      </c>
      <c r="Q30" s="8">
        <f t="shared" si="9"/>
        <v>192</v>
      </c>
      <c r="R30" s="8">
        <f t="shared" si="9"/>
        <v>202</v>
      </c>
      <c r="S30" s="8">
        <f t="shared" si="9"/>
        <v>201</v>
      </c>
      <c r="T30" s="8">
        <f t="shared" si="9"/>
        <v>240</v>
      </c>
      <c r="U30" s="8">
        <f t="shared" si="9"/>
        <v>249</v>
      </c>
      <c r="V30" s="8">
        <f t="shared" si="9"/>
        <v>232</v>
      </c>
      <c r="W30" s="8">
        <f t="shared" si="9"/>
        <v>225</v>
      </c>
      <c r="X30" s="8">
        <f t="shared" si="9"/>
        <v>225</v>
      </c>
      <c r="Y30" s="8">
        <f t="shared" si="9"/>
        <v>191</v>
      </c>
      <c r="Z30" s="8">
        <f t="shared" si="9"/>
        <v>157</v>
      </c>
      <c r="AA30" s="8">
        <f t="shared" si="9"/>
        <v>203</v>
      </c>
      <c r="AB30" s="8">
        <f t="shared" si="9"/>
        <v>210</v>
      </c>
      <c r="AC30" s="8">
        <f t="shared" si="3"/>
        <v>5116</v>
      </c>
    </row>
    <row r="31" ht="12.75" customHeight="1">
      <c r="A31" s="29"/>
      <c r="B31" s="21"/>
      <c r="C31" s="21"/>
      <c r="D31" s="22"/>
      <c r="E31" s="12"/>
      <c r="F31" s="12"/>
      <c r="G31" s="12"/>
      <c r="H31" s="12"/>
      <c r="I31" s="12"/>
      <c r="J31" s="12"/>
      <c r="K31" s="12"/>
      <c r="L31" s="12"/>
      <c r="M31" s="12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8"/>
    </row>
    <row r="32" ht="12.75" customHeight="1">
      <c r="A32" s="58" t="s">
        <v>25</v>
      </c>
      <c r="B32" s="20" t="s">
        <v>26</v>
      </c>
      <c r="C32" s="21"/>
      <c r="D32" s="22"/>
      <c r="E32" s="8"/>
      <c r="F32" s="8"/>
      <c r="G32" s="8"/>
      <c r="H32" s="8"/>
      <c r="I32" s="8"/>
      <c r="J32" s="8"/>
      <c r="K32" s="8"/>
      <c r="L32" s="8"/>
      <c r="M32" s="8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8"/>
    </row>
    <row r="33" ht="12.75" customHeight="1">
      <c r="A33" s="12">
        <v>1.0</v>
      </c>
      <c r="B33" s="25" t="s">
        <v>121</v>
      </c>
      <c r="C33" s="21"/>
      <c r="D33" s="22"/>
      <c r="E33" s="12">
        <v>300.0</v>
      </c>
      <c r="F33" s="12">
        <v>286.0</v>
      </c>
      <c r="G33" s="12">
        <v>278.0</v>
      </c>
      <c r="H33" s="12">
        <v>301.0</v>
      </c>
      <c r="I33" s="12">
        <v>272.0</v>
      </c>
      <c r="J33" s="12">
        <v>286.0</v>
      </c>
      <c r="K33" s="12">
        <v>286.0</v>
      </c>
      <c r="L33" s="12">
        <v>289.0</v>
      </c>
      <c r="M33" s="12">
        <v>281.0</v>
      </c>
      <c r="N33" s="12">
        <v>280.0</v>
      </c>
      <c r="O33" s="12">
        <v>279.0</v>
      </c>
      <c r="P33" s="12">
        <v>232.0</v>
      </c>
      <c r="Q33" s="12">
        <v>294.0</v>
      </c>
      <c r="R33" s="12">
        <v>290.0</v>
      </c>
      <c r="S33" s="12">
        <v>284.0</v>
      </c>
      <c r="T33" s="12">
        <v>291.0</v>
      </c>
      <c r="U33" s="12">
        <v>283.0</v>
      </c>
      <c r="V33" s="12">
        <v>270.0</v>
      </c>
      <c r="W33" s="12">
        <v>286.0</v>
      </c>
      <c r="X33" s="12">
        <v>291.0</v>
      </c>
      <c r="Y33" s="12">
        <v>233.0</v>
      </c>
      <c r="Z33" s="12">
        <v>200.0</v>
      </c>
      <c r="AA33" s="12">
        <v>296.0</v>
      </c>
      <c r="AB33" s="12">
        <v>245.0</v>
      </c>
      <c r="AC33" s="8">
        <f t="shared" ref="AC33:AC36" si="10">SUM(E33:AB33)</f>
        <v>6633</v>
      </c>
    </row>
    <row r="34" ht="15.0" customHeight="1">
      <c r="A34" s="12">
        <v>2.0</v>
      </c>
      <c r="B34" s="25" t="s">
        <v>28</v>
      </c>
      <c r="C34" s="21"/>
      <c r="D34" s="22"/>
      <c r="E34" s="8">
        <v>226.0</v>
      </c>
      <c r="F34" s="8">
        <v>222.0</v>
      </c>
      <c r="G34" s="8">
        <v>221.0</v>
      </c>
      <c r="H34" s="8">
        <v>248.0</v>
      </c>
      <c r="I34" s="8">
        <v>190.0</v>
      </c>
      <c r="J34" s="8">
        <v>223.0</v>
      </c>
      <c r="K34" s="8">
        <v>221.0</v>
      </c>
      <c r="L34" s="8">
        <v>228.0</v>
      </c>
      <c r="M34" s="8">
        <v>215.0</v>
      </c>
      <c r="N34" s="8">
        <v>214.0</v>
      </c>
      <c r="O34" s="8">
        <v>205.0</v>
      </c>
      <c r="P34" s="8">
        <v>176.0</v>
      </c>
      <c r="Q34" s="8">
        <v>192.0</v>
      </c>
      <c r="R34" s="8">
        <v>202.0</v>
      </c>
      <c r="S34" s="8">
        <v>201.0</v>
      </c>
      <c r="T34" s="8">
        <v>240.0</v>
      </c>
      <c r="U34" s="8">
        <v>249.0</v>
      </c>
      <c r="V34" s="8">
        <v>232.0</v>
      </c>
      <c r="W34" s="8">
        <v>225.0</v>
      </c>
      <c r="X34" s="8">
        <v>225.0</v>
      </c>
      <c r="Y34" s="8">
        <v>191.0</v>
      </c>
      <c r="Z34" s="8">
        <v>157.0</v>
      </c>
      <c r="AA34" s="8">
        <v>203.0</v>
      </c>
      <c r="AB34" s="8">
        <v>210.0</v>
      </c>
      <c r="AC34" s="8">
        <f t="shared" si="10"/>
        <v>5116</v>
      </c>
    </row>
    <row r="35" ht="12.75" customHeight="1">
      <c r="A35" s="12">
        <v>3.0</v>
      </c>
      <c r="B35" s="25" t="s">
        <v>29</v>
      </c>
      <c r="C35" s="21"/>
      <c r="D35" s="22"/>
      <c r="E35" s="12">
        <v>1.0</v>
      </c>
      <c r="F35" s="12">
        <v>1.0</v>
      </c>
      <c r="G35" s="12">
        <v>1.0</v>
      </c>
      <c r="H35" s="12">
        <v>0.0</v>
      </c>
      <c r="I35" s="12">
        <v>0.0</v>
      </c>
      <c r="J35" s="12">
        <v>0.0</v>
      </c>
      <c r="K35" s="12">
        <v>2.0</v>
      </c>
      <c r="L35" s="12">
        <v>0.0</v>
      </c>
      <c r="M35" s="12">
        <v>0.0</v>
      </c>
      <c r="N35" s="12">
        <v>0.0</v>
      </c>
      <c r="O35" s="12">
        <v>0.0</v>
      </c>
      <c r="P35" s="12">
        <v>4.0</v>
      </c>
      <c r="Q35" s="12">
        <v>0.0</v>
      </c>
      <c r="R35" s="12">
        <v>0.0</v>
      </c>
      <c r="S35" s="12">
        <v>0.0</v>
      </c>
      <c r="T35" s="12">
        <v>0.0</v>
      </c>
      <c r="U35" s="12">
        <v>0.0</v>
      </c>
      <c r="V35" s="12">
        <v>0.0</v>
      </c>
      <c r="W35" s="12">
        <v>0.0</v>
      </c>
      <c r="X35" s="12">
        <v>0.0</v>
      </c>
      <c r="Y35" s="12">
        <v>0.0</v>
      </c>
      <c r="Z35" s="12">
        <v>0.0</v>
      </c>
      <c r="AA35" s="12">
        <v>0.0</v>
      </c>
      <c r="AB35" s="12">
        <v>0.0</v>
      </c>
      <c r="AC35" s="8">
        <f t="shared" si="10"/>
        <v>9</v>
      </c>
    </row>
    <row r="36" ht="12.75" customHeight="1">
      <c r="A36" s="12">
        <v>4.0</v>
      </c>
      <c r="B36" s="25" t="s">
        <v>30</v>
      </c>
      <c r="C36" s="21"/>
      <c r="D36" s="22"/>
      <c r="E36" s="8">
        <f t="shared" ref="E36:AB36" si="11">E33-(E34+E35)</f>
        <v>73</v>
      </c>
      <c r="F36" s="8">
        <f t="shared" si="11"/>
        <v>63</v>
      </c>
      <c r="G36" s="8">
        <f t="shared" si="11"/>
        <v>56</v>
      </c>
      <c r="H36" s="8">
        <f t="shared" si="11"/>
        <v>53</v>
      </c>
      <c r="I36" s="8">
        <f t="shared" si="11"/>
        <v>82</v>
      </c>
      <c r="J36" s="8">
        <f t="shared" si="11"/>
        <v>63</v>
      </c>
      <c r="K36" s="8">
        <f t="shared" si="11"/>
        <v>63</v>
      </c>
      <c r="L36" s="8">
        <f t="shared" si="11"/>
        <v>61</v>
      </c>
      <c r="M36" s="8">
        <f t="shared" si="11"/>
        <v>66</v>
      </c>
      <c r="N36" s="8">
        <f t="shared" si="11"/>
        <v>66</v>
      </c>
      <c r="O36" s="8">
        <f t="shared" si="11"/>
        <v>74</v>
      </c>
      <c r="P36" s="8">
        <f t="shared" si="11"/>
        <v>52</v>
      </c>
      <c r="Q36" s="8">
        <f t="shared" si="11"/>
        <v>102</v>
      </c>
      <c r="R36" s="8">
        <f t="shared" si="11"/>
        <v>88</v>
      </c>
      <c r="S36" s="8">
        <f t="shared" si="11"/>
        <v>83</v>
      </c>
      <c r="T36" s="8">
        <f t="shared" si="11"/>
        <v>51</v>
      </c>
      <c r="U36" s="8">
        <f t="shared" si="11"/>
        <v>34</v>
      </c>
      <c r="V36" s="8">
        <f t="shared" si="11"/>
        <v>38</v>
      </c>
      <c r="W36" s="8">
        <f t="shared" si="11"/>
        <v>61</v>
      </c>
      <c r="X36" s="8">
        <f t="shared" si="11"/>
        <v>66</v>
      </c>
      <c r="Y36" s="8">
        <f t="shared" si="11"/>
        <v>42</v>
      </c>
      <c r="Z36" s="8">
        <f t="shared" si="11"/>
        <v>43</v>
      </c>
      <c r="AA36" s="8">
        <f t="shared" si="11"/>
        <v>93</v>
      </c>
      <c r="AB36" s="8">
        <f t="shared" si="11"/>
        <v>35</v>
      </c>
      <c r="AC36" s="8">
        <f t="shared" si="10"/>
        <v>1508</v>
      </c>
    </row>
    <row r="37" ht="12.75" customHeight="1">
      <c r="A37" s="59"/>
      <c r="B37" s="60"/>
      <c r="C37" s="60"/>
      <c r="D37" s="60"/>
      <c r="E37" s="29"/>
      <c r="F37" s="21"/>
      <c r="G37" s="21"/>
      <c r="H37" s="21"/>
      <c r="I37" s="22"/>
      <c r="J37" s="12"/>
      <c r="K37" s="12"/>
      <c r="L37" s="12"/>
      <c r="M37" s="12"/>
      <c r="N37" s="17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8"/>
    </row>
    <row r="38" ht="12.75" customHeight="1">
      <c r="A38" s="61" t="s">
        <v>31</v>
      </c>
      <c r="B38" s="20" t="s">
        <v>32</v>
      </c>
      <c r="C38" s="21"/>
      <c r="D38" s="22"/>
      <c r="E38" s="8"/>
      <c r="F38" s="8"/>
      <c r="G38" s="8"/>
      <c r="H38" s="8"/>
      <c r="I38" s="8"/>
      <c r="J38" s="8"/>
      <c r="K38" s="8"/>
      <c r="L38" s="8"/>
      <c r="M38" s="8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8"/>
    </row>
    <row r="39" ht="12.75" customHeight="1">
      <c r="A39" s="54"/>
      <c r="B39" s="62" t="s">
        <v>33</v>
      </c>
      <c r="C39" s="28"/>
      <c r="D39" s="12" t="s">
        <v>12</v>
      </c>
      <c r="E39" s="12"/>
      <c r="F39" s="12"/>
      <c r="G39" s="12"/>
      <c r="H39" s="12"/>
      <c r="I39" s="12">
        <v>1.0</v>
      </c>
      <c r="J39" s="12"/>
      <c r="K39" s="12">
        <v>3.0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8">
        <f t="shared" ref="AC39:AC41" si="12">SUM(E39:AB39)</f>
        <v>4</v>
      </c>
    </row>
    <row r="40" ht="12.75" customHeight="1">
      <c r="A40" s="56"/>
      <c r="C40" s="31"/>
      <c r="D40" s="12" t="s">
        <v>13</v>
      </c>
      <c r="E40" s="12"/>
      <c r="F40" s="12"/>
      <c r="G40" s="12"/>
      <c r="H40" s="12"/>
      <c r="I40" s="12"/>
      <c r="J40" s="12"/>
      <c r="K40" s="12">
        <v>6.0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8">
        <f t="shared" si="12"/>
        <v>6</v>
      </c>
    </row>
    <row r="41" ht="12.75" customHeight="1">
      <c r="A41" s="58"/>
      <c r="B41" s="63"/>
      <c r="C41" s="33"/>
      <c r="D41" s="8" t="s">
        <v>14</v>
      </c>
      <c r="E41" s="8">
        <f t="shared" ref="E41:AB41" si="13">SUM(E39:E40)</f>
        <v>0</v>
      </c>
      <c r="F41" s="8">
        <f t="shared" si="13"/>
        <v>0</v>
      </c>
      <c r="G41" s="8">
        <f t="shared" si="13"/>
        <v>0</v>
      </c>
      <c r="H41" s="8">
        <f t="shared" si="13"/>
        <v>0</v>
      </c>
      <c r="I41" s="8">
        <f t="shared" si="13"/>
        <v>1</v>
      </c>
      <c r="J41" s="8">
        <f t="shared" si="13"/>
        <v>0</v>
      </c>
      <c r="K41" s="8">
        <f t="shared" si="13"/>
        <v>9</v>
      </c>
      <c r="L41" s="8">
        <f t="shared" si="13"/>
        <v>0</v>
      </c>
      <c r="M41" s="8">
        <f t="shared" si="13"/>
        <v>0</v>
      </c>
      <c r="N41" s="8">
        <f t="shared" si="13"/>
        <v>0</v>
      </c>
      <c r="O41" s="8">
        <f t="shared" si="13"/>
        <v>0</v>
      </c>
      <c r="P41" s="8">
        <f t="shared" si="13"/>
        <v>0</v>
      </c>
      <c r="Q41" s="8">
        <f t="shared" si="13"/>
        <v>0</v>
      </c>
      <c r="R41" s="8">
        <f t="shared" si="13"/>
        <v>0</v>
      </c>
      <c r="S41" s="8">
        <f t="shared" si="13"/>
        <v>0</v>
      </c>
      <c r="T41" s="8">
        <f t="shared" si="13"/>
        <v>0</v>
      </c>
      <c r="U41" s="8">
        <f t="shared" si="13"/>
        <v>0</v>
      </c>
      <c r="V41" s="8">
        <f t="shared" si="13"/>
        <v>0</v>
      </c>
      <c r="W41" s="8">
        <f t="shared" si="13"/>
        <v>0</v>
      </c>
      <c r="X41" s="8">
        <f t="shared" si="13"/>
        <v>0</v>
      </c>
      <c r="Y41" s="8">
        <f t="shared" si="13"/>
        <v>0</v>
      </c>
      <c r="Z41" s="8">
        <f t="shared" si="13"/>
        <v>0</v>
      </c>
      <c r="AA41" s="8">
        <f t="shared" si="13"/>
        <v>0</v>
      </c>
      <c r="AB41" s="8">
        <f t="shared" si="13"/>
        <v>0</v>
      </c>
      <c r="AC41" s="8">
        <f t="shared" si="12"/>
        <v>10</v>
      </c>
    </row>
    <row r="42" ht="12.75" customHeight="1">
      <c r="A42" s="64"/>
      <c r="B42" s="63"/>
      <c r="C42" s="63"/>
      <c r="D42" s="33"/>
      <c r="E42" s="29"/>
      <c r="F42" s="21"/>
      <c r="G42" s="21"/>
      <c r="H42" s="21"/>
      <c r="I42" s="22"/>
      <c r="J42" s="12"/>
      <c r="K42" s="12"/>
      <c r="L42" s="12"/>
      <c r="M42" s="12"/>
      <c r="N42" s="17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8"/>
    </row>
    <row r="43" ht="12.75" customHeight="1">
      <c r="A43" s="61" t="s">
        <v>34</v>
      </c>
      <c r="B43" s="20" t="s">
        <v>35</v>
      </c>
      <c r="C43" s="21"/>
      <c r="D43" s="22"/>
      <c r="E43" s="8"/>
      <c r="F43" s="8"/>
      <c r="G43" s="8"/>
      <c r="H43" s="8"/>
      <c r="I43" s="8"/>
      <c r="J43" s="8"/>
      <c r="K43" s="8"/>
      <c r="L43" s="8"/>
      <c r="M43" s="8"/>
      <c r="N43" s="8"/>
      <c r="O43" s="39"/>
      <c r="P43" s="18"/>
      <c r="Q43" s="19"/>
      <c r="R43" s="19"/>
      <c r="S43" s="19"/>
      <c r="T43" s="19"/>
      <c r="U43" s="17"/>
      <c r="V43" s="17"/>
      <c r="W43" s="17"/>
      <c r="X43" s="17"/>
      <c r="Y43" s="17"/>
      <c r="Z43" s="17"/>
      <c r="AA43" s="17"/>
      <c r="AB43" s="17"/>
      <c r="AC43" s="8"/>
    </row>
    <row r="44" ht="15.0" customHeight="1">
      <c r="A44" s="54"/>
      <c r="B44" s="62" t="s">
        <v>36</v>
      </c>
      <c r="C44" s="65"/>
      <c r="D44" s="28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7"/>
      <c r="P44" s="18"/>
      <c r="Q44" s="19"/>
      <c r="R44" s="19"/>
      <c r="S44" s="19"/>
      <c r="T44" s="19"/>
      <c r="U44" s="39"/>
      <c r="V44" s="39"/>
      <c r="W44" s="39"/>
      <c r="X44" s="39"/>
      <c r="Y44" s="39"/>
      <c r="Z44" s="39"/>
      <c r="AA44" s="39"/>
      <c r="AB44" s="39"/>
      <c r="AC44" s="8"/>
    </row>
    <row r="45" ht="15.0" customHeight="1">
      <c r="A45" s="24"/>
      <c r="B45" s="46" t="s">
        <v>17</v>
      </c>
      <c r="C45" s="66" t="s">
        <v>37</v>
      </c>
      <c r="D45" s="22"/>
      <c r="E45" s="12">
        <v>28.0</v>
      </c>
      <c r="F45" s="12">
        <v>36.0</v>
      </c>
      <c r="G45" s="12">
        <v>23.0</v>
      </c>
      <c r="H45" s="12">
        <v>28.0</v>
      </c>
      <c r="I45" s="12">
        <v>18.0</v>
      </c>
      <c r="J45" s="12">
        <v>12.0</v>
      </c>
      <c r="K45" s="12">
        <v>14.0</v>
      </c>
      <c r="L45" s="12">
        <v>31.0</v>
      </c>
      <c r="M45" s="12">
        <v>21.0</v>
      </c>
      <c r="N45" s="12">
        <v>18.0</v>
      </c>
      <c r="O45" s="12">
        <v>9.0</v>
      </c>
      <c r="P45" s="12">
        <v>8.0</v>
      </c>
      <c r="Q45" s="12">
        <v>4.0</v>
      </c>
      <c r="R45" s="12">
        <v>12.0</v>
      </c>
      <c r="S45" s="12">
        <v>14.0</v>
      </c>
      <c r="T45" s="12">
        <v>31.0</v>
      </c>
      <c r="U45" s="12">
        <v>24.0</v>
      </c>
      <c r="V45" s="12">
        <v>24.0</v>
      </c>
      <c r="W45" s="12">
        <v>23.0</v>
      </c>
      <c r="X45" s="12">
        <v>20.0</v>
      </c>
      <c r="Y45" s="12">
        <v>25.0</v>
      </c>
      <c r="Z45" s="12">
        <v>16.0</v>
      </c>
      <c r="AA45" s="12">
        <v>28.0</v>
      </c>
      <c r="AB45" s="12">
        <v>32.0</v>
      </c>
      <c r="AC45" s="8">
        <f t="shared" ref="AC45:AC57" si="14">SUM(E45:AB45)</f>
        <v>499</v>
      </c>
    </row>
    <row r="46" ht="12.75" customHeight="1">
      <c r="A46" s="24"/>
      <c r="B46" s="46" t="s">
        <v>19</v>
      </c>
      <c r="C46" s="66" t="s">
        <v>38</v>
      </c>
      <c r="D46" s="22"/>
      <c r="E46" s="12">
        <v>42.0</v>
      </c>
      <c r="F46" s="12">
        <v>28.0</v>
      </c>
      <c r="G46" s="12">
        <v>26.0</v>
      </c>
      <c r="H46" s="12">
        <v>37.0</v>
      </c>
      <c r="I46" s="12">
        <v>24.0</v>
      </c>
      <c r="J46" s="12">
        <v>24.0</v>
      </c>
      <c r="K46" s="12">
        <v>31.0</v>
      </c>
      <c r="L46" s="12">
        <v>31.0</v>
      </c>
      <c r="M46" s="12">
        <v>32.0</v>
      </c>
      <c r="N46" s="12">
        <v>35.0</v>
      </c>
      <c r="O46" s="12">
        <v>29.0</v>
      </c>
      <c r="P46" s="12">
        <v>19.0</v>
      </c>
      <c r="Q46" s="12">
        <v>44.0</v>
      </c>
      <c r="R46" s="12">
        <v>31.0</v>
      </c>
      <c r="S46" s="12">
        <v>35.0</v>
      </c>
      <c r="T46" s="12">
        <v>43.0</v>
      </c>
      <c r="U46" s="12">
        <v>30.0</v>
      </c>
      <c r="V46" s="12">
        <v>35.0</v>
      </c>
      <c r="W46" s="12">
        <v>34.0</v>
      </c>
      <c r="X46" s="12">
        <v>23.0</v>
      </c>
      <c r="Y46" s="12">
        <v>30.0</v>
      </c>
      <c r="Z46" s="12">
        <v>22.0</v>
      </c>
      <c r="AA46" s="12">
        <v>23.0</v>
      </c>
      <c r="AB46" s="12">
        <v>17.0</v>
      </c>
      <c r="AC46" s="8">
        <f t="shared" si="14"/>
        <v>725</v>
      </c>
    </row>
    <row r="47" ht="15.0" customHeight="1">
      <c r="A47" s="24"/>
      <c r="B47" s="46" t="s">
        <v>21</v>
      </c>
      <c r="C47" s="66" t="s">
        <v>39</v>
      </c>
      <c r="D47" s="22"/>
      <c r="E47" s="12">
        <v>11.0</v>
      </c>
      <c r="F47" s="12">
        <v>9.0</v>
      </c>
      <c r="G47" s="12">
        <v>14.0</v>
      </c>
      <c r="H47" s="12">
        <v>12.0</v>
      </c>
      <c r="I47" s="12">
        <v>17.0</v>
      </c>
      <c r="J47" s="12">
        <v>21.0</v>
      </c>
      <c r="K47" s="12">
        <v>14.0</v>
      </c>
      <c r="L47" s="12">
        <v>16.0</v>
      </c>
      <c r="M47" s="12">
        <v>14.0</v>
      </c>
      <c r="N47" s="12">
        <v>13.0</v>
      </c>
      <c r="O47" s="12">
        <v>20.0</v>
      </c>
      <c r="P47" s="12">
        <v>16.0</v>
      </c>
      <c r="Q47" s="12">
        <v>12.0</v>
      </c>
      <c r="R47" s="12">
        <v>11.0</v>
      </c>
      <c r="S47" s="12">
        <v>14.0</v>
      </c>
      <c r="T47" s="12">
        <v>20.0</v>
      </c>
      <c r="U47" s="12">
        <v>18.0</v>
      </c>
      <c r="V47" s="12">
        <v>13.0</v>
      </c>
      <c r="W47" s="12">
        <v>20.0</v>
      </c>
      <c r="X47" s="12">
        <v>26.0</v>
      </c>
      <c r="Y47" s="12">
        <v>18.0</v>
      </c>
      <c r="Z47" s="12">
        <v>13.0</v>
      </c>
      <c r="AA47" s="12">
        <v>17.0</v>
      </c>
      <c r="AB47" s="12">
        <v>21.0</v>
      </c>
      <c r="AC47" s="8">
        <f t="shared" si="14"/>
        <v>380</v>
      </c>
    </row>
    <row r="48" ht="15.0" customHeight="1">
      <c r="A48" s="24"/>
      <c r="B48" s="46" t="s">
        <v>23</v>
      </c>
      <c r="C48" s="66" t="s">
        <v>40</v>
      </c>
      <c r="D48" s="22"/>
      <c r="E48" s="12">
        <v>18.0</v>
      </c>
      <c r="F48" s="12">
        <v>15.0</v>
      </c>
      <c r="G48" s="12">
        <v>16.0</v>
      </c>
      <c r="H48" s="12">
        <v>22.0</v>
      </c>
      <c r="I48" s="12">
        <v>17.0</v>
      </c>
      <c r="J48" s="12">
        <v>12.0</v>
      </c>
      <c r="K48" s="12">
        <v>20.0</v>
      </c>
      <c r="L48" s="12">
        <v>14.0</v>
      </c>
      <c r="M48" s="12">
        <v>18.0</v>
      </c>
      <c r="N48" s="12">
        <v>13.0</v>
      </c>
      <c r="O48" s="12">
        <v>14.0</v>
      </c>
      <c r="P48" s="12">
        <v>12.0</v>
      </c>
      <c r="Q48" s="12">
        <v>11.0</v>
      </c>
      <c r="R48" s="12">
        <v>16.0</v>
      </c>
      <c r="S48" s="12">
        <v>18.0</v>
      </c>
      <c r="T48" s="12">
        <v>25.0</v>
      </c>
      <c r="U48" s="12">
        <v>30.0</v>
      </c>
      <c r="V48" s="12">
        <v>28.0</v>
      </c>
      <c r="W48" s="12">
        <v>14.0</v>
      </c>
      <c r="X48" s="12">
        <v>32.0</v>
      </c>
      <c r="Y48" s="12">
        <v>10.0</v>
      </c>
      <c r="Z48" s="12">
        <v>11.0</v>
      </c>
      <c r="AA48" s="12">
        <v>8.0</v>
      </c>
      <c r="AB48" s="12">
        <v>17.0</v>
      </c>
      <c r="AC48" s="8">
        <f t="shared" si="14"/>
        <v>411</v>
      </c>
    </row>
    <row r="49" ht="12.75" customHeight="1">
      <c r="A49" s="24"/>
      <c r="B49" s="46" t="s">
        <v>41</v>
      </c>
      <c r="C49" s="66" t="s">
        <v>42</v>
      </c>
      <c r="D49" s="22"/>
      <c r="E49" s="12">
        <v>19.0</v>
      </c>
      <c r="F49" s="12">
        <v>18.0</v>
      </c>
      <c r="G49" s="12">
        <v>17.0</v>
      </c>
      <c r="H49" s="12">
        <v>26.0</v>
      </c>
      <c r="I49" s="12">
        <v>16.0</v>
      </c>
      <c r="J49" s="12">
        <v>19.0</v>
      </c>
      <c r="K49" s="12">
        <v>19.0</v>
      </c>
      <c r="L49" s="12">
        <v>18.0</v>
      </c>
      <c r="M49" s="12">
        <v>17.0</v>
      </c>
      <c r="N49" s="12">
        <v>22.0</v>
      </c>
      <c r="O49" s="12">
        <v>16.0</v>
      </c>
      <c r="P49" s="12">
        <v>12.0</v>
      </c>
      <c r="Q49" s="12">
        <v>23.0</v>
      </c>
      <c r="R49" s="12">
        <v>19.0</v>
      </c>
      <c r="S49" s="12">
        <v>19.0</v>
      </c>
      <c r="T49" s="12">
        <v>17.0</v>
      </c>
      <c r="U49" s="12">
        <v>20.0</v>
      </c>
      <c r="V49" s="12">
        <v>14.0</v>
      </c>
      <c r="W49" s="12">
        <v>17.0</v>
      </c>
      <c r="X49" s="12">
        <v>14.0</v>
      </c>
      <c r="Y49" s="12">
        <v>14.0</v>
      </c>
      <c r="Z49" s="12">
        <v>8.0</v>
      </c>
      <c r="AA49" s="12">
        <v>19.0</v>
      </c>
      <c r="AB49" s="12">
        <v>15.0</v>
      </c>
      <c r="AC49" s="8">
        <f t="shared" si="14"/>
        <v>418</v>
      </c>
    </row>
    <row r="50" ht="15.0" customHeight="1">
      <c r="A50" s="24"/>
      <c r="B50" s="46" t="s">
        <v>43</v>
      </c>
      <c r="C50" s="66" t="s">
        <v>44</v>
      </c>
      <c r="D50" s="22"/>
      <c r="E50" s="12">
        <v>19.0</v>
      </c>
      <c r="F50" s="12">
        <v>15.0</v>
      </c>
      <c r="G50" s="12">
        <v>16.0</v>
      </c>
      <c r="H50" s="12">
        <v>14.0</v>
      </c>
      <c r="I50" s="12">
        <v>7.0</v>
      </c>
      <c r="J50" s="12">
        <v>20.0</v>
      </c>
      <c r="K50" s="12">
        <v>25.0</v>
      </c>
      <c r="L50" s="12">
        <v>17.0</v>
      </c>
      <c r="M50" s="12">
        <v>14.0</v>
      </c>
      <c r="N50" s="12">
        <v>9.0</v>
      </c>
      <c r="O50" s="12">
        <v>17.0</v>
      </c>
      <c r="P50" s="12">
        <v>18.0</v>
      </c>
      <c r="Q50" s="12">
        <v>24.0</v>
      </c>
      <c r="R50" s="12">
        <v>19.0</v>
      </c>
      <c r="S50" s="12">
        <v>7.0</v>
      </c>
      <c r="T50" s="12">
        <v>40.0</v>
      </c>
      <c r="U50" s="12">
        <v>41.0</v>
      </c>
      <c r="V50" s="12">
        <v>38.0</v>
      </c>
      <c r="W50" s="12">
        <v>29.0</v>
      </c>
      <c r="X50" s="12">
        <v>30.0</v>
      </c>
      <c r="Y50" s="12">
        <v>21.0</v>
      </c>
      <c r="Z50" s="12">
        <v>13.0</v>
      </c>
      <c r="AA50" s="12">
        <v>20.0</v>
      </c>
      <c r="AB50" s="12">
        <v>30.0</v>
      </c>
      <c r="AC50" s="8">
        <f t="shared" si="14"/>
        <v>503</v>
      </c>
    </row>
    <row r="51" ht="15.0" customHeight="1">
      <c r="A51" s="24"/>
      <c r="B51" s="46" t="s">
        <v>45</v>
      </c>
      <c r="C51" s="66" t="s">
        <v>46</v>
      </c>
      <c r="D51" s="22"/>
      <c r="E51" s="12">
        <v>3.0</v>
      </c>
      <c r="F51" s="12">
        <v>3.0</v>
      </c>
      <c r="G51" s="12">
        <v>5.0</v>
      </c>
      <c r="H51" s="12">
        <v>2.0</v>
      </c>
      <c r="I51" s="12">
        <v>1.0</v>
      </c>
      <c r="J51" s="12">
        <v>4.0</v>
      </c>
      <c r="K51" s="12">
        <v>2.0</v>
      </c>
      <c r="L51" s="12">
        <v>1.0</v>
      </c>
      <c r="M51" s="12">
        <v>0.0</v>
      </c>
      <c r="N51" s="12">
        <v>0.0</v>
      </c>
      <c r="O51" s="12">
        <v>5.0</v>
      </c>
      <c r="P51" s="12">
        <v>0.0</v>
      </c>
      <c r="Q51" s="12">
        <v>4.0</v>
      </c>
      <c r="R51" s="12">
        <v>5.0</v>
      </c>
      <c r="S51" s="12">
        <v>5.0</v>
      </c>
      <c r="T51" s="12">
        <v>3.0</v>
      </c>
      <c r="U51" s="12">
        <v>3.0</v>
      </c>
      <c r="V51" s="12">
        <v>2.0</v>
      </c>
      <c r="W51" s="12">
        <v>3.0</v>
      </c>
      <c r="X51" s="12">
        <v>2.0</v>
      </c>
      <c r="Y51" s="12">
        <v>3.0</v>
      </c>
      <c r="Z51" s="12">
        <v>2.0</v>
      </c>
      <c r="AA51" s="12">
        <v>5.0</v>
      </c>
      <c r="AB51" s="12">
        <v>8.0</v>
      </c>
      <c r="AC51" s="8">
        <f t="shared" si="14"/>
        <v>71</v>
      </c>
    </row>
    <row r="52" ht="12.75" customHeight="1">
      <c r="A52" s="24"/>
      <c r="B52" s="46" t="s">
        <v>47</v>
      </c>
      <c r="C52" s="66" t="s">
        <v>48</v>
      </c>
      <c r="D52" s="22"/>
      <c r="E52" s="12">
        <v>6.0</v>
      </c>
      <c r="F52" s="12">
        <v>4.0</v>
      </c>
      <c r="G52" s="12">
        <v>10.0</v>
      </c>
      <c r="H52" s="12">
        <v>4.0</v>
      </c>
      <c r="I52" s="12">
        <v>3.0</v>
      </c>
      <c r="J52" s="12">
        <v>1.0</v>
      </c>
      <c r="K52" s="12">
        <v>2.0</v>
      </c>
      <c r="L52" s="12">
        <v>9.0</v>
      </c>
      <c r="M52" s="12">
        <v>9.0</v>
      </c>
      <c r="N52" s="12">
        <v>3.0</v>
      </c>
      <c r="O52" s="12">
        <v>4.0</v>
      </c>
      <c r="P52" s="12">
        <v>3.0</v>
      </c>
      <c r="Q52" s="12">
        <v>3.0</v>
      </c>
      <c r="R52" s="12">
        <v>5.0</v>
      </c>
      <c r="S52" s="12">
        <v>4.0</v>
      </c>
      <c r="T52" s="12">
        <v>2.0</v>
      </c>
      <c r="U52" s="12">
        <v>1.0</v>
      </c>
      <c r="V52" s="12">
        <v>1.0</v>
      </c>
      <c r="W52" s="12">
        <v>2.0</v>
      </c>
      <c r="X52" s="12">
        <v>5.0</v>
      </c>
      <c r="Y52" s="12">
        <v>3.0</v>
      </c>
      <c r="Z52" s="12">
        <v>5.0</v>
      </c>
      <c r="AA52" s="12">
        <v>10.0</v>
      </c>
      <c r="AB52" s="12">
        <v>7.0</v>
      </c>
      <c r="AC52" s="8">
        <f t="shared" si="14"/>
        <v>106</v>
      </c>
    </row>
    <row r="53" ht="12.75" customHeight="1">
      <c r="A53" s="24"/>
      <c r="B53" s="46" t="s">
        <v>49</v>
      </c>
      <c r="C53" s="66" t="s">
        <v>50</v>
      </c>
      <c r="D53" s="22"/>
      <c r="E53" s="12">
        <v>1.0</v>
      </c>
      <c r="F53" s="12">
        <v>1.0</v>
      </c>
      <c r="G53" s="12">
        <v>1.0</v>
      </c>
      <c r="H53" s="12">
        <v>3.0</v>
      </c>
      <c r="I53" s="12">
        <v>0.0</v>
      </c>
      <c r="J53" s="12">
        <v>0.0</v>
      </c>
      <c r="K53" s="12">
        <v>3.0</v>
      </c>
      <c r="L53" s="12">
        <v>0.0</v>
      </c>
      <c r="M53" s="12">
        <v>1.0</v>
      </c>
      <c r="N53" s="12">
        <v>0.0</v>
      </c>
      <c r="O53" s="12">
        <v>2.0</v>
      </c>
      <c r="P53" s="12">
        <v>0.0</v>
      </c>
      <c r="Q53" s="12">
        <v>1.0</v>
      </c>
      <c r="R53" s="12">
        <v>0.0</v>
      </c>
      <c r="S53" s="12">
        <v>2.0</v>
      </c>
      <c r="T53" s="12">
        <v>1.0</v>
      </c>
      <c r="U53" s="12">
        <v>0.0</v>
      </c>
      <c r="V53" s="12">
        <v>0.0</v>
      </c>
      <c r="W53" s="12">
        <v>0.0</v>
      </c>
      <c r="X53" s="12">
        <v>0.0</v>
      </c>
      <c r="Y53" s="12">
        <v>0.0</v>
      </c>
      <c r="Z53" s="12">
        <v>0.0</v>
      </c>
      <c r="AA53" s="12">
        <v>1.0</v>
      </c>
      <c r="AB53" s="12">
        <v>0.0</v>
      </c>
      <c r="AC53" s="8">
        <f t="shared" si="14"/>
        <v>17</v>
      </c>
    </row>
    <row r="54" ht="12.75" customHeight="1">
      <c r="A54" s="24"/>
      <c r="B54" s="46" t="s">
        <v>51</v>
      </c>
      <c r="C54" s="66" t="s">
        <v>52</v>
      </c>
      <c r="D54" s="22"/>
      <c r="E54" s="12">
        <v>23.0</v>
      </c>
      <c r="F54" s="12">
        <v>37.0</v>
      </c>
      <c r="G54" s="12">
        <v>18.0</v>
      </c>
      <c r="H54" s="12">
        <v>27.0</v>
      </c>
      <c r="I54" s="12">
        <v>26.0</v>
      </c>
      <c r="J54" s="12">
        <v>32.0</v>
      </c>
      <c r="K54" s="12">
        <v>29.0</v>
      </c>
      <c r="L54" s="12">
        <v>16.0</v>
      </c>
      <c r="M54" s="12">
        <v>23.0</v>
      </c>
      <c r="N54" s="12">
        <v>23.0</v>
      </c>
      <c r="O54" s="12">
        <v>29.0</v>
      </c>
      <c r="P54" s="12">
        <v>34.0</v>
      </c>
      <c r="Q54" s="12">
        <v>22.0</v>
      </c>
      <c r="R54" s="12">
        <v>22.0</v>
      </c>
      <c r="S54" s="12">
        <v>16.0</v>
      </c>
      <c r="T54" s="12">
        <v>18.0</v>
      </c>
      <c r="U54" s="12">
        <v>28.0</v>
      </c>
      <c r="V54" s="12">
        <v>27.0</v>
      </c>
      <c r="W54" s="12">
        <v>25.0</v>
      </c>
      <c r="X54" s="12">
        <v>18.0</v>
      </c>
      <c r="Y54" s="12">
        <v>7.0</v>
      </c>
      <c r="Z54" s="12">
        <v>12.0</v>
      </c>
      <c r="AA54" s="12">
        <v>10.0</v>
      </c>
      <c r="AB54" s="12">
        <v>15.0</v>
      </c>
      <c r="AC54" s="8">
        <f t="shared" si="14"/>
        <v>537</v>
      </c>
    </row>
    <row r="55" ht="12.75" customHeight="1">
      <c r="A55" s="24"/>
      <c r="B55" s="46" t="s">
        <v>53</v>
      </c>
      <c r="C55" s="66" t="s">
        <v>54</v>
      </c>
      <c r="D55" s="22"/>
      <c r="E55" s="12">
        <v>0.0</v>
      </c>
      <c r="F55" s="12">
        <v>0.0</v>
      </c>
      <c r="G55" s="12">
        <v>1.0</v>
      </c>
      <c r="H55" s="12">
        <v>1.0</v>
      </c>
      <c r="I55" s="12">
        <v>2.0</v>
      </c>
      <c r="J55" s="12">
        <v>1.0</v>
      </c>
      <c r="K55" s="12">
        <v>0.0</v>
      </c>
      <c r="L55" s="12">
        <v>2.0</v>
      </c>
      <c r="M55" s="12">
        <v>0.0</v>
      </c>
      <c r="N55" s="12">
        <v>2.0</v>
      </c>
      <c r="O55" s="12">
        <v>5.0</v>
      </c>
      <c r="P55" s="12">
        <v>1.0</v>
      </c>
      <c r="Q55" s="12">
        <v>0.0</v>
      </c>
      <c r="R55" s="12">
        <v>1.0</v>
      </c>
      <c r="S55" s="12">
        <v>1.0</v>
      </c>
      <c r="T55" s="12">
        <v>0.0</v>
      </c>
      <c r="U55" s="12">
        <v>1.0</v>
      </c>
      <c r="V55" s="12">
        <v>1.0</v>
      </c>
      <c r="W55" s="12">
        <v>1.0</v>
      </c>
      <c r="X55" s="12">
        <v>0.0</v>
      </c>
      <c r="Y55" s="12">
        <v>1.0</v>
      </c>
      <c r="Z55" s="12">
        <v>1.0</v>
      </c>
      <c r="AA55" s="12">
        <v>3.0</v>
      </c>
      <c r="AB55" s="12">
        <v>2.0</v>
      </c>
      <c r="AC55" s="8">
        <f t="shared" si="14"/>
        <v>27</v>
      </c>
    </row>
    <row r="56" ht="12.75" customHeight="1">
      <c r="A56" s="24"/>
      <c r="B56" s="46" t="s">
        <v>55</v>
      </c>
      <c r="C56" s="66" t="s">
        <v>56</v>
      </c>
      <c r="D56" s="22"/>
      <c r="E56" s="12">
        <v>22.0</v>
      </c>
      <c r="F56" s="12">
        <v>25.0</v>
      </c>
      <c r="G56" s="12">
        <v>34.0</v>
      </c>
      <c r="H56" s="12">
        <v>31.0</v>
      </c>
      <c r="I56" s="12">
        <v>30.0</v>
      </c>
      <c r="J56" s="12">
        <v>46.0</v>
      </c>
      <c r="K56" s="12">
        <v>34.0</v>
      </c>
      <c r="L56" s="12">
        <v>36.0</v>
      </c>
      <c r="M56" s="12">
        <v>30.0</v>
      </c>
      <c r="N56" s="12">
        <v>33.0</v>
      </c>
      <c r="O56" s="12">
        <v>32.0</v>
      </c>
      <c r="P56" s="12">
        <v>15.0</v>
      </c>
      <c r="Q56" s="12">
        <v>16.0</v>
      </c>
      <c r="R56" s="12">
        <v>15.0</v>
      </c>
      <c r="S56" s="12">
        <v>9.0</v>
      </c>
      <c r="T56" s="12">
        <v>24.0</v>
      </c>
      <c r="U56" s="12">
        <v>41.0</v>
      </c>
      <c r="V56" s="12">
        <v>18.0</v>
      </c>
      <c r="W56" s="12">
        <v>28.0</v>
      </c>
      <c r="X56" s="12">
        <v>35.0</v>
      </c>
      <c r="Y56" s="12">
        <v>20.0</v>
      </c>
      <c r="Z56" s="12">
        <v>19.0</v>
      </c>
      <c r="AA56" s="12">
        <v>18.0</v>
      </c>
      <c r="AB56" s="12">
        <v>12.0</v>
      </c>
      <c r="AC56" s="8">
        <f t="shared" si="14"/>
        <v>623</v>
      </c>
    </row>
    <row r="57" ht="12.75" customHeight="1">
      <c r="A57" s="64"/>
      <c r="B57" s="46" t="s">
        <v>57</v>
      </c>
      <c r="C57" s="66" t="s">
        <v>58</v>
      </c>
      <c r="D57" s="22"/>
      <c r="E57" s="12">
        <v>1.0</v>
      </c>
      <c r="F57" s="12">
        <v>3.0</v>
      </c>
      <c r="G57" s="12">
        <v>3.0</v>
      </c>
      <c r="H57" s="12">
        <v>2.0</v>
      </c>
      <c r="I57" s="12">
        <v>0.0</v>
      </c>
      <c r="J57" s="12">
        <v>1.0</v>
      </c>
      <c r="K57" s="12">
        <v>0.0</v>
      </c>
      <c r="L57" s="12">
        <v>2.0</v>
      </c>
      <c r="M57" s="12">
        <v>3.0</v>
      </c>
      <c r="N57" s="12">
        <v>3.0</v>
      </c>
      <c r="O57" s="12">
        <v>1.0</v>
      </c>
      <c r="P57" s="12">
        <v>3.0</v>
      </c>
      <c r="Q57" s="12">
        <v>3.0</v>
      </c>
      <c r="R57" s="12">
        <v>2.0</v>
      </c>
      <c r="S57" s="12">
        <v>4.0</v>
      </c>
      <c r="T57" s="12">
        <v>0.0</v>
      </c>
      <c r="U57" s="12">
        <v>0.0</v>
      </c>
      <c r="V57" s="12">
        <v>0.0</v>
      </c>
      <c r="W57" s="12">
        <v>0.0</v>
      </c>
      <c r="X57" s="12">
        <v>2.0</v>
      </c>
      <c r="Y57" s="12">
        <v>1.0</v>
      </c>
      <c r="Z57" s="12">
        <v>2.0</v>
      </c>
      <c r="AA57" s="12">
        <v>4.0</v>
      </c>
      <c r="AB57" s="12">
        <v>1.0</v>
      </c>
      <c r="AC57" s="8">
        <f t="shared" si="14"/>
        <v>41</v>
      </c>
    </row>
    <row r="58" ht="12.75" customHeight="1">
      <c r="A58" s="29"/>
      <c r="B58" s="21"/>
      <c r="C58" s="21"/>
      <c r="D58" s="22"/>
      <c r="E58" s="12"/>
      <c r="F58" s="12"/>
      <c r="G58" s="12"/>
      <c r="H58" s="12"/>
      <c r="I58" s="12"/>
      <c r="J58" s="12"/>
      <c r="K58" s="12"/>
      <c r="L58" s="12"/>
      <c r="M58" s="12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8"/>
    </row>
    <row r="59" ht="12.75" customHeight="1">
      <c r="A59" s="61" t="s">
        <v>59</v>
      </c>
      <c r="B59" s="20" t="s">
        <v>60</v>
      </c>
      <c r="C59" s="21"/>
      <c r="D59" s="22"/>
      <c r="E59" s="8"/>
      <c r="F59" s="8"/>
      <c r="G59" s="8"/>
      <c r="H59" s="8"/>
      <c r="I59" s="8"/>
      <c r="J59" s="8"/>
      <c r="K59" s="8"/>
      <c r="L59" s="8"/>
      <c r="M59" s="8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8"/>
    </row>
    <row r="60" ht="12.75" customHeight="1">
      <c r="A60" s="61"/>
      <c r="B60" s="69" t="s">
        <v>61</v>
      </c>
      <c r="C60" s="50" t="s">
        <v>62</v>
      </c>
      <c r="D60" s="22"/>
      <c r="E60" s="12">
        <f t="shared" ref="E60:AB60" si="15">SUM(E45:E57)</f>
        <v>193</v>
      </c>
      <c r="F60" s="12">
        <f t="shared" si="15"/>
        <v>194</v>
      </c>
      <c r="G60" s="12">
        <f t="shared" si="15"/>
        <v>184</v>
      </c>
      <c r="H60" s="12">
        <f t="shared" si="15"/>
        <v>209</v>
      </c>
      <c r="I60" s="12">
        <f t="shared" si="15"/>
        <v>161</v>
      </c>
      <c r="J60" s="12">
        <f t="shared" si="15"/>
        <v>193</v>
      </c>
      <c r="K60" s="12">
        <f t="shared" si="15"/>
        <v>193</v>
      </c>
      <c r="L60" s="12">
        <f t="shared" si="15"/>
        <v>193</v>
      </c>
      <c r="M60" s="12">
        <f t="shared" si="15"/>
        <v>182</v>
      </c>
      <c r="N60" s="12">
        <f t="shared" si="15"/>
        <v>174</v>
      </c>
      <c r="O60" s="12">
        <f t="shared" si="15"/>
        <v>183</v>
      </c>
      <c r="P60" s="12">
        <f t="shared" si="15"/>
        <v>141</v>
      </c>
      <c r="Q60" s="12">
        <f t="shared" si="15"/>
        <v>167</v>
      </c>
      <c r="R60" s="12">
        <f t="shared" si="15"/>
        <v>158</v>
      </c>
      <c r="S60" s="12">
        <f t="shared" si="15"/>
        <v>148</v>
      </c>
      <c r="T60" s="12">
        <f t="shared" si="15"/>
        <v>224</v>
      </c>
      <c r="U60" s="12">
        <f t="shared" si="15"/>
        <v>237</v>
      </c>
      <c r="V60" s="12">
        <f t="shared" si="15"/>
        <v>201</v>
      </c>
      <c r="W60" s="12">
        <f t="shared" si="15"/>
        <v>196</v>
      </c>
      <c r="X60" s="12">
        <f t="shared" si="15"/>
        <v>207</v>
      </c>
      <c r="Y60" s="12">
        <f t="shared" si="15"/>
        <v>153</v>
      </c>
      <c r="Z60" s="12">
        <f t="shared" si="15"/>
        <v>124</v>
      </c>
      <c r="AA60" s="12">
        <f t="shared" si="15"/>
        <v>166</v>
      </c>
      <c r="AB60" s="12">
        <f t="shared" si="15"/>
        <v>177</v>
      </c>
      <c r="AC60" s="8">
        <f t="shared" ref="AC60:AC62" si="16">SUM(E60:AB60)</f>
        <v>4358</v>
      </c>
    </row>
    <row r="61" ht="12.75" customHeight="1">
      <c r="A61" s="57"/>
      <c r="B61" s="69" t="s">
        <v>63</v>
      </c>
      <c r="C61" s="50" t="s">
        <v>64</v>
      </c>
      <c r="D61" s="22"/>
      <c r="E61" s="12">
        <v>33.0</v>
      </c>
      <c r="F61" s="12">
        <v>28.0</v>
      </c>
      <c r="G61" s="12">
        <v>37.0</v>
      </c>
      <c r="H61" s="12">
        <v>39.0</v>
      </c>
      <c r="I61" s="12">
        <v>29.0</v>
      </c>
      <c r="J61" s="12">
        <v>30.0</v>
      </c>
      <c r="K61" s="12">
        <v>28.0</v>
      </c>
      <c r="L61" s="12">
        <v>35.0</v>
      </c>
      <c r="M61" s="12">
        <v>33.0</v>
      </c>
      <c r="N61" s="12">
        <v>40.0</v>
      </c>
      <c r="O61" s="12">
        <v>22.0</v>
      </c>
      <c r="P61" s="12">
        <v>35.0</v>
      </c>
      <c r="Q61" s="12">
        <v>25.0</v>
      </c>
      <c r="R61" s="12">
        <v>44.0</v>
      </c>
      <c r="S61" s="12">
        <v>53.0</v>
      </c>
      <c r="T61" s="12">
        <v>16.0</v>
      </c>
      <c r="U61" s="12">
        <v>12.0</v>
      </c>
      <c r="V61" s="12">
        <v>31.0</v>
      </c>
      <c r="W61" s="12">
        <v>29.0</v>
      </c>
      <c r="X61" s="12">
        <v>18.0</v>
      </c>
      <c r="Y61" s="12">
        <v>38.0</v>
      </c>
      <c r="Z61" s="12">
        <v>33.0</v>
      </c>
      <c r="AA61" s="12">
        <v>37.0</v>
      </c>
      <c r="AB61" s="12">
        <v>33.0</v>
      </c>
      <c r="AC61" s="8">
        <f t="shared" si="16"/>
        <v>758</v>
      </c>
    </row>
    <row r="62" ht="12.75" customHeight="1">
      <c r="A62" s="58"/>
      <c r="B62" s="69" t="s">
        <v>65</v>
      </c>
      <c r="C62" s="50" t="s">
        <v>66</v>
      </c>
      <c r="D62" s="22"/>
      <c r="E62" s="8">
        <f t="shared" ref="E62:AB62" si="17">SUM(E60:E61)</f>
        <v>226</v>
      </c>
      <c r="F62" s="8">
        <f t="shared" si="17"/>
        <v>222</v>
      </c>
      <c r="G62" s="8">
        <f t="shared" si="17"/>
        <v>221</v>
      </c>
      <c r="H62" s="8">
        <f t="shared" si="17"/>
        <v>248</v>
      </c>
      <c r="I62" s="8">
        <f t="shared" si="17"/>
        <v>190</v>
      </c>
      <c r="J62" s="8">
        <f t="shared" si="17"/>
        <v>223</v>
      </c>
      <c r="K62" s="8">
        <f t="shared" si="17"/>
        <v>221</v>
      </c>
      <c r="L62" s="8">
        <f t="shared" si="17"/>
        <v>228</v>
      </c>
      <c r="M62" s="8">
        <f t="shared" si="17"/>
        <v>215</v>
      </c>
      <c r="N62" s="8">
        <f t="shared" si="17"/>
        <v>214</v>
      </c>
      <c r="O62" s="8">
        <f t="shared" si="17"/>
        <v>205</v>
      </c>
      <c r="P62" s="8">
        <f t="shared" si="17"/>
        <v>176</v>
      </c>
      <c r="Q62" s="8">
        <f t="shared" si="17"/>
        <v>192</v>
      </c>
      <c r="R62" s="8">
        <f t="shared" si="17"/>
        <v>202</v>
      </c>
      <c r="S62" s="8">
        <f t="shared" si="17"/>
        <v>201</v>
      </c>
      <c r="T62" s="8">
        <f t="shared" si="17"/>
        <v>240</v>
      </c>
      <c r="U62" s="8">
        <f t="shared" si="17"/>
        <v>249</v>
      </c>
      <c r="V62" s="8">
        <f t="shared" si="17"/>
        <v>232</v>
      </c>
      <c r="W62" s="8">
        <f t="shared" si="17"/>
        <v>225</v>
      </c>
      <c r="X62" s="8">
        <f t="shared" si="17"/>
        <v>225</v>
      </c>
      <c r="Y62" s="8">
        <f t="shared" si="17"/>
        <v>191</v>
      </c>
      <c r="Z62" s="8">
        <f t="shared" si="17"/>
        <v>157</v>
      </c>
      <c r="AA62" s="8">
        <f t="shared" si="17"/>
        <v>203</v>
      </c>
      <c r="AB62" s="8">
        <f t="shared" si="17"/>
        <v>210</v>
      </c>
      <c r="AC62" s="8">
        <f t="shared" si="16"/>
        <v>5116</v>
      </c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46">
    <mergeCell ref="B12:D12"/>
    <mergeCell ref="E12:AB12"/>
    <mergeCell ref="AC12:AC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E37:I37"/>
    <mergeCell ref="B36:D36"/>
    <mergeCell ref="B38:D38"/>
    <mergeCell ref="B39:C41"/>
    <mergeCell ref="A42:D42"/>
    <mergeCell ref="E42:I42"/>
    <mergeCell ref="B43:D43"/>
    <mergeCell ref="B44:D44"/>
    <mergeCell ref="C45:D45"/>
    <mergeCell ref="C46:D46"/>
    <mergeCell ref="C47:D47"/>
    <mergeCell ref="C48:D48"/>
    <mergeCell ref="C49:D49"/>
    <mergeCell ref="C50:D50"/>
    <mergeCell ref="C51:D51"/>
    <mergeCell ref="B59:D59"/>
    <mergeCell ref="C60:D60"/>
    <mergeCell ref="C61:D61"/>
    <mergeCell ref="C62:D62"/>
    <mergeCell ref="C52:D52"/>
    <mergeCell ref="C53:D53"/>
    <mergeCell ref="C54:D54"/>
    <mergeCell ref="C55:D55"/>
    <mergeCell ref="C56:D56"/>
    <mergeCell ref="C57:D57"/>
    <mergeCell ref="A58:D58"/>
  </mergeCells>
  <conditionalFormatting sqref="E30:T30">
    <cfRule type="expression" dxfId="0" priority="1">
      <formula>E30&lt;&gt;E62</formula>
    </cfRule>
  </conditionalFormatting>
  <conditionalFormatting sqref="E34:T34">
    <cfRule type="expression" dxfId="0" priority="2">
      <formula>E34&lt;&gt;E62</formula>
    </cfRule>
  </conditionalFormatting>
  <conditionalFormatting sqref="E14:AB15">
    <cfRule type="containsBlanks" dxfId="1" priority="3">
      <formula>LEN(TRIM(E14))=0</formula>
    </cfRule>
  </conditionalFormatting>
  <conditionalFormatting sqref="E19:AB20">
    <cfRule type="containsBlanks" dxfId="1" priority="4">
      <formula>LEN(TRIM(E19))=0</formula>
    </cfRule>
  </conditionalFormatting>
  <conditionalFormatting sqref="E22:AB23 E25:AB26 E33:AB33 E35:AB35 E39:AB40">
    <cfRule type="containsBlanks" dxfId="1" priority="5">
      <formula>LEN(TRIM(E22))=0</formula>
    </cfRule>
  </conditionalFormatting>
  <conditionalFormatting sqref="E30:AB30">
    <cfRule type="expression" dxfId="0" priority="6">
      <formula>E30&lt;&gt;E34</formula>
    </cfRule>
  </conditionalFormatting>
  <conditionalFormatting sqref="E34:AB34">
    <cfRule type="expression" dxfId="2" priority="7">
      <formula>E30&lt;&gt;E34</formula>
    </cfRule>
  </conditionalFormatting>
  <conditionalFormatting sqref="E34:AB34">
    <cfRule type="expression" dxfId="3" priority="8">
      <formula>E30=E34</formula>
    </cfRule>
  </conditionalFormatting>
  <conditionalFormatting sqref="E34:AB34">
    <cfRule type="expression" dxfId="0" priority="9">
      <formula>E34&lt;&gt;E30</formula>
    </cfRule>
  </conditionalFormatting>
  <conditionalFormatting sqref="E45:AB57">
    <cfRule type="containsBlanks" dxfId="1" priority="10">
      <formula>LEN(TRIM(E45))=0</formula>
    </cfRule>
  </conditionalFormatting>
  <conditionalFormatting sqref="E60:AB61">
    <cfRule type="containsBlanks" dxfId="1" priority="11">
      <formula>LEN(TRIM(E60))=0</formula>
    </cfRule>
  </conditionalFormatting>
  <conditionalFormatting sqref="U30:AB30">
    <cfRule type="expression" dxfId="0" priority="12">
      <formula>U30&lt;&gt;U47</formula>
    </cfRule>
  </conditionalFormatting>
  <conditionalFormatting sqref="U34:AB34">
    <cfRule type="expression" dxfId="0" priority="13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67.14"/>
    <col customWidth="1" min="4" max="4" width="14.57"/>
    <col customWidth="1" min="5" max="13" width="9.14"/>
    <col customWidth="1" min="14" max="14" width="9.57"/>
    <col customWidth="1" min="15" max="48" width="9.14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ht="12.75" customHeight="1">
      <c r="A2" s="1"/>
      <c r="B2" s="1"/>
      <c r="C2" s="1" t="s">
        <v>0</v>
      </c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ht="15.0" customHeight="1">
      <c r="A3" s="1"/>
      <c r="B3" s="1"/>
      <c r="C3" s="1" t="s">
        <v>2</v>
      </c>
      <c r="D3" s="1" t="s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ht="15.0" customHeight="1">
      <c r="A4" s="1"/>
      <c r="B4" s="1"/>
      <c r="C4" s="1" t="s">
        <v>4</v>
      </c>
      <c r="D4" s="1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ht="12.75" customHeight="1">
      <c r="A9" s="1"/>
      <c r="B9" s="1"/>
      <c r="C9" s="1" t="s">
        <v>67</v>
      </c>
      <c r="D9" s="1" t="s">
        <v>123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ht="12.75" customHeight="1">
      <c r="A11" s="2"/>
      <c r="B11" s="16"/>
      <c r="C11" s="16"/>
      <c r="D11" s="16"/>
      <c r="E11" s="2"/>
      <c r="F11" s="2"/>
      <c r="G11" s="2"/>
      <c r="H11" s="2"/>
      <c r="I11" s="2"/>
      <c r="J11" s="2"/>
      <c r="K11" s="2"/>
      <c r="L11" s="2"/>
      <c r="M11" s="2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</row>
    <row r="12" ht="12.75" customHeight="1">
      <c r="A12" s="8" t="s">
        <v>6</v>
      </c>
      <c r="B12" s="20" t="s">
        <v>7</v>
      </c>
      <c r="C12" s="21"/>
      <c r="D12" s="22"/>
      <c r="E12" s="34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53" t="s">
        <v>8</v>
      </c>
    </row>
    <row r="13" ht="12.75" customHeight="1">
      <c r="A13" s="12" t="s">
        <v>9</v>
      </c>
      <c r="B13" s="25" t="s">
        <v>10</v>
      </c>
      <c r="C13" s="21"/>
      <c r="D13" s="22"/>
      <c r="E13" s="8" t="s">
        <v>69</v>
      </c>
      <c r="F13" s="8" t="s">
        <v>70</v>
      </c>
      <c r="G13" s="8" t="s">
        <v>71</v>
      </c>
      <c r="H13" s="8" t="s">
        <v>72</v>
      </c>
      <c r="I13" s="8" t="s">
        <v>73</v>
      </c>
      <c r="J13" s="8" t="s">
        <v>74</v>
      </c>
      <c r="K13" s="8" t="s">
        <v>75</v>
      </c>
      <c r="L13" s="8" t="s">
        <v>76</v>
      </c>
      <c r="M13" s="8" t="s">
        <v>77</v>
      </c>
      <c r="N13" s="8" t="s">
        <v>78</v>
      </c>
      <c r="O13" s="8" t="s">
        <v>79</v>
      </c>
      <c r="P13" s="8" t="s">
        <v>80</v>
      </c>
      <c r="Q13" s="8" t="s">
        <v>81</v>
      </c>
      <c r="R13" s="8" t="s">
        <v>82</v>
      </c>
      <c r="S13" s="8" t="s">
        <v>83</v>
      </c>
      <c r="T13" s="8" t="s">
        <v>84</v>
      </c>
      <c r="U13" s="8" t="s">
        <v>85</v>
      </c>
      <c r="V13" s="8" t="s">
        <v>86</v>
      </c>
      <c r="W13" s="8" t="s">
        <v>87</v>
      </c>
      <c r="X13" s="8" t="s">
        <v>88</v>
      </c>
      <c r="Y13" s="8" t="s">
        <v>89</v>
      </c>
      <c r="Z13" s="8" t="s">
        <v>90</v>
      </c>
      <c r="AA13" s="8" t="s">
        <v>91</v>
      </c>
      <c r="AB13" s="8" t="s">
        <v>92</v>
      </c>
      <c r="AC13" s="8" t="s">
        <v>93</v>
      </c>
      <c r="AD13" s="8" t="s">
        <v>94</v>
      </c>
      <c r="AE13" s="8" t="s">
        <v>95</v>
      </c>
      <c r="AF13" s="8" t="s">
        <v>96</v>
      </c>
      <c r="AG13" s="8" t="s">
        <v>97</v>
      </c>
      <c r="AH13" s="8" t="s">
        <v>98</v>
      </c>
      <c r="AI13" s="8" t="s">
        <v>99</v>
      </c>
      <c r="AJ13" s="8" t="s">
        <v>100</v>
      </c>
      <c r="AK13" s="8" t="s">
        <v>101</v>
      </c>
      <c r="AL13" s="8" t="s">
        <v>102</v>
      </c>
      <c r="AM13" s="8" t="s">
        <v>103</v>
      </c>
      <c r="AN13" s="8" t="s">
        <v>104</v>
      </c>
      <c r="AO13" s="8" t="s">
        <v>105</v>
      </c>
      <c r="AP13" s="8" t="s">
        <v>106</v>
      </c>
      <c r="AQ13" s="8" t="s">
        <v>107</v>
      </c>
      <c r="AR13" s="8" t="s">
        <v>108</v>
      </c>
      <c r="AS13" s="8" t="s">
        <v>109</v>
      </c>
      <c r="AT13" s="8" t="s">
        <v>110</v>
      </c>
      <c r="AU13" s="8" t="s">
        <v>111</v>
      </c>
      <c r="AV13" s="33"/>
    </row>
    <row r="14" ht="12.75" customHeight="1">
      <c r="A14" s="24"/>
      <c r="B14" s="27" t="s">
        <v>11</v>
      </c>
      <c r="C14" s="28"/>
      <c r="D14" s="12" t="s">
        <v>12</v>
      </c>
      <c r="E14" s="12">
        <v>142.0</v>
      </c>
      <c r="F14" s="12">
        <v>137.0</v>
      </c>
      <c r="G14" s="12">
        <v>103.0</v>
      </c>
      <c r="H14" s="12">
        <v>135.0</v>
      </c>
      <c r="I14" s="12">
        <v>134.0</v>
      </c>
      <c r="J14" s="12">
        <v>137.0</v>
      </c>
      <c r="K14" s="12">
        <v>139.0</v>
      </c>
      <c r="L14" s="12">
        <v>142.0</v>
      </c>
      <c r="M14" s="12">
        <v>126.0</v>
      </c>
      <c r="N14" s="12">
        <v>153.0</v>
      </c>
      <c r="O14" s="12">
        <v>140.0</v>
      </c>
      <c r="P14" s="12">
        <v>133.0</v>
      </c>
      <c r="Q14" s="12">
        <v>133.0</v>
      </c>
      <c r="R14" s="12">
        <v>144.0</v>
      </c>
      <c r="S14" s="12">
        <v>133.0</v>
      </c>
      <c r="T14" s="12">
        <v>140.0</v>
      </c>
      <c r="U14" s="12">
        <v>147.0</v>
      </c>
      <c r="V14" s="12">
        <v>140.0</v>
      </c>
      <c r="W14" s="12">
        <v>152.0</v>
      </c>
      <c r="X14" s="12">
        <v>143.0</v>
      </c>
      <c r="Y14" s="12">
        <v>141.0</v>
      </c>
      <c r="Z14" s="12">
        <v>133.0</v>
      </c>
      <c r="AA14" s="12">
        <v>139.0</v>
      </c>
      <c r="AB14" s="12">
        <v>134.0</v>
      </c>
      <c r="AC14" s="12">
        <v>144.0</v>
      </c>
      <c r="AD14" s="12">
        <v>131.0</v>
      </c>
      <c r="AE14" s="12">
        <v>150.0</v>
      </c>
      <c r="AF14" s="12">
        <v>155.0</v>
      </c>
      <c r="AG14" s="12">
        <v>132.0</v>
      </c>
      <c r="AH14" s="12">
        <v>148.0</v>
      </c>
      <c r="AI14" s="12">
        <v>139.0</v>
      </c>
      <c r="AJ14" s="12">
        <v>148.0</v>
      </c>
      <c r="AK14" s="12">
        <v>137.0</v>
      </c>
      <c r="AL14" s="12">
        <v>106.0</v>
      </c>
      <c r="AM14" s="12">
        <v>131.0</v>
      </c>
      <c r="AN14" s="12">
        <v>128.0</v>
      </c>
      <c r="AO14" s="12">
        <v>123.0</v>
      </c>
      <c r="AP14" s="12">
        <v>134.0</v>
      </c>
      <c r="AQ14" s="12">
        <v>152.0</v>
      </c>
      <c r="AR14" s="12">
        <v>119.0</v>
      </c>
      <c r="AS14" s="12">
        <v>145.0</v>
      </c>
      <c r="AT14" s="12">
        <v>137.0</v>
      </c>
      <c r="AU14" s="12">
        <v>145.0</v>
      </c>
      <c r="AV14" s="8">
        <f t="shared" ref="AV14:AV16" si="1">SUM(E14:AU14)</f>
        <v>5904</v>
      </c>
    </row>
    <row r="15" ht="12.75" customHeight="1">
      <c r="A15" s="24"/>
      <c r="B15" s="30"/>
      <c r="C15" s="31"/>
      <c r="D15" s="12" t="s">
        <v>13</v>
      </c>
      <c r="E15" s="12">
        <v>141.0</v>
      </c>
      <c r="F15" s="12">
        <v>151.0</v>
      </c>
      <c r="G15" s="12">
        <v>117.0</v>
      </c>
      <c r="H15" s="12">
        <v>138.0</v>
      </c>
      <c r="I15" s="12">
        <v>161.0</v>
      </c>
      <c r="J15" s="12">
        <v>148.0</v>
      </c>
      <c r="K15" s="12">
        <v>154.0</v>
      </c>
      <c r="L15" s="12">
        <v>143.0</v>
      </c>
      <c r="M15" s="12">
        <v>163.0</v>
      </c>
      <c r="N15" s="12">
        <v>142.0</v>
      </c>
      <c r="O15" s="12">
        <v>152.0</v>
      </c>
      <c r="P15" s="12">
        <v>158.0</v>
      </c>
      <c r="Q15" s="12">
        <v>150.0</v>
      </c>
      <c r="R15" s="12">
        <v>138.0</v>
      </c>
      <c r="S15" s="12">
        <v>148.0</v>
      </c>
      <c r="T15" s="12">
        <v>147.0</v>
      </c>
      <c r="U15" s="12">
        <v>147.0</v>
      </c>
      <c r="V15" s="12">
        <v>148.0</v>
      </c>
      <c r="W15" s="12">
        <v>141.0</v>
      </c>
      <c r="X15" s="12">
        <v>146.0</v>
      </c>
      <c r="Y15" s="12">
        <v>141.0</v>
      </c>
      <c r="Z15" s="12">
        <v>148.0</v>
      </c>
      <c r="AA15" s="12">
        <v>151.0</v>
      </c>
      <c r="AB15" s="12">
        <v>148.0</v>
      </c>
      <c r="AC15" s="12">
        <v>146.0</v>
      </c>
      <c r="AD15" s="12">
        <v>135.0</v>
      </c>
      <c r="AE15" s="12">
        <v>142.0</v>
      </c>
      <c r="AF15" s="12">
        <v>140.0</v>
      </c>
      <c r="AG15" s="12">
        <v>146.0</v>
      </c>
      <c r="AH15" s="12">
        <v>150.0</v>
      </c>
      <c r="AI15" s="12">
        <v>151.0</v>
      </c>
      <c r="AJ15" s="12">
        <v>145.0</v>
      </c>
      <c r="AK15" s="12">
        <v>150.0</v>
      </c>
      <c r="AL15" s="12">
        <v>112.0</v>
      </c>
      <c r="AM15" s="12">
        <v>136.0</v>
      </c>
      <c r="AN15" s="12">
        <v>143.0</v>
      </c>
      <c r="AO15" s="12">
        <v>140.0</v>
      </c>
      <c r="AP15" s="12">
        <v>155.0</v>
      </c>
      <c r="AQ15" s="12">
        <v>143.0</v>
      </c>
      <c r="AR15" s="12">
        <v>123.0</v>
      </c>
      <c r="AS15" s="12">
        <v>144.0</v>
      </c>
      <c r="AT15" s="12">
        <v>158.0</v>
      </c>
      <c r="AU15" s="12">
        <v>146.0</v>
      </c>
      <c r="AV15" s="8">
        <f t="shared" si="1"/>
        <v>6226</v>
      </c>
    </row>
    <row r="16" ht="12.75" customHeight="1">
      <c r="A16" s="32"/>
      <c r="B16" s="26"/>
      <c r="C16" s="33"/>
      <c r="D16" s="8" t="s">
        <v>14</v>
      </c>
      <c r="E16" s="8">
        <f t="shared" ref="E16:AU16" si="2">SUM(E14:E15)</f>
        <v>283</v>
      </c>
      <c r="F16" s="8">
        <f t="shared" si="2"/>
        <v>288</v>
      </c>
      <c r="G16" s="8">
        <f t="shared" si="2"/>
        <v>220</v>
      </c>
      <c r="H16" s="8">
        <f t="shared" si="2"/>
        <v>273</v>
      </c>
      <c r="I16" s="8">
        <f t="shared" si="2"/>
        <v>295</v>
      </c>
      <c r="J16" s="8">
        <f t="shared" si="2"/>
        <v>285</v>
      </c>
      <c r="K16" s="8">
        <f t="shared" si="2"/>
        <v>293</v>
      </c>
      <c r="L16" s="8">
        <f t="shared" si="2"/>
        <v>285</v>
      </c>
      <c r="M16" s="8">
        <f t="shared" si="2"/>
        <v>289</v>
      </c>
      <c r="N16" s="8">
        <f t="shared" si="2"/>
        <v>295</v>
      </c>
      <c r="O16" s="8">
        <f t="shared" si="2"/>
        <v>292</v>
      </c>
      <c r="P16" s="8">
        <f t="shared" si="2"/>
        <v>291</v>
      </c>
      <c r="Q16" s="8">
        <f t="shared" si="2"/>
        <v>283</v>
      </c>
      <c r="R16" s="8">
        <f t="shared" si="2"/>
        <v>282</v>
      </c>
      <c r="S16" s="8">
        <f t="shared" si="2"/>
        <v>281</v>
      </c>
      <c r="T16" s="8">
        <f t="shared" si="2"/>
        <v>287</v>
      </c>
      <c r="U16" s="8">
        <f t="shared" si="2"/>
        <v>294</v>
      </c>
      <c r="V16" s="8">
        <f t="shared" si="2"/>
        <v>288</v>
      </c>
      <c r="W16" s="8">
        <f t="shared" si="2"/>
        <v>293</v>
      </c>
      <c r="X16" s="8">
        <f t="shared" si="2"/>
        <v>289</v>
      </c>
      <c r="Y16" s="8">
        <f t="shared" si="2"/>
        <v>282</v>
      </c>
      <c r="Z16" s="8">
        <f t="shared" si="2"/>
        <v>281</v>
      </c>
      <c r="AA16" s="8">
        <f t="shared" si="2"/>
        <v>290</v>
      </c>
      <c r="AB16" s="8">
        <f t="shared" si="2"/>
        <v>282</v>
      </c>
      <c r="AC16" s="8">
        <f t="shared" si="2"/>
        <v>290</v>
      </c>
      <c r="AD16" s="8">
        <f t="shared" si="2"/>
        <v>266</v>
      </c>
      <c r="AE16" s="8">
        <f t="shared" si="2"/>
        <v>292</v>
      </c>
      <c r="AF16" s="8">
        <f t="shared" si="2"/>
        <v>295</v>
      </c>
      <c r="AG16" s="8">
        <f t="shared" si="2"/>
        <v>278</v>
      </c>
      <c r="AH16" s="8">
        <f t="shared" si="2"/>
        <v>298</v>
      </c>
      <c r="AI16" s="8">
        <f t="shared" si="2"/>
        <v>290</v>
      </c>
      <c r="AJ16" s="8">
        <f t="shared" si="2"/>
        <v>293</v>
      </c>
      <c r="AK16" s="8">
        <f t="shared" si="2"/>
        <v>287</v>
      </c>
      <c r="AL16" s="8">
        <f t="shared" si="2"/>
        <v>218</v>
      </c>
      <c r="AM16" s="8">
        <f t="shared" si="2"/>
        <v>267</v>
      </c>
      <c r="AN16" s="8">
        <f t="shared" si="2"/>
        <v>271</v>
      </c>
      <c r="AO16" s="8">
        <f t="shared" si="2"/>
        <v>263</v>
      </c>
      <c r="AP16" s="8">
        <f t="shared" si="2"/>
        <v>289</v>
      </c>
      <c r="AQ16" s="8">
        <f t="shared" si="2"/>
        <v>295</v>
      </c>
      <c r="AR16" s="8">
        <f t="shared" si="2"/>
        <v>242</v>
      </c>
      <c r="AS16" s="8">
        <f t="shared" si="2"/>
        <v>289</v>
      </c>
      <c r="AT16" s="8">
        <f t="shared" si="2"/>
        <v>295</v>
      </c>
      <c r="AU16" s="8">
        <f t="shared" si="2"/>
        <v>291</v>
      </c>
      <c r="AV16" s="8">
        <f t="shared" si="1"/>
        <v>12130</v>
      </c>
    </row>
    <row r="17" ht="12.75" customHeight="1">
      <c r="A17" s="29"/>
      <c r="B17" s="21"/>
      <c r="C17" s="21"/>
      <c r="D17" s="22"/>
      <c r="E17" s="12"/>
      <c r="F17" s="12"/>
      <c r="G17" s="12"/>
      <c r="H17" s="12"/>
      <c r="I17" s="12"/>
      <c r="J17" s="12"/>
      <c r="K17" s="12"/>
      <c r="L17" s="12"/>
      <c r="M17" s="12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8"/>
    </row>
    <row r="18" ht="12.75" customHeight="1">
      <c r="A18" s="54" t="s">
        <v>15</v>
      </c>
      <c r="B18" s="25" t="s">
        <v>16</v>
      </c>
      <c r="C18" s="21"/>
      <c r="D18" s="22"/>
      <c r="E18" s="12"/>
      <c r="F18" s="12"/>
      <c r="G18" s="12"/>
      <c r="H18" s="12"/>
      <c r="I18" s="12"/>
      <c r="J18" s="12"/>
      <c r="K18" s="12"/>
      <c r="L18" s="12"/>
      <c r="M18" s="12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8"/>
    </row>
    <row r="19" ht="12.75" customHeight="1">
      <c r="A19" s="54"/>
      <c r="B19" s="55" t="s">
        <v>17</v>
      </c>
      <c r="C19" s="36" t="s">
        <v>18</v>
      </c>
      <c r="D19" s="12" t="s">
        <v>12</v>
      </c>
      <c r="E19" s="12">
        <v>114.0</v>
      </c>
      <c r="F19" s="12">
        <v>77.0</v>
      </c>
      <c r="G19" s="12">
        <v>75.0</v>
      </c>
      <c r="H19" s="12">
        <v>104.0</v>
      </c>
      <c r="I19" s="12">
        <v>97.0</v>
      </c>
      <c r="J19" s="12">
        <v>101.0</v>
      </c>
      <c r="K19" s="12">
        <v>98.0</v>
      </c>
      <c r="L19" s="12">
        <v>98.0</v>
      </c>
      <c r="M19" s="12">
        <v>85.0</v>
      </c>
      <c r="N19" s="12">
        <v>108.0</v>
      </c>
      <c r="O19" s="12">
        <v>87.0</v>
      </c>
      <c r="P19" s="12">
        <v>92.0</v>
      </c>
      <c r="Q19" s="12">
        <v>89.0</v>
      </c>
      <c r="R19" s="12">
        <v>106.0</v>
      </c>
      <c r="S19" s="12">
        <v>83.0</v>
      </c>
      <c r="T19" s="12">
        <v>102.0</v>
      </c>
      <c r="U19" s="12">
        <v>97.0</v>
      </c>
      <c r="V19" s="12">
        <v>87.0</v>
      </c>
      <c r="W19" s="12">
        <v>112.0</v>
      </c>
      <c r="X19" s="12">
        <v>98.0</v>
      </c>
      <c r="Y19" s="12">
        <v>102.0</v>
      </c>
      <c r="Z19" s="12">
        <v>99.0</v>
      </c>
      <c r="AA19" s="12">
        <v>106.0</v>
      </c>
      <c r="AB19" s="12">
        <v>100.0</v>
      </c>
      <c r="AC19" s="12">
        <v>98.0</v>
      </c>
      <c r="AD19" s="12">
        <v>92.0</v>
      </c>
      <c r="AE19" s="12">
        <v>106.0</v>
      </c>
      <c r="AF19" s="12">
        <v>113.0</v>
      </c>
      <c r="AG19" s="12">
        <v>95.0</v>
      </c>
      <c r="AH19" s="12">
        <v>88.0</v>
      </c>
      <c r="AI19" s="12">
        <v>89.0</v>
      </c>
      <c r="AJ19" s="12">
        <v>110.0</v>
      </c>
      <c r="AK19" s="12">
        <v>105.0</v>
      </c>
      <c r="AL19" s="12">
        <v>68.0</v>
      </c>
      <c r="AM19" s="12">
        <v>85.0</v>
      </c>
      <c r="AN19" s="12">
        <v>93.0</v>
      </c>
      <c r="AO19" s="12">
        <v>83.0</v>
      </c>
      <c r="AP19" s="12">
        <v>89.0</v>
      </c>
      <c r="AQ19" s="12">
        <v>95.0</v>
      </c>
      <c r="AR19" s="12">
        <v>77.0</v>
      </c>
      <c r="AS19" s="12">
        <v>92.0</v>
      </c>
      <c r="AT19" s="12">
        <v>121.0</v>
      </c>
      <c r="AU19" s="12">
        <v>79.0</v>
      </c>
      <c r="AV19" s="8">
        <f t="shared" ref="AV19:AV30" si="3">SUM(E19:AU19)</f>
        <v>4095</v>
      </c>
    </row>
    <row r="20" ht="12.75" customHeight="1">
      <c r="A20" s="56"/>
      <c r="B20" s="31"/>
      <c r="C20" s="37"/>
      <c r="D20" s="12" t="s">
        <v>13</v>
      </c>
      <c r="E20" s="12">
        <v>126.0</v>
      </c>
      <c r="F20" s="12">
        <v>107.0</v>
      </c>
      <c r="G20" s="12">
        <v>93.0</v>
      </c>
      <c r="H20" s="12">
        <v>108.0</v>
      </c>
      <c r="I20" s="12">
        <v>124.0</v>
      </c>
      <c r="J20" s="12">
        <v>109.0</v>
      </c>
      <c r="K20" s="12">
        <v>124.0</v>
      </c>
      <c r="L20" s="12">
        <v>116.0</v>
      </c>
      <c r="M20" s="12">
        <v>122.0</v>
      </c>
      <c r="N20" s="12">
        <v>116.0</v>
      </c>
      <c r="O20" s="12">
        <v>117.0</v>
      </c>
      <c r="P20" s="12">
        <v>120.0</v>
      </c>
      <c r="Q20" s="12">
        <v>118.0</v>
      </c>
      <c r="R20" s="12">
        <v>99.0</v>
      </c>
      <c r="S20" s="12">
        <v>119.0</v>
      </c>
      <c r="T20" s="12">
        <v>112.0</v>
      </c>
      <c r="U20" s="12">
        <v>110.0</v>
      </c>
      <c r="V20" s="12">
        <v>108.0</v>
      </c>
      <c r="W20" s="12">
        <v>109.0</v>
      </c>
      <c r="X20" s="12">
        <v>125.0</v>
      </c>
      <c r="Y20" s="12">
        <v>113.0</v>
      </c>
      <c r="Z20" s="12">
        <v>123.0</v>
      </c>
      <c r="AA20" s="12">
        <v>119.0</v>
      </c>
      <c r="AB20" s="12">
        <v>127.0</v>
      </c>
      <c r="AC20" s="12">
        <v>120.0</v>
      </c>
      <c r="AD20" s="12">
        <v>111.0</v>
      </c>
      <c r="AE20" s="12">
        <v>113.0</v>
      </c>
      <c r="AF20" s="12">
        <v>108.0</v>
      </c>
      <c r="AG20" s="12">
        <v>109.0</v>
      </c>
      <c r="AH20" s="12">
        <v>109.0</v>
      </c>
      <c r="AI20" s="12">
        <v>126.0</v>
      </c>
      <c r="AJ20" s="12">
        <v>109.0</v>
      </c>
      <c r="AK20" s="12">
        <v>126.0</v>
      </c>
      <c r="AL20" s="12">
        <v>74.0</v>
      </c>
      <c r="AM20" s="12">
        <v>101.0</v>
      </c>
      <c r="AN20" s="12">
        <v>111.0</v>
      </c>
      <c r="AO20" s="12">
        <v>105.0</v>
      </c>
      <c r="AP20" s="12">
        <v>113.0</v>
      </c>
      <c r="AQ20" s="12">
        <v>109.0</v>
      </c>
      <c r="AR20" s="12">
        <v>94.0</v>
      </c>
      <c r="AS20" s="12">
        <v>110.0</v>
      </c>
      <c r="AT20" s="12">
        <v>87.0</v>
      </c>
      <c r="AU20" s="12">
        <v>100.0</v>
      </c>
      <c r="AV20" s="8">
        <f t="shared" si="3"/>
        <v>4799</v>
      </c>
    </row>
    <row r="21" ht="12.75" customHeight="1">
      <c r="A21" s="57"/>
      <c r="B21" s="33"/>
      <c r="C21" s="38"/>
      <c r="D21" s="8" t="s">
        <v>14</v>
      </c>
      <c r="E21" s="8">
        <f t="shared" ref="E21:AU21" si="4">SUM(E19:E20)</f>
        <v>240</v>
      </c>
      <c r="F21" s="8">
        <f t="shared" si="4"/>
        <v>184</v>
      </c>
      <c r="G21" s="8">
        <f t="shared" si="4"/>
        <v>168</v>
      </c>
      <c r="H21" s="8">
        <f t="shared" si="4"/>
        <v>212</v>
      </c>
      <c r="I21" s="8">
        <f t="shared" si="4"/>
        <v>221</v>
      </c>
      <c r="J21" s="8">
        <f t="shared" si="4"/>
        <v>210</v>
      </c>
      <c r="K21" s="8">
        <f t="shared" si="4"/>
        <v>222</v>
      </c>
      <c r="L21" s="8">
        <f t="shared" si="4"/>
        <v>214</v>
      </c>
      <c r="M21" s="8">
        <f t="shared" si="4"/>
        <v>207</v>
      </c>
      <c r="N21" s="8">
        <f t="shared" si="4"/>
        <v>224</v>
      </c>
      <c r="O21" s="8">
        <f t="shared" si="4"/>
        <v>204</v>
      </c>
      <c r="P21" s="8">
        <f t="shared" si="4"/>
        <v>212</v>
      </c>
      <c r="Q21" s="8">
        <f t="shared" si="4"/>
        <v>207</v>
      </c>
      <c r="R21" s="8">
        <f t="shared" si="4"/>
        <v>205</v>
      </c>
      <c r="S21" s="8">
        <f t="shared" si="4"/>
        <v>202</v>
      </c>
      <c r="T21" s="8">
        <f t="shared" si="4"/>
        <v>214</v>
      </c>
      <c r="U21" s="8">
        <f t="shared" si="4"/>
        <v>207</v>
      </c>
      <c r="V21" s="8">
        <f t="shared" si="4"/>
        <v>195</v>
      </c>
      <c r="W21" s="8">
        <f t="shared" si="4"/>
        <v>221</v>
      </c>
      <c r="X21" s="8">
        <f t="shared" si="4"/>
        <v>223</v>
      </c>
      <c r="Y21" s="8">
        <f t="shared" si="4"/>
        <v>215</v>
      </c>
      <c r="Z21" s="8">
        <f t="shared" si="4"/>
        <v>222</v>
      </c>
      <c r="AA21" s="8">
        <f t="shared" si="4"/>
        <v>225</v>
      </c>
      <c r="AB21" s="8">
        <f t="shared" si="4"/>
        <v>227</v>
      </c>
      <c r="AC21" s="8">
        <f t="shared" si="4"/>
        <v>218</v>
      </c>
      <c r="AD21" s="8">
        <f t="shared" si="4"/>
        <v>203</v>
      </c>
      <c r="AE21" s="8">
        <f t="shared" si="4"/>
        <v>219</v>
      </c>
      <c r="AF21" s="8">
        <f t="shared" si="4"/>
        <v>221</v>
      </c>
      <c r="AG21" s="8">
        <f t="shared" si="4"/>
        <v>204</v>
      </c>
      <c r="AH21" s="8">
        <f t="shared" si="4"/>
        <v>197</v>
      </c>
      <c r="AI21" s="8">
        <f t="shared" si="4"/>
        <v>215</v>
      </c>
      <c r="AJ21" s="8">
        <f t="shared" si="4"/>
        <v>219</v>
      </c>
      <c r="AK21" s="8">
        <f t="shared" si="4"/>
        <v>231</v>
      </c>
      <c r="AL21" s="8">
        <f t="shared" si="4"/>
        <v>142</v>
      </c>
      <c r="AM21" s="8">
        <f t="shared" si="4"/>
        <v>186</v>
      </c>
      <c r="AN21" s="8">
        <f t="shared" si="4"/>
        <v>204</v>
      </c>
      <c r="AO21" s="8">
        <f t="shared" si="4"/>
        <v>188</v>
      </c>
      <c r="AP21" s="8">
        <f t="shared" si="4"/>
        <v>202</v>
      </c>
      <c r="AQ21" s="8">
        <f t="shared" si="4"/>
        <v>204</v>
      </c>
      <c r="AR21" s="8">
        <f t="shared" si="4"/>
        <v>171</v>
      </c>
      <c r="AS21" s="8">
        <f t="shared" si="4"/>
        <v>202</v>
      </c>
      <c r="AT21" s="8">
        <f t="shared" si="4"/>
        <v>208</v>
      </c>
      <c r="AU21" s="8">
        <f t="shared" si="4"/>
        <v>179</v>
      </c>
      <c r="AV21" s="8">
        <f t="shared" si="3"/>
        <v>8894</v>
      </c>
    </row>
    <row r="22" ht="12.75" customHeight="1">
      <c r="A22" s="56"/>
      <c r="B22" s="55" t="s">
        <v>19</v>
      </c>
      <c r="C22" s="36" t="s">
        <v>20</v>
      </c>
      <c r="D22" s="12" t="s">
        <v>12</v>
      </c>
      <c r="E22" s="12">
        <v>0.0</v>
      </c>
      <c r="F22" s="12">
        <v>3.0</v>
      </c>
      <c r="G22" s="12">
        <v>3.0</v>
      </c>
      <c r="H22" s="12">
        <v>1.0</v>
      </c>
      <c r="I22" s="12">
        <v>0.0</v>
      </c>
      <c r="J22" s="12">
        <v>0.0</v>
      </c>
      <c r="K22" s="12">
        <v>0.0</v>
      </c>
      <c r="L22" s="12">
        <v>0.0</v>
      </c>
      <c r="M22" s="12">
        <v>1.0</v>
      </c>
      <c r="N22" s="12">
        <v>1.0</v>
      </c>
      <c r="O22" s="12">
        <v>3.0</v>
      </c>
      <c r="P22" s="12">
        <v>0.0</v>
      </c>
      <c r="Q22" s="12">
        <v>0.0</v>
      </c>
      <c r="R22" s="12">
        <v>1.0</v>
      </c>
      <c r="S22" s="12">
        <v>1.0</v>
      </c>
      <c r="T22" s="12">
        <v>1.0</v>
      </c>
      <c r="U22" s="12">
        <v>2.0</v>
      </c>
      <c r="V22" s="12">
        <v>0.0</v>
      </c>
      <c r="W22" s="12">
        <v>2.0</v>
      </c>
      <c r="X22" s="12">
        <v>0.0</v>
      </c>
      <c r="Y22" s="12">
        <v>0.0</v>
      </c>
      <c r="Z22" s="12">
        <v>0.0</v>
      </c>
      <c r="AA22" s="12">
        <v>1.0</v>
      </c>
      <c r="AB22" s="12">
        <v>0.0</v>
      </c>
      <c r="AC22" s="12">
        <v>0.0</v>
      </c>
      <c r="AD22" s="12">
        <v>1.0</v>
      </c>
      <c r="AE22" s="12">
        <v>0.0</v>
      </c>
      <c r="AF22" s="12">
        <v>1.0</v>
      </c>
      <c r="AG22" s="12">
        <v>1.0</v>
      </c>
      <c r="AH22" s="12">
        <v>0.0</v>
      </c>
      <c r="AI22" s="12">
        <v>0.0</v>
      </c>
      <c r="AJ22" s="12">
        <v>0.0</v>
      </c>
      <c r="AK22" s="12">
        <v>0.0</v>
      </c>
      <c r="AL22" s="12">
        <v>1.0</v>
      </c>
      <c r="AM22" s="12">
        <v>1.0</v>
      </c>
      <c r="AN22" s="12">
        <v>0.0</v>
      </c>
      <c r="AO22" s="12">
        <v>0.0</v>
      </c>
      <c r="AP22" s="12">
        <v>2.0</v>
      </c>
      <c r="AQ22" s="12">
        <v>2.0</v>
      </c>
      <c r="AR22" s="12">
        <v>1.0</v>
      </c>
      <c r="AS22" s="12">
        <v>1.0</v>
      </c>
      <c r="AT22" s="12">
        <v>1.0</v>
      </c>
      <c r="AU22" s="12">
        <v>1.0</v>
      </c>
      <c r="AV22" s="8">
        <f t="shared" si="3"/>
        <v>33</v>
      </c>
    </row>
    <row r="23" ht="15.0" customHeight="1">
      <c r="A23" s="56"/>
      <c r="B23" s="31"/>
      <c r="C23" s="37"/>
      <c r="D23" s="12" t="s">
        <v>13</v>
      </c>
      <c r="E23" s="12">
        <v>0.0</v>
      </c>
      <c r="F23" s="12">
        <v>1.0</v>
      </c>
      <c r="G23" s="12">
        <v>2.0</v>
      </c>
      <c r="H23" s="12">
        <v>1.0</v>
      </c>
      <c r="I23" s="12">
        <v>0.0</v>
      </c>
      <c r="J23" s="12">
        <v>0.0</v>
      </c>
      <c r="K23" s="12">
        <v>0.0</v>
      </c>
      <c r="L23" s="12">
        <v>0.0</v>
      </c>
      <c r="M23" s="12">
        <v>0.0</v>
      </c>
      <c r="N23" s="12">
        <v>2.0</v>
      </c>
      <c r="O23" s="12">
        <v>1.0</v>
      </c>
      <c r="P23" s="12">
        <v>1.0</v>
      </c>
      <c r="Q23" s="12">
        <v>0.0</v>
      </c>
      <c r="R23" s="12">
        <v>0.0</v>
      </c>
      <c r="S23" s="12">
        <v>0.0</v>
      </c>
      <c r="T23" s="12">
        <v>1.0</v>
      </c>
      <c r="U23" s="12">
        <v>1.0</v>
      </c>
      <c r="V23" s="12">
        <v>1.0</v>
      </c>
      <c r="W23" s="12">
        <v>1.0</v>
      </c>
      <c r="X23" s="12">
        <v>2.0</v>
      </c>
      <c r="Y23" s="12">
        <v>0.0</v>
      </c>
      <c r="Z23" s="12">
        <v>1.0</v>
      </c>
      <c r="AA23" s="12">
        <v>0.0</v>
      </c>
      <c r="AB23" s="12">
        <v>0.0</v>
      </c>
      <c r="AC23" s="12">
        <v>1.0</v>
      </c>
      <c r="AD23" s="12">
        <v>0.0</v>
      </c>
      <c r="AE23" s="12">
        <v>1.0</v>
      </c>
      <c r="AF23" s="12">
        <v>2.0</v>
      </c>
      <c r="AG23" s="12">
        <v>0.0</v>
      </c>
      <c r="AH23" s="12">
        <v>1.0</v>
      </c>
      <c r="AI23" s="12">
        <v>0.0</v>
      </c>
      <c r="AJ23" s="12">
        <v>0.0</v>
      </c>
      <c r="AK23" s="12">
        <v>1.0</v>
      </c>
      <c r="AL23" s="12">
        <v>0.0</v>
      </c>
      <c r="AM23" s="12">
        <v>0.0</v>
      </c>
      <c r="AN23" s="12">
        <v>1.0</v>
      </c>
      <c r="AO23" s="12">
        <v>1.0</v>
      </c>
      <c r="AP23" s="12">
        <v>3.0</v>
      </c>
      <c r="AQ23" s="12">
        <v>0.0</v>
      </c>
      <c r="AR23" s="12">
        <v>0.0</v>
      </c>
      <c r="AS23" s="12">
        <v>1.0</v>
      </c>
      <c r="AT23" s="12">
        <v>0.0</v>
      </c>
      <c r="AU23" s="12">
        <v>1.0</v>
      </c>
      <c r="AV23" s="8">
        <f t="shared" si="3"/>
        <v>28</v>
      </c>
    </row>
    <row r="24" ht="15.0" customHeight="1">
      <c r="A24" s="57"/>
      <c r="B24" s="33"/>
      <c r="C24" s="38"/>
      <c r="D24" s="8" t="s">
        <v>14</v>
      </c>
      <c r="E24" s="8">
        <f t="shared" ref="E24:AU24" si="5">SUM(E22:E23)</f>
        <v>0</v>
      </c>
      <c r="F24" s="8">
        <f t="shared" si="5"/>
        <v>4</v>
      </c>
      <c r="G24" s="8">
        <f t="shared" si="5"/>
        <v>5</v>
      </c>
      <c r="H24" s="8">
        <f t="shared" si="5"/>
        <v>2</v>
      </c>
      <c r="I24" s="8">
        <f t="shared" si="5"/>
        <v>0</v>
      </c>
      <c r="J24" s="8">
        <f t="shared" si="5"/>
        <v>0</v>
      </c>
      <c r="K24" s="8">
        <f t="shared" si="5"/>
        <v>0</v>
      </c>
      <c r="L24" s="8">
        <f t="shared" si="5"/>
        <v>0</v>
      </c>
      <c r="M24" s="8">
        <f t="shared" si="5"/>
        <v>1</v>
      </c>
      <c r="N24" s="8">
        <f t="shared" si="5"/>
        <v>3</v>
      </c>
      <c r="O24" s="8">
        <f t="shared" si="5"/>
        <v>4</v>
      </c>
      <c r="P24" s="8">
        <f t="shared" si="5"/>
        <v>1</v>
      </c>
      <c r="Q24" s="8">
        <f t="shared" si="5"/>
        <v>0</v>
      </c>
      <c r="R24" s="8">
        <f t="shared" si="5"/>
        <v>1</v>
      </c>
      <c r="S24" s="8">
        <f t="shared" si="5"/>
        <v>1</v>
      </c>
      <c r="T24" s="8">
        <f t="shared" si="5"/>
        <v>2</v>
      </c>
      <c r="U24" s="8">
        <f t="shared" si="5"/>
        <v>3</v>
      </c>
      <c r="V24" s="8">
        <f t="shared" si="5"/>
        <v>1</v>
      </c>
      <c r="W24" s="8">
        <f t="shared" si="5"/>
        <v>3</v>
      </c>
      <c r="X24" s="8">
        <f t="shared" si="5"/>
        <v>2</v>
      </c>
      <c r="Y24" s="8">
        <f t="shared" si="5"/>
        <v>0</v>
      </c>
      <c r="Z24" s="8">
        <f t="shared" si="5"/>
        <v>1</v>
      </c>
      <c r="AA24" s="8">
        <f t="shared" si="5"/>
        <v>1</v>
      </c>
      <c r="AB24" s="8">
        <f t="shared" si="5"/>
        <v>0</v>
      </c>
      <c r="AC24" s="8">
        <f t="shared" si="5"/>
        <v>1</v>
      </c>
      <c r="AD24" s="8">
        <f t="shared" si="5"/>
        <v>1</v>
      </c>
      <c r="AE24" s="8">
        <f t="shared" si="5"/>
        <v>1</v>
      </c>
      <c r="AF24" s="8">
        <f t="shared" si="5"/>
        <v>3</v>
      </c>
      <c r="AG24" s="8">
        <f t="shared" si="5"/>
        <v>1</v>
      </c>
      <c r="AH24" s="8">
        <f t="shared" si="5"/>
        <v>1</v>
      </c>
      <c r="AI24" s="8">
        <f t="shared" si="5"/>
        <v>0</v>
      </c>
      <c r="AJ24" s="8">
        <f t="shared" si="5"/>
        <v>0</v>
      </c>
      <c r="AK24" s="8">
        <f t="shared" si="5"/>
        <v>1</v>
      </c>
      <c r="AL24" s="8">
        <f t="shared" si="5"/>
        <v>1</v>
      </c>
      <c r="AM24" s="8">
        <f t="shared" si="5"/>
        <v>1</v>
      </c>
      <c r="AN24" s="8">
        <f t="shared" si="5"/>
        <v>1</v>
      </c>
      <c r="AO24" s="8">
        <f t="shared" si="5"/>
        <v>1</v>
      </c>
      <c r="AP24" s="8">
        <f t="shared" si="5"/>
        <v>5</v>
      </c>
      <c r="AQ24" s="8">
        <f t="shared" si="5"/>
        <v>2</v>
      </c>
      <c r="AR24" s="8">
        <f t="shared" si="5"/>
        <v>1</v>
      </c>
      <c r="AS24" s="8">
        <f t="shared" si="5"/>
        <v>2</v>
      </c>
      <c r="AT24" s="8">
        <f t="shared" si="5"/>
        <v>1</v>
      </c>
      <c r="AU24" s="8">
        <f t="shared" si="5"/>
        <v>2</v>
      </c>
      <c r="AV24" s="8">
        <f t="shared" si="3"/>
        <v>61</v>
      </c>
    </row>
    <row r="25" ht="15.0" customHeight="1">
      <c r="A25" s="56"/>
      <c r="B25" s="55" t="s">
        <v>21</v>
      </c>
      <c r="C25" s="36" t="s">
        <v>22</v>
      </c>
      <c r="D25" s="12" t="s">
        <v>12</v>
      </c>
      <c r="E25" s="12">
        <v>5.0</v>
      </c>
      <c r="F25" s="12">
        <v>1.0</v>
      </c>
      <c r="G25" s="12">
        <v>2.0</v>
      </c>
      <c r="H25" s="12">
        <v>8.0</v>
      </c>
      <c r="I25" s="12">
        <v>4.0</v>
      </c>
      <c r="J25" s="12">
        <v>2.0</v>
      </c>
      <c r="K25" s="12">
        <v>3.0</v>
      </c>
      <c r="L25" s="12">
        <v>0.0</v>
      </c>
      <c r="M25" s="12">
        <v>1.0</v>
      </c>
      <c r="N25" s="12">
        <v>0.0</v>
      </c>
      <c r="O25" s="12">
        <v>0.0</v>
      </c>
      <c r="P25" s="12">
        <v>0.0</v>
      </c>
      <c r="Q25" s="12">
        <v>1.0</v>
      </c>
      <c r="R25" s="12">
        <v>2.0</v>
      </c>
      <c r="S25" s="12">
        <v>0.0</v>
      </c>
      <c r="T25" s="12">
        <v>0.0</v>
      </c>
      <c r="U25" s="12">
        <v>0.0</v>
      </c>
      <c r="V25" s="12">
        <v>8.0</v>
      </c>
      <c r="W25" s="12">
        <v>2.0</v>
      </c>
      <c r="X25" s="12">
        <v>2.0</v>
      </c>
      <c r="Y25" s="12">
        <v>1.0</v>
      </c>
      <c r="Z25" s="12">
        <v>1.0</v>
      </c>
      <c r="AA25" s="12">
        <v>0.0</v>
      </c>
      <c r="AB25" s="12">
        <v>0.0</v>
      </c>
      <c r="AC25" s="12">
        <v>0.0</v>
      </c>
      <c r="AD25" s="12">
        <v>5.0</v>
      </c>
      <c r="AE25" s="12">
        <v>1.0</v>
      </c>
      <c r="AF25" s="12">
        <v>3.0</v>
      </c>
      <c r="AG25" s="12">
        <v>0.0</v>
      </c>
      <c r="AH25" s="12">
        <v>7.0</v>
      </c>
      <c r="AI25" s="12">
        <v>0.0</v>
      </c>
      <c r="AJ25" s="12">
        <v>5.0</v>
      </c>
      <c r="AK25" s="12">
        <v>2.0</v>
      </c>
      <c r="AL25" s="12">
        <v>1.0</v>
      </c>
      <c r="AM25" s="12">
        <v>1.0</v>
      </c>
      <c r="AN25" s="12">
        <v>2.0</v>
      </c>
      <c r="AO25" s="12">
        <v>1.0</v>
      </c>
      <c r="AP25" s="12">
        <v>5.0</v>
      </c>
      <c r="AQ25" s="12">
        <v>0.0</v>
      </c>
      <c r="AR25" s="12">
        <v>0.0</v>
      </c>
      <c r="AS25" s="12">
        <v>1.0</v>
      </c>
      <c r="AT25" s="12">
        <v>2.0</v>
      </c>
      <c r="AU25" s="12">
        <v>2.0</v>
      </c>
      <c r="AV25" s="8">
        <f t="shared" si="3"/>
        <v>81</v>
      </c>
    </row>
    <row r="26" ht="15.0" customHeight="1">
      <c r="A26" s="56"/>
      <c r="B26" s="31"/>
      <c r="C26" s="37"/>
      <c r="D26" s="12" t="s">
        <v>13</v>
      </c>
      <c r="E26" s="12">
        <v>6.0</v>
      </c>
      <c r="F26" s="12">
        <v>0.0</v>
      </c>
      <c r="G26" s="12">
        <v>3.0</v>
      </c>
      <c r="H26" s="12">
        <v>10.0</v>
      </c>
      <c r="I26" s="12">
        <v>1.0</v>
      </c>
      <c r="J26" s="12">
        <v>1.0</v>
      </c>
      <c r="K26" s="12">
        <v>3.0</v>
      </c>
      <c r="L26" s="12">
        <v>0.0</v>
      </c>
      <c r="M26" s="12">
        <v>2.0</v>
      </c>
      <c r="N26" s="12">
        <v>0.0</v>
      </c>
      <c r="O26" s="12">
        <v>1.0</v>
      </c>
      <c r="P26" s="12">
        <v>0.0</v>
      </c>
      <c r="Q26" s="12">
        <v>1.0</v>
      </c>
      <c r="R26" s="12">
        <v>1.0</v>
      </c>
      <c r="S26" s="12">
        <v>0.0</v>
      </c>
      <c r="T26" s="12">
        <v>0.0</v>
      </c>
      <c r="U26" s="12">
        <v>1.0</v>
      </c>
      <c r="V26" s="12">
        <v>9.0</v>
      </c>
      <c r="W26" s="12">
        <v>2.0</v>
      </c>
      <c r="X26" s="12">
        <v>0.0</v>
      </c>
      <c r="Y26" s="12">
        <v>1.0</v>
      </c>
      <c r="Z26" s="12">
        <v>2.0</v>
      </c>
      <c r="AA26" s="12">
        <v>0.0</v>
      </c>
      <c r="AB26" s="12">
        <v>0.0</v>
      </c>
      <c r="AC26" s="12">
        <v>0.0</v>
      </c>
      <c r="AD26" s="12">
        <v>5.0</v>
      </c>
      <c r="AE26" s="12">
        <v>0.0</v>
      </c>
      <c r="AF26" s="12">
        <v>3.0</v>
      </c>
      <c r="AG26" s="12">
        <v>1.0</v>
      </c>
      <c r="AH26" s="12">
        <v>3.0</v>
      </c>
      <c r="AI26" s="12">
        <v>0.0</v>
      </c>
      <c r="AJ26" s="12">
        <v>6.0</v>
      </c>
      <c r="AK26" s="12">
        <v>0.0</v>
      </c>
      <c r="AL26" s="12">
        <v>1.0</v>
      </c>
      <c r="AM26" s="12">
        <v>1.0</v>
      </c>
      <c r="AN26" s="12">
        <v>1.0</v>
      </c>
      <c r="AO26" s="12">
        <v>0.0</v>
      </c>
      <c r="AP26" s="12">
        <v>5.0</v>
      </c>
      <c r="AQ26" s="12">
        <v>1.0</v>
      </c>
      <c r="AR26" s="12">
        <v>0.0</v>
      </c>
      <c r="AS26" s="12">
        <v>2.0</v>
      </c>
      <c r="AT26" s="12">
        <v>2.0</v>
      </c>
      <c r="AU26" s="12">
        <v>2.0</v>
      </c>
      <c r="AV26" s="8">
        <f t="shared" si="3"/>
        <v>77</v>
      </c>
    </row>
    <row r="27" ht="12.75" customHeight="1">
      <c r="A27" s="57"/>
      <c r="B27" s="33"/>
      <c r="C27" s="38"/>
      <c r="D27" s="8" t="s">
        <v>14</v>
      </c>
      <c r="E27" s="8">
        <f t="shared" ref="E27:AU27" si="6">SUM(E25:E26)</f>
        <v>11</v>
      </c>
      <c r="F27" s="8">
        <f t="shared" si="6"/>
        <v>1</v>
      </c>
      <c r="G27" s="8">
        <f t="shared" si="6"/>
        <v>5</v>
      </c>
      <c r="H27" s="8">
        <f t="shared" si="6"/>
        <v>18</v>
      </c>
      <c r="I27" s="8">
        <f t="shared" si="6"/>
        <v>5</v>
      </c>
      <c r="J27" s="8">
        <f t="shared" si="6"/>
        <v>3</v>
      </c>
      <c r="K27" s="8">
        <f t="shared" si="6"/>
        <v>6</v>
      </c>
      <c r="L27" s="8">
        <f t="shared" si="6"/>
        <v>0</v>
      </c>
      <c r="M27" s="8">
        <f t="shared" si="6"/>
        <v>3</v>
      </c>
      <c r="N27" s="8">
        <f t="shared" si="6"/>
        <v>0</v>
      </c>
      <c r="O27" s="8">
        <f t="shared" si="6"/>
        <v>1</v>
      </c>
      <c r="P27" s="8">
        <f t="shared" si="6"/>
        <v>0</v>
      </c>
      <c r="Q27" s="8">
        <f t="shared" si="6"/>
        <v>2</v>
      </c>
      <c r="R27" s="8">
        <f t="shared" si="6"/>
        <v>3</v>
      </c>
      <c r="S27" s="8">
        <f t="shared" si="6"/>
        <v>0</v>
      </c>
      <c r="T27" s="8">
        <f t="shared" si="6"/>
        <v>0</v>
      </c>
      <c r="U27" s="8">
        <f t="shared" si="6"/>
        <v>1</v>
      </c>
      <c r="V27" s="8">
        <f t="shared" si="6"/>
        <v>17</v>
      </c>
      <c r="W27" s="8">
        <f t="shared" si="6"/>
        <v>4</v>
      </c>
      <c r="X27" s="8">
        <f t="shared" si="6"/>
        <v>2</v>
      </c>
      <c r="Y27" s="8">
        <f t="shared" si="6"/>
        <v>2</v>
      </c>
      <c r="Z27" s="8">
        <f t="shared" si="6"/>
        <v>3</v>
      </c>
      <c r="AA27" s="8">
        <f t="shared" si="6"/>
        <v>0</v>
      </c>
      <c r="AB27" s="8">
        <f t="shared" si="6"/>
        <v>0</v>
      </c>
      <c r="AC27" s="8">
        <f t="shared" si="6"/>
        <v>0</v>
      </c>
      <c r="AD27" s="8">
        <f t="shared" si="6"/>
        <v>10</v>
      </c>
      <c r="AE27" s="8">
        <f t="shared" si="6"/>
        <v>1</v>
      </c>
      <c r="AF27" s="8">
        <f t="shared" si="6"/>
        <v>6</v>
      </c>
      <c r="AG27" s="8">
        <f t="shared" si="6"/>
        <v>1</v>
      </c>
      <c r="AH27" s="8">
        <f t="shared" si="6"/>
        <v>10</v>
      </c>
      <c r="AI27" s="8">
        <f t="shared" si="6"/>
        <v>0</v>
      </c>
      <c r="AJ27" s="8">
        <f t="shared" si="6"/>
        <v>11</v>
      </c>
      <c r="AK27" s="8">
        <f t="shared" si="6"/>
        <v>2</v>
      </c>
      <c r="AL27" s="8">
        <f t="shared" si="6"/>
        <v>2</v>
      </c>
      <c r="AM27" s="8">
        <f t="shared" si="6"/>
        <v>2</v>
      </c>
      <c r="AN27" s="8">
        <f t="shared" si="6"/>
        <v>3</v>
      </c>
      <c r="AO27" s="8">
        <f t="shared" si="6"/>
        <v>1</v>
      </c>
      <c r="AP27" s="8">
        <f t="shared" si="6"/>
        <v>10</v>
      </c>
      <c r="AQ27" s="8">
        <f t="shared" si="6"/>
        <v>1</v>
      </c>
      <c r="AR27" s="8">
        <f t="shared" si="6"/>
        <v>0</v>
      </c>
      <c r="AS27" s="8">
        <f t="shared" si="6"/>
        <v>3</v>
      </c>
      <c r="AT27" s="8">
        <f t="shared" si="6"/>
        <v>4</v>
      </c>
      <c r="AU27" s="8">
        <f t="shared" si="6"/>
        <v>4</v>
      </c>
      <c r="AV27" s="8">
        <f t="shared" si="3"/>
        <v>158</v>
      </c>
    </row>
    <row r="28" ht="12.75" customHeight="1">
      <c r="A28" s="57"/>
      <c r="B28" s="53" t="s">
        <v>23</v>
      </c>
      <c r="C28" s="41" t="s">
        <v>24</v>
      </c>
      <c r="D28" s="8" t="s">
        <v>12</v>
      </c>
      <c r="E28" s="8">
        <f t="shared" ref="E28:AU28" si="7">SUM(E19,E22,E25)</f>
        <v>119</v>
      </c>
      <c r="F28" s="8">
        <f t="shared" si="7"/>
        <v>81</v>
      </c>
      <c r="G28" s="8">
        <f t="shared" si="7"/>
        <v>80</v>
      </c>
      <c r="H28" s="8">
        <f t="shared" si="7"/>
        <v>113</v>
      </c>
      <c r="I28" s="8">
        <f t="shared" si="7"/>
        <v>101</v>
      </c>
      <c r="J28" s="8">
        <f t="shared" si="7"/>
        <v>103</v>
      </c>
      <c r="K28" s="8">
        <f t="shared" si="7"/>
        <v>101</v>
      </c>
      <c r="L28" s="8">
        <f t="shared" si="7"/>
        <v>98</v>
      </c>
      <c r="M28" s="8">
        <f t="shared" si="7"/>
        <v>87</v>
      </c>
      <c r="N28" s="8">
        <f t="shared" si="7"/>
        <v>109</v>
      </c>
      <c r="O28" s="8">
        <f t="shared" si="7"/>
        <v>90</v>
      </c>
      <c r="P28" s="8">
        <f t="shared" si="7"/>
        <v>92</v>
      </c>
      <c r="Q28" s="8">
        <f t="shared" si="7"/>
        <v>90</v>
      </c>
      <c r="R28" s="8">
        <f t="shared" si="7"/>
        <v>109</v>
      </c>
      <c r="S28" s="8">
        <f t="shared" si="7"/>
        <v>84</v>
      </c>
      <c r="T28" s="8">
        <f t="shared" si="7"/>
        <v>103</v>
      </c>
      <c r="U28" s="8">
        <f t="shared" si="7"/>
        <v>99</v>
      </c>
      <c r="V28" s="8">
        <f t="shared" si="7"/>
        <v>95</v>
      </c>
      <c r="W28" s="8">
        <f t="shared" si="7"/>
        <v>116</v>
      </c>
      <c r="X28" s="8">
        <f t="shared" si="7"/>
        <v>100</v>
      </c>
      <c r="Y28" s="8">
        <f t="shared" si="7"/>
        <v>103</v>
      </c>
      <c r="Z28" s="8">
        <f t="shared" si="7"/>
        <v>100</v>
      </c>
      <c r="AA28" s="8">
        <f t="shared" si="7"/>
        <v>107</v>
      </c>
      <c r="AB28" s="8">
        <f t="shared" si="7"/>
        <v>100</v>
      </c>
      <c r="AC28" s="8">
        <f t="shared" si="7"/>
        <v>98</v>
      </c>
      <c r="AD28" s="8">
        <f t="shared" si="7"/>
        <v>98</v>
      </c>
      <c r="AE28" s="8">
        <f t="shared" si="7"/>
        <v>107</v>
      </c>
      <c r="AF28" s="8">
        <f t="shared" si="7"/>
        <v>117</v>
      </c>
      <c r="AG28" s="8">
        <f t="shared" si="7"/>
        <v>96</v>
      </c>
      <c r="AH28" s="8">
        <f t="shared" si="7"/>
        <v>95</v>
      </c>
      <c r="AI28" s="8">
        <f t="shared" si="7"/>
        <v>89</v>
      </c>
      <c r="AJ28" s="8">
        <f t="shared" si="7"/>
        <v>115</v>
      </c>
      <c r="AK28" s="8">
        <f t="shared" si="7"/>
        <v>107</v>
      </c>
      <c r="AL28" s="8">
        <f t="shared" si="7"/>
        <v>70</v>
      </c>
      <c r="AM28" s="8">
        <f t="shared" si="7"/>
        <v>87</v>
      </c>
      <c r="AN28" s="8">
        <f t="shared" si="7"/>
        <v>95</v>
      </c>
      <c r="AO28" s="8">
        <f t="shared" si="7"/>
        <v>84</v>
      </c>
      <c r="AP28" s="8">
        <f t="shared" si="7"/>
        <v>96</v>
      </c>
      <c r="AQ28" s="8">
        <f t="shared" si="7"/>
        <v>97</v>
      </c>
      <c r="AR28" s="8">
        <f t="shared" si="7"/>
        <v>78</v>
      </c>
      <c r="AS28" s="8">
        <f t="shared" si="7"/>
        <v>94</v>
      </c>
      <c r="AT28" s="8">
        <f t="shared" si="7"/>
        <v>124</v>
      </c>
      <c r="AU28" s="8">
        <f t="shared" si="7"/>
        <v>82</v>
      </c>
      <c r="AV28" s="8">
        <f t="shared" si="3"/>
        <v>4209</v>
      </c>
    </row>
    <row r="29" ht="15.0" customHeight="1">
      <c r="A29" s="57"/>
      <c r="B29" s="31"/>
      <c r="C29" s="37"/>
      <c r="D29" s="8" t="s">
        <v>13</v>
      </c>
      <c r="E29" s="8">
        <f t="shared" ref="E29:AU29" si="8">SUM(E20,E23,E26)</f>
        <v>132</v>
      </c>
      <c r="F29" s="8">
        <f t="shared" si="8"/>
        <v>108</v>
      </c>
      <c r="G29" s="8">
        <f t="shared" si="8"/>
        <v>98</v>
      </c>
      <c r="H29" s="8">
        <f t="shared" si="8"/>
        <v>119</v>
      </c>
      <c r="I29" s="8">
        <f t="shared" si="8"/>
        <v>125</v>
      </c>
      <c r="J29" s="8">
        <f t="shared" si="8"/>
        <v>110</v>
      </c>
      <c r="K29" s="8">
        <f t="shared" si="8"/>
        <v>127</v>
      </c>
      <c r="L29" s="8">
        <f t="shared" si="8"/>
        <v>116</v>
      </c>
      <c r="M29" s="8">
        <f t="shared" si="8"/>
        <v>124</v>
      </c>
      <c r="N29" s="8">
        <f t="shared" si="8"/>
        <v>118</v>
      </c>
      <c r="O29" s="8">
        <f t="shared" si="8"/>
        <v>119</v>
      </c>
      <c r="P29" s="8">
        <f t="shared" si="8"/>
        <v>121</v>
      </c>
      <c r="Q29" s="8">
        <f t="shared" si="8"/>
        <v>119</v>
      </c>
      <c r="R29" s="8">
        <f t="shared" si="8"/>
        <v>100</v>
      </c>
      <c r="S29" s="8">
        <f t="shared" si="8"/>
        <v>119</v>
      </c>
      <c r="T29" s="8">
        <f t="shared" si="8"/>
        <v>113</v>
      </c>
      <c r="U29" s="8">
        <f t="shared" si="8"/>
        <v>112</v>
      </c>
      <c r="V29" s="8">
        <f t="shared" si="8"/>
        <v>118</v>
      </c>
      <c r="W29" s="8">
        <f t="shared" si="8"/>
        <v>112</v>
      </c>
      <c r="X29" s="8">
        <f t="shared" si="8"/>
        <v>127</v>
      </c>
      <c r="Y29" s="8">
        <f t="shared" si="8"/>
        <v>114</v>
      </c>
      <c r="Z29" s="8">
        <f t="shared" si="8"/>
        <v>126</v>
      </c>
      <c r="AA29" s="8">
        <f t="shared" si="8"/>
        <v>119</v>
      </c>
      <c r="AB29" s="8">
        <f t="shared" si="8"/>
        <v>127</v>
      </c>
      <c r="AC29" s="8">
        <f t="shared" si="8"/>
        <v>121</v>
      </c>
      <c r="AD29" s="8">
        <f t="shared" si="8"/>
        <v>116</v>
      </c>
      <c r="AE29" s="8">
        <f t="shared" si="8"/>
        <v>114</v>
      </c>
      <c r="AF29" s="8">
        <f t="shared" si="8"/>
        <v>113</v>
      </c>
      <c r="AG29" s="8">
        <f t="shared" si="8"/>
        <v>110</v>
      </c>
      <c r="AH29" s="8">
        <f t="shared" si="8"/>
        <v>113</v>
      </c>
      <c r="AI29" s="8">
        <f t="shared" si="8"/>
        <v>126</v>
      </c>
      <c r="AJ29" s="8">
        <f t="shared" si="8"/>
        <v>115</v>
      </c>
      <c r="AK29" s="8">
        <f t="shared" si="8"/>
        <v>127</v>
      </c>
      <c r="AL29" s="8">
        <f t="shared" si="8"/>
        <v>75</v>
      </c>
      <c r="AM29" s="8">
        <f t="shared" si="8"/>
        <v>102</v>
      </c>
      <c r="AN29" s="8">
        <f t="shared" si="8"/>
        <v>113</v>
      </c>
      <c r="AO29" s="8">
        <f t="shared" si="8"/>
        <v>106</v>
      </c>
      <c r="AP29" s="8">
        <f t="shared" si="8"/>
        <v>121</v>
      </c>
      <c r="AQ29" s="8">
        <f t="shared" si="8"/>
        <v>110</v>
      </c>
      <c r="AR29" s="8">
        <f t="shared" si="8"/>
        <v>94</v>
      </c>
      <c r="AS29" s="8">
        <f t="shared" si="8"/>
        <v>113</v>
      </c>
      <c r="AT29" s="8">
        <f t="shared" si="8"/>
        <v>89</v>
      </c>
      <c r="AU29" s="8">
        <f t="shared" si="8"/>
        <v>103</v>
      </c>
      <c r="AV29" s="8">
        <f t="shared" si="3"/>
        <v>4904</v>
      </c>
    </row>
    <row r="30" ht="12.75" customHeight="1">
      <c r="A30" s="57"/>
      <c r="B30" s="33"/>
      <c r="C30" s="38"/>
      <c r="D30" s="8" t="s">
        <v>14</v>
      </c>
      <c r="E30" s="8">
        <f t="shared" ref="E30:AU30" si="9">SUM(E28:E29)</f>
        <v>251</v>
      </c>
      <c r="F30" s="8">
        <f t="shared" si="9"/>
        <v>189</v>
      </c>
      <c r="G30" s="8">
        <f t="shared" si="9"/>
        <v>178</v>
      </c>
      <c r="H30" s="8">
        <f t="shared" si="9"/>
        <v>232</v>
      </c>
      <c r="I30" s="8">
        <f t="shared" si="9"/>
        <v>226</v>
      </c>
      <c r="J30" s="8">
        <f t="shared" si="9"/>
        <v>213</v>
      </c>
      <c r="K30" s="8">
        <f t="shared" si="9"/>
        <v>228</v>
      </c>
      <c r="L30" s="8">
        <f t="shared" si="9"/>
        <v>214</v>
      </c>
      <c r="M30" s="8">
        <f t="shared" si="9"/>
        <v>211</v>
      </c>
      <c r="N30" s="8">
        <f t="shared" si="9"/>
        <v>227</v>
      </c>
      <c r="O30" s="8">
        <f t="shared" si="9"/>
        <v>209</v>
      </c>
      <c r="P30" s="8">
        <f t="shared" si="9"/>
        <v>213</v>
      </c>
      <c r="Q30" s="8">
        <f t="shared" si="9"/>
        <v>209</v>
      </c>
      <c r="R30" s="8">
        <f t="shared" si="9"/>
        <v>209</v>
      </c>
      <c r="S30" s="8">
        <f t="shared" si="9"/>
        <v>203</v>
      </c>
      <c r="T30" s="8">
        <f t="shared" si="9"/>
        <v>216</v>
      </c>
      <c r="U30" s="8">
        <f t="shared" si="9"/>
        <v>211</v>
      </c>
      <c r="V30" s="8">
        <f t="shared" si="9"/>
        <v>213</v>
      </c>
      <c r="W30" s="8">
        <f t="shared" si="9"/>
        <v>228</v>
      </c>
      <c r="X30" s="8">
        <f t="shared" si="9"/>
        <v>227</v>
      </c>
      <c r="Y30" s="8">
        <f t="shared" si="9"/>
        <v>217</v>
      </c>
      <c r="Z30" s="8">
        <f t="shared" si="9"/>
        <v>226</v>
      </c>
      <c r="AA30" s="8">
        <f t="shared" si="9"/>
        <v>226</v>
      </c>
      <c r="AB30" s="8">
        <f t="shared" si="9"/>
        <v>227</v>
      </c>
      <c r="AC30" s="8">
        <f t="shared" si="9"/>
        <v>219</v>
      </c>
      <c r="AD30" s="8">
        <f t="shared" si="9"/>
        <v>214</v>
      </c>
      <c r="AE30" s="8">
        <f t="shared" si="9"/>
        <v>221</v>
      </c>
      <c r="AF30" s="8">
        <f t="shared" si="9"/>
        <v>230</v>
      </c>
      <c r="AG30" s="8">
        <f t="shared" si="9"/>
        <v>206</v>
      </c>
      <c r="AH30" s="8">
        <f t="shared" si="9"/>
        <v>208</v>
      </c>
      <c r="AI30" s="8">
        <f t="shared" si="9"/>
        <v>215</v>
      </c>
      <c r="AJ30" s="8">
        <f t="shared" si="9"/>
        <v>230</v>
      </c>
      <c r="AK30" s="8">
        <f t="shared" si="9"/>
        <v>234</v>
      </c>
      <c r="AL30" s="8">
        <f t="shared" si="9"/>
        <v>145</v>
      </c>
      <c r="AM30" s="8">
        <f t="shared" si="9"/>
        <v>189</v>
      </c>
      <c r="AN30" s="8">
        <f t="shared" si="9"/>
        <v>208</v>
      </c>
      <c r="AO30" s="8">
        <f t="shared" si="9"/>
        <v>190</v>
      </c>
      <c r="AP30" s="8">
        <f t="shared" si="9"/>
        <v>217</v>
      </c>
      <c r="AQ30" s="8">
        <f t="shared" si="9"/>
        <v>207</v>
      </c>
      <c r="AR30" s="8">
        <f t="shared" si="9"/>
        <v>172</v>
      </c>
      <c r="AS30" s="8">
        <f t="shared" si="9"/>
        <v>207</v>
      </c>
      <c r="AT30" s="8">
        <f t="shared" si="9"/>
        <v>213</v>
      </c>
      <c r="AU30" s="8">
        <f t="shared" si="9"/>
        <v>185</v>
      </c>
      <c r="AV30" s="8">
        <f t="shared" si="3"/>
        <v>9113</v>
      </c>
    </row>
    <row r="31" ht="12.75" customHeight="1">
      <c r="A31" s="29"/>
      <c r="B31" s="21"/>
      <c r="C31" s="21"/>
      <c r="D31" s="22"/>
      <c r="E31" s="12"/>
      <c r="F31" s="12"/>
      <c r="G31" s="12"/>
      <c r="H31" s="12"/>
      <c r="I31" s="12"/>
      <c r="J31" s="12"/>
      <c r="K31" s="12"/>
      <c r="L31" s="12"/>
      <c r="M31" s="12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8"/>
    </row>
    <row r="32" ht="12.75" customHeight="1">
      <c r="A32" s="58" t="s">
        <v>25</v>
      </c>
      <c r="B32" s="20" t="s">
        <v>26</v>
      </c>
      <c r="C32" s="21"/>
      <c r="D32" s="22"/>
      <c r="E32" s="8"/>
      <c r="F32" s="8"/>
      <c r="G32" s="8"/>
      <c r="H32" s="8"/>
      <c r="I32" s="8"/>
      <c r="J32" s="8"/>
      <c r="K32" s="8"/>
      <c r="L32" s="8"/>
      <c r="M32" s="8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8"/>
    </row>
    <row r="33" ht="12.75" customHeight="1">
      <c r="A33" s="12">
        <v>1.0</v>
      </c>
      <c r="B33" s="25" t="s">
        <v>121</v>
      </c>
      <c r="C33" s="21"/>
      <c r="D33" s="22"/>
      <c r="E33" s="12">
        <v>276.0</v>
      </c>
      <c r="F33" s="12">
        <v>283.0</v>
      </c>
      <c r="G33" s="12">
        <v>205.0</v>
      </c>
      <c r="H33" s="12">
        <v>265.0</v>
      </c>
      <c r="I33" s="12">
        <v>279.0</v>
      </c>
      <c r="J33" s="12">
        <v>281.0</v>
      </c>
      <c r="K33" s="12">
        <v>290.0</v>
      </c>
      <c r="L33" s="12">
        <v>280.0</v>
      </c>
      <c r="M33" s="12">
        <v>285.0</v>
      </c>
      <c r="N33" s="12">
        <v>279.0</v>
      </c>
      <c r="O33" s="12">
        <v>236.0</v>
      </c>
      <c r="P33" s="12">
        <v>287.0</v>
      </c>
      <c r="Q33" s="12">
        <v>278.0</v>
      </c>
      <c r="R33" s="12">
        <v>278.0</v>
      </c>
      <c r="S33" s="12">
        <v>276.0</v>
      </c>
      <c r="T33" s="12">
        <v>283.0</v>
      </c>
      <c r="U33" s="12">
        <v>289.0</v>
      </c>
      <c r="V33" s="12">
        <v>273.0</v>
      </c>
      <c r="W33" s="12">
        <v>278.0</v>
      </c>
      <c r="X33" s="12">
        <v>284.0</v>
      </c>
      <c r="Y33" s="12">
        <v>277.0</v>
      </c>
      <c r="Z33" s="12">
        <v>275.0</v>
      </c>
      <c r="AA33" s="12">
        <v>285.0</v>
      </c>
      <c r="AB33" s="12">
        <v>277.0</v>
      </c>
      <c r="AC33" s="12">
        <v>285.0</v>
      </c>
      <c r="AD33" s="12">
        <v>253.0</v>
      </c>
      <c r="AE33" s="12">
        <v>277.0</v>
      </c>
      <c r="AF33" s="12">
        <v>290.0</v>
      </c>
      <c r="AG33" s="12">
        <v>252.0</v>
      </c>
      <c r="AH33" s="12">
        <v>301.0</v>
      </c>
      <c r="AI33" s="12">
        <v>285.0</v>
      </c>
      <c r="AJ33" s="12">
        <v>290.0</v>
      </c>
      <c r="AK33" s="12">
        <v>270.0</v>
      </c>
      <c r="AL33" s="12">
        <v>211.0</v>
      </c>
      <c r="AM33" s="12">
        <v>262.0</v>
      </c>
      <c r="AN33" s="12">
        <v>266.0</v>
      </c>
      <c r="AO33" s="12">
        <v>269.0</v>
      </c>
      <c r="AP33" s="12">
        <v>283.0</v>
      </c>
      <c r="AQ33" s="12">
        <v>290.0</v>
      </c>
      <c r="AR33" s="12">
        <v>225.0</v>
      </c>
      <c r="AS33" s="12">
        <v>295.0</v>
      </c>
      <c r="AT33" s="12">
        <v>291.0</v>
      </c>
      <c r="AU33" s="12">
        <v>275.0</v>
      </c>
      <c r="AV33" s="8">
        <f t="shared" ref="AV33:AV36" si="10">SUM(E33:AU33)</f>
        <v>11769</v>
      </c>
    </row>
    <row r="34" ht="15.0" customHeight="1">
      <c r="A34" s="12">
        <v>2.0</v>
      </c>
      <c r="B34" s="25" t="s">
        <v>28</v>
      </c>
      <c r="C34" s="21"/>
      <c r="D34" s="22"/>
      <c r="E34" s="8">
        <v>251.0</v>
      </c>
      <c r="F34" s="8">
        <v>189.0</v>
      </c>
      <c r="G34" s="8">
        <v>178.0</v>
      </c>
      <c r="H34" s="8">
        <v>232.0</v>
      </c>
      <c r="I34" s="8">
        <v>226.0</v>
      </c>
      <c r="J34" s="8">
        <v>213.0</v>
      </c>
      <c r="K34" s="8">
        <v>228.0</v>
      </c>
      <c r="L34" s="8">
        <v>214.0</v>
      </c>
      <c r="M34" s="8">
        <v>211.0</v>
      </c>
      <c r="N34" s="8">
        <v>227.0</v>
      </c>
      <c r="O34" s="8">
        <v>209.0</v>
      </c>
      <c r="P34" s="8">
        <v>213.0</v>
      </c>
      <c r="Q34" s="8">
        <v>209.0</v>
      </c>
      <c r="R34" s="8">
        <v>209.0</v>
      </c>
      <c r="S34" s="8">
        <v>203.0</v>
      </c>
      <c r="T34" s="8">
        <v>216.0</v>
      </c>
      <c r="U34" s="8">
        <v>211.0</v>
      </c>
      <c r="V34" s="8">
        <v>213.0</v>
      </c>
      <c r="W34" s="8">
        <v>228.0</v>
      </c>
      <c r="X34" s="8">
        <v>227.0</v>
      </c>
      <c r="Y34" s="8">
        <v>217.0</v>
      </c>
      <c r="Z34" s="8">
        <v>226.0</v>
      </c>
      <c r="AA34" s="8">
        <v>226.0</v>
      </c>
      <c r="AB34" s="8">
        <v>227.0</v>
      </c>
      <c r="AC34" s="8">
        <v>219.0</v>
      </c>
      <c r="AD34" s="8">
        <v>214.0</v>
      </c>
      <c r="AE34" s="8">
        <v>221.0</v>
      </c>
      <c r="AF34" s="8">
        <v>230.0</v>
      </c>
      <c r="AG34" s="8">
        <v>206.0</v>
      </c>
      <c r="AH34" s="8">
        <v>208.0</v>
      </c>
      <c r="AI34" s="8">
        <v>215.0</v>
      </c>
      <c r="AJ34" s="8">
        <v>230.0</v>
      </c>
      <c r="AK34" s="8">
        <v>234.0</v>
      </c>
      <c r="AL34" s="8">
        <v>145.0</v>
      </c>
      <c r="AM34" s="8">
        <v>189.0</v>
      </c>
      <c r="AN34" s="8">
        <v>208.0</v>
      </c>
      <c r="AO34" s="8">
        <v>190.0</v>
      </c>
      <c r="AP34" s="8">
        <v>217.0</v>
      </c>
      <c r="AQ34" s="8">
        <v>207.0</v>
      </c>
      <c r="AR34" s="8">
        <v>172.0</v>
      </c>
      <c r="AS34" s="8">
        <v>207.0</v>
      </c>
      <c r="AT34" s="8">
        <v>213.0</v>
      </c>
      <c r="AU34" s="8">
        <v>185.0</v>
      </c>
      <c r="AV34" s="8">
        <f t="shared" si="10"/>
        <v>9113</v>
      </c>
    </row>
    <row r="35" ht="12.75" customHeight="1">
      <c r="A35" s="12">
        <v>3.0</v>
      </c>
      <c r="B35" s="25" t="s">
        <v>29</v>
      </c>
      <c r="C35" s="21"/>
      <c r="D35" s="22"/>
      <c r="E35" s="12">
        <v>0.0</v>
      </c>
      <c r="F35" s="12">
        <v>0.0</v>
      </c>
      <c r="G35" s="12">
        <v>0.0</v>
      </c>
      <c r="H35" s="12">
        <v>0.0</v>
      </c>
      <c r="I35" s="12">
        <v>0.0</v>
      </c>
      <c r="J35" s="12">
        <v>0.0</v>
      </c>
      <c r="K35" s="12">
        <v>1.0</v>
      </c>
      <c r="L35" s="12">
        <v>0.0</v>
      </c>
      <c r="M35" s="12">
        <v>0.0</v>
      </c>
      <c r="N35" s="12">
        <v>0.0</v>
      </c>
      <c r="O35" s="12">
        <v>0.0</v>
      </c>
      <c r="P35" s="12">
        <v>0.0</v>
      </c>
      <c r="Q35" s="12">
        <v>0.0</v>
      </c>
      <c r="R35" s="12">
        <v>1.0</v>
      </c>
      <c r="S35" s="12">
        <v>1.0</v>
      </c>
      <c r="T35" s="12">
        <v>0.0</v>
      </c>
      <c r="U35" s="12">
        <v>0.0</v>
      </c>
      <c r="V35" s="12">
        <v>0.0</v>
      </c>
      <c r="W35" s="12">
        <v>0.0</v>
      </c>
      <c r="X35" s="12">
        <v>0.0</v>
      </c>
      <c r="Y35" s="12">
        <v>0.0</v>
      </c>
      <c r="Z35" s="12">
        <v>0.0</v>
      </c>
      <c r="AA35" s="12">
        <v>0.0</v>
      </c>
      <c r="AB35" s="12">
        <v>0.0</v>
      </c>
      <c r="AC35" s="12">
        <v>0.0</v>
      </c>
      <c r="AD35" s="12">
        <v>0.0</v>
      </c>
      <c r="AE35" s="12">
        <v>0.0</v>
      </c>
      <c r="AF35" s="12">
        <v>0.0</v>
      </c>
      <c r="AG35" s="12">
        <v>0.0</v>
      </c>
      <c r="AH35" s="12">
        <v>0.0</v>
      </c>
      <c r="AI35" s="12">
        <v>0.0</v>
      </c>
      <c r="AJ35" s="12">
        <v>0.0</v>
      </c>
      <c r="AK35" s="12">
        <v>0.0</v>
      </c>
      <c r="AL35" s="12">
        <v>0.0</v>
      </c>
      <c r="AM35" s="12">
        <v>0.0</v>
      </c>
      <c r="AN35" s="12">
        <v>1.0</v>
      </c>
      <c r="AO35" s="12">
        <v>0.0</v>
      </c>
      <c r="AP35" s="12">
        <v>2.0</v>
      </c>
      <c r="AQ35" s="12">
        <v>0.0</v>
      </c>
      <c r="AR35" s="12">
        <v>0.0</v>
      </c>
      <c r="AS35" s="12">
        <v>0.0</v>
      </c>
      <c r="AT35" s="12">
        <v>0.0</v>
      </c>
      <c r="AU35" s="12">
        <v>0.0</v>
      </c>
      <c r="AV35" s="8">
        <f t="shared" si="10"/>
        <v>6</v>
      </c>
    </row>
    <row r="36" ht="12.75" customHeight="1">
      <c r="A36" s="12">
        <v>4.0</v>
      </c>
      <c r="B36" s="25" t="s">
        <v>30</v>
      </c>
      <c r="C36" s="21"/>
      <c r="D36" s="22"/>
      <c r="E36" s="8">
        <f t="shared" ref="E36:AU36" si="11">E33-(E34+E35)</f>
        <v>25</v>
      </c>
      <c r="F36" s="8">
        <f t="shared" si="11"/>
        <v>94</v>
      </c>
      <c r="G36" s="8">
        <f t="shared" si="11"/>
        <v>27</v>
      </c>
      <c r="H36" s="8">
        <f t="shared" si="11"/>
        <v>33</v>
      </c>
      <c r="I36" s="8">
        <f t="shared" si="11"/>
        <v>53</v>
      </c>
      <c r="J36" s="8">
        <f t="shared" si="11"/>
        <v>68</v>
      </c>
      <c r="K36" s="8">
        <f t="shared" si="11"/>
        <v>61</v>
      </c>
      <c r="L36" s="8">
        <f t="shared" si="11"/>
        <v>66</v>
      </c>
      <c r="M36" s="8">
        <f t="shared" si="11"/>
        <v>74</v>
      </c>
      <c r="N36" s="8">
        <f t="shared" si="11"/>
        <v>52</v>
      </c>
      <c r="O36" s="8">
        <f t="shared" si="11"/>
        <v>27</v>
      </c>
      <c r="P36" s="8">
        <f t="shared" si="11"/>
        <v>74</v>
      </c>
      <c r="Q36" s="8">
        <f t="shared" si="11"/>
        <v>69</v>
      </c>
      <c r="R36" s="8">
        <f t="shared" si="11"/>
        <v>68</v>
      </c>
      <c r="S36" s="8">
        <f t="shared" si="11"/>
        <v>72</v>
      </c>
      <c r="T36" s="8">
        <f t="shared" si="11"/>
        <v>67</v>
      </c>
      <c r="U36" s="8">
        <f t="shared" si="11"/>
        <v>78</v>
      </c>
      <c r="V36" s="8">
        <f t="shared" si="11"/>
        <v>60</v>
      </c>
      <c r="W36" s="8">
        <f t="shared" si="11"/>
        <v>50</v>
      </c>
      <c r="X36" s="8">
        <f t="shared" si="11"/>
        <v>57</v>
      </c>
      <c r="Y36" s="8">
        <f t="shared" si="11"/>
        <v>60</v>
      </c>
      <c r="Z36" s="8">
        <f t="shared" si="11"/>
        <v>49</v>
      </c>
      <c r="AA36" s="8">
        <f t="shared" si="11"/>
        <v>59</v>
      </c>
      <c r="AB36" s="8">
        <f t="shared" si="11"/>
        <v>50</v>
      </c>
      <c r="AC36" s="8">
        <f t="shared" si="11"/>
        <v>66</v>
      </c>
      <c r="AD36" s="8">
        <f t="shared" si="11"/>
        <v>39</v>
      </c>
      <c r="AE36" s="8">
        <f t="shared" si="11"/>
        <v>56</v>
      </c>
      <c r="AF36" s="8">
        <f t="shared" si="11"/>
        <v>60</v>
      </c>
      <c r="AG36" s="8">
        <f t="shared" si="11"/>
        <v>46</v>
      </c>
      <c r="AH36" s="8">
        <f t="shared" si="11"/>
        <v>93</v>
      </c>
      <c r="AI36" s="8">
        <f t="shared" si="11"/>
        <v>70</v>
      </c>
      <c r="AJ36" s="8">
        <f t="shared" si="11"/>
        <v>60</v>
      </c>
      <c r="AK36" s="8">
        <f t="shared" si="11"/>
        <v>36</v>
      </c>
      <c r="AL36" s="8">
        <f t="shared" si="11"/>
        <v>66</v>
      </c>
      <c r="AM36" s="8">
        <f t="shared" si="11"/>
        <v>73</v>
      </c>
      <c r="AN36" s="8">
        <f t="shared" si="11"/>
        <v>57</v>
      </c>
      <c r="AO36" s="8">
        <f t="shared" si="11"/>
        <v>79</v>
      </c>
      <c r="AP36" s="8">
        <f t="shared" si="11"/>
        <v>64</v>
      </c>
      <c r="AQ36" s="8">
        <f t="shared" si="11"/>
        <v>83</v>
      </c>
      <c r="AR36" s="8">
        <f t="shared" si="11"/>
        <v>53</v>
      </c>
      <c r="AS36" s="8">
        <f t="shared" si="11"/>
        <v>88</v>
      </c>
      <c r="AT36" s="8">
        <f t="shared" si="11"/>
        <v>78</v>
      </c>
      <c r="AU36" s="8">
        <f t="shared" si="11"/>
        <v>90</v>
      </c>
      <c r="AV36" s="8">
        <f t="shared" si="10"/>
        <v>2650</v>
      </c>
    </row>
    <row r="37" ht="12.75" customHeight="1">
      <c r="A37" s="59"/>
      <c r="B37" s="60"/>
      <c r="C37" s="60"/>
      <c r="D37" s="60"/>
      <c r="E37" s="29"/>
      <c r="F37" s="21"/>
      <c r="G37" s="21"/>
      <c r="H37" s="21"/>
      <c r="I37" s="22"/>
      <c r="J37" s="12"/>
      <c r="K37" s="12"/>
      <c r="L37" s="12"/>
      <c r="M37" s="12"/>
      <c r="N37" s="17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8"/>
    </row>
    <row r="38" ht="12.75" customHeight="1">
      <c r="A38" s="61" t="s">
        <v>31</v>
      </c>
      <c r="B38" s="20" t="s">
        <v>32</v>
      </c>
      <c r="C38" s="21"/>
      <c r="D38" s="22"/>
      <c r="E38" s="8"/>
      <c r="F38" s="8"/>
      <c r="G38" s="8"/>
      <c r="H38" s="8"/>
      <c r="I38" s="8"/>
      <c r="J38" s="8"/>
      <c r="K38" s="8"/>
      <c r="L38" s="8"/>
      <c r="M38" s="8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8"/>
    </row>
    <row r="39" ht="12.75" customHeight="1">
      <c r="A39" s="54"/>
      <c r="B39" s="62" t="s">
        <v>33</v>
      </c>
      <c r="C39" s="28"/>
      <c r="D39" s="12" t="s">
        <v>12</v>
      </c>
      <c r="E39" s="12">
        <v>1.0</v>
      </c>
      <c r="F39" s="12"/>
      <c r="G39" s="12">
        <v>1.0</v>
      </c>
      <c r="H39" s="12"/>
      <c r="I39" s="12"/>
      <c r="J39" s="12">
        <v>2.0</v>
      </c>
      <c r="K39" s="12"/>
      <c r="L39" s="12"/>
      <c r="M39" s="12">
        <v>1.0</v>
      </c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>
        <v>3.0</v>
      </c>
      <c r="Y39" s="12"/>
      <c r="Z39" s="12"/>
      <c r="AA39" s="12">
        <v>1.0</v>
      </c>
      <c r="AB39" s="12"/>
      <c r="AC39" s="12"/>
      <c r="AD39" s="12"/>
      <c r="AE39" s="12"/>
      <c r="AF39" s="12">
        <v>1.0</v>
      </c>
      <c r="AG39" s="12"/>
      <c r="AH39" s="12"/>
      <c r="AI39" s="12">
        <v>1.0</v>
      </c>
      <c r="AJ39" s="12"/>
      <c r="AK39" s="12"/>
      <c r="AL39" s="12"/>
      <c r="AM39" s="12"/>
      <c r="AN39" s="12"/>
      <c r="AO39" s="12">
        <v>1.0</v>
      </c>
      <c r="AP39" s="12"/>
      <c r="AQ39" s="12"/>
      <c r="AR39" s="12"/>
      <c r="AS39" s="12"/>
      <c r="AT39" s="12"/>
      <c r="AU39" s="12">
        <v>1.0</v>
      </c>
      <c r="AV39" s="8">
        <f t="shared" ref="AV39:AV41" si="12">SUM(E39:AU39)</f>
        <v>13</v>
      </c>
    </row>
    <row r="40" ht="12.75" customHeight="1">
      <c r="A40" s="56"/>
      <c r="C40" s="31"/>
      <c r="D40" s="12" t="s">
        <v>13</v>
      </c>
      <c r="E40" s="12">
        <v>1.0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>
        <v>2.0</v>
      </c>
      <c r="Q40" s="12"/>
      <c r="R40" s="12"/>
      <c r="S40" s="12"/>
      <c r="T40" s="12"/>
      <c r="U40" s="12">
        <v>1.0</v>
      </c>
      <c r="V40" s="12"/>
      <c r="W40" s="12"/>
      <c r="X40" s="12">
        <v>2.0</v>
      </c>
      <c r="Y40" s="12"/>
      <c r="Z40" s="12"/>
      <c r="AA40" s="12">
        <v>2.0</v>
      </c>
      <c r="AB40" s="12"/>
      <c r="AC40" s="12"/>
      <c r="AD40" s="12"/>
      <c r="AE40" s="12"/>
      <c r="AF40" s="12">
        <v>1.0</v>
      </c>
      <c r="AG40" s="12"/>
      <c r="AH40" s="12">
        <v>1.0</v>
      </c>
      <c r="AI40" s="12">
        <v>1.0</v>
      </c>
      <c r="AJ40" s="12"/>
      <c r="AK40" s="12"/>
      <c r="AL40" s="12"/>
      <c r="AM40" s="12">
        <v>1.0</v>
      </c>
      <c r="AN40" s="12"/>
      <c r="AO40" s="12"/>
      <c r="AP40" s="12"/>
      <c r="AQ40" s="12"/>
      <c r="AR40" s="12"/>
      <c r="AS40" s="12"/>
      <c r="AT40" s="12"/>
      <c r="AU40" s="12">
        <v>1.0</v>
      </c>
      <c r="AV40" s="8">
        <f t="shared" si="12"/>
        <v>13</v>
      </c>
    </row>
    <row r="41" ht="12.75" customHeight="1">
      <c r="A41" s="58"/>
      <c r="B41" s="63"/>
      <c r="C41" s="33"/>
      <c r="D41" s="8" t="s">
        <v>14</v>
      </c>
      <c r="E41" s="8">
        <f t="shared" ref="E41:AU41" si="13">SUM(E39:E40)</f>
        <v>2</v>
      </c>
      <c r="F41" s="8">
        <f t="shared" si="13"/>
        <v>0</v>
      </c>
      <c r="G41" s="8">
        <f t="shared" si="13"/>
        <v>1</v>
      </c>
      <c r="H41" s="8">
        <f t="shared" si="13"/>
        <v>0</v>
      </c>
      <c r="I41" s="8">
        <f t="shared" si="13"/>
        <v>0</v>
      </c>
      <c r="J41" s="8">
        <f t="shared" si="13"/>
        <v>2</v>
      </c>
      <c r="K41" s="8">
        <f t="shared" si="13"/>
        <v>0</v>
      </c>
      <c r="L41" s="8">
        <f t="shared" si="13"/>
        <v>0</v>
      </c>
      <c r="M41" s="8">
        <f t="shared" si="13"/>
        <v>1</v>
      </c>
      <c r="N41" s="8">
        <f t="shared" si="13"/>
        <v>0</v>
      </c>
      <c r="O41" s="8">
        <f t="shared" si="13"/>
        <v>0</v>
      </c>
      <c r="P41" s="8">
        <f t="shared" si="13"/>
        <v>2</v>
      </c>
      <c r="Q41" s="8">
        <f t="shared" si="13"/>
        <v>0</v>
      </c>
      <c r="R41" s="8">
        <f t="shared" si="13"/>
        <v>0</v>
      </c>
      <c r="S41" s="8">
        <f t="shared" si="13"/>
        <v>0</v>
      </c>
      <c r="T41" s="8">
        <f t="shared" si="13"/>
        <v>0</v>
      </c>
      <c r="U41" s="8">
        <f t="shared" si="13"/>
        <v>1</v>
      </c>
      <c r="V41" s="8">
        <f t="shared" si="13"/>
        <v>0</v>
      </c>
      <c r="W41" s="8">
        <f t="shared" si="13"/>
        <v>0</v>
      </c>
      <c r="X41" s="8">
        <f t="shared" si="13"/>
        <v>5</v>
      </c>
      <c r="Y41" s="8">
        <f t="shared" si="13"/>
        <v>0</v>
      </c>
      <c r="Z41" s="8">
        <f t="shared" si="13"/>
        <v>0</v>
      </c>
      <c r="AA41" s="8">
        <f t="shared" si="13"/>
        <v>3</v>
      </c>
      <c r="AB41" s="8">
        <f t="shared" si="13"/>
        <v>0</v>
      </c>
      <c r="AC41" s="8">
        <f t="shared" si="13"/>
        <v>0</v>
      </c>
      <c r="AD41" s="8">
        <f t="shared" si="13"/>
        <v>0</v>
      </c>
      <c r="AE41" s="8">
        <f t="shared" si="13"/>
        <v>0</v>
      </c>
      <c r="AF41" s="8">
        <f t="shared" si="13"/>
        <v>2</v>
      </c>
      <c r="AG41" s="8">
        <f t="shared" si="13"/>
        <v>0</v>
      </c>
      <c r="AH41" s="8">
        <f t="shared" si="13"/>
        <v>1</v>
      </c>
      <c r="AI41" s="8">
        <f t="shared" si="13"/>
        <v>2</v>
      </c>
      <c r="AJ41" s="8">
        <f t="shared" si="13"/>
        <v>0</v>
      </c>
      <c r="AK41" s="8">
        <f t="shared" si="13"/>
        <v>0</v>
      </c>
      <c r="AL41" s="8">
        <f t="shared" si="13"/>
        <v>0</v>
      </c>
      <c r="AM41" s="8">
        <f t="shared" si="13"/>
        <v>1</v>
      </c>
      <c r="AN41" s="8">
        <f t="shared" si="13"/>
        <v>0</v>
      </c>
      <c r="AO41" s="8">
        <f t="shared" si="13"/>
        <v>1</v>
      </c>
      <c r="AP41" s="8">
        <f t="shared" si="13"/>
        <v>0</v>
      </c>
      <c r="AQ41" s="8">
        <f t="shared" si="13"/>
        <v>0</v>
      </c>
      <c r="AR41" s="8">
        <f t="shared" si="13"/>
        <v>0</v>
      </c>
      <c r="AS41" s="8">
        <f t="shared" si="13"/>
        <v>0</v>
      </c>
      <c r="AT41" s="8">
        <f t="shared" si="13"/>
        <v>0</v>
      </c>
      <c r="AU41" s="8">
        <f t="shared" si="13"/>
        <v>2</v>
      </c>
      <c r="AV41" s="8">
        <f t="shared" si="12"/>
        <v>26</v>
      </c>
    </row>
    <row r="42" ht="12.75" customHeight="1">
      <c r="A42" s="64"/>
      <c r="B42" s="63"/>
      <c r="C42" s="63"/>
      <c r="D42" s="33"/>
      <c r="E42" s="29"/>
      <c r="F42" s="21"/>
      <c r="G42" s="21"/>
      <c r="H42" s="21"/>
      <c r="I42" s="22"/>
      <c r="J42" s="12"/>
      <c r="K42" s="12"/>
      <c r="L42" s="12"/>
      <c r="M42" s="12"/>
      <c r="N42" s="17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8"/>
    </row>
    <row r="43" ht="12.75" customHeight="1">
      <c r="A43" s="61" t="s">
        <v>34</v>
      </c>
      <c r="B43" s="20" t="s">
        <v>35</v>
      </c>
      <c r="C43" s="21"/>
      <c r="D43" s="22"/>
      <c r="E43" s="8"/>
      <c r="F43" s="8"/>
      <c r="G43" s="8"/>
      <c r="H43" s="8"/>
      <c r="I43" s="8"/>
      <c r="J43" s="8"/>
      <c r="K43" s="8"/>
      <c r="L43" s="8"/>
      <c r="M43" s="8"/>
      <c r="N43" s="8"/>
      <c r="O43" s="39"/>
      <c r="P43" s="18"/>
      <c r="Q43" s="19"/>
      <c r="R43" s="19"/>
      <c r="S43" s="19"/>
      <c r="T43" s="19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8"/>
    </row>
    <row r="44" ht="15.0" customHeight="1">
      <c r="A44" s="54"/>
      <c r="B44" s="62" t="s">
        <v>36</v>
      </c>
      <c r="C44" s="65"/>
      <c r="D44" s="28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7"/>
      <c r="P44" s="18"/>
      <c r="Q44" s="19"/>
      <c r="R44" s="19"/>
      <c r="S44" s="19"/>
      <c r="T44" s="1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8"/>
    </row>
    <row r="45" ht="15.0" customHeight="1">
      <c r="A45" s="24"/>
      <c r="B45" s="46" t="s">
        <v>17</v>
      </c>
      <c r="C45" s="66" t="s">
        <v>37</v>
      </c>
      <c r="D45" s="22"/>
      <c r="E45" s="12">
        <v>13.0</v>
      </c>
      <c r="F45" s="12">
        <v>9.0</v>
      </c>
      <c r="G45" s="12">
        <v>10.0</v>
      </c>
      <c r="H45" s="12">
        <v>13.0</v>
      </c>
      <c r="I45" s="12">
        <v>17.0</v>
      </c>
      <c r="J45" s="12">
        <v>14.0</v>
      </c>
      <c r="K45" s="12">
        <v>20.0</v>
      </c>
      <c r="L45" s="12">
        <v>16.0</v>
      </c>
      <c r="M45" s="12">
        <v>12.0</v>
      </c>
      <c r="N45" s="12">
        <v>24.0</v>
      </c>
      <c r="O45" s="12">
        <v>7.0</v>
      </c>
      <c r="P45" s="12">
        <v>5.0</v>
      </c>
      <c r="Q45" s="12">
        <v>7.0</v>
      </c>
      <c r="R45" s="12">
        <v>12.0</v>
      </c>
      <c r="S45" s="12">
        <v>7.0</v>
      </c>
      <c r="T45" s="12">
        <v>10.0</v>
      </c>
      <c r="U45" s="12">
        <v>3.0</v>
      </c>
      <c r="V45" s="12">
        <v>27.0</v>
      </c>
      <c r="W45" s="12">
        <v>13.0</v>
      </c>
      <c r="X45" s="12">
        <v>18.0</v>
      </c>
      <c r="Y45" s="12">
        <v>12.0</v>
      </c>
      <c r="Z45" s="12">
        <v>30.0</v>
      </c>
      <c r="AA45" s="12">
        <v>16.0</v>
      </c>
      <c r="AB45" s="12">
        <v>22.0</v>
      </c>
      <c r="AC45" s="12">
        <v>9.0</v>
      </c>
      <c r="AD45" s="12">
        <v>15.0</v>
      </c>
      <c r="AE45" s="12">
        <v>20.0</v>
      </c>
      <c r="AF45" s="12">
        <v>20.0</v>
      </c>
      <c r="AG45" s="12">
        <v>14.0</v>
      </c>
      <c r="AH45" s="12">
        <v>11.0</v>
      </c>
      <c r="AI45" s="12">
        <v>14.0</v>
      </c>
      <c r="AJ45" s="12">
        <v>24.0</v>
      </c>
      <c r="AK45" s="12">
        <v>30.0</v>
      </c>
      <c r="AL45" s="12">
        <v>5.0</v>
      </c>
      <c r="AM45" s="12">
        <v>7.0</v>
      </c>
      <c r="AN45" s="12">
        <v>5.0</v>
      </c>
      <c r="AO45" s="12">
        <v>6.0</v>
      </c>
      <c r="AP45" s="12">
        <v>4.0</v>
      </c>
      <c r="AQ45" s="12">
        <v>4.0</v>
      </c>
      <c r="AR45" s="12">
        <v>8.0</v>
      </c>
      <c r="AS45" s="12">
        <v>11.0</v>
      </c>
      <c r="AT45" s="12">
        <v>7.0</v>
      </c>
      <c r="AU45" s="12">
        <v>10.0</v>
      </c>
      <c r="AV45" s="8">
        <f t="shared" ref="AV45:AV57" si="14">SUM(E45:AU45)</f>
        <v>561</v>
      </c>
    </row>
    <row r="46" ht="12.75" customHeight="1">
      <c r="A46" s="24"/>
      <c r="B46" s="46" t="s">
        <v>19</v>
      </c>
      <c r="C46" s="66" t="s">
        <v>38</v>
      </c>
      <c r="D46" s="22"/>
      <c r="E46" s="12">
        <v>43.0</v>
      </c>
      <c r="F46" s="12">
        <v>34.0</v>
      </c>
      <c r="G46" s="12">
        <v>23.0</v>
      </c>
      <c r="H46" s="12">
        <v>39.0</v>
      </c>
      <c r="I46" s="12">
        <v>41.0</v>
      </c>
      <c r="J46" s="12">
        <v>29.0</v>
      </c>
      <c r="K46" s="12">
        <v>30.0</v>
      </c>
      <c r="L46" s="12">
        <v>25.0</v>
      </c>
      <c r="M46" s="12">
        <v>34.0</v>
      </c>
      <c r="N46" s="12">
        <v>37.0</v>
      </c>
      <c r="O46" s="12">
        <v>27.0</v>
      </c>
      <c r="P46" s="12">
        <v>23.0</v>
      </c>
      <c r="Q46" s="12">
        <v>34.0</v>
      </c>
      <c r="R46" s="12">
        <v>25.0</v>
      </c>
      <c r="S46" s="12">
        <v>29.0</v>
      </c>
      <c r="T46" s="12">
        <v>23.0</v>
      </c>
      <c r="U46" s="12">
        <v>30.0</v>
      </c>
      <c r="V46" s="12">
        <v>16.0</v>
      </c>
      <c r="W46" s="12">
        <v>38.0</v>
      </c>
      <c r="X46" s="12">
        <v>33.0</v>
      </c>
      <c r="Y46" s="12">
        <v>44.0</v>
      </c>
      <c r="Z46" s="12">
        <v>47.0</v>
      </c>
      <c r="AA46" s="12">
        <v>57.0</v>
      </c>
      <c r="AB46" s="12">
        <v>47.0</v>
      </c>
      <c r="AC46" s="12">
        <v>37.0</v>
      </c>
      <c r="AD46" s="12">
        <v>30.0</v>
      </c>
      <c r="AE46" s="12">
        <v>33.0</v>
      </c>
      <c r="AF46" s="12">
        <v>36.0</v>
      </c>
      <c r="AG46" s="12">
        <v>30.0</v>
      </c>
      <c r="AH46" s="12">
        <v>47.0</v>
      </c>
      <c r="AI46" s="12">
        <v>35.0</v>
      </c>
      <c r="AJ46" s="12">
        <v>36.0</v>
      </c>
      <c r="AK46" s="12">
        <v>57.0</v>
      </c>
      <c r="AL46" s="12">
        <v>25.0</v>
      </c>
      <c r="AM46" s="12">
        <v>36.0</v>
      </c>
      <c r="AN46" s="12">
        <v>30.0</v>
      </c>
      <c r="AO46" s="12">
        <v>28.0</v>
      </c>
      <c r="AP46" s="12">
        <v>30.0</v>
      </c>
      <c r="AQ46" s="12">
        <v>39.0</v>
      </c>
      <c r="AR46" s="12">
        <v>23.0</v>
      </c>
      <c r="AS46" s="12">
        <v>42.0</v>
      </c>
      <c r="AT46" s="12">
        <v>40.0</v>
      </c>
      <c r="AU46" s="12">
        <v>29.0</v>
      </c>
      <c r="AV46" s="8">
        <f t="shared" si="14"/>
        <v>1471</v>
      </c>
    </row>
    <row r="47" ht="15.0" customHeight="1">
      <c r="A47" s="24"/>
      <c r="B47" s="46" t="s">
        <v>21</v>
      </c>
      <c r="C47" s="66" t="s">
        <v>39</v>
      </c>
      <c r="D47" s="22"/>
      <c r="E47" s="12">
        <v>32.0</v>
      </c>
      <c r="F47" s="12">
        <v>10.0</v>
      </c>
      <c r="G47" s="12">
        <v>14.0</v>
      </c>
      <c r="H47" s="12">
        <v>21.0</v>
      </c>
      <c r="I47" s="12">
        <v>23.0</v>
      </c>
      <c r="J47" s="12">
        <v>12.0</v>
      </c>
      <c r="K47" s="12">
        <v>17.0</v>
      </c>
      <c r="L47" s="12">
        <v>11.0</v>
      </c>
      <c r="M47" s="12">
        <v>17.0</v>
      </c>
      <c r="N47" s="12">
        <v>14.0</v>
      </c>
      <c r="O47" s="12">
        <v>8.0</v>
      </c>
      <c r="P47" s="12">
        <v>8.0</v>
      </c>
      <c r="Q47" s="12">
        <v>18.0</v>
      </c>
      <c r="R47" s="12">
        <v>11.0</v>
      </c>
      <c r="S47" s="12">
        <v>13.0</v>
      </c>
      <c r="T47" s="12">
        <v>11.0</v>
      </c>
      <c r="U47" s="12">
        <v>10.0</v>
      </c>
      <c r="V47" s="12">
        <v>16.0</v>
      </c>
      <c r="W47" s="12">
        <v>8.0</v>
      </c>
      <c r="X47" s="12">
        <v>17.0</v>
      </c>
      <c r="Y47" s="12">
        <v>16.0</v>
      </c>
      <c r="Z47" s="12">
        <v>8.0</v>
      </c>
      <c r="AA47" s="12">
        <v>11.0</v>
      </c>
      <c r="AB47" s="12">
        <v>12.0</v>
      </c>
      <c r="AC47" s="12">
        <v>17.0</v>
      </c>
      <c r="AD47" s="12">
        <v>13.0</v>
      </c>
      <c r="AE47" s="12">
        <v>12.0</v>
      </c>
      <c r="AF47" s="12">
        <v>29.0</v>
      </c>
      <c r="AG47" s="12">
        <v>13.0</v>
      </c>
      <c r="AH47" s="12">
        <v>8.0</v>
      </c>
      <c r="AI47" s="12">
        <v>19.0</v>
      </c>
      <c r="AJ47" s="12">
        <v>25.0</v>
      </c>
      <c r="AK47" s="12">
        <v>9.0</v>
      </c>
      <c r="AL47" s="12">
        <v>12.0</v>
      </c>
      <c r="AM47" s="12">
        <v>14.0</v>
      </c>
      <c r="AN47" s="12">
        <v>11.0</v>
      </c>
      <c r="AO47" s="12">
        <v>6.0</v>
      </c>
      <c r="AP47" s="12">
        <v>9.0</v>
      </c>
      <c r="AQ47" s="12">
        <v>8.0</v>
      </c>
      <c r="AR47" s="12">
        <v>9.0</v>
      </c>
      <c r="AS47" s="12">
        <v>14.0</v>
      </c>
      <c r="AT47" s="12">
        <v>13.0</v>
      </c>
      <c r="AU47" s="12">
        <v>17.0</v>
      </c>
      <c r="AV47" s="8">
        <f t="shared" si="14"/>
        <v>596</v>
      </c>
    </row>
    <row r="48" ht="15.0" customHeight="1">
      <c r="A48" s="24"/>
      <c r="B48" s="46" t="s">
        <v>23</v>
      </c>
      <c r="C48" s="66" t="s">
        <v>40</v>
      </c>
      <c r="D48" s="22"/>
      <c r="E48" s="12">
        <v>37.0</v>
      </c>
      <c r="F48" s="12">
        <v>17.0</v>
      </c>
      <c r="G48" s="12">
        <v>11.0</v>
      </c>
      <c r="H48" s="12">
        <v>24.0</v>
      </c>
      <c r="I48" s="12">
        <v>12.0</v>
      </c>
      <c r="J48" s="12">
        <v>19.0</v>
      </c>
      <c r="K48" s="12">
        <v>17.0</v>
      </c>
      <c r="L48" s="12">
        <v>22.0</v>
      </c>
      <c r="M48" s="12">
        <v>19.0</v>
      </c>
      <c r="N48" s="12">
        <v>21.0</v>
      </c>
      <c r="O48" s="12">
        <v>11.0</v>
      </c>
      <c r="P48" s="12">
        <v>14.0</v>
      </c>
      <c r="Q48" s="12">
        <v>22.0</v>
      </c>
      <c r="R48" s="12">
        <v>17.0</v>
      </c>
      <c r="S48" s="12">
        <v>23.0</v>
      </c>
      <c r="T48" s="12">
        <v>23.0</v>
      </c>
      <c r="U48" s="12">
        <v>21.0</v>
      </c>
      <c r="V48" s="12">
        <v>21.0</v>
      </c>
      <c r="W48" s="12">
        <v>12.0</v>
      </c>
      <c r="X48" s="12">
        <v>19.0</v>
      </c>
      <c r="Y48" s="12">
        <v>26.0</v>
      </c>
      <c r="Z48" s="12">
        <v>12.0</v>
      </c>
      <c r="AA48" s="12">
        <v>16.0</v>
      </c>
      <c r="AB48" s="12">
        <v>21.0</v>
      </c>
      <c r="AC48" s="12">
        <v>16.0</v>
      </c>
      <c r="AD48" s="12">
        <v>16.0</v>
      </c>
      <c r="AE48" s="12">
        <v>17.0</v>
      </c>
      <c r="AF48" s="12">
        <v>14.0</v>
      </c>
      <c r="AG48" s="12">
        <v>16.0</v>
      </c>
      <c r="AH48" s="12">
        <v>13.0</v>
      </c>
      <c r="AI48" s="12">
        <v>24.0</v>
      </c>
      <c r="AJ48" s="12">
        <v>22.0</v>
      </c>
      <c r="AK48" s="12">
        <v>31.0</v>
      </c>
      <c r="AL48" s="12">
        <v>15.0</v>
      </c>
      <c r="AM48" s="12">
        <v>15.0</v>
      </c>
      <c r="AN48" s="12">
        <v>16.0</v>
      </c>
      <c r="AO48" s="12">
        <v>13.0</v>
      </c>
      <c r="AP48" s="12">
        <v>15.0</v>
      </c>
      <c r="AQ48" s="12">
        <v>23.0</v>
      </c>
      <c r="AR48" s="12">
        <v>16.0</v>
      </c>
      <c r="AS48" s="12">
        <v>10.0</v>
      </c>
      <c r="AT48" s="12">
        <v>21.0</v>
      </c>
      <c r="AU48" s="12">
        <v>15.0</v>
      </c>
      <c r="AV48" s="8">
        <f t="shared" si="14"/>
        <v>785</v>
      </c>
    </row>
    <row r="49" ht="12.75" customHeight="1">
      <c r="A49" s="24"/>
      <c r="B49" s="46" t="s">
        <v>41</v>
      </c>
      <c r="C49" s="66" t="s">
        <v>42</v>
      </c>
      <c r="D49" s="22"/>
      <c r="E49" s="12">
        <v>20.0</v>
      </c>
      <c r="F49" s="12">
        <v>19.0</v>
      </c>
      <c r="G49" s="12">
        <v>27.0</v>
      </c>
      <c r="H49" s="12">
        <v>22.0</v>
      </c>
      <c r="I49" s="12">
        <v>26.0</v>
      </c>
      <c r="J49" s="12">
        <v>22.0</v>
      </c>
      <c r="K49" s="12">
        <v>15.0</v>
      </c>
      <c r="L49" s="12">
        <v>20.0</v>
      </c>
      <c r="M49" s="12">
        <v>17.0</v>
      </c>
      <c r="N49" s="12">
        <v>18.0</v>
      </c>
      <c r="O49" s="12">
        <v>28.0</v>
      </c>
      <c r="P49" s="12">
        <v>27.0</v>
      </c>
      <c r="Q49" s="12">
        <v>26.0</v>
      </c>
      <c r="R49" s="12">
        <v>17.0</v>
      </c>
      <c r="S49" s="12">
        <v>19.0</v>
      </c>
      <c r="T49" s="12">
        <v>24.0</v>
      </c>
      <c r="U49" s="12">
        <v>18.0</v>
      </c>
      <c r="V49" s="12">
        <v>23.0</v>
      </c>
      <c r="W49" s="12">
        <v>31.0</v>
      </c>
      <c r="X49" s="12">
        <v>18.0</v>
      </c>
      <c r="Y49" s="12">
        <v>16.0</v>
      </c>
      <c r="Z49" s="12">
        <v>23.0</v>
      </c>
      <c r="AA49" s="12">
        <v>32.0</v>
      </c>
      <c r="AB49" s="12">
        <v>29.0</v>
      </c>
      <c r="AC49" s="12">
        <v>21.0</v>
      </c>
      <c r="AD49" s="12">
        <v>28.0</v>
      </c>
      <c r="AE49" s="12">
        <v>17.0</v>
      </c>
      <c r="AF49" s="12">
        <v>17.0</v>
      </c>
      <c r="AG49" s="12">
        <v>27.0</v>
      </c>
      <c r="AH49" s="12">
        <v>17.0</v>
      </c>
      <c r="AI49" s="12">
        <v>27.0</v>
      </c>
      <c r="AJ49" s="12">
        <v>17.0</v>
      </c>
      <c r="AK49" s="12">
        <v>17.0</v>
      </c>
      <c r="AL49" s="12">
        <v>15.0</v>
      </c>
      <c r="AM49" s="12">
        <v>29.0</v>
      </c>
      <c r="AN49" s="12">
        <v>26.0</v>
      </c>
      <c r="AO49" s="12">
        <v>25.0</v>
      </c>
      <c r="AP49" s="12">
        <v>30.0</v>
      </c>
      <c r="AQ49" s="12">
        <v>19.0</v>
      </c>
      <c r="AR49" s="12">
        <v>24.0</v>
      </c>
      <c r="AS49" s="12">
        <v>21.0</v>
      </c>
      <c r="AT49" s="12">
        <v>27.0</v>
      </c>
      <c r="AU49" s="12">
        <v>20.0</v>
      </c>
      <c r="AV49" s="8">
        <f t="shared" si="14"/>
        <v>961</v>
      </c>
    </row>
    <row r="50" ht="15.0" customHeight="1">
      <c r="A50" s="24"/>
      <c r="B50" s="46" t="s">
        <v>43</v>
      </c>
      <c r="C50" s="66" t="s">
        <v>44</v>
      </c>
      <c r="D50" s="22"/>
      <c r="E50" s="12">
        <v>13.0</v>
      </c>
      <c r="F50" s="12">
        <v>10.0</v>
      </c>
      <c r="G50" s="12">
        <v>9.0</v>
      </c>
      <c r="H50" s="12">
        <v>7.0</v>
      </c>
      <c r="I50" s="12">
        <v>15.0</v>
      </c>
      <c r="J50" s="12">
        <v>11.0</v>
      </c>
      <c r="K50" s="12">
        <v>20.0</v>
      </c>
      <c r="L50" s="12">
        <v>8.0</v>
      </c>
      <c r="M50" s="12">
        <v>10.0</v>
      </c>
      <c r="N50" s="12">
        <v>11.0</v>
      </c>
      <c r="O50" s="12">
        <v>12.0</v>
      </c>
      <c r="P50" s="12">
        <v>12.0</v>
      </c>
      <c r="Q50" s="12">
        <v>8.0</v>
      </c>
      <c r="R50" s="12">
        <v>17.0</v>
      </c>
      <c r="S50" s="12">
        <v>10.0</v>
      </c>
      <c r="T50" s="12">
        <v>5.0</v>
      </c>
      <c r="U50" s="12">
        <v>17.0</v>
      </c>
      <c r="V50" s="12">
        <v>13.0</v>
      </c>
      <c r="W50" s="12">
        <v>21.0</v>
      </c>
      <c r="X50" s="12">
        <v>18.0</v>
      </c>
      <c r="Y50" s="12">
        <v>9.0</v>
      </c>
      <c r="Z50" s="12">
        <v>22.0</v>
      </c>
      <c r="AA50" s="12">
        <v>17.0</v>
      </c>
      <c r="AB50" s="12">
        <v>14.0</v>
      </c>
      <c r="AC50" s="12">
        <v>27.0</v>
      </c>
      <c r="AD50" s="12">
        <v>16.0</v>
      </c>
      <c r="AE50" s="12">
        <v>23.0</v>
      </c>
      <c r="AF50" s="12">
        <v>14.0</v>
      </c>
      <c r="AG50" s="12">
        <v>17.0</v>
      </c>
      <c r="AH50" s="12">
        <v>21.0</v>
      </c>
      <c r="AI50" s="12">
        <v>14.0</v>
      </c>
      <c r="AJ50" s="12">
        <v>21.0</v>
      </c>
      <c r="AK50" s="12">
        <v>10.0</v>
      </c>
      <c r="AL50" s="12">
        <v>8.0</v>
      </c>
      <c r="AM50" s="12">
        <v>8.0</v>
      </c>
      <c r="AN50" s="12">
        <v>16.0</v>
      </c>
      <c r="AO50" s="12">
        <v>7.0</v>
      </c>
      <c r="AP50" s="12">
        <v>13.0</v>
      </c>
      <c r="AQ50" s="12">
        <v>13.0</v>
      </c>
      <c r="AR50" s="12">
        <v>10.0</v>
      </c>
      <c r="AS50" s="12">
        <v>9.0</v>
      </c>
      <c r="AT50" s="12">
        <v>11.0</v>
      </c>
      <c r="AU50" s="12">
        <v>13.0</v>
      </c>
      <c r="AV50" s="8">
        <f t="shared" si="14"/>
        <v>580</v>
      </c>
    </row>
    <row r="51" ht="15.0" customHeight="1">
      <c r="A51" s="24"/>
      <c r="B51" s="46" t="s">
        <v>45</v>
      </c>
      <c r="C51" s="66" t="s">
        <v>46</v>
      </c>
      <c r="D51" s="22"/>
      <c r="E51" s="12">
        <v>1.0</v>
      </c>
      <c r="F51" s="12">
        <v>0.0</v>
      </c>
      <c r="G51" s="12">
        <v>2.0</v>
      </c>
      <c r="H51" s="12">
        <v>3.0</v>
      </c>
      <c r="I51" s="12">
        <v>2.0</v>
      </c>
      <c r="J51" s="12">
        <v>2.0</v>
      </c>
      <c r="K51" s="12">
        <v>2.0</v>
      </c>
      <c r="L51" s="12">
        <v>1.0</v>
      </c>
      <c r="M51" s="12">
        <v>3.0</v>
      </c>
      <c r="N51" s="12">
        <v>0.0</v>
      </c>
      <c r="O51" s="12">
        <v>4.0</v>
      </c>
      <c r="P51" s="12">
        <v>5.0</v>
      </c>
      <c r="Q51" s="12">
        <v>4.0</v>
      </c>
      <c r="R51" s="12">
        <v>3.0</v>
      </c>
      <c r="S51" s="12">
        <v>3.0</v>
      </c>
      <c r="T51" s="12">
        <v>2.0</v>
      </c>
      <c r="U51" s="12">
        <v>5.0</v>
      </c>
      <c r="V51" s="12">
        <v>1.0</v>
      </c>
      <c r="W51" s="12">
        <v>2.0</v>
      </c>
      <c r="X51" s="12">
        <v>2.0</v>
      </c>
      <c r="Y51" s="12">
        <v>2.0</v>
      </c>
      <c r="Z51" s="12">
        <v>4.0</v>
      </c>
      <c r="AA51" s="12">
        <v>3.0</v>
      </c>
      <c r="AB51" s="12">
        <v>0.0</v>
      </c>
      <c r="AC51" s="12">
        <v>4.0</v>
      </c>
      <c r="AD51" s="12">
        <v>1.0</v>
      </c>
      <c r="AE51" s="12">
        <v>2.0</v>
      </c>
      <c r="AF51" s="12">
        <v>0.0</v>
      </c>
      <c r="AG51" s="12">
        <v>0.0</v>
      </c>
      <c r="AH51" s="12">
        <v>2.0</v>
      </c>
      <c r="AI51" s="12">
        <v>3.0</v>
      </c>
      <c r="AJ51" s="12">
        <v>1.0</v>
      </c>
      <c r="AK51" s="12">
        <v>0.0</v>
      </c>
      <c r="AL51" s="12">
        <v>2.0</v>
      </c>
      <c r="AM51" s="12">
        <v>0.0</v>
      </c>
      <c r="AN51" s="12">
        <v>5.0</v>
      </c>
      <c r="AO51" s="12">
        <v>4.0</v>
      </c>
      <c r="AP51" s="12">
        <v>4.0</v>
      </c>
      <c r="AQ51" s="12">
        <v>2.0</v>
      </c>
      <c r="AR51" s="12">
        <v>0.0</v>
      </c>
      <c r="AS51" s="12">
        <v>4.0</v>
      </c>
      <c r="AT51" s="12">
        <v>1.0</v>
      </c>
      <c r="AU51" s="12">
        <v>1.0</v>
      </c>
      <c r="AV51" s="8">
        <f t="shared" si="14"/>
        <v>92</v>
      </c>
    </row>
    <row r="52" ht="12.75" customHeight="1">
      <c r="A52" s="24"/>
      <c r="B52" s="46" t="s">
        <v>47</v>
      </c>
      <c r="C52" s="66" t="s">
        <v>48</v>
      </c>
      <c r="D52" s="22"/>
      <c r="E52" s="12">
        <v>5.0</v>
      </c>
      <c r="F52" s="12">
        <v>3.0</v>
      </c>
      <c r="G52" s="12">
        <v>4.0</v>
      </c>
      <c r="H52" s="12">
        <v>2.0</v>
      </c>
      <c r="I52" s="12">
        <v>5.0</v>
      </c>
      <c r="J52" s="12">
        <v>3.0</v>
      </c>
      <c r="K52" s="12">
        <v>3.0</v>
      </c>
      <c r="L52" s="12">
        <v>4.0</v>
      </c>
      <c r="M52" s="12">
        <v>2.0</v>
      </c>
      <c r="N52" s="12">
        <v>4.0</v>
      </c>
      <c r="O52" s="12">
        <v>9.0</v>
      </c>
      <c r="P52" s="12">
        <v>9.0</v>
      </c>
      <c r="Q52" s="12">
        <v>2.0</v>
      </c>
      <c r="R52" s="12">
        <v>9.0</v>
      </c>
      <c r="S52" s="12">
        <v>3.0</v>
      </c>
      <c r="T52" s="12">
        <v>5.0</v>
      </c>
      <c r="U52" s="12">
        <v>4.0</v>
      </c>
      <c r="V52" s="12">
        <v>3.0</v>
      </c>
      <c r="W52" s="12">
        <v>6.0</v>
      </c>
      <c r="X52" s="12">
        <v>9.0</v>
      </c>
      <c r="Y52" s="12">
        <v>3.0</v>
      </c>
      <c r="Z52" s="12">
        <v>5.0</v>
      </c>
      <c r="AA52" s="12">
        <v>3.0</v>
      </c>
      <c r="AB52" s="12">
        <v>7.0</v>
      </c>
      <c r="AC52" s="12">
        <v>4.0</v>
      </c>
      <c r="AD52" s="12">
        <v>7.0</v>
      </c>
      <c r="AE52" s="12">
        <v>7.0</v>
      </c>
      <c r="AF52" s="12">
        <v>5.0</v>
      </c>
      <c r="AG52" s="12">
        <v>2.0</v>
      </c>
      <c r="AH52" s="12">
        <v>3.0</v>
      </c>
      <c r="AI52" s="12">
        <v>8.0</v>
      </c>
      <c r="AJ52" s="12">
        <v>6.0</v>
      </c>
      <c r="AK52" s="12">
        <v>3.0</v>
      </c>
      <c r="AL52" s="12">
        <v>4.0</v>
      </c>
      <c r="AM52" s="12">
        <v>7.0</v>
      </c>
      <c r="AN52" s="12">
        <v>7.0</v>
      </c>
      <c r="AO52" s="12">
        <v>5.0</v>
      </c>
      <c r="AP52" s="12">
        <v>5.0</v>
      </c>
      <c r="AQ52" s="12">
        <v>6.0</v>
      </c>
      <c r="AR52" s="12">
        <v>4.0</v>
      </c>
      <c r="AS52" s="12">
        <v>5.0</v>
      </c>
      <c r="AT52" s="12">
        <v>3.0</v>
      </c>
      <c r="AU52" s="12">
        <v>4.0</v>
      </c>
      <c r="AV52" s="8">
        <f t="shared" si="14"/>
        <v>207</v>
      </c>
    </row>
    <row r="53" ht="12.75" customHeight="1">
      <c r="A53" s="24"/>
      <c r="B53" s="46" t="s">
        <v>49</v>
      </c>
      <c r="C53" s="66" t="s">
        <v>50</v>
      </c>
      <c r="D53" s="22"/>
      <c r="E53" s="12">
        <v>0.0</v>
      </c>
      <c r="F53" s="12">
        <v>1.0</v>
      </c>
      <c r="G53" s="12">
        <v>0.0</v>
      </c>
      <c r="H53" s="12">
        <v>1.0</v>
      </c>
      <c r="I53" s="12">
        <v>0.0</v>
      </c>
      <c r="J53" s="12">
        <v>1.0</v>
      </c>
      <c r="K53" s="12">
        <v>0.0</v>
      </c>
      <c r="L53" s="12">
        <v>2.0</v>
      </c>
      <c r="M53" s="12">
        <v>1.0</v>
      </c>
      <c r="N53" s="12">
        <v>3.0</v>
      </c>
      <c r="O53" s="12">
        <v>2.0</v>
      </c>
      <c r="P53" s="12">
        <v>2.0</v>
      </c>
      <c r="Q53" s="12">
        <v>2.0</v>
      </c>
      <c r="R53" s="12">
        <v>0.0</v>
      </c>
      <c r="S53" s="12">
        <v>1.0</v>
      </c>
      <c r="T53" s="12">
        <v>0.0</v>
      </c>
      <c r="U53" s="12">
        <v>2.0</v>
      </c>
      <c r="V53" s="12">
        <v>1.0</v>
      </c>
      <c r="W53" s="12">
        <v>1.0</v>
      </c>
      <c r="X53" s="12">
        <v>0.0</v>
      </c>
      <c r="Y53" s="12">
        <v>0.0</v>
      </c>
      <c r="Z53" s="12">
        <v>1.0</v>
      </c>
      <c r="AA53" s="12">
        <v>1.0</v>
      </c>
      <c r="AB53" s="12">
        <v>1.0</v>
      </c>
      <c r="AC53" s="12">
        <v>0.0</v>
      </c>
      <c r="AD53" s="12">
        <v>1.0</v>
      </c>
      <c r="AE53" s="12">
        <v>0.0</v>
      </c>
      <c r="AF53" s="12">
        <v>0.0</v>
      </c>
      <c r="AG53" s="12">
        <v>3.0</v>
      </c>
      <c r="AH53" s="12">
        <v>0.0</v>
      </c>
      <c r="AI53" s="12">
        <v>1.0</v>
      </c>
      <c r="AJ53" s="12">
        <v>2.0</v>
      </c>
      <c r="AK53" s="12">
        <v>0.0</v>
      </c>
      <c r="AL53" s="12">
        <v>1.0</v>
      </c>
      <c r="AM53" s="12">
        <v>1.0</v>
      </c>
      <c r="AN53" s="12">
        <v>7.0</v>
      </c>
      <c r="AO53" s="12">
        <v>2.0</v>
      </c>
      <c r="AP53" s="12">
        <v>3.0</v>
      </c>
      <c r="AQ53" s="12">
        <v>3.0</v>
      </c>
      <c r="AR53" s="12">
        <v>1.0</v>
      </c>
      <c r="AS53" s="12">
        <v>1.0</v>
      </c>
      <c r="AT53" s="12">
        <v>3.0</v>
      </c>
      <c r="AU53" s="12">
        <v>1.0</v>
      </c>
      <c r="AV53" s="8">
        <f t="shared" si="14"/>
        <v>53</v>
      </c>
    </row>
    <row r="54" ht="12.75" customHeight="1">
      <c r="A54" s="24"/>
      <c r="B54" s="46" t="s">
        <v>51</v>
      </c>
      <c r="C54" s="66" t="s">
        <v>52</v>
      </c>
      <c r="D54" s="22"/>
      <c r="E54" s="12">
        <v>32.0</v>
      </c>
      <c r="F54" s="12">
        <v>24.0</v>
      </c>
      <c r="G54" s="12">
        <v>34.0</v>
      </c>
      <c r="H54" s="12">
        <v>29.0</v>
      </c>
      <c r="I54" s="12">
        <v>38.0</v>
      </c>
      <c r="J54" s="12">
        <v>27.0</v>
      </c>
      <c r="K54" s="12">
        <v>32.0</v>
      </c>
      <c r="L54" s="12">
        <v>24.0</v>
      </c>
      <c r="M54" s="12">
        <v>27.0</v>
      </c>
      <c r="N54" s="12">
        <v>26.0</v>
      </c>
      <c r="O54" s="12">
        <v>40.0</v>
      </c>
      <c r="P54" s="12">
        <v>41.0</v>
      </c>
      <c r="Q54" s="12">
        <v>30.0</v>
      </c>
      <c r="R54" s="12">
        <v>29.0</v>
      </c>
      <c r="S54" s="12">
        <v>31.0</v>
      </c>
      <c r="T54" s="12">
        <v>29.0</v>
      </c>
      <c r="U54" s="12">
        <v>31.0</v>
      </c>
      <c r="V54" s="12">
        <v>30.0</v>
      </c>
      <c r="W54" s="12">
        <v>20.0</v>
      </c>
      <c r="X54" s="12">
        <v>25.0</v>
      </c>
      <c r="Y54" s="12">
        <v>29.0</v>
      </c>
      <c r="Z54" s="12">
        <v>25.0</v>
      </c>
      <c r="AA54" s="12">
        <v>20.0</v>
      </c>
      <c r="AB54" s="12">
        <v>27.0</v>
      </c>
      <c r="AC54" s="12">
        <v>21.0</v>
      </c>
      <c r="AD54" s="12">
        <v>24.0</v>
      </c>
      <c r="AE54" s="12">
        <v>27.0</v>
      </c>
      <c r="AF54" s="12">
        <v>22.0</v>
      </c>
      <c r="AG54" s="12">
        <v>26.0</v>
      </c>
      <c r="AH54" s="12">
        <v>29.0</v>
      </c>
      <c r="AI54" s="12">
        <v>26.0</v>
      </c>
      <c r="AJ54" s="12">
        <v>25.0</v>
      </c>
      <c r="AK54" s="12">
        <v>21.0</v>
      </c>
      <c r="AL54" s="12">
        <v>19.0</v>
      </c>
      <c r="AM54" s="12">
        <v>26.0</v>
      </c>
      <c r="AN54" s="12">
        <v>34.0</v>
      </c>
      <c r="AO54" s="12">
        <v>25.0</v>
      </c>
      <c r="AP54" s="12">
        <v>38.0</v>
      </c>
      <c r="AQ54" s="12">
        <v>27.0</v>
      </c>
      <c r="AR54" s="12">
        <v>27.0</v>
      </c>
      <c r="AS54" s="12">
        <v>23.0</v>
      </c>
      <c r="AT54" s="12">
        <v>29.0</v>
      </c>
      <c r="AU54" s="12">
        <v>22.0</v>
      </c>
      <c r="AV54" s="8">
        <f t="shared" si="14"/>
        <v>1191</v>
      </c>
    </row>
    <row r="55" ht="12.75" customHeight="1">
      <c r="A55" s="24"/>
      <c r="B55" s="46" t="s">
        <v>53</v>
      </c>
      <c r="C55" s="66" t="s">
        <v>54</v>
      </c>
      <c r="D55" s="22"/>
      <c r="E55" s="12">
        <v>1.0</v>
      </c>
      <c r="F55" s="12">
        <v>2.0</v>
      </c>
      <c r="G55" s="12">
        <v>0.0</v>
      </c>
      <c r="H55" s="12">
        <v>0.0</v>
      </c>
      <c r="I55" s="12">
        <v>1.0</v>
      </c>
      <c r="J55" s="12">
        <v>7.0</v>
      </c>
      <c r="K55" s="12">
        <v>0.0</v>
      </c>
      <c r="L55" s="12">
        <v>2.0</v>
      </c>
      <c r="M55" s="12">
        <v>4.0</v>
      </c>
      <c r="N55" s="12">
        <v>0.0</v>
      </c>
      <c r="O55" s="12">
        <v>4.0</v>
      </c>
      <c r="P55" s="12">
        <v>2.0</v>
      </c>
      <c r="Q55" s="12">
        <v>1.0</v>
      </c>
      <c r="R55" s="12">
        <v>0.0</v>
      </c>
      <c r="S55" s="12">
        <v>4.0</v>
      </c>
      <c r="T55" s="12">
        <v>1.0</v>
      </c>
      <c r="U55" s="12">
        <v>3.0</v>
      </c>
      <c r="V55" s="12">
        <v>2.0</v>
      </c>
      <c r="W55" s="12">
        <v>2.0</v>
      </c>
      <c r="X55" s="12">
        <v>0.0</v>
      </c>
      <c r="Y55" s="12">
        <v>0.0</v>
      </c>
      <c r="Z55" s="12">
        <v>2.0</v>
      </c>
      <c r="AA55" s="12">
        <v>0.0</v>
      </c>
      <c r="AB55" s="12">
        <v>0.0</v>
      </c>
      <c r="AC55" s="12">
        <v>0.0</v>
      </c>
      <c r="AD55" s="12">
        <v>0.0</v>
      </c>
      <c r="AE55" s="12">
        <v>0.0</v>
      </c>
      <c r="AF55" s="12">
        <v>1.0</v>
      </c>
      <c r="AG55" s="12">
        <v>2.0</v>
      </c>
      <c r="AH55" s="12">
        <v>1.0</v>
      </c>
      <c r="AI55" s="12">
        <v>5.0</v>
      </c>
      <c r="AJ55" s="12">
        <v>1.0</v>
      </c>
      <c r="AK55" s="12">
        <v>2.0</v>
      </c>
      <c r="AL55" s="12">
        <v>3.0</v>
      </c>
      <c r="AM55" s="12">
        <v>2.0</v>
      </c>
      <c r="AN55" s="12">
        <v>4.0</v>
      </c>
      <c r="AO55" s="12">
        <v>1.0</v>
      </c>
      <c r="AP55" s="12">
        <v>3.0</v>
      </c>
      <c r="AQ55" s="12">
        <v>3.0</v>
      </c>
      <c r="AR55" s="12">
        <v>3.0</v>
      </c>
      <c r="AS55" s="12">
        <v>3.0</v>
      </c>
      <c r="AT55" s="12">
        <v>3.0</v>
      </c>
      <c r="AU55" s="12">
        <v>3.0</v>
      </c>
      <c r="AV55" s="8">
        <f t="shared" si="14"/>
        <v>78</v>
      </c>
    </row>
    <row r="56" ht="12.75" customHeight="1">
      <c r="A56" s="24"/>
      <c r="B56" s="46" t="s">
        <v>55</v>
      </c>
      <c r="C56" s="66" t="s">
        <v>56</v>
      </c>
      <c r="D56" s="22"/>
      <c r="E56" s="12">
        <v>32.0</v>
      </c>
      <c r="F56" s="12">
        <v>17.0</v>
      </c>
      <c r="G56" s="12">
        <v>11.0</v>
      </c>
      <c r="H56" s="12">
        <v>43.0</v>
      </c>
      <c r="I56" s="12">
        <v>16.0</v>
      </c>
      <c r="J56" s="12">
        <v>24.0</v>
      </c>
      <c r="K56" s="12">
        <v>27.0</v>
      </c>
      <c r="L56" s="12">
        <v>30.0</v>
      </c>
      <c r="M56" s="12">
        <v>22.0</v>
      </c>
      <c r="N56" s="12">
        <v>24.0</v>
      </c>
      <c r="O56" s="12">
        <v>19.0</v>
      </c>
      <c r="P56" s="12">
        <v>11.0</v>
      </c>
      <c r="Q56" s="12">
        <v>25.0</v>
      </c>
      <c r="R56" s="12">
        <v>13.0</v>
      </c>
      <c r="S56" s="12">
        <v>24.0</v>
      </c>
      <c r="T56" s="12">
        <v>26.0</v>
      </c>
      <c r="U56" s="12">
        <v>20.0</v>
      </c>
      <c r="V56" s="12">
        <v>22.0</v>
      </c>
      <c r="W56" s="12">
        <v>32.0</v>
      </c>
      <c r="X56" s="12">
        <v>22.0</v>
      </c>
      <c r="Y56" s="12">
        <v>20.0</v>
      </c>
      <c r="Z56" s="12">
        <v>19.0</v>
      </c>
      <c r="AA56" s="12">
        <v>13.0</v>
      </c>
      <c r="AB56" s="12">
        <v>13.0</v>
      </c>
      <c r="AC56" s="12">
        <v>24.0</v>
      </c>
      <c r="AD56" s="12">
        <v>22.0</v>
      </c>
      <c r="AE56" s="12">
        <v>20.0</v>
      </c>
      <c r="AF56" s="12">
        <v>26.0</v>
      </c>
      <c r="AG56" s="12">
        <v>27.0</v>
      </c>
      <c r="AH56" s="12">
        <v>14.0</v>
      </c>
      <c r="AI56" s="12">
        <v>20.0</v>
      </c>
      <c r="AJ56" s="12">
        <v>26.0</v>
      </c>
      <c r="AK56" s="12">
        <v>15.0</v>
      </c>
      <c r="AL56" s="12">
        <v>13.0</v>
      </c>
      <c r="AM56" s="12">
        <v>14.0</v>
      </c>
      <c r="AN56" s="12">
        <v>21.0</v>
      </c>
      <c r="AO56" s="12">
        <v>16.0</v>
      </c>
      <c r="AP56" s="12">
        <v>14.0</v>
      </c>
      <c r="AQ56" s="12">
        <v>22.0</v>
      </c>
      <c r="AR56" s="12">
        <v>18.0</v>
      </c>
      <c r="AS56" s="12">
        <v>25.0</v>
      </c>
      <c r="AT56" s="12">
        <v>18.0</v>
      </c>
      <c r="AU56" s="12">
        <v>22.0</v>
      </c>
      <c r="AV56" s="8">
        <f t="shared" si="14"/>
        <v>902</v>
      </c>
    </row>
    <row r="57" ht="12.75" customHeight="1">
      <c r="A57" s="64"/>
      <c r="B57" s="46" t="s">
        <v>57</v>
      </c>
      <c r="C57" s="66" t="s">
        <v>58</v>
      </c>
      <c r="D57" s="22"/>
      <c r="E57" s="12">
        <v>1.0</v>
      </c>
      <c r="F57" s="12">
        <v>1.0</v>
      </c>
      <c r="G57" s="12">
        <v>3.0</v>
      </c>
      <c r="H57" s="12">
        <v>1.0</v>
      </c>
      <c r="I57" s="12">
        <v>3.0</v>
      </c>
      <c r="J57" s="12">
        <v>4.0</v>
      </c>
      <c r="K57" s="12">
        <v>2.0</v>
      </c>
      <c r="L57" s="12">
        <v>1.0</v>
      </c>
      <c r="M57" s="12">
        <v>4.0</v>
      </c>
      <c r="N57" s="12">
        <v>1.0</v>
      </c>
      <c r="O57" s="12">
        <v>7.0</v>
      </c>
      <c r="P57" s="12">
        <v>4.0</v>
      </c>
      <c r="Q57" s="12">
        <v>4.0</v>
      </c>
      <c r="R57" s="12">
        <v>6.0</v>
      </c>
      <c r="S57" s="12">
        <v>0.0</v>
      </c>
      <c r="T57" s="12">
        <v>0.0</v>
      </c>
      <c r="U57" s="12">
        <v>2.0</v>
      </c>
      <c r="V57" s="12">
        <v>3.0</v>
      </c>
      <c r="W57" s="12">
        <v>3.0</v>
      </c>
      <c r="X57" s="12">
        <v>3.0</v>
      </c>
      <c r="Y57" s="12">
        <v>1.0</v>
      </c>
      <c r="Z57" s="12">
        <v>3.0</v>
      </c>
      <c r="AA57" s="12">
        <v>3.0</v>
      </c>
      <c r="AB57" s="12">
        <v>0.0</v>
      </c>
      <c r="AC57" s="12">
        <v>1.0</v>
      </c>
      <c r="AD57" s="12">
        <v>3.0</v>
      </c>
      <c r="AE57" s="12">
        <v>2.0</v>
      </c>
      <c r="AF57" s="12">
        <v>2.0</v>
      </c>
      <c r="AG57" s="12">
        <v>3.0</v>
      </c>
      <c r="AH57" s="12">
        <v>2.0</v>
      </c>
      <c r="AI57" s="12">
        <v>2.0</v>
      </c>
      <c r="AJ57" s="12">
        <v>3.0</v>
      </c>
      <c r="AK57" s="12">
        <v>0.0</v>
      </c>
      <c r="AL57" s="12">
        <v>0.0</v>
      </c>
      <c r="AM57" s="12">
        <v>3.0</v>
      </c>
      <c r="AN57" s="12">
        <v>2.0</v>
      </c>
      <c r="AO57" s="12">
        <v>7.0</v>
      </c>
      <c r="AP57" s="12">
        <v>3.0</v>
      </c>
      <c r="AQ57" s="12">
        <v>6.0</v>
      </c>
      <c r="AR57" s="12">
        <v>4.0</v>
      </c>
      <c r="AS57" s="12">
        <v>2.0</v>
      </c>
      <c r="AT57" s="12">
        <v>2.0</v>
      </c>
      <c r="AU57" s="12">
        <v>4.0</v>
      </c>
      <c r="AV57" s="8">
        <f t="shared" si="14"/>
        <v>111</v>
      </c>
    </row>
    <row r="58" ht="12.75" customHeight="1">
      <c r="A58" s="29"/>
      <c r="B58" s="21"/>
      <c r="C58" s="21"/>
      <c r="D58" s="22"/>
      <c r="E58" s="12"/>
      <c r="F58" s="12"/>
      <c r="G58" s="12"/>
      <c r="H58" s="12"/>
      <c r="I58" s="12"/>
      <c r="J58" s="12"/>
      <c r="K58" s="12"/>
      <c r="L58" s="12"/>
      <c r="M58" s="12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8"/>
    </row>
    <row r="59" ht="12.75" customHeight="1">
      <c r="A59" s="61" t="s">
        <v>59</v>
      </c>
      <c r="B59" s="20" t="s">
        <v>60</v>
      </c>
      <c r="C59" s="21"/>
      <c r="D59" s="22"/>
      <c r="E59" s="8"/>
      <c r="F59" s="8"/>
      <c r="G59" s="8"/>
      <c r="H59" s="8"/>
      <c r="I59" s="8"/>
      <c r="J59" s="8"/>
      <c r="K59" s="8"/>
      <c r="L59" s="8"/>
      <c r="M59" s="8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8"/>
    </row>
    <row r="60" ht="12.75" customHeight="1">
      <c r="A60" s="61"/>
      <c r="B60" s="69" t="s">
        <v>61</v>
      </c>
      <c r="C60" s="50" t="s">
        <v>62</v>
      </c>
      <c r="D60" s="22"/>
      <c r="E60" s="12">
        <f t="shared" ref="E60:AU60" si="15">SUM(E45:E57)</f>
        <v>230</v>
      </c>
      <c r="F60" s="12">
        <f t="shared" si="15"/>
        <v>147</v>
      </c>
      <c r="G60" s="12">
        <f t="shared" si="15"/>
        <v>148</v>
      </c>
      <c r="H60" s="12">
        <f t="shared" si="15"/>
        <v>205</v>
      </c>
      <c r="I60" s="12">
        <f t="shared" si="15"/>
        <v>199</v>
      </c>
      <c r="J60" s="12">
        <f t="shared" si="15"/>
        <v>175</v>
      </c>
      <c r="K60" s="12">
        <f t="shared" si="15"/>
        <v>185</v>
      </c>
      <c r="L60" s="12">
        <f t="shared" si="15"/>
        <v>166</v>
      </c>
      <c r="M60" s="12">
        <f t="shared" si="15"/>
        <v>172</v>
      </c>
      <c r="N60" s="12">
        <f t="shared" si="15"/>
        <v>183</v>
      </c>
      <c r="O60" s="12">
        <f t="shared" si="15"/>
        <v>178</v>
      </c>
      <c r="P60" s="12">
        <f t="shared" si="15"/>
        <v>163</v>
      </c>
      <c r="Q60" s="12">
        <f t="shared" si="15"/>
        <v>183</v>
      </c>
      <c r="R60" s="12">
        <f t="shared" si="15"/>
        <v>159</v>
      </c>
      <c r="S60" s="12">
        <f t="shared" si="15"/>
        <v>167</v>
      </c>
      <c r="T60" s="12">
        <f t="shared" si="15"/>
        <v>159</v>
      </c>
      <c r="U60" s="12">
        <f t="shared" si="15"/>
        <v>166</v>
      </c>
      <c r="V60" s="12">
        <f t="shared" si="15"/>
        <v>178</v>
      </c>
      <c r="W60" s="12">
        <f t="shared" si="15"/>
        <v>189</v>
      </c>
      <c r="X60" s="12">
        <f t="shared" si="15"/>
        <v>184</v>
      </c>
      <c r="Y60" s="12">
        <f t="shared" si="15"/>
        <v>178</v>
      </c>
      <c r="Z60" s="12">
        <f t="shared" si="15"/>
        <v>201</v>
      </c>
      <c r="AA60" s="12">
        <f t="shared" si="15"/>
        <v>192</v>
      </c>
      <c r="AB60" s="12">
        <f t="shared" si="15"/>
        <v>193</v>
      </c>
      <c r="AC60" s="12">
        <f t="shared" si="15"/>
        <v>181</v>
      </c>
      <c r="AD60" s="12">
        <f t="shared" si="15"/>
        <v>176</v>
      </c>
      <c r="AE60" s="12">
        <f t="shared" si="15"/>
        <v>180</v>
      </c>
      <c r="AF60" s="12">
        <f t="shared" si="15"/>
        <v>186</v>
      </c>
      <c r="AG60" s="12">
        <f t="shared" si="15"/>
        <v>180</v>
      </c>
      <c r="AH60" s="12">
        <f t="shared" si="15"/>
        <v>168</v>
      </c>
      <c r="AI60" s="12">
        <f t="shared" si="15"/>
        <v>198</v>
      </c>
      <c r="AJ60" s="12">
        <f t="shared" si="15"/>
        <v>209</v>
      </c>
      <c r="AK60" s="12">
        <f t="shared" si="15"/>
        <v>195</v>
      </c>
      <c r="AL60" s="12">
        <f t="shared" si="15"/>
        <v>122</v>
      </c>
      <c r="AM60" s="12">
        <f t="shared" si="15"/>
        <v>162</v>
      </c>
      <c r="AN60" s="12">
        <f t="shared" si="15"/>
        <v>184</v>
      </c>
      <c r="AO60" s="12">
        <f t="shared" si="15"/>
        <v>145</v>
      </c>
      <c r="AP60" s="12">
        <f t="shared" si="15"/>
        <v>171</v>
      </c>
      <c r="AQ60" s="12">
        <f t="shared" si="15"/>
        <v>175</v>
      </c>
      <c r="AR60" s="12">
        <f t="shared" si="15"/>
        <v>147</v>
      </c>
      <c r="AS60" s="12">
        <f t="shared" si="15"/>
        <v>170</v>
      </c>
      <c r="AT60" s="12">
        <f t="shared" si="15"/>
        <v>178</v>
      </c>
      <c r="AU60" s="12">
        <f t="shared" si="15"/>
        <v>161</v>
      </c>
      <c r="AV60" s="8">
        <f t="shared" ref="AV60:AV62" si="16">SUM(E60:AU60)</f>
        <v>7588</v>
      </c>
    </row>
    <row r="61" ht="12.75" customHeight="1">
      <c r="A61" s="57"/>
      <c r="B61" s="69" t="s">
        <v>63</v>
      </c>
      <c r="C61" s="50" t="s">
        <v>64</v>
      </c>
      <c r="D61" s="22"/>
      <c r="E61" s="12">
        <v>21.0</v>
      </c>
      <c r="F61" s="12">
        <v>42.0</v>
      </c>
      <c r="G61" s="12">
        <v>30.0</v>
      </c>
      <c r="H61" s="12">
        <v>27.0</v>
      </c>
      <c r="I61" s="12">
        <v>27.0</v>
      </c>
      <c r="J61" s="12">
        <v>38.0</v>
      </c>
      <c r="K61" s="12">
        <v>43.0</v>
      </c>
      <c r="L61" s="12">
        <v>48.0</v>
      </c>
      <c r="M61" s="12">
        <v>39.0</v>
      </c>
      <c r="N61" s="12">
        <v>44.0</v>
      </c>
      <c r="O61" s="12">
        <v>31.0</v>
      </c>
      <c r="P61" s="12">
        <v>50.0</v>
      </c>
      <c r="Q61" s="12">
        <v>26.0</v>
      </c>
      <c r="R61" s="12">
        <v>50.0</v>
      </c>
      <c r="S61" s="12">
        <v>36.0</v>
      </c>
      <c r="T61" s="12">
        <v>57.0</v>
      </c>
      <c r="U61" s="12">
        <v>45.0</v>
      </c>
      <c r="V61" s="12">
        <v>35.0</v>
      </c>
      <c r="W61" s="12">
        <v>39.0</v>
      </c>
      <c r="X61" s="12">
        <v>43.0</v>
      </c>
      <c r="Y61" s="12">
        <v>39.0</v>
      </c>
      <c r="Z61" s="12">
        <v>25.0</v>
      </c>
      <c r="AA61" s="12">
        <v>34.0</v>
      </c>
      <c r="AB61" s="12">
        <v>34.0</v>
      </c>
      <c r="AC61" s="12">
        <v>38.0</v>
      </c>
      <c r="AD61" s="12">
        <v>38.0</v>
      </c>
      <c r="AE61" s="12">
        <v>41.0</v>
      </c>
      <c r="AF61" s="12">
        <v>44.0</v>
      </c>
      <c r="AG61" s="12">
        <v>26.0</v>
      </c>
      <c r="AH61" s="12">
        <v>40.0</v>
      </c>
      <c r="AI61" s="12">
        <v>17.0</v>
      </c>
      <c r="AJ61" s="12">
        <v>21.0</v>
      </c>
      <c r="AK61" s="12">
        <v>39.0</v>
      </c>
      <c r="AL61" s="12">
        <v>23.0</v>
      </c>
      <c r="AM61" s="12">
        <v>27.0</v>
      </c>
      <c r="AN61" s="12">
        <v>24.0</v>
      </c>
      <c r="AO61" s="12">
        <v>45.0</v>
      </c>
      <c r="AP61" s="12">
        <v>46.0</v>
      </c>
      <c r="AQ61" s="12">
        <v>32.0</v>
      </c>
      <c r="AR61" s="12">
        <v>25.0</v>
      </c>
      <c r="AS61" s="12">
        <v>37.0</v>
      </c>
      <c r="AT61" s="12">
        <v>35.0</v>
      </c>
      <c r="AU61" s="12">
        <v>24.0</v>
      </c>
      <c r="AV61" s="8">
        <f t="shared" si="16"/>
        <v>1525</v>
      </c>
    </row>
    <row r="62" ht="12.75" customHeight="1">
      <c r="A62" s="58"/>
      <c r="B62" s="69" t="s">
        <v>65</v>
      </c>
      <c r="C62" s="50" t="s">
        <v>66</v>
      </c>
      <c r="D62" s="22"/>
      <c r="E62" s="8">
        <f t="shared" ref="E62:AU62" si="17">SUM(E60:E61)</f>
        <v>251</v>
      </c>
      <c r="F62" s="8">
        <f t="shared" si="17"/>
        <v>189</v>
      </c>
      <c r="G62" s="8">
        <f t="shared" si="17"/>
        <v>178</v>
      </c>
      <c r="H62" s="8">
        <f t="shared" si="17"/>
        <v>232</v>
      </c>
      <c r="I62" s="8">
        <f t="shared" si="17"/>
        <v>226</v>
      </c>
      <c r="J62" s="8">
        <f t="shared" si="17"/>
        <v>213</v>
      </c>
      <c r="K62" s="8">
        <f t="shared" si="17"/>
        <v>228</v>
      </c>
      <c r="L62" s="8">
        <f t="shared" si="17"/>
        <v>214</v>
      </c>
      <c r="M62" s="8">
        <f t="shared" si="17"/>
        <v>211</v>
      </c>
      <c r="N62" s="8">
        <f t="shared" si="17"/>
        <v>227</v>
      </c>
      <c r="O62" s="8">
        <f t="shared" si="17"/>
        <v>209</v>
      </c>
      <c r="P62" s="8">
        <f t="shared" si="17"/>
        <v>213</v>
      </c>
      <c r="Q62" s="8">
        <f t="shared" si="17"/>
        <v>209</v>
      </c>
      <c r="R62" s="8">
        <f t="shared" si="17"/>
        <v>209</v>
      </c>
      <c r="S62" s="8">
        <f t="shared" si="17"/>
        <v>203</v>
      </c>
      <c r="T62" s="8">
        <f t="shared" si="17"/>
        <v>216</v>
      </c>
      <c r="U62" s="8">
        <f t="shared" si="17"/>
        <v>211</v>
      </c>
      <c r="V62" s="8">
        <f t="shared" si="17"/>
        <v>213</v>
      </c>
      <c r="W62" s="8">
        <f t="shared" si="17"/>
        <v>228</v>
      </c>
      <c r="X62" s="8">
        <f t="shared" si="17"/>
        <v>227</v>
      </c>
      <c r="Y62" s="8">
        <f t="shared" si="17"/>
        <v>217</v>
      </c>
      <c r="Z62" s="8">
        <f t="shared" si="17"/>
        <v>226</v>
      </c>
      <c r="AA62" s="8">
        <f t="shared" si="17"/>
        <v>226</v>
      </c>
      <c r="AB62" s="8">
        <f t="shared" si="17"/>
        <v>227</v>
      </c>
      <c r="AC62" s="8">
        <f t="shared" si="17"/>
        <v>219</v>
      </c>
      <c r="AD62" s="8">
        <f t="shared" si="17"/>
        <v>214</v>
      </c>
      <c r="AE62" s="8">
        <f t="shared" si="17"/>
        <v>221</v>
      </c>
      <c r="AF62" s="8">
        <f t="shared" si="17"/>
        <v>230</v>
      </c>
      <c r="AG62" s="8">
        <f t="shared" si="17"/>
        <v>206</v>
      </c>
      <c r="AH62" s="8">
        <f t="shared" si="17"/>
        <v>208</v>
      </c>
      <c r="AI62" s="8">
        <f t="shared" si="17"/>
        <v>215</v>
      </c>
      <c r="AJ62" s="8">
        <f t="shared" si="17"/>
        <v>230</v>
      </c>
      <c r="AK62" s="8">
        <f t="shared" si="17"/>
        <v>234</v>
      </c>
      <c r="AL62" s="8">
        <f t="shared" si="17"/>
        <v>145</v>
      </c>
      <c r="AM62" s="8">
        <f t="shared" si="17"/>
        <v>189</v>
      </c>
      <c r="AN62" s="8">
        <f t="shared" si="17"/>
        <v>208</v>
      </c>
      <c r="AO62" s="8">
        <f t="shared" si="17"/>
        <v>190</v>
      </c>
      <c r="AP62" s="8">
        <f t="shared" si="17"/>
        <v>217</v>
      </c>
      <c r="AQ62" s="8">
        <f t="shared" si="17"/>
        <v>207</v>
      </c>
      <c r="AR62" s="8">
        <f t="shared" si="17"/>
        <v>172</v>
      </c>
      <c r="AS62" s="8">
        <f t="shared" si="17"/>
        <v>207</v>
      </c>
      <c r="AT62" s="8">
        <f t="shared" si="17"/>
        <v>213</v>
      </c>
      <c r="AU62" s="8">
        <f t="shared" si="17"/>
        <v>185</v>
      </c>
      <c r="AV62" s="8">
        <f t="shared" si="16"/>
        <v>9113</v>
      </c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</row>
  </sheetData>
  <mergeCells count="46">
    <mergeCell ref="B12:D12"/>
    <mergeCell ref="E12:AU12"/>
    <mergeCell ref="AV12:A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E37:I37"/>
    <mergeCell ref="B36:D36"/>
    <mergeCell ref="B38:D38"/>
    <mergeCell ref="B39:C41"/>
    <mergeCell ref="A42:D42"/>
    <mergeCell ref="E42:I42"/>
    <mergeCell ref="B43:D43"/>
    <mergeCell ref="B44:D44"/>
    <mergeCell ref="C45:D45"/>
    <mergeCell ref="C46:D46"/>
    <mergeCell ref="C47:D47"/>
    <mergeCell ref="C48:D48"/>
    <mergeCell ref="C49:D49"/>
    <mergeCell ref="C50:D50"/>
    <mergeCell ref="C51:D51"/>
    <mergeCell ref="B59:D59"/>
    <mergeCell ref="C60:D60"/>
    <mergeCell ref="C61:D61"/>
    <mergeCell ref="C62:D62"/>
    <mergeCell ref="C52:D52"/>
    <mergeCell ref="C53:D53"/>
    <mergeCell ref="C54:D54"/>
    <mergeCell ref="C55:D55"/>
    <mergeCell ref="C56:D56"/>
    <mergeCell ref="C57:D57"/>
    <mergeCell ref="A58:D58"/>
  </mergeCells>
  <conditionalFormatting sqref="E30:T30">
    <cfRule type="expression" dxfId="0" priority="1">
      <formula>E30&lt;&gt;E62</formula>
    </cfRule>
  </conditionalFormatting>
  <conditionalFormatting sqref="E34:T34">
    <cfRule type="expression" dxfId="0" priority="2">
      <formula>E34&lt;&gt;E62</formula>
    </cfRule>
  </conditionalFormatting>
  <conditionalFormatting sqref="E14:AU15">
    <cfRule type="containsBlanks" dxfId="1" priority="3">
      <formula>LEN(TRIM(E14))=0</formula>
    </cfRule>
  </conditionalFormatting>
  <conditionalFormatting sqref="E19:AU20">
    <cfRule type="containsBlanks" dxfId="1" priority="4">
      <formula>LEN(TRIM(E19))=0</formula>
    </cfRule>
  </conditionalFormatting>
  <conditionalFormatting sqref="E22:AU23 E25:AU26 E33:AU33 E35:AU35 E39:AU40">
    <cfRule type="containsBlanks" dxfId="1" priority="5">
      <formula>LEN(TRIM(E22))=0</formula>
    </cfRule>
  </conditionalFormatting>
  <conditionalFormatting sqref="E30:AU30">
    <cfRule type="expression" dxfId="0" priority="6">
      <formula>E30&lt;&gt;E34</formula>
    </cfRule>
  </conditionalFormatting>
  <conditionalFormatting sqref="E34:AU34">
    <cfRule type="expression" dxfId="2" priority="7">
      <formula>E30&lt;&gt;E34</formula>
    </cfRule>
  </conditionalFormatting>
  <conditionalFormatting sqref="E34:AU34">
    <cfRule type="expression" dxfId="3" priority="8">
      <formula>E30=E34</formula>
    </cfRule>
  </conditionalFormatting>
  <conditionalFormatting sqref="E34:AU34">
    <cfRule type="expression" dxfId="0" priority="9">
      <formula>E34&lt;&gt;E30</formula>
    </cfRule>
  </conditionalFormatting>
  <conditionalFormatting sqref="E45:AU57">
    <cfRule type="containsBlanks" dxfId="1" priority="10">
      <formula>LEN(TRIM(E45))=0</formula>
    </cfRule>
  </conditionalFormatting>
  <conditionalFormatting sqref="E60:AU61">
    <cfRule type="containsBlanks" dxfId="1" priority="11">
      <formula>LEN(TRIM(E60))=0</formula>
    </cfRule>
  </conditionalFormatting>
  <conditionalFormatting sqref="U30:AU30">
    <cfRule type="expression" dxfId="0" priority="12">
      <formula>U30&lt;&gt;U47</formula>
    </cfRule>
  </conditionalFormatting>
  <conditionalFormatting sqref="U34:AU34">
    <cfRule type="expression" dxfId="0" priority="13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67.14"/>
    <col customWidth="1" min="4" max="4" width="14.57"/>
    <col customWidth="1" min="5" max="13" width="9.14"/>
    <col customWidth="1" min="14" max="14" width="9.57"/>
    <col customWidth="1" min="15" max="44" width="9.14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ht="12.75" customHeight="1">
      <c r="A2" s="1"/>
      <c r="B2" s="1"/>
      <c r="C2" s="1" t="s">
        <v>0</v>
      </c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ht="15.0" customHeight="1">
      <c r="A3" s="1"/>
      <c r="B3" s="1"/>
      <c r="C3" s="1" t="s">
        <v>2</v>
      </c>
      <c r="D3" s="1" t="s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ht="15.0" customHeight="1">
      <c r="A4" s="1"/>
      <c r="B4" s="1"/>
      <c r="C4" s="1" t="s">
        <v>4</v>
      </c>
      <c r="D4" s="1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ht="12.75" customHeight="1">
      <c r="A9" s="1"/>
      <c r="B9" s="1"/>
      <c r="C9" s="1" t="s">
        <v>67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ht="12.75" customHeight="1">
      <c r="A11" s="2"/>
      <c r="B11" s="16"/>
      <c r="C11" s="16"/>
      <c r="D11" s="16"/>
      <c r="E11" s="2"/>
      <c r="F11" s="2"/>
      <c r="G11" s="2"/>
      <c r="H11" s="2"/>
      <c r="I11" s="2"/>
      <c r="J11" s="2"/>
      <c r="K11" s="2"/>
      <c r="L11" s="2"/>
      <c r="M11" s="2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ht="12.75" customHeight="1">
      <c r="A12" s="8" t="s">
        <v>6</v>
      </c>
      <c r="B12" s="20" t="s">
        <v>7</v>
      </c>
      <c r="C12" s="21"/>
      <c r="D12" s="22"/>
      <c r="E12" s="34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53" t="s">
        <v>8</v>
      </c>
    </row>
    <row r="13" ht="12.75" customHeight="1">
      <c r="A13" s="12" t="s">
        <v>9</v>
      </c>
      <c r="B13" s="25" t="s">
        <v>10</v>
      </c>
      <c r="C13" s="21"/>
      <c r="D13" s="22"/>
      <c r="E13" s="8" t="s">
        <v>69</v>
      </c>
      <c r="F13" s="8" t="s">
        <v>70</v>
      </c>
      <c r="G13" s="8" t="s">
        <v>71</v>
      </c>
      <c r="H13" s="8" t="s">
        <v>72</v>
      </c>
      <c r="I13" s="8" t="s">
        <v>73</v>
      </c>
      <c r="J13" s="8" t="s">
        <v>74</v>
      </c>
      <c r="K13" s="8" t="s">
        <v>75</v>
      </c>
      <c r="L13" s="8" t="s">
        <v>76</v>
      </c>
      <c r="M13" s="8" t="s">
        <v>77</v>
      </c>
      <c r="N13" s="8" t="s">
        <v>78</v>
      </c>
      <c r="O13" s="8" t="s">
        <v>79</v>
      </c>
      <c r="P13" s="8" t="s">
        <v>80</v>
      </c>
      <c r="Q13" s="8" t="s">
        <v>81</v>
      </c>
      <c r="R13" s="8" t="s">
        <v>82</v>
      </c>
      <c r="S13" s="8" t="s">
        <v>83</v>
      </c>
      <c r="T13" s="8" t="s">
        <v>84</v>
      </c>
      <c r="U13" s="8" t="s">
        <v>85</v>
      </c>
      <c r="V13" s="8" t="s">
        <v>86</v>
      </c>
      <c r="W13" s="8" t="s">
        <v>87</v>
      </c>
      <c r="X13" s="8" t="s">
        <v>88</v>
      </c>
      <c r="Y13" s="8" t="s">
        <v>89</v>
      </c>
      <c r="Z13" s="8" t="s">
        <v>90</v>
      </c>
      <c r="AA13" s="8" t="s">
        <v>91</v>
      </c>
      <c r="AB13" s="8" t="s">
        <v>92</v>
      </c>
      <c r="AC13" s="8" t="s">
        <v>93</v>
      </c>
      <c r="AD13" s="8" t="s">
        <v>94</v>
      </c>
      <c r="AE13" s="8" t="s">
        <v>95</v>
      </c>
      <c r="AF13" s="8" t="s">
        <v>96</v>
      </c>
      <c r="AG13" s="8" t="s">
        <v>97</v>
      </c>
      <c r="AH13" s="8" t="s">
        <v>98</v>
      </c>
      <c r="AI13" s="8" t="s">
        <v>99</v>
      </c>
      <c r="AJ13" s="8" t="s">
        <v>100</v>
      </c>
      <c r="AK13" s="8" t="s">
        <v>101</v>
      </c>
      <c r="AL13" s="8" t="s">
        <v>102</v>
      </c>
      <c r="AM13" s="8" t="s">
        <v>103</v>
      </c>
      <c r="AN13" s="8" t="s">
        <v>104</v>
      </c>
      <c r="AO13" s="8" t="s">
        <v>105</v>
      </c>
      <c r="AP13" s="8" t="s">
        <v>106</v>
      </c>
      <c r="AQ13" s="8" t="s">
        <v>107</v>
      </c>
      <c r="AR13" s="33"/>
    </row>
    <row r="14" ht="12.75" customHeight="1">
      <c r="A14" s="24"/>
      <c r="B14" s="27" t="s">
        <v>11</v>
      </c>
      <c r="C14" s="28"/>
      <c r="D14" s="12" t="s">
        <v>12</v>
      </c>
      <c r="E14" s="12">
        <v>137.0</v>
      </c>
      <c r="F14" s="12">
        <v>141.0</v>
      </c>
      <c r="G14" s="12">
        <v>136.0</v>
      </c>
      <c r="H14" s="12">
        <v>135.0</v>
      </c>
      <c r="I14" s="12">
        <v>156.0</v>
      </c>
      <c r="J14" s="12">
        <v>147.0</v>
      </c>
      <c r="K14" s="12">
        <v>145.0</v>
      </c>
      <c r="L14" s="12">
        <v>147.0</v>
      </c>
      <c r="M14" s="12">
        <v>140.0</v>
      </c>
      <c r="N14" s="12">
        <v>141.0</v>
      </c>
      <c r="O14" s="12">
        <v>145.0</v>
      </c>
      <c r="P14" s="12">
        <v>134.0</v>
      </c>
      <c r="Q14" s="12">
        <v>148.0</v>
      </c>
      <c r="R14" s="12">
        <v>147.0</v>
      </c>
      <c r="S14" s="12">
        <v>139.0</v>
      </c>
      <c r="T14" s="12">
        <v>147.0</v>
      </c>
      <c r="U14" s="12">
        <v>138.0</v>
      </c>
      <c r="V14" s="12">
        <v>143.0</v>
      </c>
      <c r="W14" s="12">
        <v>133.0</v>
      </c>
      <c r="X14" s="12">
        <v>141.0</v>
      </c>
      <c r="Y14" s="12">
        <v>122.0</v>
      </c>
      <c r="Z14" s="12">
        <v>145.0</v>
      </c>
      <c r="AA14" s="12">
        <v>126.0</v>
      </c>
      <c r="AB14" s="12">
        <v>144.0</v>
      </c>
      <c r="AC14" s="12">
        <v>145.0</v>
      </c>
      <c r="AD14" s="12">
        <v>155.0</v>
      </c>
      <c r="AE14" s="12">
        <v>155.0</v>
      </c>
      <c r="AF14" s="12">
        <v>149.0</v>
      </c>
      <c r="AG14" s="12">
        <v>145.0</v>
      </c>
      <c r="AH14" s="12">
        <v>141.0</v>
      </c>
      <c r="AI14" s="12">
        <v>143.0</v>
      </c>
      <c r="AJ14" s="12">
        <v>135.0</v>
      </c>
      <c r="AK14" s="12">
        <v>145.0</v>
      </c>
      <c r="AL14" s="12">
        <v>147.0</v>
      </c>
      <c r="AM14" s="12">
        <v>132.0</v>
      </c>
      <c r="AN14" s="12">
        <v>147.0</v>
      </c>
      <c r="AO14" s="12">
        <v>136.0</v>
      </c>
      <c r="AP14" s="12">
        <v>150.0</v>
      </c>
      <c r="AQ14" s="12">
        <v>134.0</v>
      </c>
      <c r="AR14" s="8">
        <f t="shared" ref="AR14:AR16" si="1">SUM(E14:AQ14)</f>
        <v>5536</v>
      </c>
    </row>
    <row r="15" ht="12.75" customHeight="1">
      <c r="A15" s="24"/>
      <c r="B15" s="30"/>
      <c r="C15" s="31"/>
      <c r="D15" s="12" t="s">
        <v>13</v>
      </c>
      <c r="E15" s="12">
        <v>157.0</v>
      </c>
      <c r="F15" s="12">
        <v>146.0</v>
      </c>
      <c r="G15" s="12">
        <v>131.0</v>
      </c>
      <c r="H15" s="12">
        <v>154.0</v>
      </c>
      <c r="I15" s="12">
        <v>140.0</v>
      </c>
      <c r="J15" s="12">
        <v>146.0</v>
      </c>
      <c r="K15" s="12">
        <v>148.0</v>
      </c>
      <c r="L15" s="12">
        <v>151.0</v>
      </c>
      <c r="M15" s="12">
        <v>135.0</v>
      </c>
      <c r="N15" s="12">
        <v>158.0</v>
      </c>
      <c r="O15" s="12">
        <v>154.0</v>
      </c>
      <c r="P15" s="12">
        <v>124.0</v>
      </c>
      <c r="Q15" s="12">
        <v>150.0</v>
      </c>
      <c r="R15" s="12">
        <v>149.0</v>
      </c>
      <c r="S15" s="12">
        <v>156.0</v>
      </c>
      <c r="T15" s="12">
        <v>151.0</v>
      </c>
      <c r="U15" s="12">
        <v>158.0</v>
      </c>
      <c r="V15" s="12">
        <v>153.0</v>
      </c>
      <c r="W15" s="12">
        <v>158.0</v>
      </c>
      <c r="X15" s="12">
        <v>157.0</v>
      </c>
      <c r="Y15" s="12">
        <v>143.0</v>
      </c>
      <c r="Z15" s="12">
        <v>142.0</v>
      </c>
      <c r="AA15" s="12">
        <v>156.0</v>
      </c>
      <c r="AB15" s="12">
        <v>154.0</v>
      </c>
      <c r="AC15" s="12">
        <v>149.0</v>
      </c>
      <c r="AD15" s="12">
        <v>143.0</v>
      </c>
      <c r="AE15" s="12">
        <v>144.0</v>
      </c>
      <c r="AF15" s="12">
        <v>143.0</v>
      </c>
      <c r="AG15" s="12">
        <v>142.0</v>
      </c>
      <c r="AH15" s="12">
        <v>137.0</v>
      </c>
      <c r="AI15" s="12">
        <v>150.0</v>
      </c>
      <c r="AJ15" s="12">
        <v>157.0</v>
      </c>
      <c r="AK15" s="12">
        <v>149.0</v>
      </c>
      <c r="AL15" s="12">
        <v>147.0</v>
      </c>
      <c r="AM15" s="12">
        <v>123.0</v>
      </c>
      <c r="AN15" s="12">
        <v>147.0</v>
      </c>
      <c r="AO15" s="12">
        <v>143.0</v>
      </c>
      <c r="AP15" s="12">
        <v>147.0</v>
      </c>
      <c r="AQ15" s="12">
        <v>149.0</v>
      </c>
      <c r="AR15" s="8">
        <f t="shared" si="1"/>
        <v>5741</v>
      </c>
    </row>
    <row r="16" ht="12.75" customHeight="1">
      <c r="A16" s="32"/>
      <c r="B16" s="26"/>
      <c r="C16" s="33"/>
      <c r="D16" s="8" t="s">
        <v>14</v>
      </c>
      <c r="E16" s="8">
        <f t="shared" ref="E16:AQ16" si="2">SUM(E14:E15)</f>
        <v>294</v>
      </c>
      <c r="F16" s="8">
        <f t="shared" si="2"/>
        <v>287</v>
      </c>
      <c r="G16" s="8">
        <f t="shared" si="2"/>
        <v>267</v>
      </c>
      <c r="H16" s="8">
        <f t="shared" si="2"/>
        <v>289</v>
      </c>
      <c r="I16" s="8">
        <f t="shared" si="2"/>
        <v>296</v>
      </c>
      <c r="J16" s="8">
        <f t="shared" si="2"/>
        <v>293</v>
      </c>
      <c r="K16" s="8">
        <f t="shared" si="2"/>
        <v>293</v>
      </c>
      <c r="L16" s="8">
        <f t="shared" si="2"/>
        <v>298</v>
      </c>
      <c r="M16" s="8">
        <f t="shared" si="2"/>
        <v>275</v>
      </c>
      <c r="N16" s="8">
        <f t="shared" si="2"/>
        <v>299</v>
      </c>
      <c r="O16" s="8">
        <f t="shared" si="2"/>
        <v>299</v>
      </c>
      <c r="P16" s="8">
        <f t="shared" si="2"/>
        <v>258</v>
      </c>
      <c r="Q16" s="8">
        <f t="shared" si="2"/>
        <v>298</v>
      </c>
      <c r="R16" s="8">
        <f t="shared" si="2"/>
        <v>296</v>
      </c>
      <c r="S16" s="8">
        <f t="shared" si="2"/>
        <v>295</v>
      </c>
      <c r="T16" s="8">
        <f t="shared" si="2"/>
        <v>298</v>
      </c>
      <c r="U16" s="8">
        <f t="shared" si="2"/>
        <v>296</v>
      </c>
      <c r="V16" s="8">
        <f t="shared" si="2"/>
        <v>296</v>
      </c>
      <c r="W16" s="8">
        <f t="shared" si="2"/>
        <v>291</v>
      </c>
      <c r="X16" s="8">
        <f t="shared" si="2"/>
        <v>298</v>
      </c>
      <c r="Y16" s="8">
        <f t="shared" si="2"/>
        <v>265</v>
      </c>
      <c r="Z16" s="8">
        <f t="shared" si="2"/>
        <v>287</v>
      </c>
      <c r="AA16" s="8">
        <f t="shared" si="2"/>
        <v>282</v>
      </c>
      <c r="AB16" s="8">
        <f t="shared" si="2"/>
        <v>298</v>
      </c>
      <c r="AC16" s="8">
        <f t="shared" si="2"/>
        <v>294</v>
      </c>
      <c r="AD16" s="8">
        <f t="shared" si="2"/>
        <v>298</v>
      </c>
      <c r="AE16" s="8">
        <f t="shared" si="2"/>
        <v>299</v>
      </c>
      <c r="AF16" s="8">
        <f t="shared" si="2"/>
        <v>292</v>
      </c>
      <c r="AG16" s="8">
        <f t="shared" si="2"/>
        <v>287</v>
      </c>
      <c r="AH16" s="8">
        <f t="shared" si="2"/>
        <v>278</v>
      </c>
      <c r="AI16" s="8">
        <f t="shared" si="2"/>
        <v>293</v>
      </c>
      <c r="AJ16" s="8">
        <f t="shared" si="2"/>
        <v>292</v>
      </c>
      <c r="AK16" s="8">
        <f t="shared" si="2"/>
        <v>294</v>
      </c>
      <c r="AL16" s="8">
        <f t="shared" si="2"/>
        <v>294</v>
      </c>
      <c r="AM16" s="8">
        <f t="shared" si="2"/>
        <v>255</v>
      </c>
      <c r="AN16" s="8">
        <f t="shared" si="2"/>
        <v>294</v>
      </c>
      <c r="AO16" s="8">
        <f t="shared" si="2"/>
        <v>279</v>
      </c>
      <c r="AP16" s="8">
        <f t="shared" si="2"/>
        <v>297</v>
      </c>
      <c r="AQ16" s="8">
        <f t="shared" si="2"/>
        <v>283</v>
      </c>
      <c r="AR16" s="8">
        <f t="shared" si="1"/>
        <v>11277</v>
      </c>
    </row>
    <row r="17" ht="12.75" customHeight="1">
      <c r="A17" s="29"/>
      <c r="B17" s="21"/>
      <c r="C17" s="21"/>
      <c r="D17" s="22"/>
      <c r="E17" s="12"/>
      <c r="F17" s="12"/>
      <c r="G17" s="12"/>
      <c r="H17" s="12"/>
      <c r="I17" s="12"/>
      <c r="J17" s="12"/>
      <c r="K17" s="12"/>
      <c r="L17" s="12"/>
      <c r="M17" s="12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8"/>
    </row>
    <row r="18" ht="12.75" customHeight="1">
      <c r="A18" s="54" t="s">
        <v>15</v>
      </c>
      <c r="B18" s="25" t="s">
        <v>16</v>
      </c>
      <c r="C18" s="21"/>
      <c r="D18" s="22"/>
      <c r="E18" s="12"/>
      <c r="F18" s="12"/>
      <c r="G18" s="12"/>
      <c r="H18" s="12"/>
      <c r="I18" s="12"/>
      <c r="J18" s="12"/>
      <c r="K18" s="12"/>
      <c r="L18" s="12"/>
      <c r="M18" s="12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8"/>
    </row>
    <row r="19" ht="12.75" customHeight="1">
      <c r="A19" s="54"/>
      <c r="B19" s="55" t="s">
        <v>17</v>
      </c>
      <c r="C19" s="36" t="s">
        <v>18</v>
      </c>
      <c r="D19" s="12" t="s">
        <v>12</v>
      </c>
      <c r="E19" s="12">
        <v>107.0</v>
      </c>
      <c r="F19" s="12">
        <v>105.0</v>
      </c>
      <c r="G19" s="12">
        <v>71.0</v>
      </c>
      <c r="H19" s="12">
        <v>91.0</v>
      </c>
      <c r="I19" s="12">
        <v>100.0</v>
      </c>
      <c r="J19" s="12">
        <v>84.0</v>
      </c>
      <c r="K19" s="12">
        <v>104.0</v>
      </c>
      <c r="L19" s="12">
        <v>108.0</v>
      </c>
      <c r="M19" s="12">
        <v>106.0</v>
      </c>
      <c r="N19" s="12">
        <v>101.0</v>
      </c>
      <c r="O19" s="12">
        <v>104.0</v>
      </c>
      <c r="P19" s="12">
        <v>103.0</v>
      </c>
      <c r="Q19" s="12">
        <v>113.0</v>
      </c>
      <c r="R19" s="12">
        <v>108.0</v>
      </c>
      <c r="S19" s="12">
        <v>105.0</v>
      </c>
      <c r="T19" s="12">
        <v>122.0</v>
      </c>
      <c r="U19" s="12">
        <v>89.0</v>
      </c>
      <c r="V19" s="12">
        <v>122.0</v>
      </c>
      <c r="W19" s="12">
        <v>95.0</v>
      </c>
      <c r="X19" s="12">
        <v>96.0</v>
      </c>
      <c r="Y19" s="12">
        <v>98.0</v>
      </c>
      <c r="Z19" s="12">
        <v>104.0</v>
      </c>
      <c r="AA19" s="12">
        <v>94.0</v>
      </c>
      <c r="AB19" s="12">
        <v>132.0</v>
      </c>
      <c r="AC19" s="12">
        <v>109.0</v>
      </c>
      <c r="AD19" s="12">
        <v>138.0</v>
      </c>
      <c r="AE19" s="12">
        <v>116.0</v>
      </c>
      <c r="AF19" s="12">
        <v>131.0</v>
      </c>
      <c r="AG19" s="12">
        <v>109.0</v>
      </c>
      <c r="AH19" s="12">
        <v>107.0</v>
      </c>
      <c r="AI19" s="12">
        <v>114.0</v>
      </c>
      <c r="AJ19" s="12">
        <v>110.0</v>
      </c>
      <c r="AK19" s="12">
        <v>111.0</v>
      </c>
      <c r="AL19" s="12">
        <v>127.0</v>
      </c>
      <c r="AM19" s="12">
        <v>107.0</v>
      </c>
      <c r="AN19" s="12">
        <v>123.0</v>
      </c>
      <c r="AO19" s="12">
        <v>101.0</v>
      </c>
      <c r="AP19" s="12">
        <v>131.0</v>
      </c>
      <c r="AQ19" s="12">
        <v>101.0</v>
      </c>
      <c r="AR19" s="8">
        <f t="shared" ref="AR19:AR30" si="3">SUM(E19:AQ19)</f>
        <v>4197</v>
      </c>
    </row>
    <row r="20" ht="12.75" customHeight="1">
      <c r="A20" s="56"/>
      <c r="B20" s="31"/>
      <c r="C20" s="37"/>
      <c r="D20" s="12" t="s">
        <v>13</v>
      </c>
      <c r="E20" s="12">
        <v>128.0</v>
      </c>
      <c r="F20" s="12">
        <v>117.0</v>
      </c>
      <c r="G20" s="12">
        <v>90.0</v>
      </c>
      <c r="H20" s="12">
        <v>101.0</v>
      </c>
      <c r="I20" s="12">
        <v>104.0</v>
      </c>
      <c r="J20" s="12">
        <v>99.0</v>
      </c>
      <c r="K20" s="12">
        <v>108.0</v>
      </c>
      <c r="L20" s="12">
        <v>126.0</v>
      </c>
      <c r="M20" s="12">
        <v>102.0</v>
      </c>
      <c r="N20" s="12">
        <v>116.0</v>
      </c>
      <c r="O20" s="12">
        <v>132.0</v>
      </c>
      <c r="P20" s="12">
        <v>109.0</v>
      </c>
      <c r="Q20" s="12">
        <v>122.0</v>
      </c>
      <c r="R20" s="12">
        <v>125.0</v>
      </c>
      <c r="S20" s="12">
        <v>120.0</v>
      </c>
      <c r="T20" s="12">
        <v>130.0</v>
      </c>
      <c r="U20" s="12">
        <v>111.0</v>
      </c>
      <c r="V20" s="12">
        <v>116.0</v>
      </c>
      <c r="W20" s="12">
        <v>125.0</v>
      </c>
      <c r="X20" s="12">
        <v>126.0</v>
      </c>
      <c r="Y20" s="12">
        <v>102.0</v>
      </c>
      <c r="Z20" s="12">
        <v>107.0</v>
      </c>
      <c r="AA20" s="12">
        <v>121.0</v>
      </c>
      <c r="AB20" s="12">
        <v>124.0</v>
      </c>
      <c r="AC20" s="12">
        <v>127.0</v>
      </c>
      <c r="AD20" s="12">
        <v>127.0</v>
      </c>
      <c r="AE20" s="12">
        <v>117.0</v>
      </c>
      <c r="AF20" s="12">
        <v>134.0</v>
      </c>
      <c r="AG20" s="12">
        <v>114.0</v>
      </c>
      <c r="AH20" s="12">
        <v>103.0</v>
      </c>
      <c r="AI20" s="12">
        <v>120.0</v>
      </c>
      <c r="AJ20" s="12">
        <v>123.0</v>
      </c>
      <c r="AK20" s="12">
        <v>109.0</v>
      </c>
      <c r="AL20" s="12">
        <v>126.0</v>
      </c>
      <c r="AM20" s="12">
        <v>107.0</v>
      </c>
      <c r="AN20" s="12">
        <v>116.0</v>
      </c>
      <c r="AO20" s="12">
        <v>96.0</v>
      </c>
      <c r="AP20" s="12">
        <v>122.0</v>
      </c>
      <c r="AQ20" s="12">
        <v>99.0</v>
      </c>
      <c r="AR20" s="8">
        <f t="shared" si="3"/>
        <v>4501</v>
      </c>
    </row>
    <row r="21" ht="12.75" customHeight="1">
      <c r="A21" s="57"/>
      <c r="B21" s="33"/>
      <c r="C21" s="38"/>
      <c r="D21" s="8" t="s">
        <v>14</v>
      </c>
      <c r="E21" s="8">
        <f t="shared" ref="E21:AQ21" si="4">SUM(E19:E20)</f>
        <v>235</v>
      </c>
      <c r="F21" s="8">
        <f t="shared" si="4"/>
        <v>222</v>
      </c>
      <c r="G21" s="8">
        <f t="shared" si="4"/>
        <v>161</v>
      </c>
      <c r="H21" s="8">
        <f t="shared" si="4"/>
        <v>192</v>
      </c>
      <c r="I21" s="8">
        <f t="shared" si="4"/>
        <v>204</v>
      </c>
      <c r="J21" s="8">
        <f t="shared" si="4"/>
        <v>183</v>
      </c>
      <c r="K21" s="8">
        <f t="shared" si="4"/>
        <v>212</v>
      </c>
      <c r="L21" s="8">
        <f t="shared" si="4"/>
        <v>234</v>
      </c>
      <c r="M21" s="8">
        <f t="shared" si="4"/>
        <v>208</v>
      </c>
      <c r="N21" s="8">
        <f t="shared" si="4"/>
        <v>217</v>
      </c>
      <c r="O21" s="8">
        <f t="shared" si="4"/>
        <v>236</v>
      </c>
      <c r="P21" s="8">
        <f t="shared" si="4"/>
        <v>212</v>
      </c>
      <c r="Q21" s="8">
        <f t="shared" si="4"/>
        <v>235</v>
      </c>
      <c r="R21" s="8">
        <f t="shared" si="4"/>
        <v>233</v>
      </c>
      <c r="S21" s="8">
        <f t="shared" si="4"/>
        <v>225</v>
      </c>
      <c r="T21" s="8">
        <f t="shared" si="4"/>
        <v>252</v>
      </c>
      <c r="U21" s="8">
        <f t="shared" si="4"/>
        <v>200</v>
      </c>
      <c r="V21" s="8">
        <f t="shared" si="4"/>
        <v>238</v>
      </c>
      <c r="W21" s="8">
        <f t="shared" si="4"/>
        <v>220</v>
      </c>
      <c r="X21" s="8">
        <f t="shared" si="4"/>
        <v>222</v>
      </c>
      <c r="Y21" s="8">
        <f t="shared" si="4"/>
        <v>200</v>
      </c>
      <c r="Z21" s="8">
        <f t="shared" si="4"/>
        <v>211</v>
      </c>
      <c r="AA21" s="8">
        <f t="shared" si="4"/>
        <v>215</v>
      </c>
      <c r="AB21" s="8">
        <f t="shared" si="4"/>
        <v>256</v>
      </c>
      <c r="AC21" s="8">
        <f t="shared" si="4"/>
        <v>236</v>
      </c>
      <c r="AD21" s="8">
        <f t="shared" si="4"/>
        <v>265</v>
      </c>
      <c r="AE21" s="8">
        <f t="shared" si="4"/>
        <v>233</v>
      </c>
      <c r="AF21" s="8">
        <f t="shared" si="4"/>
        <v>265</v>
      </c>
      <c r="AG21" s="8">
        <f t="shared" si="4"/>
        <v>223</v>
      </c>
      <c r="AH21" s="8">
        <f t="shared" si="4"/>
        <v>210</v>
      </c>
      <c r="AI21" s="8">
        <f t="shared" si="4"/>
        <v>234</v>
      </c>
      <c r="AJ21" s="8">
        <f t="shared" si="4"/>
        <v>233</v>
      </c>
      <c r="AK21" s="8">
        <f t="shared" si="4"/>
        <v>220</v>
      </c>
      <c r="AL21" s="8">
        <f t="shared" si="4"/>
        <v>253</v>
      </c>
      <c r="AM21" s="8">
        <f t="shared" si="4"/>
        <v>214</v>
      </c>
      <c r="AN21" s="8">
        <f t="shared" si="4"/>
        <v>239</v>
      </c>
      <c r="AO21" s="8">
        <f t="shared" si="4"/>
        <v>197</v>
      </c>
      <c r="AP21" s="8">
        <f t="shared" si="4"/>
        <v>253</v>
      </c>
      <c r="AQ21" s="8">
        <f t="shared" si="4"/>
        <v>200</v>
      </c>
      <c r="AR21" s="8">
        <f t="shared" si="3"/>
        <v>8698</v>
      </c>
    </row>
    <row r="22" ht="12.75" customHeight="1">
      <c r="A22" s="56"/>
      <c r="B22" s="55" t="s">
        <v>19</v>
      </c>
      <c r="C22" s="36" t="s">
        <v>20</v>
      </c>
      <c r="D22" s="12" t="s">
        <v>12</v>
      </c>
      <c r="E22" s="12">
        <v>0.0</v>
      </c>
      <c r="F22" s="12">
        <v>0.0</v>
      </c>
      <c r="G22" s="12">
        <v>3.0</v>
      </c>
      <c r="H22" s="12">
        <v>0.0</v>
      </c>
      <c r="I22" s="12">
        <v>1.0</v>
      </c>
      <c r="J22" s="12">
        <v>2.0</v>
      </c>
      <c r="K22" s="12">
        <v>0.0</v>
      </c>
      <c r="L22" s="12">
        <v>1.0</v>
      </c>
      <c r="M22" s="12">
        <v>0.0</v>
      </c>
      <c r="N22" s="12">
        <v>0.0</v>
      </c>
      <c r="O22" s="12">
        <v>0.0</v>
      </c>
      <c r="P22" s="12">
        <v>0.0</v>
      </c>
      <c r="Q22" s="12">
        <v>2.0</v>
      </c>
      <c r="R22" s="12">
        <v>2.0</v>
      </c>
      <c r="S22" s="12">
        <v>0.0</v>
      </c>
      <c r="T22" s="12">
        <v>1.0</v>
      </c>
      <c r="U22" s="12">
        <v>1.0</v>
      </c>
      <c r="V22" s="12">
        <v>0.0</v>
      </c>
      <c r="W22" s="12">
        <v>1.0</v>
      </c>
      <c r="X22" s="12">
        <v>0.0</v>
      </c>
      <c r="Y22" s="12">
        <v>0.0</v>
      </c>
      <c r="Z22" s="12">
        <v>1.0</v>
      </c>
      <c r="AA22" s="12">
        <v>0.0</v>
      </c>
      <c r="AB22" s="12">
        <v>1.0</v>
      </c>
      <c r="AC22" s="12">
        <v>0.0</v>
      </c>
      <c r="AD22" s="12">
        <v>0.0</v>
      </c>
      <c r="AE22" s="12">
        <v>0.0</v>
      </c>
      <c r="AF22" s="12">
        <v>0.0</v>
      </c>
      <c r="AG22" s="12">
        <v>0.0</v>
      </c>
      <c r="AH22" s="12">
        <v>0.0</v>
      </c>
      <c r="AI22" s="12">
        <v>0.0</v>
      </c>
      <c r="AJ22" s="12">
        <v>0.0</v>
      </c>
      <c r="AK22" s="12">
        <v>1.0</v>
      </c>
      <c r="AL22" s="12">
        <v>1.0</v>
      </c>
      <c r="AM22" s="12">
        <v>0.0</v>
      </c>
      <c r="AN22" s="12">
        <v>0.0</v>
      </c>
      <c r="AO22" s="12">
        <v>0.0</v>
      </c>
      <c r="AP22" s="12">
        <v>0.0</v>
      </c>
      <c r="AQ22" s="12">
        <v>1.0</v>
      </c>
      <c r="AR22" s="8">
        <f t="shared" si="3"/>
        <v>19</v>
      </c>
    </row>
    <row r="23" ht="15.0" customHeight="1">
      <c r="A23" s="56"/>
      <c r="B23" s="31"/>
      <c r="C23" s="37"/>
      <c r="D23" s="12" t="s">
        <v>13</v>
      </c>
      <c r="E23" s="12">
        <v>0.0</v>
      </c>
      <c r="F23" s="12">
        <v>1.0</v>
      </c>
      <c r="G23" s="12">
        <v>1.0</v>
      </c>
      <c r="H23" s="12">
        <v>0.0</v>
      </c>
      <c r="I23" s="12">
        <v>0.0</v>
      </c>
      <c r="J23" s="12">
        <v>0.0</v>
      </c>
      <c r="K23" s="12">
        <v>1.0</v>
      </c>
      <c r="L23" s="12">
        <v>1.0</v>
      </c>
      <c r="M23" s="12">
        <v>0.0</v>
      </c>
      <c r="N23" s="12">
        <v>0.0</v>
      </c>
      <c r="O23" s="12">
        <v>0.0</v>
      </c>
      <c r="P23" s="12">
        <v>0.0</v>
      </c>
      <c r="Q23" s="12">
        <v>0.0</v>
      </c>
      <c r="R23" s="12">
        <v>1.0</v>
      </c>
      <c r="S23" s="12">
        <v>1.0</v>
      </c>
      <c r="T23" s="12">
        <v>1.0</v>
      </c>
      <c r="U23" s="12">
        <v>0.0</v>
      </c>
      <c r="V23" s="12">
        <v>1.0</v>
      </c>
      <c r="W23" s="12">
        <v>0.0</v>
      </c>
      <c r="X23" s="12">
        <v>1.0</v>
      </c>
      <c r="Y23" s="12">
        <v>0.0</v>
      </c>
      <c r="Z23" s="12">
        <v>0.0</v>
      </c>
      <c r="AA23" s="12">
        <v>1.0</v>
      </c>
      <c r="AB23" s="12">
        <v>1.0</v>
      </c>
      <c r="AC23" s="12">
        <v>0.0</v>
      </c>
      <c r="AD23" s="12">
        <v>0.0</v>
      </c>
      <c r="AE23" s="12">
        <v>0.0</v>
      </c>
      <c r="AF23" s="12">
        <v>0.0</v>
      </c>
      <c r="AG23" s="12">
        <v>0.0</v>
      </c>
      <c r="AH23" s="12">
        <v>0.0</v>
      </c>
      <c r="AI23" s="12">
        <v>1.0</v>
      </c>
      <c r="AJ23" s="12">
        <v>0.0</v>
      </c>
      <c r="AK23" s="12">
        <v>0.0</v>
      </c>
      <c r="AL23" s="12">
        <v>0.0</v>
      </c>
      <c r="AM23" s="12">
        <v>1.0</v>
      </c>
      <c r="AN23" s="12">
        <v>0.0</v>
      </c>
      <c r="AO23" s="12">
        <v>0.0</v>
      </c>
      <c r="AP23" s="12">
        <v>0.0</v>
      </c>
      <c r="AQ23" s="12">
        <v>0.0</v>
      </c>
      <c r="AR23" s="8">
        <f t="shared" si="3"/>
        <v>13</v>
      </c>
    </row>
    <row r="24" ht="15.0" customHeight="1">
      <c r="A24" s="57"/>
      <c r="B24" s="33"/>
      <c r="C24" s="38"/>
      <c r="D24" s="8" t="s">
        <v>14</v>
      </c>
      <c r="E24" s="8">
        <f t="shared" ref="E24:AQ24" si="5">SUM(E22:E23)</f>
        <v>0</v>
      </c>
      <c r="F24" s="8">
        <f t="shared" si="5"/>
        <v>1</v>
      </c>
      <c r="G24" s="8">
        <f t="shared" si="5"/>
        <v>4</v>
      </c>
      <c r="H24" s="8">
        <f t="shared" si="5"/>
        <v>0</v>
      </c>
      <c r="I24" s="8">
        <f t="shared" si="5"/>
        <v>1</v>
      </c>
      <c r="J24" s="8">
        <f t="shared" si="5"/>
        <v>2</v>
      </c>
      <c r="K24" s="8">
        <f t="shared" si="5"/>
        <v>1</v>
      </c>
      <c r="L24" s="8">
        <f t="shared" si="5"/>
        <v>2</v>
      </c>
      <c r="M24" s="8">
        <f t="shared" si="5"/>
        <v>0</v>
      </c>
      <c r="N24" s="8">
        <f t="shared" si="5"/>
        <v>0</v>
      </c>
      <c r="O24" s="8">
        <f t="shared" si="5"/>
        <v>0</v>
      </c>
      <c r="P24" s="8">
        <f t="shared" si="5"/>
        <v>0</v>
      </c>
      <c r="Q24" s="8">
        <f t="shared" si="5"/>
        <v>2</v>
      </c>
      <c r="R24" s="8">
        <f t="shared" si="5"/>
        <v>3</v>
      </c>
      <c r="S24" s="8">
        <f t="shared" si="5"/>
        <v>1</v>
      </c>
      <c r="T24" s="8">
        <f t="shared" si="5"/>
        <v>2</v>
      </c>
      <c r="U24" s="8">
        <f t="shared" si="5"/>
        <v>1</v>
      </c>
      <c r="V24" s="8">
        <f t="shared" si="5"/>
        <v>1</v>
      </c>
      <c r="W24" s="8">
        <f t="shared" si="5"/>
        <v>1</v>
      </c>
      <c r="X24" s="8">
        <f t="shared" si="5"/>
        <v>1</v>
      </c>
      <c r="Y24" s="8">
        <f t="shared" si="5"/>
        <v>0</v>
      </c>
      <c r="Z24" s="8">
        <f t="shared" si="5"/>
        <v>1</v>
      </c>
      <c r="AA24" s="8">
        <f t="shared" si="5"/>
        <v>1</v>
      </c>
      <c r="AB24" s="8">
        <f t="shared" si="5"/>
        <v>2</v>
      </c>
      <c r="AC24" s="8">
        <f t="shared" si="5"/>
        <v>0</v>
      </c>
      <c r="AD24" s="8">
        <f t="shared" si="5"/>
        <v>0</v>
      </c>
      <c r="AE24" s="8">
        <f t="shared" si="5"/>
        <v>0</v>
      </c>
      <c r="AF24" s="8">
        <f t="shared" si="5"/>
        <v>0</v>
      </c>
      <c r="AG24" s="8">
        <f t="shared" si="5"/>
        <v>0</v>
      </c>
      <c r="AH24" s="8">
        <f t="shared" si="5"/>
        <v>0</v>
      </c>
      <c r="AI24" s="8">
        <f t="shared" si="5"/>
        <v>1</v>
      </c>
      <c r="AJ24" s="8">
        <f t="shared" si="5"/>
        <v>0</v>
      </c>
      <c r="AK24" s="8">
        <f t="shared" si="5"/>
        <v>1</v>
      </c>
      <c r="AL24" s="8">
        <f t="shared" si="5"/>
        <v>1</v>
      </c>
      <c r="AM24" s="8">
        <f t="shared" si="5"/>
        <v>1</v>
      </c>
      <c r="AN24" s="8">
        <f t="shared" si="5"/>
        <v>0</v>
      </c>
      <c r="AO24" s="8">
        <f t="shared" si="5"/>
        <v>0</v>
      </c>
      <c r="AP24" s="8">
        <f t="shared" si="5"/>
        <v>0</v>
      </c>
      <c r="AQ24" s="8">
        <f t="shared" si="5"/>
        <v>1</v>
      </c>
      <c r="AR24" s="8">
        <f t="shared" si="3"/>
        <v>32</v>
      </c>
    </row>
    <row r="25" ht="15.0" customHeight="1">
      <c r="A25" s="56"/>
      <c r="B25" s="55" t="s">
        <v>21</v>
      </c>
      <c r="C25" s="36" t="s">
        <v>22</v>
      </c>
      <c r="D25" s="12" t="s">
        <v>12</v>
      </c>
      <c r="E25" s="12">
        <v>1.0</v>
      </c>
      <c r="F25" s="12">
        <v>7.0</v>
      </c>
      <c r="G25" s="12">
        <v>1.0</v>
      </c>
      <c r="H25" s="12">
        <v>0.0</v>
      </c>
      <c r="I25" s="12">
        <v>2.0</v>
      </c>
      <c r="J25" s="12">
        <v>2.0</v>
      </c>
      <c r="K25" s="12">
        <v>4.0</v>
      </c>
      <c r="L25" s="12">
        <v>3.0</v>
      </c>
      <c r="M25" s="12">
        <v>2.0</v>
      </c>
      <c r="N25" s="12">
        <v>2.0</v>
      </c>
      <c r="O25" s="12">
        <v>2.0</v>
      </c>
      <c r="P25" s="12">
        <v>2.0</v>
      </c>
      <c r="Q25" s="12">
        <v>1.0</v>
      </c>
      <c r="R25" s="12">
        <v>0.0</v>
      </c>
      <c r="S25" s="12">
        <v>0.0</v>
      </c>
      <c r="T25" s="12">
        <v>3.0</v>
      </c>
      <c r="U25" s="12">
        <v>0.0</v>
      </c>
      <c r="V25" s="12">
        <v>9.0</v>
      </c>
      <c r="W25" s="12">
        <v>1.0</v>
      </c>
      <c r="X25" s="12">
        <v>7.0</v>
      </c>
      <c r="Y25" s="12">
        <v>1.0</v>
      </c>
      <c r="Z25" s="12">
        <v>1.0</v>
      </c>
      <c r="AA25" s="12">
        <v>0.0</v>
      </c>
      <c r="AB25" s="12">
        <v>2.0</v>
      </c>
      <c r="AC25" s="12">
        <v>1.0</v>
      </c>
      <c r="AD25" s="12">
        <v>3.0</v>
      </c>
      <c r="AE25" s="12">
        <v>3.0</v>
      </c>
      <c r="AF25" s="12">
        <v>0.0</v>
      </c>
      <c r="AG25" s="12">
        <v>2.0</v>
      </c>
      <c r="AH25" s="12">
        <v>6.0</v>
      </c>
      <c r="AI25" s="12">
        <v>4.0</v>
      </c>
      <c r="AJ25" s="12">
        <v>5.0</v>
      </c>
      <c r="AK25" s="12">
        <v>5.0</v>
      </c>
      <c r="AL25" s="12">
        <v>1.0</v>
      </c>
      <c r="AM25" s="12">
        <v>6.0</v>
      </c>
      <c r="AN25" s="12">
        <v>15.0</v>
      </c>
      <c r="AO25" s="12">
        <v>4.0</v>
      </c>
      <c r="AP25" s="12">
        <v>0.0</v>
      </c>
      <c r="AQ25" s="12">
        <v>0.0</v>
      </c>
      <c r="AR25" s="8">
        <f t="shared" si="3"/>
        <v>108</v>
      </c>
    </row>
    <row r="26" ht="15.0" customHeight="1">
      <c r="A26" s="56"/>
      <c r="B26" s="31"/>
      <c r="C26" s="37"/>
      <c r="D26" s="12" t="s">
        <v>13</v>
      </c>
      <c r="E26" s="12">
        <v>0.0</v>
      </c>
      <c r="F26" s="12">
        <v>0.0</v>
      </c>
      <c r="G26" s="12">
        <v>1.0</v>
      </c>
      <c r="H26" s="12">
        <v>1.0</v>
      </c>
      <c r="I26" s="12">
        <v>3.0</v>
      </c>
      <c r="J26" s="12">
        <v>8.0</v>
      </c>
      <c r="K26" s="12">
        <v>2.0</v>
      </c>
      <c r="L26" s="12">
        <v>2.0</v>
      </c>
      <c r="M26" s="12">
        <v>3.0</v>
      </c>
      <c r="N26" s="12">
        <v>1.0</v>
      </c>
      <c r="O26" s="12">
        <v>3.0</v>
      </c>
      <c r="P26" s="12">
        <v>2.0</v>
      </c>
      <c r="Q26" s="12">
        <v>2.0</v>
      </c>
      <c r="R26" s="12">
        <v>1.0</v>
      </c>
      <c r="S26" s="12">
        <v>5.0</v>
      </c>
      <c r="T26" s="12">
        <v>4.0</v>
      </c>
      <c r="U26" s="12">
        <v>0.0</v>
      </c>
      <c r="V26" s="12">
        <v>10.0</v>
      </c>
      <c r="W26" s="12">
        <v>0.0</v>
      </c>
      <c r="X26" s="12">
        <v>6.0</v>
      </c>
      <c r="Y26" s="12">
        <v>1.0</v>
      </c>
      <c r="Z26" s="12">
        <v>4.0</v>
      </c>
      <c r="AA26" s="12">
        <v>0.0</v>
      </c>
      <c r="AB26" s="12">
        <v>0.0</v>
      </c>
      <c r="AC26" s="12">
        <v>2.0</v>
      </c>
      <c r="AD26" s="12">
        <v>6.0</v>
      </c>
      <c r="AE26" s="12">
        <v>6.0</v>
      </c>
      <c r="AF26" s="12">
        <v>1.0</v>
      </c>
      <c r="AG26" s="12">
        <v>3.0</v>
      </c>
      <c r="AH26" s="12">
        <v>3.0</v>
      </c>
      <c r="AI26" s="12">
        <v>7.0</v>
      </c>
      <c r="AJ26" s="12">
        <v>6.0</v>
      </c>
      <c r="AK26" s="12">
        <v>8.0</v>
      </c>
      <c r="AL26" s="12">
        <v>2.0</v>
      </c>
      <c r="AM26" s="12">
        <v>5.0</v>
      </c>
      <c r="AN26" s="12">
        <v>15.0</v>
      </c>
      <c r="AO26" s="12">
        <v>4.0</v>
      </c>
      <c r="AP26" s="12">
        <v>0.0</v>
      </c>
      <c r="AQ26" s="12">
        <v>1.0</v>
      </c>
      <c r="AR26" s="8">
        <f t="shared" si="3"/>
        <v>128</v>
      </c>
    </row>
    <row r="27" ht="12.75" customHeight="1">
      <c r="A27" s="57"/>
      <c r="B27" s="33"/>
      <c r="C27" s="38"/>
      <c r="D27" s="8" t="s">
        <v>14</v>
      </c>
      <c r="E27" s="8">
        <f t="shared" ref="E27:AQ27" si="6">SUM(E25:E26)</f>
        <v>1</v>
      </c>
      <c r="F27" s="8">
        <f t="shared" si="6"/>
        <v>7</v>
      </c>
      <c r="G27" s="8">
        <f t="shared" si="6"/>
        <v>2</v>
      </c>
      <c r="H27" s="8">
        <f t="shared" si="6"/>
        <v>1</v>
      </c>
      <c r="I27" s="8">
        <f t="shared" si="6"/>
        <v>5</v>
      </c>
      <c r="J27" s="8">
        <f t="shared" si="6"/>
        <v>10</v>
      </c>
      <c r="K27" s="8">
        <f t="shared" si="6"/>
        <v>6</v>
      </c>
      <c r="L27" s="8">
        <f t="shared" si="6"/>
        <v>5</v>
      </c>
      <c r="M27" s="8">
        <f t="shared" si="6"/>
        <v>5</v>
      </c>
      <c r="N27" s="8">
        <f t="shared" si="6"/>
        <v>3</v>
      </c>
      <c r="O27" s="8">
        <f t="shared" si="6"/>
        <v>5</v>
      </c>
      <c r="P27" s="8">
        <f t="shared" si="6"/>
        <v>4</v>
      </c>
      <c r="Q27" s="8">
        <f t="shared" si="6"/>
        <v>3</v>
      </c>
      <c r="R27" s="8">
        <f t="shared" si="6"/>
        <v>1</v>
      </c>
      <c r="S27" s="8">
        <f t="shared" si="6"/>
        <v>5</v>
      </c>
      <c r="T27" s="8">
        <f t="shared" si="6"/>
        <v>7</v>
      </c>
      <c r="U27" s="8">
        <f t="shared" si="6"/>
        <v>0</v>
      </c>
      <c r="V27" s="8">
        <f t="shared" si="6"/>
        <v>19</v>
      </c>
      <c r="W27" s="8">
        <f t="shared" si="6"/>
        <v>1</v>
      </c>
      <c r="X27" s="8">
        <f t="shared" si="6"/>
        <v>13</v>
      </c>
      <c r="Y27" s="8">
        <f t="shared" si="6"/>
        <v>2</v>
      </c>
      <c r="Z27" s="8">
        <f t="shared" si="6"/>
        <v>5</v>
      </c>
      <c r="AA27" s="8">
        <f t="shared" si="6"/>
        <v>0</v>
      </c>
      <c r="AB27" s="8">
        <f t="shared" si="6"/>
        <v>2</v>
      </c>
      <c r="AC27" s="8">
        <f t="shared" si="6"/>
        <v>3</v>
      </c>
      <c r="AD27" s="8">
        <f t="shared" si="6"/>
        <v>9</v>
      </c>
      <c r="AE27" s="8">
        <f t="shared" si="6"/>
        <v>9</v>
      </c>
      <c r="AF27" s="8">
        <f t="shared" si="6"/>
        <v>1</v>
      </c>
      <c r="AG27" s="8">
        <f t="shared" si="6"/>
        <v>5</v>
      </c>
      <c r="AH27" s="8">
        <f t="shared" si="6"/>
        <v>9</v>
      </c>
      <c r="AI27" s="8">
        <f t="shared" si="6"/>
        <v>11</v>
      </c>
      <c r="AJ27" s="8">
        <f t="shared" si="6"/>
        <v>11</v>
      </c>
      <c r="AK27" s="8">
        <f t="shared" si="6"/>
        <v>13</v>
      </c>
      <c r="AL27" s="8">
        <f t="shared" si="6"/>
        <v>3</v>
      </c>
      <c r="AM27" s="8">
        <f t="shared" si="6"/>
        <v>11</v>
      </c>
      <c r="AN27" s="8">
        <f t="shared" si="6"/>
        <v>30</v>
      </c>
      <c r="AO27" s="8">
        <f t="shared" si="6"/>
        <v>8</v>
      </c>
      <c r="AP27" s="8">
        <f t="shared" si="6"/>
        <v>0</v>
      </c>
      <c r="AQ27" s="8">
        <f t="shared" si="6"/>
        <v>1</v>
      </c>
      <c r="AR27" s="8">
        <f t="shared" si="3"/>
        <v>236</v>
      </c>
    </row>
    <row r="28" ht="12.75" customHeight="1">
      <c r="A28" s="57"/>
      <c r="B28" s="53" t="s">
        <v>23</v>
      </c>
      <c r="C28" s="41" t="s">
        <v>24</v>
      </c>
      <c r="D28" s="8" t="s">
        <v>12</v>
      </c>
      <c r="E28" s="8">
        <f t="shared" ref="E28:AQ28" si="7">SUM(E19,E22,E25)</f>
        <v>108</v>
      </c>
      <c r="F28" s="8">
        <f t="shared" si="7"/>
        <v>112</v>
      </c>
      <c r="G28" s="8">
        <f t="shared" si="7"/>
        <v>75</v>
      </c>
      <c r="H28" s="8">
        <f t="shared" si="7"/>
        <v>91</v>
      </c>
      <c r="I28" s="8">
        <f t="shared" si="7"/>
        <v>103</v>
      </c>
      <c r="J28" s="8">
        <f t="shared" si="7"/>
        <v>88</v>
      </c>
      <c r="K28" s="8">
        <f t="shared" si="7"/>
        <v>108</v>
      </c>
      <c r="L28" s="8">
        <f t="shared" si="7"/>
        <v>112</v>
      </c>
      <c r="M28" s="8">
        <f t="shared" si="7"/>
        <v>108</v>
      </c>
      <c r="N28" s="8">
        <f t="shared" si="7"/>
        <v>103</v>
      </c>
      <c r="O28" s="8">
        <f t="shared" si="7"/>
        <v>106</v>
      </c>
      <c r="P28" s="8">
        <f t="shared" si="7"/>
        <v>105</v>
      </c>
      <c r="Q28" s="8">
        <f t="shared" si="7"/>
        <v>116</v>
      </c>
      <c r="R28" s="8">
        <f t="shared" si="7"/>
        <v>110</v>
      </c>
      <c r="S28" s="8">
        <f t="shared" si="7"/>
        <v>105</v>
      </c>
      <c r="T28" s="8">
        <f t="shared" si="7"/>
        <v>126</v>
      </c>
      <c r="U28" s="8">
        <f t="shared" si="7"/>
        <v>90</v>
      </c>
      <c r="V28" s="8">
        <f t="shared" si="7"/>
        <v>131</v>
      </c>
      <c r="W28" s="8">
        <f t="shared" si="7"/>
        <v>97</v>
      </c>
      <c r="X28" s="8">
        <f t="shared" si="7"/>
        <v>103</v>
      </c>
      <c r="Y28" s="8">
        <f t="shared" si="7"/>
        <v>99</v>
      </c>
      <c r="Z28" s="8">
        <f t="shared" si="7"/>
        <v>106</v>
      </c>
      <c r="AA28" s="8">
        <f t="shared" si="7"/>
        <v>94</v>
      </c>
      <c r="AB28" s="8">
        <f t="shared" si="7"/>
        <v>135</v>
      </c>
      <c r="AC28" s="8">
        <f t="shared" si="7"/>
        <v>110</v>
      </c>
      <c r="AD28" s="8">
        <f t="shared" si="7"/>
        <v>141</v>
      </c>
      <c r="AE28" s="8">
        <f t="shared" si="7"/>
        <v>119</v>
      </c>
      <c r="AF28" s="8">
        <f t="shared" si="7"/>
        <v>131</v>
      </c>
      <c r="AG28" s="8">
        <f t="shared" si="7"/>
        <v>111</v>
      </c>
      <c r="AH28" s="8">
        <f t="shared" si="7"/>
        <v>113</v>
      </c>
      <c r="AI28" s="8">
        <f t="shared" si="7"/>
        <v>118</v>
      </c>
      <c r="AJ28" s="8">
        <f t="shared" si="7"/>
        <v>115</v>
      </c>
      <c r="AK28" s="8">
        <f t="shared" si="7"/>
        <v>117</v>
      </c>
      <c r="AL28" s="8">
        <f t="shared" si="7"/>
        <v>129</v>
      </c>
      <c r="AM28" s="8">
        <f t="shared" si="7"/>
        <v>113</v>
      </c>
      <c r="AN28" s="8">
        <f t="shared" si="7"/>
        <v>138</v>
      </c>
      <c r="AO28" s="8">
        <f t="shared" si="7"/>
        <v>105</v>
      </c>
      <c r="AP28" s="8">
        <f t="shared" si="7"/>
        <v>131</v>
      </c>
      <c r="AQ28" s="8">
        <f t="shared" si="7"/>
        <v>102</v>
      </c>
      <c r="AR28" s="8">
        <f t="shared" si="3"/>
        <v>4324</v>
      </c>
    </row>
    <row r="29" ht="15.0" customHeight="1">
      <c r="A29" s="57"/>
      <c r="B29" s="31"/>
      <c r="C29" s="37"/>
      <c r="D29" s="8" t="s">
        <v>13</v>
      </c>
      <c r="E29" s="8">
        <f t="shared" ref="E29:AQ29" si="8">SUM(E20,E23,E26)</f>
        <v>128</v>
      </c>
      <c r="F29" s="8">
        <f t="shared" si="8"/>
        <v>118</v>
      </c>
      <c r="G29" s="8">
        <f t="shared" si="8"/>
        <v>92</v>
      </c>
      <c r="H29" s="8">
        <f t="shared" si="8"/>
        <v>102</v>
      </c>
      <c r="I29" s="8">
        <f t="shared" si="8"/>
        <v>107</v>
      </c>
      <c r="J29" s="8">
        <f t="shared" si="8"/>
        <v>107</v>
      </c>
      <c r="K29" s="8">
        <f t="shared" si="8"/>
        <v>111</v>
      </c>
      <c r="L29" s="8">
        <f t="shared" si="8"/>
        <v>129</v>
      </c>
      <c r="M29" s="8">
        <f t="shared" si="8"/>
        <v>105</v>
      </c>
      <c r="N29" s="8">
        <f t="shared" si="8"/>
        <v>117</v>
      </c>
      <c r="O29" s="8">
        <f t="shared" si="8"/>
        <v>135</v>
      </c>
      <c r="P29" s="8">
        <f t="shared" si="8"/>
        <v>111</v>
      </c>
      <c r="Q29" s="8">
        <f t="shared" si="8"/>
        <v>124</v>
      </c>
      <c r="R29" s="8">
        <f t="shared" si="8"/>
        <v>127</v>
      </c>
      <c r="S29" s="8">
        <f t="shared" si="8"/>
        <v>126</v>
      </c>
      <c r="T29" s="8">
        <f t="shared" si="8"/>
        <v>135</v>
      </c>
      <c r="U29" s="8">
        <f t="shared" si="8"/>
        <v>111</v>
      </c>
      <c r="V29" s="8">
        <f t="shared" si="8"/>
        <v>127</v>
      </c>
      <c r="W29" s="8">
        <f t="shared" si="8"/>
        <v>125</v>
      </c>
      <c r="X29" s="8">
        <f t="shared" si="8"/>
        <v>133</v>
      </c>
      <c r="Y29" s="8">
        <f t="shared" si="8"/>
        <v>103</v>
      </c>
      <c r="Z29" s="8">
        <f t="shared" si="8"/>
        <v>111</v>
      </c>
      <c r="AA29" s="8">
        <f t="shared" si="8"/>
        <v>122</v>
      </c>
      <c r="AB29" s="8">
        <f t="shared" si="8"/>
        <v>125</v>
      </c>
      <c r="AC29" s="8">
        <f t="shared" si="8"/>
        <v>129</v>
      </c>
      <c r="AD29" s="8">
        <f t="shared" si="8"/>
        <v>133</v>
      </c>
      <c r="AE29" s="8">
        <f t="shared" si="8"/>
        <v>123</v>
      </c>
      <c r="AF29" s="8">
        <f t="shared" si="8"/>
        <v>135</v>
      </c>
      <c r="AG29" s="8">
        <f t="shared" si="8"/>
        <v>117</v>
      </c>
      <c r="AH29" s="8">
        <f t="shared" si="8"/>
        <v>106</v>
      </c>
      <c r="AI29" s="8">
        <f t="shared" si="8"/>
        <v>128</v>
      </c>
      <c r="AJ29" s="8">
        <f t="shared" si="8"/>
        <v>129</v>
      </c>
      <c r="AK29" s="8">
        <f t="shared" si="8"/>
        <v>117</v>
      </c>
      <c r="AL29" s="8">
        <f t="shared" si="8"/>
        <v>128</v>
      </c>
      <c r="AM29" s="8">
        <f t="shared" si="8"/>
        <v>113</v>
      </c>
      <c r="AN29" s="8">
        <f t="shared" si="8"/>
        <v>131</v>
      </c>
      <c r="AO29" s="8">
        <f t="shared" si="8"/>
        <v>100</v>
      </c>
      <c r="AP29" s="8">
        <f t="shared" si="8"/>
        <v>122</v>
      </c>
      <c r="AQ29" s="8">
        <f t="shared" si="8"/>
        <v>100</v>
      </c>
      <c r="AR29" s="8">
        <f t="shared" si="3"/>
        <v>4642</v>
      </c>
    </row>
    <row r="30" ht="12.75" customHeight="1">
      <c r="A30" s="57"/>
      <c r="B30" s="33"/>
      <c r="C30" s="38"/>
      <c r="D30" s="8" t="s">
        <v>14</v>
      </c>
      <c r="E30" s="8">
        <f t="shared" ref="E30:AQ30" si="9">SUM(E28:E29)</f>
        <v>236</v>
      </c>
      <c r="F30" s="8">
        <f t="shared" si="9"/>
        <v>230</v>
      </c>
      <c r="G30" s="8">
        <f t="shared" si="9"/>
        <v>167</v>
      </c>
      <c r="H30" s="8">
        <f t="shared" si="9"/>
        <v>193</v>
      </c>
      <c r="I30" s="8">
        <f t="shared" si="9"/>
        <v>210</v>
      </c>
      <c r="J30" s="8">
        <f t="shared" si="9"/>
        <v>195</v>
      </c>
      <c r="K30" s="8">
        <f t="shared" si="9"/>
        <v>219</v>
      </c>
      <c r="L30" s="8">
        <f t="shared" si="9"/>
        <v>241</v>
      </c>
      <c r="M30" s="8">
        <f t="shared" si="9"/>
        <v>213</v>
      </c>
      <c r="N30" s="8">
        <f t="shared" si="9"/>
        <v>220</v>
      </c>
      <c r="O30" s="8">
        <f t="shared" si="9"/>
        <v>241</v>
      </c>
      <c r="P30" s="8">
        <f t="shared" si="9"/>
        <v>216</v>
      </c>
      <c r="Q30" s="8">
        <f t="shared" si="9"/>
        <v>240</v>
      </c>
      <c r="R30" s="8">
        <f t="shared" si="9"/>
        <v>237</v>
      </c>
      <c r="S30" s="8">
        <f t="shared" si="9"/>
        <v>231</v>
      </c>
      <c r="T30" s="8">
        <f t="shared" si="9"/>
        <v>261</v>
      </c>
      <c r="U30" s="8">
        <f t="shared" si="9"/>
        <v>201</v>
      </c>
      <c r="V30" s="8">
        <f t="shared" si="9"/>
        <v>258</v>
      </c>
      <c r="W30" s="8">
        <f t="shared" si="9"/>
        <v>222</v>
      </c>
      <c r="X30" s="8">
        <f t="shared" si="9"/>
        <v>236</v>
      </c>
      <c r="Y30" s="8">
        <f t="shared" si="9"/>
        <v>202</v>
      </c>
      <c r="Z30" s="8">
        <f t="shared" si="9"/>
        <v>217</v>
      </c>
      <c r="AA30" s="8">
        <f t="shared" si="9"/>
        <v>216</v>
      </c>
      <c r="AB30" s="8">
        <f t="shared" si="9"/>
        <v>260</v>
      </c>
      <c r="AC30" s="8">
        <f t="shared" si="9"/>
        <v>239</v>
      </c>
      <c r="AD30" s="8">
        <f t="shared" si="9"/>
        <v>274</v>
      </c>
      <c r="AE30" s="8">
        <f t="shared" si="9"/>
        <v>242</v>
      </c>
      <c r="AF30" s="8">
        <f t="shared" si="9"/>
        <v>266</v>
      </c>
      <c r="AG30" s="8">
        <f t="shared" si="9"/>
        <v>228</v>
      </c>
      <c r="AH30" s="8">
        <f t="shared" si="9"/>
        <v>219</v>
      </c>
      <c r="AI30" s="8">
        <f t="shared" si="9"/>
        <v>246</v>
      </c>
      <c r="AJ30" s="8">
        <f t="shared" si="9"/>
        <v>244</v>
      </c>
      <c r="AK30" s="8">
        <f t="shared" si="9"/>
        <v>234</v>
      </c>
      <c r="AL30" s="8">
        <f t="shared" si="9"/>
        <v>257</v>
      </c>
      <c r="AM30" s="8">
        <f t="shared" si="9"/>
        <v>226</v>
      </c>
      <c r="AN30" s="8">
        <f t="shared" si="9"/>
        <v>269</v>
      </c>
      <c r="AO30" s="8">
        <f t="shared" si="9"/>
        <v>205</v>
      </c>
      <c r="AP30" s="8">
        <f t="shared" si="9"/>
        <v>253</v>
      </c>
      <c r="AQ30" s="8">
        <f t="shared" si="9"/>
        <v>202</v>
      </c>
      <c r="AR30" s="8">
        <f t="shared" si="3"/>
        <v>8966</v>
      </c>
    </row>
    <row r="31" ht="12.75" customHeight="1">
      <c r="A31" s="29"/>
      <c r="B31" s="21"/>
      <c r="C31" s="21"/>
      <c r="D31" s="22"/>
      <c r="E31" s="12"/>
      <c r="F31" s="12"/>
      <c r="G31" s="12"/>
      <c r="H31" s="12"/>
      <c r="I31" s="12"/>
      <c r="J31" s="12"/>
      <c r="K31" s="12"/>
      <c r="L31" s="12"/>
      <c r="M31" s="12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8"/>
    </row>
    <row r="32" ht="12.75" customHeight="1">
      <c r="A32" s="58" t="s">
        <v>25</v>
      </c>
      <c r="B32" s="20" t="s">
        <v>26</v>
      </c>
      <c r="C32" s="21"/>
      <c r="D32" s="22"/>
      <c r="E32" s="8"/>
      <c r="F32" s="8"/>
      <c r="G32" s="8"/>
      <c r="H32" s="8"/>
      <c r="I32" s="8"/>
      <c r="J32" s="8"/>
      <c r="K32" s="8"/>
      <c r="L32" s="8"/>
      <c r="M32" s="8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8"/>
    </row>
    <row r="33" ht="12.75" customHeight="1">
      <c r="A33" s="12">
        <v>1.0</v>
      </c>
      <c r="B33" s="25" t="s">
        <v>121</v>
      </c>
      <c r="C33" s="21"/>
      <c r="D33" s="22"/>
      <c r="E33" s="12">
        <v>292.0</v>
      </c>
      <c r="F33" s="12">
        <v>285.0</v>
      </c>
      <c r="G33" s="12">
        <v>266.0</v>
      </c>
      <c r="H33" s="12">
        <v>285.0</v>
      </c>
      <c r="I33" s="12">
        <v>289.0</v>
      </c>
      <c r="J33" s="12">
        <v>292.0</v>
      </c>
      <c r="K33" s="12">
        <v>290.0</v>
      </c>
      <c r="L33" s="12">
        <v>293.0</v>
      </c>
      <c r="M33" s="12">
        <v>281.0</v>
      </c>
      <c r="N33" s="12">
        <v>296.0</v>
      </c>
      <c r="O33" s="12">
        <v>288.0</v>
      </c>
      <c r="P33" s="12">
        <v>264.0</v>
      </c>
      <c r="Q33" s="12">
        <v>270.0</v>
      </c>
      <c r="R33" s="12">
        <v>292.0</v>
      </c>
      <c r="S33" s="12">
        <v>304.0</v>
      </c>
      <c r="T33" s="12">
        <v>294.0</v>
      </c>
      <c r="U33" s="12">
        <v>293.0</v>
      </c>
      <c r="V33" s="12">
        <v>302.0</v>
      </c>
      <c r="W33" s="12">
        <v>289.0</v>
      </c>
      <c r="X33" s="12">
        <v>293.0</v>
      </c>
      <c r="Y33" s="12">
        <v>262.0</v>
      </c>
      <c r="Z33" s="12">
        <v>285.0</v>
      </c>
      <c r="AA33" s="12">
        <v>279.0</v>
      </c>
      <c r="AB33" s="12">
        <v>294.0</v>
      </c>
      <c r="AC33" s="12">
        <v>283.0</v>
      </c>
      <c r="AD33" s="12">
        <v>293.0</v>
      </c>
      <c r="AE33" s="12">
        <v>296.0</v>
      </c>
      <c r="AF33" s="12">
        <v>291.0</v>
      </c>
      <c r="AG33" s="12">
        <v>274.0</v>
      </c>
      <c r="AH33" s="12">
        <v>274.0</v>
      </c>
      <c r="AI33" s="12">
        <v>328.0</v>
      </c>
      <c r="AJ33" s="12">
        <v>279.0</v>
      </c>
      <c r="AK33" s="12">
        <v>292.0</v>
      </c>
      <c r="AL33" s="12">
        <v>292.0</v>
      </c>
      <c r="AM33" s="12">
        <v>251.0</v>
      </c>
      <c r="AN33" s="12">
        <v>294.0</v>
      </c>
      <c r="AO33" s="12">
        <v>269.0</v>
      </c>
      <c r="AP33" s="12">
        <v>303.0</v>
      </c>
      <c r="AQ33" s="12">
        <v>280.0</v>
      </c>
      <c r="AR33" s="8">
        <f t="shared" ref="AR33:AR36" si="10">SUM(E33:AQ33)</f>
        <v>11177</v>
      </c>
    </row>
    <row r="34" ht="15.0" customHeight="1">
      <c r="A34" s="12">
        <v>2.0</v>
      </c>
      <c r="B34" s="25" t="s">
        <v>28</v>
      </c>
      <c r="C34" s="21"/>
      <c r="D34" s="22"/>
      <c r="E34" s="8">
        <v>236.0</v>
      </c>
      <c r="F34" s="8">
        <v>230.0</v>
      </c>
      <c r="G34" s="8">
        <v>167.0</v>
      </c>
      <c r="H34" s="8">
        <v>193.0</v>
      </c>
      <c r="I34" s="8">
        <v>210.0</v>
      </c>
      <c r="J34" s="8">
        <v>195.0</v>
      </c>
      <c r="K34" s="8">
        <v>219.0</v>
      </c>
      <c r="L34" s="8">
        <v>241.0</v>
      </c>
      <c r="M34" s="8">
        <v>213.0</v>
      </c>
      <c r="N34" s="8">
        <v>220.0</v>
      </c>
      <c r="O34" s="8">
        <v>241.0</v>
      </c>
      <c r="P34" s="8">
        <v>216.0</v>
      </c>
      <c r="Q34" s="8">
        <v>240.0</v>
      </c>
      <c r="R34" s="8">
        <v>237.0</v>
      </c>
      <c r="S34" s="8">
        <v>231.0</v>
      </c>
      <c r="T34" s="8">
        <v>261.0</v>
      </c>
      <c r="U34" s="8">
        <v>201.0</v>
      </c>
      <c r="V34" s="8">
        <v>258.0</v>
      </c>
      <c r="W34" s="8">
        <v>222.0</v>
      </c>
      <c r="X34" s="8">
        <v>236.0</v>
      </c>
      <c r="Y34" s="8">
        <v>202.0</v>
      </c>
      <c r="Z34" s="8">
        <v>217.0</v>
      </c>
      <c r="AA34" s="8">
        <v>216.0</v>
      </c>
      <c r="AB34" s="8">
        <v>260.0</v>
      </c>
      <c r="AC34" s="8">
        <v>239.0</v>
      </c>
      <c r="AD34" s="8">
        <v>274.0</v>
      </c>
      <c r="AE34" s="8">
        <v>242.0</v>
      </c>
      <c r="AF34" s="8">
        <v>266.0</v>
      </c>
      <c r="AG34" s="8">
        <v>228.0</v>
      </c>
      <c r="AH34" s="8">
        <v>219.0</v>
      </c>
      <c r="AI34" s="8">
        <v>246.0</v>
      </c>
      <c r="AJ34" s="8">
        <v>244.0</v>
      </c>
      <c r="AK34" s="8">
        <v>234.0</v>
      </c>
      <c r="AL34" s="8">
        <v>257.0</v>
      </c>
      <c r="AM34" s="8">
        <v>226.0</v>
      </c>
      <c r="AN34" s="8">
        <v>269.0</v>
      </c>
      <c r="AO34" s="8">
        <v>205.0</v>
      </c>
      <c r="AP34" s="8">
        <v>253.0</v>
      </c>
      <c r="AQ34" s="8">
        <v>202.0</v>
      </c>
      <c r="AR34" s="8">
        <f t="shared" si="10"/>
        <v>8966</v>
      </c>
    </row>
    <row r="35" ht="12.75" customHeight="1">
      <c r="A35" s="12">
        <v>3.0</v>
      </c>
      <c r="B35" s="25" t="s">
        <v>29</v>
      </c>
      <c r="C35" s="21"/>
      <c r="D35" s="22"/>
      <c r="E35" s="12">
        <v>0.0</v>
      </c>
      <c r="F35" s="12">
        <v>0.0</v>
      </c>
      <c r="G35" s="12">
        <v>0.0</v>
      </c>
      <c r="H35" s="12">
        <v>0.0</v>
      </c>
      <c r="I35" s="12">
        <v>2.0</v>
      </c>
      <c r="J35" s="12">
        <v>4.0</v>
      </c>
      <c r="K35" s="12">
        <v>0.0</v>
      </c>
      <c r="L35" s="12">
        <v>0.0</v>
      </c>
      <c r="M35" s="12">
        <v>0.0</v>
      </c>
      <c r="N35" s="12">
        <v>0.0</v>
      </c>
      <c r="O35" s="12">
        <v>0.0</v>
      </c>
      <c r="P35" s="12">
        <v>0.0</v>
      </c>
      <c r="Q35" s="12">
        <v>0.0</v>
      </c>
      <c r="R35" s="12">
        <v>0.0</v>
      </c>
      <c r="S35" s="12">
        <v>0.0</v>
      </c>
      <c r="T35" s="12">
        <v>0.0</v>
      </c>
      <c r="U35" s="12">
        <v>1.0</v>
      </c>
      <c r="V35" s="12">
        <v>0.0</v>
      </c>
      <c r="W35" s="12">
        <v>0.0</v>
      </c>
      <c r="X35" s="12">
        <v>0.0</v>
      </c>
      <c r="Y35" s="12">
        <v>0.0</v>
      </c>
      <c r="Z35" s="12">
        <v>0.0</v>
      </c>
      <c r="AA35" s="12">
        <v>0.0</v>
      </c>
      <c r="AB35" s="12">
        <v>0.0</v>
      </c>
      <c r="AC35" s="12">
        <v>0.0</v>
      </c>
      <c r="AD35" s="12">
        <v>2.0</v>
      </c>
      <c r="AE35" s="12">
        <v>0.0</v>
      </c>
      <c r="AF35" s="12">
        <v>0.0</v>
      </c>
      <c r="AG35" s="12">
        <v>1.0</v>
      </c>
      <c r="AH35" s="12">
        <v>0.0</v>
      </c>
      <c r="AI35" s="12">
        <v>0.0</v>
      </c>
      <c r="AJ35" s="12">
        <v>0.0</v>
      </c>
      <c r="AK35" s="12">
        <v>0.0</v>
      </c>
      <c r="AL35" s="12">
        <v>2.0</v>
      </c>
      <c r="AM35" s="12">
        <v>0.0</v>
      </c>
      <c r="AN35" s="12">
        <v>0.0</v>
      </c>
      <c r="AO35" s="12">
        <v>2.0</v>
      </c>
      <c r="AP35" s="12">
        <v>0.0</v>
      </c>
      <c r="AQ35" s="12">
        <v>0.0</v>
      </c>
      <c r="AR35" s="8">
        <f t="shared" si="10"/>
        <v>14</v>
      </c>
    </row>
    <row r="36" ht="12.75" customHeight="1">
      <c r="A36" s="12">
        <v>4.0</v>
      </c>
      <c r="B36" s="25" t="s">
        <v>30</v>
      </c>
      <c r="C36" s="21"/>
      <c r="D36" s="22"/>
      <c r="E36" s="8">
        <f t="shared" ref="E36:AQ36" si="11">E33-(E34+E35)</f>
        <v>56</v>
      </c>
      <c r="F36" s="8">
        <f t="shared" si="11"/>
        <v>55</v>
      </c>
      <c r="G36" s="8">
        <f t="shared" si="11"/>
        <v>99</v>
      </c>
      <c r="H36" s="8">
        <f t="shared" si="11"/>
        <v>92</v>
      </c>
      <c r="I36" s="8">
        <f t="shared" si="11"/>
        <v>77</v>
      </c>
      <c r="J36" s="8">
        <f t="shared" si="11"/>
        <v>93</v>
      </c>
      <c r="K36" s="8">
        <f t="shared" si="11"/>
        <v>71</v>
      </c>
      <c r="L36" s="8">
        <f t="shared" si="11"/>
        <v>52</v>
      </c>
      <c r="M36" s="8">
        <f t="shared" si="11"/>
        <v>68</v>
      </c>
      <c r="N36" s="8">
        <f t="shared" si="11"/>
        <v>76</v>
      </c>
      <c r="O36" s="8">
        <f t="shared" si="11"/>
        <v>47</v>
      </c>
      <c r="P36" s="8">
        <f t="shared" si="11"/>
        <v>48</v>
      </c>
      <c r="Q36" s="8">
        <f t="shared" si="11"/>
        <v>30</v>
      </c>
      <c r="R36" s="8">
        <f t="shared" si="11"/>
        <v>55</v>
      </c>
      <c r="S36" s="8">
        <f t="shared" si="11"/>
        <v>73</v>
      </c>
      <c r="T36" s="8">
        <f t="shared" si="11"/>
        <v>33</v>
      </c>
      <c r="U36" s="8">
        <f t="shared" si="11"/>
        <v>91</v>
      </c>
      <c r="V36" s="8">
        <f t="shared" si="11"/>
        <v>44</v>
      </c>
      <c r="W36" s="8">
        <f t="shared" si="11"/>
        <v>67</v>
      </c>
      <c r="X36" s="8">
        <f t="shared" si="11"/>
        <v>57</v>
      </c>
      <c r="Y36" s="8">
        <f t="shared" si="11"/>
        <v>60</v>
      </c>
      <c r="Z36" s="8">
        <f t="shared" si="11"/>
        <v>68</v>
      </c>
      <c r="AA36" s="8">
        <f t="shared" si="11"/>
        <v>63</v>
      </c>
      <c r="AB36" s="8">
        <f t="shared" si="11"/>
        <v>34</v>
      </c>
      <c r="AC36" s="8">
        <f t="shared" si="11"/>
        <v>44</v>
      </c>
      <c r="AD36" s="8">
        <f t="shared" si="11"/>
        <v>17</v>
      </c>
      <c r="AE36" s="8">
        <f t="shared" si="11"/>
        <v>54</v>
      </c>
      <c r="AF36" s="8">
        <f t="shared" si="11"/>
        <v>25</v>
      </c>
      <c r="AG36" s="8">
        <f t="shared" si="11"/>
        <v>45</v>
      </c>
      <c r="AH36" s="8">
        <f t="shared" si="11"/>
        <v>55</v>
      </c>
      <c r="AI36" s="8">
        <f t="shared" si="11"/>
        <v>82</v>
      </c>
      <c r="AJ36" s="8">
        <f t="shared" si="11"/>
        <v>35</v>
      </c>
      <c r="AK36" s="8">
        <f t="shared" si="11"/>
        <v>58</v>
      </c>
      <c r="AL36" s="8">
        <f t="shared" si="11"/>
        <v>33</v>
      </c>
      <c r="AM36" s="8">
        <f t="shared" si="11"/>
        <v>25</v>
      </c>
      <c r="AN36" s="8">
        <f t="shared" si="11"/>
        <v>25</v>
      </c>
      <c r="AO36" s="8">
        <f t="shared" si="11"/>
        <v>62</v>
      </c>
      <c r="AP36" s="8">
        <f t="shared" si="11"/>
        <v>50</v>
      </c>
      <c r="AQ36" s="8">
        <f t="shared" si="11"/>
        <v>78</v>
      </c>
      <c r="AR36" s="8">
        <f t="shared" si="10"/>
        <v>2197</v>
      </c>
    </row>
    <row r="37" ht="12.75" customHeight="1">
      <c r="A37" s="59"/>
      <c r="B37" s="60"/>
      <c r="C37" s="60"/>
      <c r="D37" s="60"/>
      <c r="E37" s="29"/>
      <c r="F37" s="21"/>
      <c r="G37" s="21"/>
      <c r="H37" s="21"/>
      <c r="I37" s="22"/>
      <c r="J37" s="12"/>
      <c r="K37" s="12"/>
      <c r="L37" s="12"/>
      <c r="M37" s="12"/>
      <c r="N37" s="17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8"/>
    </row>
    <row r="38" ht="12.75" customHeight="1">
      <c r="A38" s="61" t="s">
        <v>31</v>
      </c>
      <c r="B38" s="20" t="s">
        <v>32</v>
      </c>
      <c r="C38" s="21"/>
      <c r="D38" s="22"/>
      <c r="E38" s="8"/>
      <c r="F38" s="8"/>
      <c r="G38" s="8"/>
      <c r="H38" s="8"/>
      <c r="I38" s="8"/>
      <c r="J38" s="8"/>
      <c r="K38" s="8"/>
      <c r="L38" s="8"/>
      <c r="M38" s="8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8"/>
    </row>
    <row r="39" ht="12.75" customHeight="1">
      <c r="A39" s="54"/>
      <c r="B39" s="62" t="s">
        <v>33</v>
      </c>
      <c r="C39" s="28"/>
      <c r="D39" s="12" t="s">
        <v>12</v>
      </c>
      <c r="E39" s="12">
        <v>1.0</v>
      </c>
      <c r="F39" s="12">
        <v>1.0</v>
      </c>
      <c r="G39" s="12"/>
      <c r="H39" s="12"/>
      <c r="I39" s="12"/>
      <c r="J39" s="12"/>
      <c r="K39" s="12"/>
      <c r="L39" s="12"/>
      <c r="M39" s="12">
        <v>1.0</v>
      </c>
      <c r="N39" s="12"/>
      <c r="O39" s="12"/>
      <c r="P39" s="12"/>
      <c r="Q39" s="12"/>
      <c r="R39" s="12"/>
      <c r="S39" s="12">
        <v>2.0</v>
      </c>
      <c r="T39" s="12">
        <v>1.0</v>
      </c>
      <c r="U39" s="12"/>
      <c r="V39" s="12"/>
      <c r="W39" s="12">
        <v>2.0</v>
      </c>
      <c r="X39" s="12"/>
      <c r="Y39" s="12"/>
      <c r="Z39" s="12"/>
      <c r="AA39" s="12"/>
      <c r="AB39" s="12"/>
      <c r="AC39" s="12">
        <v>3.0</v>
      </c>
      <c r="AD39" s="12">
        <v>3.0</v>
      </c>
      <c r="AE39" s="12"/>
      <c r="AF39" s="12"/>
      <c r="AG39" s="12"/>
      <c r="AH39" s="12">
        <v>1.0</v>
      </c>
      <c r="AI39" s="12"/>
      <c r="AJ39" s="12"/>
      <c r="AK39" s="12"/>
      <c r="AL39" s="12"/>
      <c r="AM39" s="12"/>
      <c r="AN39" s="12"/>
      <c r="AO39" s="12"/>
      <c r="AP39" s="12"/>
      <c r="AQ39" s="12">
        <v>1.0</v>
      </c>
      <c r="AR39" s="8">
        <f t="shared" ref="AR39:AR41" si="12">SUM(E39:AQ39)</f>
        <v>16</v>
      </c>
    </row>
    <row r="40" ht="12.75" customHeight="1">
      <c r="A40" s="56"/>
      <c r="C40" s="31"/>
      <c r="D40" s="12" t="s">
        <v>13</v>
      </c>
      <c r="E40" s="12">
        <v>2.0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>
        <v>3.0</v>
      </c>
      <c r="T40" s="12"/>
      <c r="U40" s="12">
        <v>2.0</v>
      </c>
      <c r="V40" s="12"/>
      <c r="W40" s="12">
        <v>1.0</v>
      </c>
      <c r="X40" s="12"/>
      <c r="Y40" s="12"/>
      <c r="Z40" s="12"/>
      <c r="AA40" s="12"/>
      <c r="AB40" s="12"/>
      <c r="AC40" s="12">
        <v>4.0</v>
      </c>
      <c r="AD40" s="12">
        <v>1.0</v>
      </c>
      <c r="AE40" s="12"/>
      <c r="AF40" s="12"/>
      <c r="AG40" s="12">
        <v>1.0</v>
      </c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8">
        <f t="shared" si="12"/>
        <v>14</v>
      </c>
    </row>
    <row r="41" ht="12.75" customHeight="1">
      <c r="A41" s="58"/>
      <c r="B41" s="63"/>
      <c r="C41" s="33"/>
      <c r="D41" s="8" t="s">
        <v>14</v>
      </c>
      <c r="E41" s="8">
        <f t="shared" ref="E41:AQ41" si="13">SUM(E39:E40)</f>
        <v>3</v>
      </c>
      <c r="F41" s="8">
        <f t="shared" si="13"/>
        <v>1</v>
      </c>
      <c r="G41" s="8">
        <f t="shared" si="13"/>
        <v>0</v>
      </c>
      <c r="H41" s="8">
        <f t="shared" si="13"/>
        <v>0</v>
      </c>
      <c r="I41" s="8">
        <f t="shared" si="13"/>
        <v>0</v>
      </c>
      <c r="J41" s="8">
        <f t="shared" si="13"/>
        <v>0</v>
      </c>
      <c r="K41" s="8">
        <f t="shared" si="13"/>
        <v>0</v>
      </c>
      <c r="L41" s="8">
        <f t="shared" si="13"/>
        <v>0</v>
      </c>
      <c r="M41" s="8">
        <f t="shared" si="13"/>
        <v>1</v>
      </c>
      <c r="N41" s="8">
        <f t="shared" si="13"/>
        <v>0</v>
      </c>
      <c r="O41" s="8">
        <f t="shared" si="13"/>
        <v>0</v>
      </c>
      <c r="P41" s="8">
        <f t="shared" si="13"/>
        <v>0</v>
      </c>
      <c r="Q41" s="8">
        <f t="shared" si="13"/>
        <v>0</v>
      </c>
      <c r="R41" s="8">
        <f t="shared" si="13"/>
        <v>0</v>
      </c>
      <c r="S41" s="8">
        <f t="shared" si="13"/>
        <v>5</v>
      </c>
      <c r="T41" s="8">
        <f t="shared" si="13"/>
        <v>1</v>
      </c>
      <c r="U41" s="8">
        <f t="shared" si="13"/>
        <v>2</v>
      </c>
      <c r="V41" s="8">
        <f t="shared" si="13"/>
        <v>0</v>
      </c>
      <c r="W41" s="8">
        <f t="shared" si="13"/>
        <v>3</v>
      </c>
      <c r="X41" s="8">
        <f t="shared" si="13"/>
        <v>0</v>
      </c>
      <c r="Y41" s="8">
        <f t="shared" si="13"/>
        <v>0</v>
      </c>
      <c r="Z41" s="8">
        <f t="shared" si="13"/>
        <v>0</v>
      </c>
      <c r="AA41" s="8">
        <f t="shared" si="13"/>
        <v>0</v>
      </c>
      <c r="AB41" s="8">
        <f t="shared" si="13"/>
        <v>0</v>
      </c>
      <c r="AC41" s="8">
        <f t="shared" si="13"/>
        <v>7</v>
      </c>
      <c r="AD41" s="8">
        <f t="shared" si="13"/>
        <v>4</v>
      </c>
      <c r="AE41" s="8">
        <f t="shared" si="13"/>
        <v>0</v>
      </c>
      <c r="AF41" s="8">
        <f t="shared" si="13"/>
        <v>0</v>
      </c>
      <c r="AG41" s="8">
        <f t="shared" si="13"/>
        <v>1</v>
      </c>
      <c r="AH41" s="8">
        <f t="shared" si="13"/>
        <v>1</v>
      </c>
      <c r="AI41" s="8">
        <f t="shared" si="13"/>
        <v>0</v>
      </c>
      <c r="AJ41" s="8">
        <f t="shared" si="13"/>
        <v>0</v>
      </c>
      <c r="AK41" s="8">
        <f t="shared" si="13"/>
        <v>0</v>
      </c>
      <c r="AL41" s="8">
        <f t="shared" si="13"/>
        <v>0</v>
      </c>
      <c r="AM41" s="8">
        <f t="shared" si="13"/>
        <v>0</v>
      </c>
      <c r="AN41" s="8">
        <f t="shared" si="13"/>
        <v>0</v>
      </c>
      <c r="AO41" s="8">
        <f t="shared" si="13"/>
        <v>0</v>
      </c>
      <c r="AP41" s="8">
        <f t="shared" si="13"/>
        <v>0</v>
      </c>
      <c r="AQ41" s="8">
        <f t="shared" si="13"/>
        <v>1</v>
      </c>
      <c r="AR41" s="8">
        <f t="shared" si="12"/>
        <v>30</v>
      </c>
    </row>
    <row r="42" ht="12.75" customHeight="1">
      <c r="A42" s="64"/>
      <c r="B42" s="63"/>
      <c r="C42" s="63"/>
      <c r="D42" s="33"/>
      <c r="E42" s="29"/>
      <c r="F42" s="21"/>
      <c r="G42" s="21"/>
      <c r="H42" s="21"/>
      <c r="I42" s="22"/>
      <c r="J42" s="12"/>
      <c r="K42" s="12"/>
      <c r="L42" s="12"/>
      <c r="M42" s="12"/>
      <c r="N42" s="17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8"/>
    </row>
    <row r="43" ht="12.75" customHeight="1">
      <c r="A43" s="61" t="s">
        <v>34</v>
      </c>
      <c r="B43" s="20" t="s">
        <v>35</v>
      </c>
      <c r="C43" s="21"/>
      <c r="D43" s="22"/>
      <c r="E43" s="8"/>
      <c r="F43" s="8"/>
      <c r="G43" s="8"/>
      <c r="H43" s="8"/>
      <c r="I43" s="8"/>
      <c r="J43" s="8"/>
      <c r="K43" s="8"/>
      <c r="L43" s="8"/>
      <c r="M43" s="8"/>
      <c r="N43" s="8"/>
      <c r="O43" s="39"/>
      <c r="P43" s="18"/>
      <c r="Q43" s="19"/>
      <c r="R43" s="19"/>
      <c r="S43" s="19"/>
      <c r="T43" s="19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8"/>
    </row>
    <row r="44" ht="15.0" customHeight="1">
      <c r="A44" s="54"/>
      <c r="B44" s="62" t="s">
        <v>36</v>
      </c>
      <c r="C44" s="65"/>
      <c r="D44" s="28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7"/>
      <c r="P44" s="18"/>
      <c r="Q44" s="19"/>
      <c r="R44" s="19"/>
      <c r="S44" s="19"/>
      <c r="T44" s="1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8"/>
    </row>
    <row r="45" ht="15.0" customHeight="1">
      <c r="A45" s="24"/>
      <c r="B45" s="46" t="s">
        <v>17</v>
      </c>
      <c r="C45" s="66" t="s">
        <v>37</v>
      </c>
      <c r="D45" s="22"/>
      <c r="E45" s="12">
        <v>5.0</v>
      </c>
      <c r="F45" s="12">
        <v>14.0</v>
      </c>
      <c r="G45" s="12">
        <v>8.0</v>
      </c>
      <c r="H45" s="12">
        <v>4.0</v>
      </c>
      <c r="I45" s="12">
        <v>11.0</v>
      </c>
      <c r="J45" s="12">
        <v>20.0</v>
      </c>
      <c r="K45" s="12">
        <v>16.0</v>
      </c>
      <c r="L45" s="12">
        <v>18.0</v>
      </c>
      <c r="M45" s="12">
        <v>18.0</v>
      </c>
      <c r="N45" s="12">
        <v>21.0</v>
      </c>
      <c r="O45" s="12">
        <v>17.0</v>
      </c>
      <c r="P45" s="12">
        <v>21.0</v>
      </c>
      <c r="Q45" s="12">
        <v>24.0</v>
      </c>
      <c r="R45" s="12">
        <v>27.0</v>
      </c>
      <c r="S45" s="12">
        <v>21.0</v>
      </c>
      <c r="T45" s="12">
        <v>32.0</v>
      </c>
      <c r="U45" s="12">
        <v>14.0</v>
      </c>
      <c r="V45" s="12">
        <v>53.0</v>
      </c>
      <c r="W45" s="12">
        <v>10.0</v>
      </c>
      <c r="X45" s="12">
        <v>26.0</v>
      </c>
      <c r="Y45" s="12">
        <v>20.0</v>
      </c>
      <c r="Z45" s="12">
        <v>26.0</v>
      </c>
      <c r="AA45" s="12">
        <v>34.0</v>
      </c>
      <c r="AB45" s="12">
        <v>51.0</v>
      </c>
      <c r="AC45" s="12">
        <v>52.0</v>
      </c>
      <c r="AD45" s="12">
        <v>48.0</v>
      </c>
      <c r="AE45" s="12">
        <v>34.0</v>
      </c>
      <c r="AF45" s="12">
        <v>34.0</v>
      </c>
      <c r="AG45" s="12">
        <v>50.0</v>
      </c>
      <c r="AH45" s="12">
        <v>31.0</v>
      </c>
      <c r="AI45" s="12">
        <v>47.0</v>
      </c>
      <c r="AJ45" s="12">
        <v>50.0</v>
      </c>
      <c r="AK45" s="12">
        <v>34.0</v>
      </c>
      <c r="AL45" s="12">
        <v>39.0</v>
      </c>
      <c r="AM45" s="12">
        <v>32.0</v>
      </c>
      <c r="AN45" s="12">
        <v>44.0</v>
      </c>
      <c r="AO45" s="12">
        <v>29.0</v>
      </c>
      <c r="AP45" s="12">
        <v>31.0</v>
      </c>
      <c r="AQ45" s="12">
        <v>7.0</v>
      </c>
      <c r="AR45" s="8">
        <f t="shared" ref="AR45:AR57" si="14">SUM(E45:AQ45)</f>
        <v>1073</v>
      </c>
    </row>
    <row r="46" ht="12.75" customHeight="1">
      <c r="A46" s="24"/>
      <c r="B46" s="46" t="s">
        <v>19</v>
      </c>
      <c r="C46" s="66" t="s">
        <v>38</v>
      </c>
      <c r="D46" s="22"/>
      <c r="E46" s="12">
        <v>35.0</v>
      </c>
      <c r="F46" s="12">
        <v>28.0</v>
      </c>
      <c r="G46" s="12">
        <v>21.0</v>
      </c>
      <c r="H46" s="12">
        <v>18.0</v>
      </c>
      <c r="I46" s="12">
        <v>30.0</v>
      </c>
      <c r="J46" s="12">
        <v>29.0</v>
      </c>
      <c r="K46" s="12">
        <v>32.0</v>
      </c>
      <c r="L46" s="12">
        <v>45.0</v>
      </c>
      <c r="M46" s="12">
        <v>34.0</v>
      </c>
      <c r="N46" s="12">
        <v>27.0</v>
      </c>
      <c r="O46" s="12">
        <v>44.0</v>
      </c>
      <c r="P46" s="12">
        <v>25.0</v>
      </c>
      <c r="Q46" s="12">
        <v>34.0</v>
      </c>
      <c r="R46" s="12">
        <v>29.0</v>
      </c>
      <c r="S46" s="12">
        <v>36.0</v>
      </c>
      <c r="T46" s="12">
        <v>24.0</v>
      </c>
      <c r="U46" s="12">
        <v>26.0</v>
      </c>
      <c r="V46" s="12">
        <v>37.0</v>
      </c>
      <c r="W46" s="12">
        <v>22.0</v>
      </c>
      <c r="X46" s="12">
        <v>39.0</v>
      </c>
      <c r="Y46" s="12">
        <v>23.0</v>
      </c>
      <c r="Z46" s="12">
        <v>23.0</v>
      </c>
      <c r="AA46" s="12">
        <v>31.0</v>
      </c>
      <c r="AB46" s="12">
        <v>24.0</v>
      </c>
      <c r="AC46" s="12">
        <v>33.0</v>
      </c>
      <c r="AD46" s="12">
        <v>37.0</v>
      </c>
      <c r="AE46" s="12">
        <v>54.0</v>
      </c>
      <c r="AF46" s="12">
        <v>22.0</v>
      </c>
      <c r="AG46" s="12">
        <v>26.0</v>
      </c>
      <c r="AH46" s="12">
        <v>25.0</v>
      </c>
      <c r="AI46" s="12">
        <v>38.0</v>
      </c>
      <c r="AJ46" s="12">
        <v>40.0</v>
      </c>
      <c r="AK46" s="12">
        <v>48.0</v>
      </c>
      <c r="AL46" s="12">
        <v>26.0</v>
      </c>
      <c r="AM46" s="12">
        <v>30.0</v>
      </c>
      <c r="AN46" s="12">
        <v>35.0</v>
      </c>
      <c r="AO46" s="12">
        <v>19.0</v>
      </c>
      <c r="AP46" s="12">
        <v>26.0</v>
      </c>
      <c r="AQ46" s="12">
        <v>30.0</v>
      </c>
      <c r="AR46" s="8">
        <f t="shared" si="14"/>
        <v>1205</v>
      </c>
    </row>
    <row r="47" ht="15.0" customHeight="1">
      <c r="A47" s="24"/>
      <c r="B47" s="46" t="s">
        <v>21</v>
      </c>
      <c r="C47" s="66" t="s">
        <v>39</v>
      </c>
      <c r="D47" s="22"/>
      <c r="E47" s="12">
        <v>19.0</v>
      </c>
      <c r="F47" s="12">
        <v>16.0</v>
      </c>
      <c r="G47" s="12">
        <v>6.0</v>
      </c>
      <c r="H47" s="12">
        <v>16.0</v>
      </c>
      <c r="I47" s="12">
        <v>10.0</v>
      </c>
      <c r="J47" s="12">
        <v>10.0</v>
      </c>
      <c r="K47" s="12">
        <v>17.0</v>
      </c>
      <c r="L47" s="12">
        <v>9.0</v>
      </c>
      <c r="M47" s="12">
        <v>8.0</v>
      </c>
      <c r="N47" s="12">
        <v>13.0</v>
      </c>
      <c r="O47" s="12">
        <v>11.0</v>
      </c>
      <c r="P47" s="12">
        <v>12.0</v>
      </c>
      <c r="Q47" s="12">
        <v>17.0</v>
      </c>
      <c r="R47" s="12">
        <v>10.0</v>
      </c>
      <c r="S47" s="12">
        <v>13.0</v>
      </c>
      <c r="T47" s="12">
        <v>13.0</v>
      </c>
      <c r="U47" s="12">
        <v>17.0</v>
      </c>
      <c r="V47" s="12">
        <v>13.0</v>
      </c>
      <c r="W47" s="12">
        <v>14.0</v>
      </c>
      <c r="X47" s="12">
        <v>9.0</v>
      </c>
      <c r="Y47" s="12">
        <v>21.0</v>
      </c>
      <c r="Z47" s="12">
        <v>12.0</v>
      </c>
      <c r="AA47" s="12">
        <v>8.0</v>
      </c>
      <c r="AB47" s="12">
        <v>8.0</v>
      </c>
      <c r="AC47" s="12">
        <v>21.0</v>
      </c>
      <c r="AD47" s="12">
        <v>18.0</v>
      </c>
      <c r="AE47" s="12">
        <v>16.0</v>
      </c>
      <c r="AF47" s="12">
        <v>17.0</v>
      </c>
      <c r="AG47" s="12">
        <v>9.0</v>
      </c>
      <c r="AH47" s="12">
        <v>14.0</v>
      </c>
      <c r="AI47" s="12">
        <v>17.0</v>
      </c>
      <c r="AJ47" s="12">
        <v>10.0</v>
      </c>
      <c r="AK47" s="12">
        <v>14.0</v>
      </c>
      <c r="AL47" s="12">
        <v>15.0</v>
      </c>
      <c r="AM47" s="12">
        <v>20.0</v>
      </c>
      <c r="AN47" s="12">
        <v>8.0</v>
      </c>
      <c r="AO47" s="12">
        <v>13.0</v>
      </c>
      <c r="AP47" s="12">
        <v>9.0</v>
      </c>
      <c r="AQ47" s="12">
        <v>12.0</v>
      </c>
      <c r="AR47" s="8">
        <f t="shared" si="14"/>
        <v>515</v>
      </c>
    </row>
    <row r="48" ht="15.0" customHeight="1">
      <c r="A48" s="24"/>
      <c r="B48" s="46" t="s">
        <v>23</v>
      </c>
      <c r="C48" s="66" t="s">
        <v>40</v>
      </c>
      <c r="D48" s="22"/>
      <c r="E48" s="12">
        <v>29.0</v>
      </c>
      <c r="F48" s="12">
        <v>22.0</v>
      </c>
      <c r="G48" s="12">
        <v>12.0</v>
      </c>
      <c r="H48" s="12">
        <v>14.0</v>
      </c>
      <c r="I48" s="12">
        <v>16.0</v>
      </c>
      <c r="J48" s="12">
        <v>15.0</v>
      </c>
      <c r="K48" s="12">
        <v>20.0</v>
      </c>
      <c r="L48" s="12">
        <v>32.0</v>
      </c>
      <c r="M48" s="12">
        <v>37.0</v>
      </c>
      <c r="N48" s="12">
        <v>19.0</v>
      </c>
      <c r="O48" s="12">
        <v>28.0</v>
      </c>
      <c r="P48" s="12">
        <v>26.0</v>
      </c>
      <c r="Q48" s="12">
        <v>30.0</v>
      </c>
      <c r="R48" s="12">
        <v>26.0</v>
      </c>
      <c r="S48" s="12">
        <v>18.0</v>
      </c>
      <c r="T48" s="12">
        <v>28.0</v>
      </c>
      <c r="U48" s="12">
        <v>20.0</v>
      </c>
      <c r="V48" s="12">
        <v>20.0</v>
      </c>
      <c r="W48" s="12">
        <v>33.0</v>
      </c>
      <c r="X48" s="12">
        <v>18.0</v>
      </c>
      <c r="Y48" s="12">
        <v>23.0</v>
      </c>
      <c r="Z48" s="12">
        <v>24.0</v>
      </c>
      <c r="AA48" s="12">
        <v>29.0</v>
      </c>
      <c r="AB48" s="12">
        <v>15.0</v>
      </c>
      <c r="AC48" s="12">
        <v>15.0</v>
      </c>
      <c r="AD48" s="12">
        <v>36.0</v>
      </c>
      <c r="AE48" s="12">
        <v>21.0</v>
      </c>
      <c r="AF48" s="12">
        <v>28.0</v>
      </c>
      <c r="AG48" s="12">
        <v>12.0</v>
      </c>
      <c r="AH48" s="12">
        <v>19.0</v>
      </c>
      <c r="AI48" s="12">
        <v>20.0</v>
      </c>
      <c r="AJ48" s="12">
        <v>18.0</v>
      </c>
      <c r="AK48" s="12">
        <v>25.0</v>
      </c>
      <c r="AL48" s="12">
        <v>16.0</v>
      </c>
      <c r="AM48" s="12">
        <v>18.0</v>
      </c>
      <c r="AN48" s="12">
        <v>19.0</v>
      </c>
      <c r="AO48" s="12">
        <v>20.0</v>
      </c>
      <c r="AP48" s="12">
        <v>19.0</v>
      </c>
      <c r="AQ48" s="12">
        <v>27.0</v>
      </c>
      <c r="AR48" s="8">
        <f t="shared" si="14"/>
        <v>867</v>
      </c>
    </row>
    <row r="49" ht="12.75" customHeight="1">
      <c r="A49" s="24"/>
      <c r="B49" s="46" t="s">
        <v>41</v>
      </c>
      <c r="C49" s="66" t="s">
        <v>42</v>
      </c>
      <c r="D49" s="22"/>
      <c r="E49" s="12">
        <v>22.0</v>
      </c>
      <c r="F49" s="12">
        <v>24.0</v>
      </c>
      <c r="G49" s="12">
        <v>24.0</v>
      </c>
      <c r="H49" s="12">
        <v>25.0</v>
      </c>
      <c r="I49" s="12">
        <v>23.0</v>
      </c>
      <c r="J49" s="12">
        <v>15.0</v>
      </c>
      <c r="K49" s="12">
        <v>19.0</v>
      </c>
      <c r="L49" s="12">
        <v>15.0</v>
      </c>
      <c r="M49" s="12">
        <v>12.0</v>
      </c>
      <c r="N49" s="12">
        <v>16.0</v>
      </c>
      <c r="O49" s="12">
        <v>29.0</v>
      </c>
      <c r="P49" s="12">
        <v>12.0</v>
      </c>
      <c r="Q49" s="12">
        <v>16.0</v>
      </c>
      <c r="R49" s="12">
        <v>31.0</v>
      </c>
      <c r="S49" s="12">
        <v>24.0</v>
      </c>
      <c r="T49" s="12">
        <v>10.0</v>
      </c>
      <c r="U49" s="12">
        <v>22.0</v>
      </c>
      <c r="V49" s="12">
        <v>14.0</v>
      </c>
      <c r="W49" s="12">
        <v>14.0</v>
      </c>
      <c r="X49" s="12">
        <v>20.0</v>
      </c>
      <c r="Y49" s="12">
        <v>30.0</v>
      </c>
      <c r="Z49" s="12">
        <v>27.0</v>
      </c>
      <c r="AA49" s="12">
        <v>11.0</v>
      </c>
      <c r="AB49" s="12">
        <v>15.0</v>
      </c>
      <c r="AC49" s="12">
        <v>17.0</v>
      </c>
      <c r="AD49" s="12">
        <v>11.0</v>
      </c>
      <c r="AE49" s="12">
        <v>15.0</v>
      </c>
      <c r="AF49" s="12">
        <v>24.0</v>
      </c>
      <c r="AG49" s="12">
        <v>13.0</v>
      </c>
      <c r="AH49" s="12">
        <v>24.0</v>
      </c>
      <c r="AI49" s="12">
        <v>17.0</v>
      </c>
      <c r="AJ49" s="12">
        <v>15.0</v>
      </c>
      <c r="AK49" s="12">
        <v>22.0</v>
      </c>
      <c r="AL49" s="12">
        <v>24.0</v>
      </c>
      <c r="AM49" s="12">
        <v>23.0</v>
      </c>
      <c r="AN49" s="12">
        <v>20.0</v>
      </c>
      <c r="AO49" s="12">
        <v>11.0</v>
      </c>
      <c r="AP49" s="12">
        <v>21.0</v>
      </c>
      <c r="AQ49" s="12">
        <v>7.0</v>
      </c>
      <c r="AR49" s="8">
        <f t="shared" si="14"/>
        <v>734</v>
      </c>
    </row>
    <row r="50" ht="15.0" customHeight="1">
      <c r="A50" s="24"/>
      <c r="B50" s="46" t="s">
        <v>43</v>
      </c>
      <c r="C50" s="66" t="s">
        <v>44</v>
      </c>
      <c r="D50" s="22"/>
      <c r="E50" s="12">
        <v>18.0</v>
      </c>
      <c r="F50" s="12">
        <v>17.0</v>
      </c>
      <c r="G50" s="12">
        <v>12.0</v>
      </c>
      <c r="H50" s="12">
        <v>13.0</v>
      </c>
      <c r="I50" s="12">
        <v>8.0</v>
      </c>
      <c r="J50" s="12">
        <v>10.0</v>
      </c>
      <c r="K50" s="12">
        <v>11.0</v>
      </c>
      <c r="L50" s="12">
        <v>22.0</v>
      </c>
      <c r="M50" s="12">
        <v>11.0</v>
      </c>
      <c r="N50" s="12">
        <v>11.0</v>
      </c>
      <c r="O50" s="12">
        <v>14.0</v>
      </c>
      <c r="P50" s="12">
        <v>14.0</v>
      </c>
      <c r="Q50" s="12">
        <v>17.0</v>
      </c>
      <c r="R50" s="12">
        <v>14.0</v>
      </c>
      <c r="S50" s="12">
        <v>13.0</v>
      </c>
      <c r="T50" s="12">
        <v>12.0</v>
      </c>
      <c r="U50" s="12">
        <v>14.0</v>
      </c>
      <c r="V50" s="12">
        <v>27.0</v>
      </c>
      <c r="W50" s="12">
        <v>9.0</v>
      </c>
      <c r="X50" s="12">
        <v>14.0</v>
      </c>
      <c r="Y50" s="12">
        <v>10.0</v>
      </c>
      <c r="Z50" s="12">
        <v>23.0</v>
      </c>
      <c r="AA50" s="12">
        <v>20.0</v>
      </c>
      <c r="AB50" s="12">
        <v>27.0</v>
      </c>
      <c r="AC50" s="12">
        <v>21.0</v>
      </c>
      <c r="AD50" s="12">
        <v>7.0</v>
      </c>
      <c r="AE50" s="12">
        <v>23.0</v>
      </c>
      <c r="AF50" s="12">
        <v>17.0</v>
      </c>
      <c r="AG50" s="12">
        <v>38.0</v>
      </c>
      <c r="AH50" s="12">
        <v>14.0</v>
      </c>
      <c r="AI50" s="12">
        <v>21.0</v>
      </c>
      <c r="AJ50" s="12">
        <v>31.0</v>
      </c>
      <c r="AK50" s="12">
        <v>13.0</v>
      </c>
      <c r="AL50" s="12">
        <v>24.0</v>
      </c>
      <c r="AM50" s="12">
        <v>18.0</v>
      </c>
      <c r="AN50" s="12">
        <v>24.0</v>
      </c>
      <c r="AO50" s="12">
        <v>29.0</v>
      </c>
      <c r="AP50" s="12">
        <v>14.0</v>
      </c>
      <c r="AQ50" s="12">
        <v>9.0</v>
      </c>
      <c r="AR50" s="8">
        <f t="shared" si="14"/>
        <v>664</v>
      </c>
    </row>
    <row r="51" ht="15.0" customHeight="1">
      <c r="A51" s="24"/>
      <c r="B51" s="46" t="s">
        <v>45</v>
      </c>
      <c r="C51" s="66" t="s">
        <v>46</v>
      </c>
      <c r="D51" s="22"/>
      <c r="E51" s="12">
        <v>3.0</v>
      </c>
      <c r="F51" s="12">
        <v>2.0</v>
      </c>
      <c r="G51" s="12">
        <v>2.0</v>
      </c>
      <c r="H51" s="12">
        <v>1.0</v>
      </c>
      <c r="I51" s="12">
        <v>1.0</v>
      </c>
      <c r="J51" s="12">
        <v>2.0</v>
      </c>
      <c r="K51" s="12">
        <v>4.0</v>
      </c>
      <c r="L51" s="12">
        <v>2.0</v>
      </c>
      <c r="M51" s="12">
        <v>1.0</v>
      </c>
      <c r="N51" s="12">
        <v>3.0</v>
      </c>
      <c r="O51" s="12">
        <v>0.0</v>
      </c>
      <c r="P51" s="12">
        <v>2.0</v>
      </c>
      <c r="Q51" s="12">
        <v>3.0</v>
      </c>
      <c r="R51" s="12">
        <v>4.0</v>
      </c>
      <c r="S51" s="12">
        <v>0.0</v>
      </c>
      <c r="T51" s="12">
        <v>2.0</v>
      </c>
      <c r="U51" s="12">
        <v>2.0</v>
      </c>
      <c r="V51" s="12">
        <v>5.0</v>
      </c>
      <c r="W51" s="12">
        <v>1.0</v>
      </c>
      <c r="X51" s="12">
        <v>3.0</v>
      </c>
      <c r="Y51" s="12">
        <v>1.0</v>
      </c>
      <c r="Z51" s="12">
        <v>1.0</v>
      </c>
      <c r="AA51" s="12">
        <v>2.0</v>
      </c>
      <c r="AB51" s="12">
        <v>0.0</v>
      </c>
      <c r="AC51" s="12">
        <v>1.0</v>
      </c>
      <c r="AD51" s="12">
        <v>3.0</v>
      </c>
      <c r="AE51" s="12">
        <v>5.0</v>
      </c>
      <c r="AF51" s="12">
        <v>2.0</v>
      </c>
      <c r="AG51" s="12">
        <v>1.0</v>
      </c>
      <c r="AH51" s="12">
        <v>3.0</v>
      </c>
      <c r="AI51" s="12">
        <v>2.0</v>
      </c>
      <c r="AJ51" s="12">
        <v>2.0</v>
      </c>
      <c r="AK51" s="12">
        <v>4.0</v>
      </c>
      <c r="AL51" s="12">
        <v>0.0</v>
      </c>
      <c r="AM51" s="12">
        <v>0.0</v>
      </c>
      <c r="AN51" s="12">
        <v>5.0</v>
      </c>
      <c r="AO51" s="12">
        <v>1.0</v>
      </c>
      <c r="AP51" s="12">
        <v>2.0</v>
      </c>
      <c r="AQ51" s="12">
        <v>2.0</v>
      </c>
      <c r="AR51" s="8">
        <f t="shared" si="14"/>
        <v>80</v>
      </c>
    </row>
    <row r="52" ht="12.75" customHeight="1">
      <c r="A52" s="24"/>
      <c r="B52" s="46" t="s">
        <v>47</v>
      </c>
      <c r="C52" s="66" t="s">
        <v>48</v>
      </c>
      <c r="D52" s="22"/>
      <c r="E52" s="12">
        <v>7.0</v>
      </c>
      <c r="F52" s="12">
        <v>8.0</v>
      </c>
      <c r="G52" s="12">
        <v>2.0</v>
      </c>
      <c r="H52" s="12">
        <v>3.0</v>
      </c>
      <c r="I52" s="12">
        <v>15.0</v>
      </c>
      <c r="J52" s="12">
        <v>4.0</v>
      </c>
      <c r="K52" s="12">
        <v>8.0</v>
      </c>
      <c r="L52" s="12">
        <v>2.0</v>
      </c>
      <c r="M52" s="12">
        <v>1.0</v>
      </c>
      <c r="N52" s="12">
        <v>0.0</v>
      </c>
      <c r="O52" s="12">
        <v>3.0</v>
      </c>
      <c r="P52" s="12">
        <v>6.0</v>
      </c>
      <c r="Q52" s="12">
        <v>5.0</v>
      </c>
      <c r="R52" s="12">
        <v>3.0</v>
      </c>
      <c r="S52" s="12">
        <v>1.0</v>
      </c>
      <c r="T52" s="12">
        <v>2.0</v>
      </c>
      <c r="U52" s="12">
        <v>3.0</v>
      </c>
      <c r="V52" s="12">
        <v>7.0</v>
      </c>
      <c r="W52" s="12">
        <v>0.0</v>
      </c>
      <c r="X52" s="12">
        <v>4.0</v>
      </c>
      <c r="Y52" s="12">
        <v>1.0</v>
      </c>
      <c r="Z52" s="12">
        <v>2.0</v>
      </c>
      <c r="AA52" s="12">
        <v>3.0</v>
      </c>
      <c r="AB52" s="12">
        <v>5.0</v>
      </c>
      <c r="AC52" s="12">
        <v>5.0</v>
      </c>
      <c r="AD52" s="12">
        <v>0.0</v>
      </c>
      <c r="AE52" s="12">
        <v>4.0</v>
      </c>
      <c r="AF52" s="12">
        <v>7.0</v>
      </c>
      <c r="AG52" s="12">
        <v>3.0</v>
      </c>
      <c r="AH52" s="12">
        <v>5.0</v>
      </c>
      <c r="AI52" s="12">
        <v>2.0</v>
      </c>
      <c r="AJ52" s="12">
        <v>3.0</v>
      </c>
      <c r="AK52" s="12">
        <v>4.0</v>
      </c>
      <c r="AL52" s="12">
        <v>3.0</v>
      </c>
      <c r="AM52" s="12">
        <v>11.0</v>
      </c>
      <c r="AN52" s="12">
        <v>8.0</v>
      </c>
      <c r="AO52" s="12">
        <v>10.0</v>
      </c>
      <c r="AP52" s="12">
        <v>5.0</v>
      </c>
      <c r="AQ52" s="12">
        <v>0.0</v>
      </c>
      <c r="AR52" s="8">
        <f t="shared" si="14"/>
        <v>165</v>
      </c>
    </row>
    <row r="53" ht="12.75" customHeight="1">
      <c r="A53" s="24"/>
      <c r="B53" s="46" t="s">
        <v>49</v>
      </c>
      <c r="C53" s="66" t="s">
        <v>50</v>
      </c>
      <c r="D53" s="22"/>
      <c r="E53" s="12">
        <v>1.0</v>
      </c>
      <c r="F53" s="12">
        <v>1.0</v>
      </c>
      <c r="G53" s="12">
        <v>0.0</v>
      </c>
      <c r="H53" s="12">
        <v>2.0</v>
      </c>
      <c r="I53" s="12">
        <v>1.0</v>
      </c>
      <c r="J53" s="12">
        <v>0.0</v>
      </c>
      <c r="K53" s="12">
        <v>2.0</v>
      </c>
      <c r="L53" s="12">
        <v>0.0</v>
      </c>
      <c r="M53" s="12">
        <v>2.0</v>
      </c>
      <c r="N53" s="12">
        <v>2.0</v>
      </c>
      <c r="O53" s="12">
        <v>2.0</v>
      </c>
      <c r="P53" s="12">
        <v>3.0</v>
      </c>
      <c r="Q53" s="12">
        <v>0.0</v>
      </c>
      <c r="R53" s="12">
        <v>4.0</v>
      </c>
      <c r="S53" s="12">
        <v>0.0</v>
      </c>
      <c r="T53" s="12">
        <v>1.0</v>
      </c>
      <c r="U53" s="12">
        <v>0.0</v>
      </c>
      <c r="V53" s="12">
        <v>2.0</v>
      </c>
      <c r="W53" s="12">
        <v>1.0</v>
      </c>
      <c r="X53" s="12">
        <v>1.0</v>
      </c>
      <c r="Y53" s="12">
        <v>0.0</v>
      </c>
      <c r="Z53" s="12">
        <v>0.0</v>
      </c>
      <c r="AA53" s="12">
        <v>0.0</v>
      </c>
      <c r="AB53" s="12">
        <v>0.0</v>
      </c>
      <c r="AC53" s="12">
        <v>2.0</v>
      </c>
      <c r="AD53" s="12">
        <v>1.0</v>
      </c>
      <c r="AE53" s="12">
        <v>0.0</v>
      </c>
      <c r="AF53" s="12">
        <v>1.0</v>
      </c>
      <c r="AG53" s="12">
        <v>0.0</v>
      </c>
      <c r="AH53" s="12">
        <v>0.0</v>
      </c>
      <c r="AI53" s="12">
        <v>1.0</v>
      </c>
      <c r="AJ53" s="12">
        <v>1.0</v>
      </c>
      <c r="AK53" s="12">
        <v>0.0</v>
      </c>
      <c r="AL53" s="12">
        <v>1.0</v>
      </c>
      <c r="AM53" s="12">
        <v>0.0</v>
      </c>
      <c r="AN53" s="12">
        <v>0.0</v>
      </c>
      <c r="AO53" s="12">
        <v>1.0</v>
      </c>
      <c r="AP53" s="12">
        <v>1.0</v>
      </c>
      <c r="AQ53" s="12">
        <v>0.0</v>
      </c>
      <c r="AR53" s="8">
        <f t="shared" si="14"/>
        <v>34</v>
      </c>
    </row>
    <row r="54" ht="12.75" customHeight="1">
      <c r="A54" s="24"/>
      <c r="B54" s="46" t="s">
        <v>51</v>
      </c>
      <c r="C54" s="66" t="s">
        <v>52</v>
      </c>
      <c r="D54" s="22"/>
      <c r="E54" s="12">
        <v>31.0</v>
      </c>
      <c r="F54" s="12">
        <v>28.0</v>
      </c>
      <c r="G54" s="12">
        <v>34.0</v>
      </c>
      <c r="H54" s="12">
        <v>30.0</v>
      </c>
      <c r="I54" s="12">
        <v>23.0</v>
      </c>
      <c r="J54" s="12">
        <v>18.0</v>
      </c>
      <c r="K54" s="12">
        <v>25.0</v>
      </c>
      <c r="L54" s="12">
        <v>27.0</v>
      </c>
      <c r="M54" s="12">
        <v>23.0</v>
      </c>
      <c r="N54" s="12">
        <v>27.0</v>
      </c>
      <c r="O54" s="12">
        <v>29.0</v>
      </c>
      <c r="P54" s="12">
        <v>24.0</v>
      </c>
      <c r="Q54" s="12">
        <v>14.0</v>
      </c>
      <c r="R54" s="12">
        <v>15.0</v>
      </c>
      <c r="S54" s="12">
        <v>29.0</v>
      </c>
      <c r="T54" s="12">
        <v>31.0</v>
      </c>
      <c r="U54" s="12">
        <v>25.0</v>
      </c>
      <c r="V54" s="12">
        <v>22.0</v>
      </c>
      <c r="W54" s="12">
        <v>40.0</v>
      </c>
      <c r="X54" s="12">
        <v>29.0</v>
      </c>
      <c r="Y54" s="12">
        <v>23.0</v>
      </c>
      <c r="Z54" s="12">
        <v>20.0</v>
      </c>
      <c r="AA54" s="12">
        <v>20.0</v>
      </c>
      <c r="AB54" s="12">
        <v>33.0</v>
      </c>
      <c r="AC54" s="12">
        <v>24.0</v>
      </c>
      <c r="AD54" s="12">
        <v>27.0</v>
      </c>
      <c r="AE54" s="12">
        <v>12.0</v>
      </c>
      <c r="AF54" s="12">
        <v>23.0</v>
      </c>
      <c r="AG54" s="12">
        <v>18.0</v>
      </c>
      <c r="AH54" s="12">
        <v>27.0</v>
      </c>
      <c r="AI54" s="12">
        <v>16.0</v>
      </c>
      <c r="AJ54" s="12">
        <v>22.0</v>
      </c>
      <c r="AK54" s="12">
        <v>20.0</v>
      </c>
      <c r="AL54" s="12">
        <v>38.0</v>
      </c>
      <c r="AM54" s="12">
        <v>11.0</v>
      </c>
      <c r="AN54" s="12">
        <v>21.0</v>
      </c>
      <c r="AO54" s="12">
        <v>19.0</v>
      </c>
      <c r="AP54" s="12">
        <v>38.0</v>
      </c>
      <c r="AQ54" s="12">
        <v>31.0</v>
      </c>
      <c r="AR54" s="8">
        <f t="shared" si="14"/>
        <v>967</v>
      </c>
    </row>
    <row r="55" ht="12.75" customHeight="1">
      <c r="A55" s="24"/>
      <c r="B55" s="46" t="s">
        <v>53</v>
      </c>
      <c r="C55" s="66" t="s">
        <v>54</v>
      </c>
      <c r="D55" s="22"/>
      <c r="E55" s="12">
        <v>3.0</v>
      </c>
      <c r="F55" s="12">
        <v>1.0</v>
      </c>
      <c r="G55" s="12">
        <v>2.0</v>
      </c>
      <c r="H55" s="12">
        <v>5.0</v>
      </c>
      <c r="I55" s="12">
        <v>2.0</v>
      </c>
      <c r="J55" s="12">
        <v>1.0</v>
      </c>
      <c r="K55" s="12">
        <v>2.0</v>
      </c>
      <c r="L55" s="12">
        <v>2.0</v>
      </c>
      <c r="M55" s="12">
        <v>0.0</v>
      </c>
      <c r="N55" s="12">
        <v>1.0</v>
      </c>
      <c r="O55" s="12">
        <v>0.0</v>
      </c>
      <c r="P55" s="12">
        <v>1.0</v>
      </c>
      <c r="Q55" s="12">
        <v>2.0</v>
      </c>
      <c r="R55" s="12">
        <v>1.0</v>
      </c>
      <c r="S55" s="12">
        <v>3.0</v>
      </c>
      <c r="T55" s="12">
        <v>0.0</v>
      </c>
      <c r="U55" s="12">
        <v>3.0</v>
      </c>
      <c r="V55" s="12">
        <v>3.0</v>
      </c>
      <c r="W55" s="12">
        <v>6.0</v>
      </c>
      <c r="X55" s="12">
        <v>1.0</v>
      </c>
      <c r="Y55" s="12">
        <v>2.0</v>
      </c>
      <c r="Z55" s="12">
        <v>0.0</v>
      </c>
      <c r="AA55" s="12">
        <v>1.0</v>
      </c>
      <c r="AB55" s="12">
        <v>2.0</v>
      </c>
      <c r="AC55" s="12">
        <v>1.0</v>
      </c>
      <c r="AD55" s="12">
        <v>3.0</v>
      </c>
      <c r="AE55" s="12">
        <v>0.0</v>
      </c>
      <c r="AF55" s="12">
        <v>2.0</v>
      </c>
      <c r="AG55" s="12">
        <v>1.0</v>
      </c>
      <c r="AH55" s="12">
        <v>1.0</v>
      </c>
      <c r="AI55" s="12">
        <v>1.0</v>
      </c>
      <c r="AJ55" s="12">
        <v>2.0</v>
      </c>
      <c r="AK55" s="12">
        <v>0.0</v>
      </c>
      <c r="AL55" s="12">
        <v>2.0</v>
      </c>
      <c r="AM55" s="12">
        <v>2.0</v>
      </c>
      <c r="AN55" s="12">
        <v>0.0</v>
      </c>
      <c r="AO55" s="12">
        <v>3.0</v>
      </c>
      <c r="AP55" s="12">
        <v>4.0</v>
      </c>
      <c r="AQ55" s="12">
        <v>1.0</v>
      </c>
      <c r="AR55" s="8">
        <f t="shared" si="14"/>
        <v>67</v>
      </c>
    </row>
    <row r="56" ht="12.75" customHeight="1">
      <c r="A56" s="24"/>
      <c r="B56" s="46" t="s">
        <v>55</v>
      </c>
      <c r="C56" s="66" t="s">
        <v>56</v>
      </c>
      <c r="D56" s="22"/>
      <c r="E56" s="12">
        <v>27.0</v>
      </c>
      <c r="F56" s="12">
        <v>26.0</v>
      </c>
      <c r="G56" s="12">
        <v>11.0</v>
      </c>
      <c r="H56" s="12">
        <v>19.0</v>
      </c>
      <c r="I56" s="12">
        <v>27.0</v>
      </c>
      <c r="J56" s="12">
        <v>22.0</v>
      </c>
      <c r="K56" s="12">
        <v>26.0</v>
      </c>
      <c r="L56" s="12">
        <v>28.0</v>
      </c>
      <c r="M56" s="12">
        <v>35.0</v>
      </c>
      <c r="N56" s="12">
        <v>34.0</v>
      </c>
      <c r="O56" s="12">
        <v>18.0</v>
      </c>
      <c r="P56" s="12">
        <v>28.0</v>
      </c>
      <c r="Q56" s="12">
        <v>32.0</v>
      </c>
      <c r="R56" s="12">
        <v>21.0</v>
      </c>
      <c r="S56" s="12">
        <v>28.0</v>
      </c>
      <c r="T56" s="12">
        <v>34.0</v>
      </c>
      <c r="U56" s="12">
        <v>17.0</v>
      </c>
      <c r="V56" s="12">
        <v>18.0</v>
      </c>
      <c r="W56" s="12">
        <v>34.0</v>
      </c>
      <c r="X56" s="12">
        <v>27.0</v>
      </c>
      <c r="Y56" s="12">
        <v>19.0</v>
      </c>
      <c r="Z56" s="12">
        <v>44.0</v>
      </c>
      <c r="AA56" s="12">
        <v>29.0</v>
      </c>
      <c r="AB56" s="12">
        <v>46.0</v>
      </c>
      <c r="AC56" s="12">
        <v>30.0</v>
      </c>
      <c r="AD56" s="12">
        <v>21.0</v>
      </c>
      <c r="AE56" s="12">
        <v>21.0</v>
      </c>
      <c r="AF56" s="12">
        <v>42.0</v>
      </c>
      <c r="AG56" s="12">
        <v>24.0</v>
      </c>
      <c r="AH56" s="12">
        <v>34.0</v>
      </c>
      <c r="AI56" s="12">
        <v>34.0</v>
      </c>
      <c r="AJ56" s="12">
        <v>21.0</v>
      </c>
      <c r="AK56" s="12">
        <v>30.0</v>
      </c>
      <c r="AL56" s="12">
        <v>48.0</v>
      </c>
      <c r="AM56" s="12">
        <v>17.0</v>
      </c>
      <c r="AN56" s="12">
        <v>15.0</v>
      </c>
      <c r="AO56" s="12">
        <v>17.0</v>
      </c>
      <c r="AP56" s="12">
        <v>39.0</v>
      </c>
      <c r="AQ56" s="12">
        <v>39.0</v>
      </c>
      <c r="AR56" s="8">
        <f t="shared" si="14"/>
        <v>1082</v>
      </c>
    </row>
    <row r="57" ht="12.75" customHeight="1">
      <c r="A57" s="64"/>
      <c r="B57" s="46" t="s">
        <v>57</v>
      </c>
      <c r="C57" s="66" t="s">
        <v>58</v>
      </c>
      <c r="D57" s="22"/>
      <c r="E57" s="12">
        <v>2.0</v>
      </c>
      <c r="F57" s="12">
        <v>3.0</v>
      </c>
      <c r="G57" s="12">
        <v>4.0</v>
      </c>
      <c r="H57" s="12">
        <v>2.0</v>
      </c>
      <c r="I57" s="12">
        <v>5.0</v>
      </c>
      <c r="J57" s="12">
        <v>2.0</v>
      </c>
      <c r="K57" s="12">
        <v>2.0</v>
      </c>
      <c r="L57" s="12">
        <v>2.0</v>
      </c>
      <c r="M57" s="12">
        <v>2.0</v>
      </c>
      <c r="N57" s="12">
        <v>2.0</v>
      </c>
      <c r="O57" s="12">
        <v>3.0</v>
      </c>
      <c r="P57" s="12">
        <v>2.0</v>
      </c>
      <c r="Q57" s="12">
        <v>2.0</v>
      </c>
      <c r="R57" s="12">
        <v>4.0</v>
      </c>
      <c r="S57" s="12">
        <v>2.0</v>
      </c>
      <c r="T57" s="12">
        <v>4.0</v>
      </c>
      <c r="U57" s="12">
        <v>5.0</v>
      </c>
      <c r="V57" s="12">
        <v>0.0</v>
      </c>
      <c r="W57" s="12">
        <v>7.0</v>
      </c>
      <c r="X57" s="12">
        <v>3.0</v>
      </c>
      <c r="Y57" s="12">
        <v>0.0</v>
      </c>
      <c r="Z57" s="12">
        <v>0.0</v>
      </c>
      <c r="AA57" s="12">
        <v>1.0</v>
      </c>
      <c r="AB57" s="12">
        <v>3.0</v>
      </c>
      <c r="AC57" s="12">
        <v>0.0</v>
      </c>
      <c r="AD57" s="12">
        <v>1.0</v>
      </c>
      <c r="AE57" s="12">
        <v>3.0</v>
      </c>
      <c r="AF57" s="12">
        <v>3.0</v>
      </c>
      <c r="AG57" s="12">
        <v>2.0</v>
      </c>
      <c r="AH57" s="12">
        <v>0.0</v>
      </c>
      <c r="AI57" s="12">
        <v>2.0</v>
      </c>
      <c r="AJ57" s="12">
        <v>0.0</v>
      </c>
      <c r="AK57" s="12">
        <v>1.0</v>
      </c>
      <c r="AL57" s="12">
        <v>0.0</v>
      </c>
      <c r="AM57" s="12">
        <v>2.0</v>
      </c>
      <c r="AN57" s="12">
        <v>2.0</v>
      </c>
      <c r="AO57" s="12">
        <v>1.0</v>
      </c>
      <c r="AP57" s="12">
        <v>1.0</v>
      </c>
      <c r="AQ57" s="12">
        <v>3.0</v>
      </c>
      <c r="AR57" s="8">
        <f t="shared" si="14"/>
        <v>83</v>
      </c>
    </row>
    <row r="58" ht="12.75" customHeight="1">
      <c r="A58" s="29"/>
      <c r="B58" s="21"/>
      <c r="C58" s="21"/>
      <c r="D58" s="22"/>
      <c r="E58" s="12"/>
      <c r="F58" s="12"/>
      <c r="G58" s="12"/>
      <c r="H58" s="12"/>
      <c r="I58" s="12"/>
      <c r="J58" s="12"/>
      <c r="K58" s="12"/>
      <c r="L58" s="12"/>
      <c r="M58" s="12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8"/>
    </row>
    <row r="59" ht="12.75" customHeight="1">
      <c r="A59" s="61" t="s">
        <v>59</v>
      </c>
      <c r="B59" s="20" t="s">
        <v>60</v>
      </c>
      <c r="C59" s="21"/>
      <c r="D59" s="22"/>
      <c r="E59" s="8"/>
      <c r="F59" s="8"/>
      <c r="G59" s="8"/>
      <c r="H59" s="8"/>
      <c r="I59" s="8"/>
      <c r="J59" s="8"/>
      <c r="K59" s="8"/>
      <c r="L59" s="8"/>
      <c r="M59" s="8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8"/>
    </row>
    <row r="60" ht="12.75" customHeight="1">
      <c r="A60" s="61"/>
      <c r="B60" s="69" t="s">
        <v>61</v>
      </c>
      <c r="C60" s="50" t="s">
        <v>62</v>
      </c>
      <c r="D60" s="22"/>
      <c r="E60" s="12">
        <f t="shared" ref="E60:AQ60" si="15">SUM(E45:E57)</f>
        <v>202</v>
      </c>
      <c r="F60" s="12">
        <f t="shared" si="15"/>
        <v>190</v>
      </c>
      <c r="G60" s="12">
        <f t="shared" si="15"/>
        <v>138</v>
      </c>
      <c r="H60" s="12">
        <f t="shared" si="15"/>
        <v>152</v>
      </c>
      <c r="I60" s="12">
        <f t="shared" si="15"/>
        <v>172</v>
      </c>
      <c r="J60" s="12">
        <f t="shared" si="15"/>
        <v>148</v>
      </c>
      <c r="K60" s="12">
        <f t="shared" si="15"/>
        <v>184</v>
      </c>
      <c r="L60" s="12">
        <f t="shared" si="15"/>
        <v>204</v>
      </c>
      <c r="M60" s="12">
        <f t="shared" si="15"/>
        <v>184</v>
      </c>
      <c r="N60" s="12">
        <f t="shared" si="15"/>
        <v>176</v>
      </c>
      <c r="O60" s="12">
        <f t="shared" si="15"/>
        <v>198</v>
      </c>
      <c r="P60" s="12">
        <f t="shared" si="15"/>
        <v>176</v>
      </c>
      <c r="Q60" s="12">
        <f t="shared" si="15"/>
        <v>196</v>
      </c>
      <c r="R60" s="12">
        <f t="shared" si="15"/>
        <v>189</v>
      </c>
      <c r="S60" s="12">
        <f t="shared" si="15"/>
        <v>188</v>
      </c>
      <c r="T60" s="12">
        <f t="shared" si="15"/>
        <v>193</v>
      </c>
      <c r="U60" s="12">
        <f t="shared" si="15"/>
        <v>168</v>
      </c>
      <c r="V60" s="12">
        <f t="shared" si="15"/>
        <v>221</v>
      </c>
      <c r="W60" s="12">
        <f t="shared" si="15"/>
        <v>191</v>
      </c>
      <c r="X60" s="12">
        <f t="shared" si="15"/>
        <v>194</v>
      </c>
      <c r="Y60" s="12">
        <f t="shared" si="15"/>
        <v>173</v>
      </c>
      <c r="Z60" s="12">
        <f t="shared" si="15"/>
        <v>202</v>
      </c>
      <c r="AA60" s="12">
        <f t="shared" si="15"/>
        <v>189</v>
      </c>
      <c r="AB60" s="12">
        <f t="shared" si="15"/>
        <v>229</v>
      </c>
      <c r="AC60" s="12">
        <f t="shared" si="15"/>
        <v>222</v>
      </c>
      <c r="AD60" s="12">
        <f t="shared" si="15"/>
        <v>213</v>
      </c>
      <c r="AE60" s="12">
        <f t="shared" si="15"/>
        <v>208</v>
      </c>
      <c r="AF60" s="12">
        <f t="shared" si="15"/>
        <v>222</v>
      </c>
      <c r="AG60" s="12">
        <f t="shared" si="15"/>
        <v>197</v>
      </c>
      <c r="AH60" s="12">
        <f t="shared" si="15"/>
        <v>197</v>
      </c>
      <c r="AI60" s="12">
        <f t="shared" si="15"/>
        <v>218</v>
      </c>
      <c r="AJ60" s="12">
        <f t="shared" si="15"/>
        <v>215</v>
      </c>
      <c r="AK60" s="12">
        <f t="shared" si="15"/>
        <v>215</v>
      </c>
      <c r="AL60" s="12">
        <f t="shared" si="15"/>
        <v>236</v>
      </c>
      <c r="AM60" s="12">
        <f t="shared" si="15"/>
        <v>184</v>
      </c>
      <c r="AN60" s="12">
        <f t="shared" si="15"/>
        <v>201</v>
      </c>
      <c r="AO60" s="12">
        <f t="shared" si="15"/>
        <v>173</v>
      </c>
      <c r="AP60" s="12">
        <f t="shared" si="15"/>
        <v>210</v>
      </c>
      <c r="AQ60" s="12">
        <f t="shared" si="15"/>
        <v>168</v>
      </c>
      <c r="AR60" s="8">
        <f t="shared" ref="AR60:AR62" si="16">SUM(E60:AQ60)</f>
        <v>7536</v>
      </c>
    </row>
    <row r="61" ht="12.75" customHeight="1">
      <c r="A61" s="57"/>
      <c r="B61" s="69" t="s">
        <v>63</v>
      </c>
      <c r="C61" s="50" t="s">
        <v>64</v>
      </c>
      <c r="D61" s="22"/>
      <c r="E61" s="12">
        <v>34.0</v>
      </c>
      <c r="F61" s="12">
        <v>40.0</v>
      </c>
      <c r="G61" s="12">
        <v>29.0</v>
      </c>
      <c r="H61" s="12">
        <v>41.0</v>
      </c>
      <c r="I61" s="12">
        <v>38.0</v>
      </c>
      <c r="J61" s="12">
        <v>47.0</v>
      </c>
      <c r="K61" s="12">
        <v>35.0</v>
      </c>
      <c r="L61" s="12">
        <v>37.0</v>
      </c>
      <c r="M61" s="12">
        <v>29.0</v>
      </c>
      <c r="N61" s="12">
        <v>44.0</v>
      </c>
      <c r="O61" s="12">
        <v>43.0</v>
      </c>
      <c r="P61" s="12">
        <v>40.0</v>
      </c>
      <c r="Q61" s="12">
        <v>44.0</v>
      </c>
      <c r="R61" s="12">
        <v>48.0</v>
      </c>
      <c r="S61" s="12">
        <v>43.0</v>
      </c>
      <c r="T61" s="12">
        <v>68.0</v>
      </c>
      <c r="U61" s="12">
        <v>33.0</v>
      </c>
      <c r="V61" s="12">
        <v>37.0</v>
      </c>
      <c r="W61" s="12">
        <v>31.0</v>
      </c>
      <c r="X61" s="12">
        <v>42.0</v>
      </c>
      <c r="Y61" s="12">
        <v>29.0</v>
      </c>
      <c r="Z61" s="12">
        <v>15.0</v>
      </c>
      <c r="AA61" s="12">
        <v>27.0</v>
      </c>
      <c r="AB61" s="12">
        <v>31.0</v>
      </c>
      <c r="AC61" s="12">
        <v>17.0</v>
      </c>
      <c r="AD61" s="12">
        <v>61.0</v>
      </c>
      <c r="AE61" s="12">
        <v>34.0</v>
      </c>
      <c r="AF61" s="12">
        <v>44.0</v>
      </c>
      <c r="AG61" s="12">
        <v>31.0</v>
      </c>
      <c r="AH61" s="12">
        <v>22.0</v>
      </c>
      <c r="AI61" s="12">
        <v>28.0</v>
      </c>
      <c r="AJ61" s="12">
        <v>29.0</v>
      </c>
      <c r="AK61" s="12">
        <v>19.0</v>
      </c>
      <c r="AL61" s="12">
        <v>21.0</v>
      </c>
      <c r="AM61" s="12">
        <v>42.0</v>
      </c>
      <c r="AN61" s="12">
        <v>68.0</v>
      </c>
      <c r="AO61" s="12">
        <v>32.0</v>
      </c>
      <c r="AP61" s="12">
        <v>43.0</v>
      </c>
      <c r="AQ61" s="12">
        <v>34.0</v>
      </c>
      <c r="AR61" s="8">
        <f t="shared" si="16"/>
        <v>1430</v>
      </c>
    </row>
    <row r="62" ht="12.75" customHeight="1">
      <c r="A62" s="58"/>
      <c r="B62" s="69" t="s">
        <v>65</v>
      </c>
      <c r="C62" s="50" t="s">
        <v>66</v>
      </c>
      <c r="D62" s="22"/>
      <c r="E62" s="8">
        <f t="shared" ref="E62:AQ62" si="17">SUM(E60:E61)</f>
        <v>236</v>
      </c>
      <c r="F62" s="8">
        <f t="shared" si="17"/>
        <v>230</v>
      </c>
      <c r="G62" s="8">
        <f t="shared" si="17"/>
        <v>167</v>
      </c>
      <c r="H62" s="8">
        <f t="shared" si="17"/>
        <v>193</v>
      </c>
      <c r="I62" s="8">
        <f t="shared" si="17"/>
        <v>210</v>
      </c>
      <c r="J62" s="8">
        <f t="shared" si="17"/>
        <v>195</v>
      </c>
      <c r="K62" s="8">
        <f t="shared" si="17"/>
        <v>219</v>
      </c>
      <c r="L62" s="8">
        <f t="shared" si="17"/>
        <v>241</v>
      </c>
      <c r="M62" s="8">
        <f t="shared" si="17"/>
        <v>213</v>
      </c>
      <c r="N62" s="8">
        <f t="shared" si="17"/>
        <v>220</v>
      </c>
      <c r="O62" s="8">
        <f t="shared" si="17"/>
        <v>241</v>
      </c>
      <c r="P62" s="8">
        <f t="shared" si="17"/>
        <v>216</v>
      </c>
      <c r="Q62" s="8">
        <f t="shared" si="17"/>
        <v>240</v>
      </c>
      <c r="R62" s="8">
        <f t="shared" si="17"/>
        <v>237</v>
      </c>
      <c r="S62" s="8">
        <f t="shared" si="17"/>
        <v>231</v>
      </c>
      <c r="T62" s="8">
        <f t="shared" si="17"/>
        <v>261</v>
      </c>
      <c r="U62" s="8">
        <f t="shared" si="17"/>
        <v>201</v>
      </c>
      <c r="V62" s="8">
        <f t="shared" si="17"/>
        <v>258</v>
      </c>
      <c r="W62" s="8">
        <f t="shared" si="17"/>
        <v>222</v>
      </c>
      <c r="X62" s="8">
        <f t="shared" si="17"/>
        <v>236</v>
      </c>
      <c r="Y62" s="8">
        <f t="shared" si="17"/>
        <v>202</v>
      </c>
      <c r="Z62" s="8">
        <f t="shared" si="17"/>
        <v>217</v>
      </c>
      <c r="AA62" s="8">
        <f t="shared" si="17"/>
        <v>216</v>
      </c>
      <c r="AB62" s="8">
        <f t="shared" si="17"/>
        <v>260</v>
      </c>
      <c r="AC62" s="8">
        <f t="shared" si="17"/>
        <v>239</v>
      </c>
      <c r="AD62" s="8">
        <f t="shared" si="17"/>
        <v>274</v>
      </c>
      <c r="AE62" s="8">
        <f t="shared" si="17"/>
        <v>242</v>
      </c>
      <c r="AF62" s="8">
        <f t="shared" si="17"/>
        <v>266</v>
      </c>
      <c r="AG62" s="8">
        <f t="shared" si="17"/>
        <v>228</v>
      </c>
      <c r="AH62" s="8">
        <f t="shared" si="17"/>
        <v>219</v>
      </c>
      <c r="AI62" s="8">
        <f t="shared" si="17"/>
        <v>246</v>
      </c>
      <c r="AJ62" s="8">
        <f t="shared" si="17"/>
        <v>244</v>
      </c>
      <c r="AK62" s="8">
        <f t="shared" si="17"/>
        <v>234</v>
      </c>
      <c r="AL62" s="8">
        <f t="shared" si="17"/>
        <v>257</v>
      </c>
      <c r="AM62" s="8">
        <f t="shared" si="17"/>
        <v>226</v>
      </c>
      <c r="AN62" s="8">
        <f t="shared" si="17"/>
        <v>269</v>
      </c>
      <c r="AO62" s="8">
        <f t="shared" si="17"/>
        <v>205</v>
      </c>
      <c r="AP62" s="8">
        <f t="shared" si="17"/>
        <v>253</v>
      </c>
      <c r="AQ62" s="8">
        <f t="shared" si="17"/>
        <v>202</v>
      </c>
      <c r="AR62" s="8">
        <f t="shared" si="16"/>
        <v>8966</v>
      </c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</sheetData>
  <mergeCells count="46">
    <mergeCell ref="B12:D12"/>
    <mergeCell ref="E12:AQ12"/>
    <mergeCell ref="AR12:AR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E37:I37"/>
    <mergeCell ref="B36:D36"/>
    <mergeCell ref="B38:D38"/>
    <mergeCell ref="B39:C41"/>
    <mergeCell ref="A42:D42"/>
    <mergeCell ref="E42:I42"/>
    <mergeCell ref="B43:D43"/>
    <mergeCell ref="B44:D44"/>
    <mergeCell ref="C45:D45"/>
    <mergeCell ref="C46:D46"/>
    <mergeCell ref="C47:D47"/>
    <mergeCell ref="C48:D48"/>
    <mergeCell ref="C49:D49"/>
    <mergeCell ref="C50:D50"/>
    <mergeCell ref="C51:D51"/>
    <mergeCell ref="B59:D59"/>
    <mergeCell ref="C60:D60"/>
    <mergeCell ref="C61:D61"/>
    <mergeCell ref="C62:D62"/>
    <mergeCell ref="C52:D52"/>
    <mergeCell ref="C53:D53"/>
    <mergeCell ref="C54:D54"/>
    <mergeCell ref="C55:D55"/>
    <mergeCell ref="C56:D56"/>
    <mergeCell ref="C57:D57"/>
    <mergeCell ref="A58:D58"/>
  </mergeCells>
  <conditionalFormatting sqref="E30:T30">
    <cfRule type="expression" dxfId="0" priority="1">
      <formula>E30&lt;&gt;E62</formula>
    </cfRule>
  </conditionalFormatting>
  <conditionalFormatting sqref="E34:T34">
    <cfRule type="expression" dxfId="0" priority="2">
      <formula>E34&lt;&gt;E62</formula>
    </cfRule>
  </conditionalFormatting>
  <conditionalFormatting sqref="E14:AQ15">
    <cfRule type="containsBlanks" dxfId="1" priority="3">
      <formula>LEN(TRIM(E14))=0</formula>
    </cfRule>
  </conditionalFormatting>
  <conditionalFormatting sqref="E19:AQ20">
    <cfRule type="containsBlanks" dxfId="1" priority="4">
      <formula>LEN(TRIM(E19))=0</formula>
    </cfRule>
  </conditionalFormatting>
  <conditionalFormatting sqref="E22:AQ23 E25:AQ26 E33:AQ33 E35:AQ35 E39:AQ40">
    <cfRule type="containsBlanks" dxfId="1" priority="5">
      <formula>LEN(TRIM(E22))=0</formula>
    </cfRule>
  </conditionalFormatting>
  <conditionalFormatting sqref="E30:AQ30">
    <cfRule type="expression" dxfId="0" priority="6">
      <formula>E30&lt;&gt;E34</formula>
    </cfRule>
  </conditionalFormatting>
  <conditionalFormatting sqref="E34:AQ34">
    <cfRule type="expression" dxfId="2" priority="7">
      <formula>E30&lt;&gt;E34</formula>
    </cfRule>
  </conditionalFormatting>
  <conditionalFormatting sqref="E34:AQ34">
    <cfRule type="expression" dxfId="3" priority="8">
      <formula>E30=E34</formula>
    </cfRule>
  </conditionalFormatting>
  <conditionalFormatting sqref="E34:AQ34">
    <cfRule type="expression" dxfId="0" priority="9">
      <formula>E34&lt;&gt;E30</formula>
    </cfRule>
  </conditionalFormatting>
  <conditionalFormatting sqref="E45:AQ57">
    <cfRule type="containsBlanks" dxfId="1" priority="10">
      <formula>LEN(TRIM(E45))=0</formula>
    </cfRule>
  </conditionalFormatting>
  <conditionalFormatting sqref="E60:AQ61">
    <cfRule type="containsBlanks" dxfId="1" priority="11">
      <formula>LEN(TRIM(E60))=0</formula>
    </cfRule>
  </conditionalFormatting>
  <conditionalFormatting sqref="U30:AQ30">
    <cfRule type="expression" dxfId="0" priority="12">
      <formula>U30&lt;&gt;U47</formula>
    </cfRule>
  </conditionalFormatting>
  <conditionalFormatting sqref="U34:AQ34">
    <cfRule type="expression" dxfId="0" priority="13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67.14"/>
    <col customWidth="1" min="4" max="4" width="14.57"/>
    <col customWidth="1" min="5" max="13" width="9.14"/>
    <col customWidth="1" min="14" max="14" width="9.57"/>
    <col customWidth="1" min="15" max="29" width="9.14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2.75" customHeight="1">
      <c r="A2" s="1"/>
      <c r="B2" s="1"/>
      <c r="C2" s="1" t="s">
        <v>0</v>
      </c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ht="15.0" customHeight="1">
      <c r="A3" s="1"/>
      <c r="B3" s="1"/>
      <c r="C3" s="1" t="s">
        <v>2</v>
      </c>
      <c r="D3" s="1" t="s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5.0" customHeight="1">
      <c r="A4" s="1"/>
      <c r="B4" s="1"/>
      <c r="C4" s="1" t="s">
        <v>4</v>
      </c>
      <c r="D4" s="1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ht="12.75" customHeight="1">
      <c r="A9" s="1"/>
      <c r="B9" s="1"/>
      <c r="C9" s="1" t="s">
        <v>67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ht="12.75" customHeight="1">
      <c r="A11" s="2"/>
      <c r="B11" s="16"/>
      <c r="C11" s="16"/>
      <c r="D11" s="16"/>
      <c r="E11" s="2"/>
      <c r="F11" s="2"/>
      <c r="G11" s="2"/>
      <c r="H11" s="2"/>
      <c r="I11" s="2"/>
      <c r="J11" s="2"/>
      <c r="K11" s="2"/>
      <c r="L11" s="2"/>
      <c r="M11" s="2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12.75" customHeight="1">
      <c r="A12" s="8" t="s">
        <v>6</v>
      </c>
      <c r="B12" s="20" t="s">
        <v>7</v>
      </c>
      <c r="C12" s="21"/>
      <c r="D12" s="22"/>
      <c r="E12" s="34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53" t="s">
        <v>8</v>
      </c>
    </row>
    <row r="13" ht="12.75" customHeight="1">
      <c r="A13" s="12" t="s">
        <v>9</v>
      </c>
      <c r="B13" s="25" t="s">
        <v>10</v>
      </c>
      <c r="C13" s="21"/>
      <c r="D13" s="22"/>
      <c r="E13" s="8" t="s">
        <v>69</v>
      </c>
      <c r="F13" s="8" t="s">
        <v>70</v>
      </c>
      <c r="G13" s="8" t="s">
        <v>71</v>
      </c>
      <c r="H13" s="8" t="s">
        <v>72</v>
      </c>
      <c r="I13" s="8" t="s">
        <v>73</v>
      </c>
      <c r="J13" s="8" t="s">
        <v>74</v>
      </c>
      <c r="K13" s="8" t="s">
        <v>75</v>
      </c>
      <c r="L13" s="8" t="s">
        <v>76</v>
      </c>
      <c r="M13" s="8" t="s">
        <v>77</v>
      </c>
      <c r="N13" s="8" t="s">
        <v>78</v>
      </c>
      <c r="O13" s="8" t="s">
        <v>79</v>
      </c>
      <c r="P13" s="8" t="s">
        <v>80</v>
      </c>
      <c r="Q13" s="8" t="s">
        <v>81</v>
      </c>
      <c r="R13" s="8" t="s">
        <v>82</v>
      </c>
      <c r="S13" s="8" t="s">
        <v>83</v>
      </c>
      <c r="T13" s="8" t="s">
        <v>84</v>
      </c>
      <c r="U13" s="8" t="s">
        <v>85</v>
      </c>
      <c r="V13" s="8" t="s">
        <v>86</v>
      </c>
      <c r="W13" s="8" t="s">
        <v>87</v>
      </c>
      <c r="X13" s="8" t="s">
        <v>88</v>
      </c>
      <c r="Y13" s="8" t="s">
        <v>89</v>
      </c>
      <c r="Z13" s="8" t="s">
        <v>90</v>
      </c>
      <c r="AA13" s="8" t="s">
        <v>91</v>
      </c>
      <c r="AB13" s="8" t="s">
        <v>92</v>
      </c>
      <c r="AC13" s="33"/>
    </row>
    <row r="14" ht="12.75" customHeight="1">
      <c r="A14" s="24"/>
      <c r="B14" s="27" t="s">
        <v>11</v>
      </c>
      <c r="C14" s="28"/>
      <c r="D14" s="12" t="s">
        <v>12</v>
      </c>
      <c r="E14" s="12">
        <v>88.0</v>
      </c>
      <c r="F14" s="12">
        <v>112.0</v>
      </c>
      <c r="G14" s="12">
        <v>144.0</v>
      </c>
      <c r="H14" s="12">
        <v>112.0</v>
      </c>
      <c r="I14" s="12">
        <v>130.0</v>
      </c>
      <c r="J14" s="12">
        <v>147.0</v>
      </c>
      <c r="K14" s="12">
        <v>145.0</v>
      </c>
      <c r="L14" s="12">
        <v>148.0</v>
      </c>
      <c r="M14" s="12">
        <v>125.0</v>
      </c>
      <c r="N14" s="12">
        <v>122.0</v>
      </c>
      <c r="O14" s="12">
        <v>120.0</v>
      </c>
      <c r="P14" s="12">
        <v>148.0</v>
      </c>
      <c r="Q14" s="12">
        <v>148.0</v>
      </c>
      <c r="R14" s="12">
        <v>139.0</v>
      </c>
      <c r="S14" s="12">
        <v>100.0</v>
      </c>
      <c r="T14" s="12">
        <v>141.0</v>
      </c>
      <c r="U14" s="12">
        <v>139.0</v>
      </c>
      <c r="V14" s="12">
        <v>139.0</v>
      </c>
      <c r="W14" s="12">
        <v>139.0</v>
      </c>
      <c r="X14" s="12">
        <v>137.0</v>
      </c>
      <c r="Y14" s="12">
        <v>122.0</v>
      </c>
      <c r="Z14" s="12">
        <v>109.0</v>
      </c>
      <c r="AA14" s="12">
        <v>124.0</v>
      </c>
      <c r="AB14" s="12">
        <v>127.0</v>
      </c>
      <c r="AC14" s="8">
        <f t="shared" ref="AC14:AC16" si="1">SUM(E14:AB14)</f>
        <v>3105</v>
      </c>
    </row>
    <row r="15" ht="12.75" customHeight="1">
      <c r="A15" s="24"/>
      <c r="B15" s="30"/>
      <c r="C15" s="31"/>
      <c r="D15" s="12" t="s">
        <v>13</v>
      </c>
      <c r="E15" s="12">
        <v>84.0</v>
      </c>
      <c r="F15" s="12">
        <v>119.0</v>
      </c>
      <c r="G15" s="12">
        <v>147.0</v>
      </c>
      <c r="H15" s="12">
        <v>118.0</v>
      </c>
      <c r="I15" s="12">
        <v>144.0</v>
      </c>
      <c r="J15" s="12">
        <v>150.0</v>
      </c>
      <c r="K15" s="12">
        <v>150.0</v>
      </c>
      <c r="L15" s="12">
        <v>143.0</v>
      </c>
      <c r="M15" s="12">
        <v>136.0</v>
      </c>
      <c r="N15" s="12">
        <v>125.0</v>
      </c>
      <c r="O15" s="12">
        <v>132.0</v>
      </c>
      <c r="P15" s="12">
        <v>146.0</v>
      </c>
      <c r="Q15" s="12">
        <v>140.0</v>
      </c>
      <c r="R15" s="12">
        <v>146.0</v>
      </c>
      <c r="S15" s="12">
        <v>100.0</v>
      </c>
      <c r="T15" s="12">
        <v>143.0</v>
      </c>
      <c r="U15" s="12">
        <v>142.0</v>
      </c>
      <c r="V15" s="12">
        <v>139.0</v>
      </c>
      <c r="W15" s="12">
        <v>145.0</v>
      </c>
      <c r="X15" s="12">
        <v>130.0</v>
      </c>
      <c r="Y15" s="12">
        <v>130.0</v>
      </c>
      <c r="Z15" s="12">
        <v>108.0</v>
      </c>
      <c r="AA15" s="12">
        <v>132.0</v>
      </c>
      <c r="AB15" s="12">
        <v>123.0</v>
      </c>
      <c r="AC15" s="8">
        <f t="shared" si="1"/>
        <v>3172</v>
      </c>
    </row>
    <row r="16" ht="12.75" customHeight="1">
      <c r="A16" s="32"/>
      <c r="B16" s="26"/>
      <c r="C16" s="33"/>
      <c r="D16" s="8" t="s">
        <v>14</v>
      </c>
      <c r="E16" s="8">
        <f t="shared" ref="E16:AB16" si="2">SUM(E14:E15)</f>
        <v>172</v>
      </c>
      <c r="F16" s="8">
        <f t="shared" si="2"/>
        <v>231</v>
      </c>
      <c r="G16" s="8">
        <f t="shared" si="2"/>
        <v>291</v>
      </c>
      <c r="H16" s="8">
        <f t="shared" si="2"/>
        <v>230</v>
      </c>
      <c r="I16" s="8">
        <f t="shared" si="2"/>
        <v>274</v>
      </c>
      <c r="J16" s="8">
        <f t="shared" si="2"/>
        <v>297</v>
      </c>
      <c r="K16" s="8">
        <f t="shared" si="2"/>
        <v>295</v>
      </c>
      <c r="L16" s="8">
        <f t="shared" si="2"/>
        <v>291</v>
      </c>
      <c r="M16" s="8">
        <f t="shared" si="2"/>
        <v>261</v>
      </c>
      <c r="N16" s="8">
        <f t="shared" si="2"/>
        <v>247</v>
      </c>
      <c r="O16" s="8">
        <f t="shared" si="2"/>
        <v>252</v>
      </c>
      <c r="P16" s="8">
        <f t="shared" si="2"/>
        <v>294</v>
      </c>
      <c r="Q16" s="8">
        <f t="shared" si="2"/>
        <v>288</v>
      </c>
      <c r="R16" s="8">
        <f t="shared" si="2"/>
        <v>285</v>
      </c>
      <c r="S16" s="8">
        <f t="shared" si="2"/>
        <v>200</v>
      </c>
      <c r="T16" s="8">
        <f t="shared" si="2"/>
        <v>284</v>
      </c>
      <c r="U16" s="8">
        <f t="shared" si="2"/>
        <v>281</v>
      </c>
      <c r="V16" s="8">
        <f t="shared" si="2"/>
        <v>278</v>
      </c>
      <c r="W16" s="8">
        <f t="shared" si="2"/>
        <v>284</v>
      </c>
      <c r="X16" s="8">
        <f t="shared" si="2"/>
        <v>267</v>
      </c>
      <c r="Y16" s="8">
        <f t="shared" si="2"/>
        <v>252</v>
      </c>
      <c r="Z16" s="8">
        <f t="shared" si="2"/>
        <v>217</v>
      </c>
      <c r="AA16" s="8">
        <f t="shared" si="2"/>
        <v>256</v>
      </c>
      <c r="AB16" s="8">
        <f t="shared" si="2"/>
        <v>250</v>
      </c>
      <c r="AC16" s="8">
        <f t="shared" si="1"/>
        <v>6277</v>
      </c>
    </row>
    <row r="17" ht="12.75" customHeight="1">
      <c r="A17" s="29"/>
      <c r="B17" s="21"/>
      <c r="C17" s="21"/>
      <c r="D17" s="22"/>
      <c r="E17" s="12"/>
      <c r="F17" s="12"/>
      <c r="G17" s="12"/>
      <c r="H17" s="12"/>
      <c r="I17" s="12"/>
      <c r="J17" s="12"/>
      <c r="K17" s="12"/>
      <c r="L17" s="12"/>
      <c r="M17" s="12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8"/>
    </row>
    <row r="18" ht="12.75" customHeight="1">
      <c r="A18" s="54" t="s">
        <v>15</v>
      </c>
      <c r="B18" s="25" t="s">
        <v>16</v>
      </c>
      <c r="C18" s="21"/>
      <c r="D18" s="22"/>
      <c r="E18" s="12"/>
      <c r="F18" s="12"/>
      <c r="G18" s="12"/>
      <c r="H18" s="12"/>
      <c r="I18" s="12"/>
      <c r="J18" s="12"/>
      <c r="K18" s="12"/>
      <c r="L18" s="12"/>
      <c r="M18" s="12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8"/>
    </row>
    <row r="19" ht="12.75" customHeight="1">
      <c r="A19" s="54"/>
      <c r="B19" s="55" t="s">
        <v>17</v>
      </c>
      <c r="C19" s="36" t="s">
        <v>18</v>
      </c>
      <c r="D19" s="12" t="s">
        <v>12</v>
      </c>
      <c r="E19" s="12">
        <v>63.0</v>
      </c>
      <c r="F19" s="12">
        <v>88.0</v>
      </c>
      <c r="G19" s="12">
        <v>101.0</v>
      </c>
      <c r="H19" s="12">
        <v>80.0</v>
      </c>
      <c r="I19" s="12">
        <v>104.0</v>
      </c>
      <c r="J19" s="12">
        <v>117.0</v>
      </c>
      <c r="K19" s="12">
        <v>117.0</v>
      </c>
      <c r="L19" s="12">
        <v>124.0</v>
      </c>
      <c r="M19" s="12">
        <v>96.0</v>
      </c>
      <c r="N19" s="12">
        <v>98.0</v>
      </c>
      <c r="O19" s="12">
        <v>106.0</v>
      </c>
      <c r="P19" s="12">
        <v>124.0</v>
      </c>
      <c r="Q19" s="12">
        <v>111.0</v>
      </c>
      <c r="R19" s="12">
        <v>115.0</v>
      </c>
      <c r="S19" s="12">
        <v>94.0</v>
      </c>
      <c r="T19" s="12">
        <v>121.0</v>
      </c>
      <c r="U19" s="12">
        <v>120.0</v>
      </c>
      <c r="V19" s="12">
        <v>123.0</v>
      </c>
      <c r="W19" s="12">
        <v>112.0</v>
      </c>
      <c r="X19" s="12">
        <v>114.0</v>
      </c>
      <c r="Y19" s="12">
        <v>105.0</v>
      </c>
      <c r="Z19" s="12">
        <v>87.0</v>
      </c>
      <c r="AA19" s="12">
        <v>99.0</v>
      </c>
      <c r="AB19" s="12">
        <v>97.0</v>
      </c>
      <c r="AC19" s="8">
        <f t="shared" ref="AC19:AC30" si="3">SUM(E19:AB19)</f>
        <v>2516</v>
      </c>
    </row>
    <row r="20" ht="12.75" customHeight="1">
      <c r="A20" s="56"/>
      <c r="B20" s="31"/>
      <c r="C20" s="37"/>
      <c r="D20" s="12" t="s">
        <v>13</v>
      </c>
      <c r="E20" s="12">
        <v>73.0</v>
      </c>
      <c r="F20" s="12">
        <v>104.0</v>
      </c>
      <c r="G20" s="12">
        <v>118.0</v>
      </c>
      <c r="H20" s="12">
        <v>97.0</v>
      </c>
      <c r="I20" s="12">
        <v>133.0</v>
      </c>
      <c r="J20" s="12">
        <v>129.0</v>
      </c>
      <c r="K20" s="12">
        <v>128.0</v>
      </c>
      <c r="L20" s="12">
        <v>127.0</v>
      </c>
      <c r="M20" s="12">
        <v>107.0</v>
      </c>
      <c r="N20" s="12">
        <v>106.0</v>
      </c>
      <c r="O20" s="12">
        <v>122.0</v>
      </c>
      <c r="P20" s="12">
        <v>125.0</v>
      </c>
      <c r="Q20" s="12">
        <v>116.0</v>
      </c>
      <c r="R20" s="12">
        <v>123.0</v>
      </c>
      <c r="S20" s="12">
        <v>94.0</v>
      </c>
      <c r="T20" s="12">
        <v>122.0</v>
      </c>
      <c r="U20" s="12">
        <v>121.0</v>
      </c>
      <c r="V20" s="12">
        <v>120.0</v>
      </c>
      <c r="W20" s="12">
        <v>122.0</v>
      </c>
      <c r="X20" s="12">
        <v>108.0</v>
      </c>
      <c r="Y20" s="12">
        <v>107.0</v>
      </c>
      <c r="Z20" s="12">
        <v>89.0</v>
      </c>
      <c r="AA20" s="12">
        <v>118.0</v>
      </c>
      <c r="AB20" s="12">
        <v>96.0</v>
      </c>
      <c r="AC20" s="8">
        <f t="shared" si="3"/>
        <v>2705</v>
      </c>
    </row>
    <row r="21" ht="12.75" customHeight="1">
      <c r="A21" s="57"/>
      <c r="B21" s="33"/>
      <c r="C21" s="38"/>
      <c r="D21" s="8" t="s">
        <v>14</v>
      </c>
      <c r="E21" s="8">
        <f t="shared" ref="E21:AB21" si="4">SUM(E19:E20)</f>
        <v>136</v>
      </c>
      <c r="F21" s="8">
        <f t="shared" si="4"/>
        <v>192</v>
      </c>
      <c r="G21" s="8">
        <f t="shared" si="4"/>
        <v>219</v>
      </c>
      <c r="H21" s="8">
        <f t="shared" si="4"/>
        <v>177</v>
      </c>
      <c r="I21" s="8">
        <f t="shared" si="4"/>
        <v>237</v>
      </c>
      <c r="J21" s="8">
        <f t="shared" si="4"/>
        <v>246</v>
      </c>
      <c r="K21" s="8">
        <f t="shared" si="4"/>
        <v>245</v>
      </c>
      <c r="L21" s="8">
        <f t="shared" si="4"/>
        <v>251</v>
      </c>
      <c r="M21" s="8">
        <f t="shared" si="4"/>
        <v>203</v>
      </c>
      <c r="N21" s="8">
        <f t="shared" si="4"/>
        <v>204</v>
      </c>
      <c r="O21" s="8">
        <f t="shared" si="4"/>
        <v>228</v>
      </c>
      <c r="P21" s="8">
        <f t="shared" si="4"/>
        <v>249</v>
      </c>
      <c r="Q21" s="8">
        <f t="shared" si="4"/>
        <v>227</v>
      </c>
      <c r="R21" s="8">
        <f t="shared" si="4"/>
        <v>238</v>
      </c>
      <c r="S21" s="8">
        <f t="shared" si="4"/>
        <v>188</v>
      </c>
      <c r="T21" s="8">
        <f t="shared" si="4"/>
        <v>243</v>
      </c>
      <c r="U21" s="8">
        <f t="shared" si="4"/>
        <v>241</v>
      </c>
      <c r="V21" s="8">
        <f t="shared" si="4"/>
        <v>243</v>
      </c>
      <c r="W21" s="8">
        <f t="shared" si="4"/>
        <v>234</v>
      </c>
      <c r="X21" s="8">
        <f t="shared" si="4"/>
        <v>222</v>
      </c>
      <c r="Y21" s="8">
        <f t="shared" si="4"/>
        <v>212</v>
      </c>
      <c r="Z21" s="8">
        <f t="shared" si="4"/>
        <v>176</v>
      </c>
      <c r="AA21" s="8">
        <f t="shared" si="4"/>
        <v>217</v>
      </c>
      <c r="AB21" s="8">
        <f t="shared" si="4"/>
        <v>193</v>
      </c>
      <c r="AC21" s="8">
        <f t="shared" si="3"/>
        <v>5221</v>
      </c>
    </row>
    <row r="22" ht="12.75" customHeight="1">
      <c r="A22" s="56"/>
      <c r="B22" s="55" t="s">
        <v>19</v>
      </c>
      <c r="C22" s="36" t="s">
        <v>20</v>
      </c>
      <c r="D22" s="12" t="s">
        <v>12</v>
      </c>
      <c r="E22" s="12">
        <v>0.0</v>
      </c>
      <c r="F22" s="12">
        <v>0.0</v>
      </c>
      <c r="G22" s="12">
        <v>0.0</v>
      </c>
      <c r="H22" s="12">
        <v>0.0</v>
      </c>
      <c r="I22" s="12">
        <v>0.0</v>
      </c>
      <c r="J22" s="12">
        <v>0.0</v>
      </c>
      <c r="K22" s="12">
        <v>0.0</v>
      </c>
      <c r="L22" s="12">
        <v>0.0</v>
      </c>
      <c r="M22" s="12">
        <v>1.0</v>
      </c>
      <c r="N22" s="12">
        <v>0.0</v>
      </c>
      <c r="O22" s="12">
        <v>0.0</v>
      </c>
      <c r="P22" s="12">
        <v>0.0</v>
      </c>
      <c r="Q22" s="12">
        <v>1.0</v>
      </c>
      <c r="R22" s="12">
        <v>0.0</v>
      </c>
      <c r="S22" s="12">
        <v>0.0</v>
      </c>
      <c r="T22" s="12">
        <v>1.0</v>
      </c>
      <c r="U22" s="12">
        <v>0.0</v>
      </c>
      <c r="V22" s="12">
        <v>0.0</v>
      </c>
      <c r="W22" s="12">
        <v>0.0</v>
      </c>
      <c r="X22" s="12">
        <v>0.0</v>
      </c>
      <c r="Y22" s="12">
        <v>0.0</v>
      </c>
      <c r="Z22" s="12">
        <v>0.0</v>
      </c>
      <c r="AA22" s="12">
        <v>1.0</v>
      </c>
      <c r="AB22" s="12">
        <v>0.0</v>
      </c>
      <c r="AC22" s="8">
        <f t="shared" si="3"/>
        <v>4</v>
      </c>
    </row>
    <row r="23" ht="15.0" customHeight="1">
      <c r="A23" s="56"/>
      <c r="B23" s="31"/>
      <c r="C23" s="37"/>
      <c r="D23" s="12" t="s">
        <v>13</v>
      </c>
      <c r="E23" s="12">
        <v>1.0</v>
      </c>
      <c r="F23" s="12">
        <v>0.0</v>
      </c>
      <c r="G23" s="12">
        <v>1.0</v>
      </c>
      <c r="H23" s="12">
        <v>0.0</v>
      </c>
      <c r="I23" s="12">
        <v>1.0</v>
      </c>
      <c r="J23" s="12">
        <v>0.0</v>
      </c>
      <c r="K23" s="12">
        <v>1.0</v>
      </c>
      <c r="L23" s="12">
        <v>0.0</v>
      </c>
      <c r="M23" s="12">
        <v>0.0</v>
      </c>
      <c r="N23" s="12">
        <v>0.0</v>
      </c>
      <c r="O23" s="12">
        <v>0.0</v>
      </c>
      <c r="P23" s="12">
        <v>0.0</v>
      </c>
      <c r="Q23" s="12">
        <v>2.0</v>
      </c>
      <c r="R23" s="12">
        <v>0.0</v>
      </c>
      <c r="S23" s="12">
        <v>1.0</v>
      </c>
      <c r="T23" s="12">
        <v>0.0</v>
      </c>
      <c r="U23" s="12">
        <v>0.0</v>
      </c>
      <c r="V23" s="12">
        <v>0.0</v>
      </c>
      <c r="W23" s="12">
        <v>1.0</v>
      </c>
      <c r="X23" s="12">
        <v>0.0</v>
      </c>
      <c r="Y23" s="12">
        <v>0.0</v>
      </c>
      <c r="Z23" s="12">
        <v>0.0</v>
      </c>
      <c r="AA23" s="12">
        <v>1.0</v>
      </c>
      <c r="AB23" s="12">
        <v>1.0</v>
      </c>
      <c r="AC23" s="8">
        <f t="shared" si="3"/>
        <v>10</v>
      </c>
    </row>
    <row r="24" ht="15.0" customHeight="1">
      <c r="A24" s="57"/>
      <c r="B24" s="33"/>
      <c r="C24" s="38"/>
      <c r="D24" s="8" t="s">
        <v>14</v>
      </c>
      <c r="E24" s="8">
        <f t="shared" ref="E24:AB24" si="5">SUM(E22:E23)</f>
        <v>1</v>
      </c>
      <c r="F24" s="8">
        <f t="shared" si="5"/>
        <v>0</v>
      </c>
      <c r="G24" s="8">
        <f t="shared" si="5"/>
        <v>1</v>
      </c>
      <c r="H24" s="8">
        <f t="shared" si="5"/>
        <v>0</v>
      </c>
      <c r="I24" s="8">
        <f t="shared" si="5"/>
        <v>1</v>
      </c>
      <c r="J24" s="8">
        <f t="shared" si="5"/>
        <v>0</v>
      </c>
      <c r="K24" s="8">
        <f t="shared" si="5"/>
        <v>1</v>
      </c>
      <c r="L24" s="8">
        <f t="shared" si="5"/>
        <v>0</v>
      </c>
      <c r="M24" s="8">
        <f t="shared" si="5"/>
        <v>1</v>
      </c>
      <c r="N24" s="8">
        <f t="shared" si="5"/>
        <v>0</v>
      </c>
      <c r="O24" s="8">
        <f t="shared" si="5"/>
        <v>0</v>
      </c>
      <c r="P24" s="8">
        <f t="shared" si="5"/>
        <v>0</v>
      </c>
      <c r="Q24" s="8">
        <f t="shared" si="5"/>
        <v>3</v>
      </c>
      <c r="R24" s="8">
        <f t="shared" si="5"/>
        <v>0</v>
      </c>
      <c r="S24" s="8">
        <f t="shared" si="5"/>
        <v>1</v>
      </c>
      <c r="T24" s="8">
        <f t="shared" si="5"/>
        <v>1</v>
      </c>
      <c r="U24" s="8">
        <f t="shared" si="5"/>
        <v>0</v>
      </c>
      <c r="V24" s="8">
        <f t="shared" si="5"/>
        <v>0</v>
      </c>
      <c r="W24" s="8">
        <f t="shared" si="5"/>
        <v>1</v>
      </c>
      <c r="X24" s="8">
        <f t="shared" si="5"/>
        <v>0</v>
      </c>
      <c r="Y24" s="8">
        <f t="shared" si="5"/>
        <v>0</v>
      </c>
      <c r="Z24" s="8">
        <f t="shared" si="5"/>
        <v>0</v>
      </c>
      <c r="AA24" s="8">
        <f t="shared" si="5"/>
        <v>2</v>
      </c>
      <c r="AB24" s="8">
        <f t="shared" si="5"/>
        <v>1</v>
      </c>
      <c r="AC24" s="8">
        <f t="shared" si="3"/>
        <v>14</v>
      </c>
    </row>
    <row r="25" ht="15.0" customHeight="1">
      <c r="A25" s="56"/>
      <c r="B25" s="55" t="s">
        <v>21</v>
      </c>
      <c r="C25" s="36" t="s">
        <v>22</v>
      </c>
      <c r="D25" s="12" t="s">
        <v>12</v>
      </c>
      <c r="E25" s="12">
        <v>0.0</v>
      </c>
      <c r="F25" s="12">
        <v>1.0</v>
      </c>
      <c r="G25" s="12">
        <v>0.0</v>
      </c>
      <c r="H25" s="12">
        <v>0.0</v>
      </c>
      <c r="I25" s="12">
        <v>1.0</v>
      </c>
      <c r="J25" s="12">
        <v>0.0</v>
      </c>
      <c r="K25" s="12">
        <v>1.0</v>
      </c>
      <c r="L25" s="12">
        <v>1.0</v>
      </c>
      <c r="M25" s="12">
        <v>0.0</v>
      </c>
      <c r="N25" s="12">
        <v>0.0</v>
      </c>
      <c r="O25" s="12">
        <v>0.0</v>
      </c>
      <c r="P25" s="12">
        <v>0.0</v>
      </c>
      <c r="Q25" s="12">
        <v>0.0</v>
      </c>
      <c r="R25" s="12">
        <v>0.0</v>
      </c>
      <c r="S25" s="12">
        <v>0.0</v>
      </c>
      <c r="T25" s="12">
        <v>0.0</v>
      </c>
      <c r="U25" s="12">
        <v>0.0</v>
      </c>
      <c r="V25" s="12">
        <v>3.0</v>
      </c>
      <c r="W25" s="12">
        <v>1.0</v>
      </c>
      <c r="X25" s="12">
        <v>3.0</v>
      </c>
      <c r="Y25" s="12">
        <v>3.0</v>
      </c>
      <c r="Z25" s="12">
        <v>0.0</v>
      </c>
      <c r="AA25" s="12">
        <v>0.0</v>
      </c>
      <c r="AB25" s="12">
        <v>1.0</v>
      </c>
      <c r="AC25" s="8">
        <f t="shared" si="3"/>
        <v>15</v>
      </c>
    </row>
    <row r="26" ht="15.0" customHeight="1">
      <c r="A26" s="56"/>
      <c r="B26" s="31"/>
      <c r="C26" s="37"/>
      <c r="D26" s="12" t="s">
        <v>13</v>
      </c>
      <c r="E26" s="12">
        <v>1.0</v>
      </c>
      <c r="F26" s="12">
        <v>3.0</v>
      </c>
      <c r="G26" s="12">
        <v>1.0</v>
      </c>
      <c r="H26" s="12">
        <v>1.0</v>
      </c>
      <c r="I26" s="12">
        <v>0.0</v>
      </c>
      <c r="J26" s="12">
        <v>0.0</v>
      </c>
      <c r="K26" s="12">
        <v>2.0</v>
      </c>
      <c r="L26" s="12">
        <v>1.0</v>
      </c>
      <c r="M26" s="12">
        <v>1.0</v>
      </c>
      <c r="N26" s="12">
        <v>0.0</v>
      </c>
      <c r="O26" s="12">
        <v>0.0</v>
      </c>
      <c r="P26" s="12">
        <v>0.0</v>
      </c>
      <c r="Q26" s="12">
        <v>0.0</v>
      </c>
      <c r="R26" s="12">
        <v>0.0</v>
      </c>
      <c r="S26" s="12">
        <v>0.0</v>
      </c>
      <c r="T26" s="12">
        <v>0.0</v>
      </c>
      <c r="U26" s="12">
        <v>1.0</v>
      </c>
      <c r="V26" s="12">
        <v>0.0</v>
      </c>
      <c r="W26" s="12">
        <v>1.0</v>
      </c>
      <c r="X26" s="12">
        <v>2.0</v>
      </c>
      <c r="Y26" s="12">
        <v>2.0</v>
      </c>
      <c r="Z26" s="12">
        <v>0.0</v>
      </c>
      <c r="AA26" s="12">
        <v>0.0</v>
      </c>
      <c r="AB26" s="12">
        <v>1.0</v>
      </c>
      <c r="AC26" s="8">
        <f t="shared" si="3"/>
        <v>17</v>
      </c>
    </row>
    <row r="27" ht="12.75" customHeight="1">
      <c r="A27" s="57"/>
      <c r="B27" s="33"/>
      <c r="C27" s="38"/>
      <c r="D27" s="8" t="s">
        <v>14</v>
      </c>
      <c r="E27" s="8">
        <f t="shared" ref="E27:AB27" si="6">SUM(E25:E26)</f>
        <v>1</v>
      </c>
      <c r="F27" s="8">
        <f t="shared" si="6"/>
        <v>4</v>
      </c>
      <c r="G27" s="8">
        <f t="shared" si="6"/>
        <v>1</v>
      </c>
      <c r="H27" s="8">
        <f t="shared" si="6"/>
        <v>1</v>
      </c>
      <c r="I27" s="8">
        <f t="shared" si="6"/>
        <v>1</v>
      </c>
      <c r="J27" s="8">
        <f t="shared" si="6"/>
        <v>0</v>
      </c>
      <c r="K27" s="8">
        <f t="shared" si="6"/>
        <v>3</v>
      </c>
      <c r="L27" s="8">
        <f t="shared" si="6"/>
        <v>2</v>
      </c>
      <c r="M27" s="8">
        <f t="shared" si="6"/>
        <v>1</v>
      </c>
      <c r="N27" s="8">
        <f t="shared" si="6"/>
        <v>0</v>
      </c>
      <c r="O27" s="8">
        <f t="shared" si="6"/>
        <v>0</v>
      </c>
      <c r="P27" s="8">
        <f t="shared" si="6"/>
        <v>0</v>
      </c>
      <c r="Q27" s="8">
        <f t="shared" si="6"/>
        <v>0</v>
      </c>
      <c r="R27" s="8">
        <f t="shared" si="6"/>
        <v>0</v>
      </c>
      <c r="S27" s="8">
        <f t="shared" si="6"/>
        <v>0</v>
      </c>
      <c r="T27" s="8">
        <f t="shared" si="6"/>
        <v>0</v>
      </c>
      <c r="U27" s="8">
        <f t="shared" si="6"/>
        <v>1</v>
      </c>
      <c r="V27" s="8">
        <f t="shared" si="6"/>
        <v>3</v>
      </c>
      <c r="W27" s="8">
        <f t="shared" si="6"/>
        <v>2</v>
      </c>
      <c r="X27" s="8">
        <f t="shared" si="6"/>
        <v>5</v>
      </c>
      <c r="Y27" s="8">
        <f t="shared" si="6"/>
        <v>5</v>
      </c>
      <c r="Z27" s="8">
        <f t="shared" si="6"/>
        <v>0</v>
      </c>
      <c r="AA27" s="8">
        <f t="shared" si="6"/>
        <v>0</v>
      </c>
      <c r="AB27" s="8">
        <f t="shared" si="6"/>
        <v>2</v>
      </c>
      <c r="AC27" s="8">
        <f t="shared" si="3"/>
        <v>32</v>
      </c>
    </row>
    <row r="28" ht="12.75" customHeight="1">
      <c r="A28" s="57"/>
      <c r="B28" s="53" t="s">
        <v>23</v>
      </c>
      <c r="C28" s="41" t="s">
        <v>24</v>
      </c>
      <c r="D28" s="8" t="s">
        <v>12</v>
      </c>
      <c r="E28" s="8">
        <f t="shared" ref="E28:AB28" si="7">SUM(E19,E22,E25)</f>
        <v>63</v>
      </c>
      <c r="F28" s="8">
        <f t="shared" si="7"/>
        <v>89</v>
      </c>
      <c r="G28" s="8">
        <f t="shared" si="7"/>
        <v>101</v>
      </c>
      <c r="H28" s="8">
        <f t="shared" si="7"/>
        <v>80</v>
      </c>
      <c r="I28" s="8">
        <f t="shared" si="7"/>
        <v>105</v>
      </c>
      <c r="J28" s="8">
        <f t="shared" si="7"/>
        <v>117</v>
      </c>
      <c r="K28" s="8">
        <f t="shared" si="7"/>
        <v>118</v>
      </c>
      <c r="L28" s="8">
        <f t="shared" si="7"/>
        <v>125</v>
      </c>
      <c r="M28" s="8">
        <f t="shared" si="7"/>
        <v>97</v>
      </c>
      <c r="N28" s="8">
        <f t="shared" si="7"/>
        <v>98</v>
      </c>
      <c r="O28" s="8">
        <f t="shared" si="7"/>
        <v>106</v>
      </c>
      <c r="P28" s="8">
        <f t="shared" si="7"/>
        <v>124</v>
      </c>
      <c r="Q28" s="8">
        <f t="shared" si="7"/>
        <v>112</v>
      </c>
      <c r="R28" s="8">
        <f t="shared" si="7"/>
        <v>115</v>
      </c>
      <c r="S28" s="8">
        <f t="shared" si="7"/>
        <v>94</v>
      </c>
      <c r="T28" s="8">
        <f t="shared" si="7"/>
        <v>122</v>
      </c>
      <c r="U28" s="8">
        <f t="shared" si="7"/>
        <v>120</v>
      </c>
      <c r="V28" s="8">
        <f t="shared" si="7"/>
        <v>126</v>
      </c>
      <c r="W28" s="8">
        <f t="shared" si="7"/>
        <v>113</v>
      </c>
      <c r="X28" s="8">
        <f t="shared" si="7"/>
        <v>117</v>
      </c>
      <c r="Y28" s="8">
        <f t="shared" si="7"/>
        <v>108</v>
      </c>
      <c r="Z28" s="8">
        <f t="shared" si="7"/>
        <v>87</v>
      </c>
      <c r="AA28" s="8">
        <f t="shared" si="7"/>
        <v>100</v>
      </c>
      <c r="AB28" s="8">
        <f t="shared" si="7"/>
        <v>98</v>
      </c>
      <c r="AC28" s="8">
        <f t="shared" si="3"/>
        <v>2535</v>
      </c>
    </row>
    <row r="29" ht="15.0" customHeight="1">
      <c r="A29" s="57"/>
      <c r="B29" s="31"/>
      <c r="C29" s="37"/>
      <c r="D29" s="8" t="s">
        <v>13</v>
      </c>
      <c r="E29" s="8">
        <f t="shared" ref="E29:AB29" si="8">SUM(E20,E23,E26)</f>
        <v>75</v>
      </c>
      <c r="F29" s="8">
        <f t="shared" si="8"/>
        <v>107</v>
      </c>
      <c r="G29" s="8">
        <f t="shared" si="8"/>
        <v>120</v>
      </c>
      <c r="H29" s="8">
        <f t="shared" si="8"/>
        <v>98</v>
      </c>
      <c r="I29" s="8">
        <f t="shared" si="8"/>
        <v>134</v>
      </c>
      <c r="J29" s="8">
        <f t="shared" si="8"/>
        <v>129</v>
      </c>
      <c r="K29" s="8">
        <f t="shared" si="8"/>
        <v>131</v>
      </c>
      <c r="L29" s="8">
        <f t="shared" si="8"/>
        <v>128</v>
      </c>
      <c r="M29" s="8">
        <f t="shared" si="8"/>
        <v>108</v>
      </c>
      <c r="N29" s="8">
        <f t="shared" si="8"/>
        <v>106</v>
      </c>
      <c r="O29" s="8">
        <f t="shared" si="8"/>
        <v>122</v>
      </c>
      <c r="P29" s="8">
        <f t="shared" si="8"/>
        <v>125</v>
      </c>
      <c r="Q29" s="8">
        <f t="shared" si="8"/>
        <v>118</v>
      </c>
      <c r="R29" s="8">
        <f t="shared" si="8"/>
        <v>123</v>
      </c>
      <c r="S29" s="8">
        <f t="shared" si="8"/>
        <v>95</v>
      </c>
      <c r="T29" s="8">
        <f t="shared" si="8"/>
        <v>122</v>
      </c>
      <c r="U29" s="8">
        <f t="shared" si="8"/>
        <v>122</v>
      </c>
      <c r="V29" s="8">
        <f t="shared" si="8"/>
        <v>120</v>
      </c>
      <c r="W29" s="8">
        <f t="shared" si="8"/>
        <v>124</v>
      </c>
      <c r="X29" s="8">
        <f t="shared" si="8"/>
        <v>110</v>
      </c>
      <c r="Y29" s="8">
        <f t="shared" si="8"/>
        <v>109</v>
      </c>
      <c r="Z29" s="8">
        <f t="shared" si="8"/>
        <v>89</v>
      </c>
      <c r="AA29" s="8">
        <f t="shared" si="8"/>
        <v>119</v>
      </c>
      <c r="AB29" s="8">
        <f t="shared" si="8"/>
        <v>98</v>
      </c>
      <c r="AC29" s="8">
        <f t="shared" si="3"/>
        <v>2732</v>
      </c>
    </row>
    <row r="30" ht="12.75" customHeight="1">
      <c r="A30" s="57"/>
      <c r="B30" s="33"/>
      <c r="C30" s="38"/>
      <c r="D30" s="8" t="s">
        <v>14</v>
      </c>
      <c r="E30" s="8">
        <f t="shared" ref="E30:AB30" si="9">SUM(E28:E29)</f>
        <v>138</v>
      </c>
      <c r="F30" s="8">
        <f t="shared" si="9"/>
        <v>196</v>
      </c>
      <c r="G30" s="8">
        <f t="shared" si="9"/>
        <v>221</v>
      </c>
      <c r="H30" s="8">
        <f t="shared" si="9"/>
        <v>178</v>
      </c>
      <c r="I30" s="8">
        <f t="shared" si="9"/>
        <v>239</v>
      </c>
      <c r="J30" s="8">
        <f t="shared" si="9"/>
        <v>246</v>
      </c>
      <c r="K30" s="8">
        <f t="shared" si="9"/>
        <v>249</v>
      </c>
      <c r="L30" s="8">
        <f t="shared" si="9"/>
        <v>253</v>
      </c>
      <c r="M30" s="8">
        <f t="shared" si="9"/>
        <v>205</v>
      </c>
      <c r="N30" s="8">
        <f t="shared" si="9"/>
        <v>204</v>
      </c>
      <c r="O30" s="8">
        <f t="shared" si="9"/>
        <v>228</v>
      </c>
      <c r="P30" s="8">
        <f t="shared" si="9"/>
        <v>249</v>
      </c>
      <c r="Q30" s="8">
        <f t="shared" si="9"/>
        <v>230</v>
      </c>
      <c r="R30" s="8">
        <f t="shared" si="9"/>
        <v>238</v>
      </c>
      <c r="S30" s="8">
        <f t="shared" si="9"/>
        <v>189</v>
      </c>
      <c r="T30" s="8">
        <f t="shared" si="9"/>
        <v>244</v>
      </c>
      <c r="U30" s="8">
        <f t="shared" si="9"/>
        <v>242</v>
      </c>
      <c r="V30" s="8">
        <f t="shared" si="9"/>
        <v>246</v>
      </c>
      <c r="W30" s="8">
        <f t="shared" si="9"/>
        <v>237</v>
      </c>
      <c r="X30" s="8">
        <f t="shared" si="9"/>
        <v>227</v>
      </c>
      <c r="Y30" s="8">
        <f t="shared" si="9"/>
        <v>217</v>
      </c>
      <c r="Z30" s="8">
        <f t="shared" si="9"/>
        <v>176</v>
      </c>
      <c r="AA30" s="8">
        <f t="shared" si="9"/>
        <v>219</v>
      </c>
      <c r="AB30" s="8">
        <f t="shared" si="9"/>
        <v>196</v>
      </c>
      <c r="AC30" s="8">
        <f t="shared" si="3"/>
        <v>5267</v>
      </c>
    </row>
    <row r="31" ht="12.75" customHeight="1">
      <c r="A31" s="29"/>
      <c r="B31" s="21"/>
      <c r="C31" s="21"/>
      <c r="D31" s="22"/>
      <c r="E31" s="12"/>
      <c r="F31" s="12"/>
      <c r="G31" s="12"/>
      <c r="H31" s="12"/>
      <c r="I31" s="12"/>
      <c r="J31" s="12"/>
      <c r="K31" s="12"/>
      <c r="L31" s="12"/>
      <c r="M31" s="12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8"/>
    </row>
    <row r="32" ht="12.75" customHeight="1">
      <c r="A32" s="58" t="s">
        <v>25</v>
      </c>
      <c r="B32" s="20" t="s">
        <v>26</v>
      </c>
      <c r="C32" s="21"/>
      <c r="D32" s="22"/>
      <c r="E32" s="8"/>
      <c r="F32" s="8"/>
      <c r="G32" s="8"/>
      <c r="H32" s="8"/>
      <c r="I32" s="8"/>
      <c r="J32" s="8"/>
      <c r="K32" s="8"/>
      <c r="L32" s="8"/>
      <c r="M32" s="8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8"/>
    </row>
    <row r="33" ht="12.75" customHeight="1">
      <c r="A33" s="12">
        <v>1.0</v>
      </c>
      <c r="B33" s="25" t="s">
        <v>121</v>
      </c>
      <c r="C33" s="21"/>
      <c r="D33" s="22"/>
      <c r="E33" s="12">
        <v>175.0</v>
      </c>
      <c r="F33" s="12">
        <v>236.0</v>
      </c>
      <c r="G33" s="12">
        <v>255.0</v>
      </c>
      <c r="H33" s="12">
        <v>235.0</v>
      </c>
      <c r="I33" s="12">
        <v>279.0</v>
      </c>
      <c r="J33" s="12">
        <v>303.0</v>
      </c>
      <c r="K33" s="12">
        <v>289.0</v>
      </c>
      <c r="L33" s="12">
        <v>297.0</v>
      </c>
      <c r="M33" s="12">
        <v>266.0</v>
      </c>
      <c r="N33" s="12">
        <v>252.0</v>
      </c>
      <c r="O33" s="12">
        <v>257.0</v>
      </c>
      <c r="P33" s="12">
        <v>300.0</v>
      </c>
      <c r="Q33" s="12">
        <v>294.0</v>
      </c>
      <c r="R33" s="12">
        <v>291.0</v>
      </c>
      <c r="S33" s="12">
        <v>204.0</v>
      </c>
      <c r="T33" s="12">
        <v>290.0</v>
      </c>
      <c r="U33" s="12">
        <v>287.0</v>
      </c>
      <c r="V33" s="12">
        <v>264.0</v>
      </c>
      <c r="W33" s="12">
        <v>292.0</v>
      </c>
      <c r="X33" s="12">
        <v>272.0</v>
      </c>
      <c r="Y33" s="12">
        <v>257.0</v>
      </c>
      <c r="Z33" s="12">
        <v>221.0</v>
      </c>
      <c r="AA33" s="12">
        <v>261.0</v>
      </c>
      <c r="AB33" s="12">
        <v>247.0</v>
      </c>
      <c r="AC33" s="8">
        <f t="shared" ref="AC33:AC36" si="10">SUM(E33:AB33)</f>
        <v>6324</v>
      </c>
    </row>
    <row r="34" ht="15.0" customHeight="1">
      <c r="A34" s="12">
        <v>2.0</v>
      </c>
      <c r="B34" s="25" t="s">
        <v>28</v>
      </c>
      <c r="C34" s="21"/>
      <c r="D34" s="22"/>
      <c r="E34" s="8">
        <v>138.0</v>
      </c>
      <c r="F34" s="8">
        <v>196.0</v>
      </c>
      <c r="G34" s="8">
        <v>221.0</v>
      </c>
      <c r="H34" s="8">
        <v>178.0</v>
      </c>
      <c r="I34" s="8">
        <v>239.0</v>
      </c>
      <c r="J34" s="8">
        <v>246.0</v>
      </c>
      <c r="K34" s="8">
        <v>249.0</v>
      </c>
      <c r="L34" s="8">
        <v>253.0</v>
      </c>
      <c r="M34" s="8">
        <v>205.0</v>
      </c>
      <c r="N34" s="8">
        <v>204.0</v>
      </c>
      <c r="O34" s="8">
        <v>228.0</v>
      </c>
      <c r="P34" s="8">
        <v>249.0</v>
      </c>
      <c r="Q34" s="8">
        <v>230.0</v>
      </c>
      <c r="R34" s="8">
        <v>238.0</v>
      </c>
      <c r="S34" s="8">
        <v>189.0</v>
      </c>
      <c r="T34" s="8">
        <v>244.0</v>
      </c>
      <c r="U34" s="8">
        <v>242.0</v>
      </c>
      <c r="V34" s="8">
        <v>246.0</v>
      </c>
      <c r="W34" s="8">
        <v>237.0</v>
      </c>
      <c r="X34" s="8">
        <v>227.0</v>
      </c>
      <c r="Y34" s="8">
        <v>217.0</v>
      </c>
      <c r="Z34" s="8">
        <v>176.0</v>
      </c>
      <c r="AA34" s="8">
        <v>219.0</v>
      </c>
      <c r="AB34" s="8">
        <v>196.0</v>
      </c>
      <c r="AC34" s="8">
        <f t="shared" si="10"/>
        <v>5267</v>
      </c>
    </row>
    <row r="35" ht="12.75" customHeight="1">
      <c r="A35" s="12">
        <v>3.0</v>
      </c>
      <c r="B35" s="25" t="s">
        <v>29</v>
      </c>
      <c r="C35" s="21"/>
      <c r="D35" s="22"/>
      <c r="E35" s="12">
        <v>0.0</v>
      </c>
      <c r="F35" s="12">
        <v>0.0</v>
      </c>
      <c r="G35" s="12">
        <v>0.0</v>
      </c>
      <c r="H35" s="12">
        <v>0.0</v>
      </c>
      <c r="I35" s="12">
        <v>0.0</v>
      </c>
      <c r="J35" s="12">
        <v>0.0</v>
      </c>
      <c r="K35" s="12">
        <v>2.0</v>
      </c>
      <c r="L35" s="12">
        <v>2.0</v>
      </c>
      <c r="M35" s="12">
        <v>0.0</v>
      </c>
      <c r="N35" s="12">
        <v>0.0</v>
      </c>
      <c r="O35" s="12">
        <v>0.0</v>
      </c>
      <c r="P35" s="12">
        <v>0.0</v>
      </c>
      <c r="Q35" s="12">
        <v>0.0</v>
      </c>
      <c r="R35" s="12">
        <v>0.0</v>
      </c>
      <c r="S35" s="12">
        <v>0.0</v>
      </c>
      <c r="T35" s="12">
        <v>3.0</v>
      </c>
      <c r="U35" s="12">
        <v>0.0</v>
      </c>
      <c r="V35" s="12">
        <v>0.0</v>
      </c>
      <c r="W35" s="12">
        <v>0.0</v>
      </c>
      <c r="X35" s="12">
        <v>1.0</v>
      </c>
      <c r="Y35" s="12">
        <v>0.0</v>
      </c>
      <c r="Z35" s="12">
        <v>0.0</v>
      </c>
      <c r="AA35" s="12">
        <v>0.0</v>
      </c>
      <c r="AB35" s="12">
        <v>0.0</v>
      </c>
      <c r="AC35" s="8">
        <f t="shared" si="10"/>
        <v>8</v>
      </c>
    </row>
    <row r="36" ht="12.75" customHeight="1">
      <c r="A36" s="12">
        <v>4.0</v>
      </c>
      <c r="B36" s="25" t="s">
        <v>30</v>
      </c>
      <c r="C36" s="21"/>
      <c r="D36" s="22"/>
      <c r="E36" s="8">
        <f t="shared" ref="E36:AB36" si="11">E33-(E34+E35)</f>
        <v>37</v>
      </c>
      <c r="F36" s="8">
        <f t="shared" si="11"/>
        <v>40</v>
      </c>
      <c r="G36" s="8">
        <f t="shared" si="11"/>
        <v>34</v>
      </c>
      <c r="H36" s="8">
        <f t="shared" si="11"/>
        <v>57</v>
      </c>
      <c r="I36" s="8">
        <f t="shared" si="11"/>
        <v>40</v>
      </c>
      <c r="J36" s="8">
        <f t="shared" si="11"/>
        <v>57</v>
      </c>
      <c r="K36" s="8">
        <f t="shared" si="11"/>
        <v>38</v>
      </c>
      <c r="L36" s="8">
        <f t="shared" si="11"/>
        <v>42</v>
      </c>
      <c r="M36" s="8">
        <f t="shared" si="11"/>
        <v>61</v>
      </c>
      <c r="N36" s="8">
        <f t="shared" si="11"/>
        <v>48</v>
      </c>
      <c r="O36" s="8">
        <f t="shared" si="11"/>
        <v>29</v>
      </c>
      <c r="P36" s="8">
        <f t="shared" si="11"/>
        <v>51</v>
      </c>
      <c r="Q36" s="8">
        <f t="shared" si="11"/>
        <v>64</v>
      </c>
      <c r="R36" s="8">
        <f t="shared" si="11"/>
        <v>53</v>
      </c>
      <c r="S36" s="8">
        <f t="shared" si="11"/>
        <v>15</v>
      </c>
      <c r="T36" s="8">
        <f t="shared" si="11"/>
        <v>43</v>
      </c>
      <c r="U36" s="8">
        <f t="shared" si="11"/>
        <v>45</v>
      </c>
      <c r="V36" s="8">
        <f t="shared" si="11"/>
        <v>18</v>
      </c>
      <c r="W36" s="8">
        <f t="shared" si="11"/>
        <v>55</v>
      </c>
      <c r="X36" s="8">
        <f t="shared" si="11"/>
        <v>44</v>
      </c>
      <c r="Y36" s="8">
        <f t="shared" si="11"/>
        <v>40</v>
      </c>
      <c r="Z36" s="8">
        <f t="shared" si="11"/>
        <v>45</v>
      </c>
      <c r="AA36" s="8">
        <f t="shared" si="11"/>
        <v>42</v>
      </c>
      <c r="AB36" s="8">
        <f t="shared" si="11"/>
        <v>51</v>
      </c>
      <c r="AC36" s="8">
        <f t="shared" si="10"/>
        <v>1049</v>
      </c>
    </row>
    <row r="37" ht="12.75" customHeight="1">
      <c r="A37" s="59"/>
      <c r="B37" s="60"/>
      <c r="C37" s="60"/>
      <c r="D37" s="60"/>
      <c r="E37" s="29"/>
      <c r="F37" s="21"/>
      <c r="G37" s="21"/>
      <c r="H37" s="21"/>
      <c r="I37" s="22"/>
      <c r="J37" s="12"/>
      <c r="K37" s="12"/>
      <c r="L37" s="12"/>
      <c r="M37" s="12"/>
      <c r="N37" s="17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8"/>
    </row>
    <row r="38" ht="12.75" customHeight="1">
      <c r="A38" s="61" t="s">
        <v>31</v>
      </c>
      <c r="B38" s="20" t="s">
        <v>32</v>
      </c>
      <c r="C38" s="21"/>
      <c r="D38" s="22"/>
      <c r="E38" s="8"/>
      <c r="F38" s="8"/>
      <c r="G38" s="8"/>
      <c r="H38" s="8"/>
      <c r="I38" s="8"/>
      <c r="J38" s="8"/>
      <c r="K38" s="8"/>
      <c r="L38" s="8"/>
      <c r="M38" s="8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8"/>
    </row>
    <row r="39" ht="12.75" customHeight="1">
      <c r="A39" s="54"/>
      <c r="B39" s="62" t="s">
        <v>33</v>
      </c>
      <c r="C39" s="28"/>
      <c r="D39" s="12" t="s">
        <v>12</v>
      </c>
      <c r="E39" s="12"/>
      <c r="F39" s="12"/>
      <c r="G39" s="12"/>
      <c r="H39" s="12"/>
      <c r="I39" s="12"/>
      <c r="J39" s="12">
        <v>1.0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>
        <v>1.0</v>
      </c>
      <c r="X39" s="12"/>
      <c r="Y39" s="12"/>
      <c r="Z39" s="12"/>
      <c r="AA39" s="12">
        <v>2.0</v>
      </c>
      <c r="AB39" s="12">
        <v>1.0</v>
      </c>
      <c r="AC39" s="8">
        <f t="shared" ref="AC39:AC41" si="12">SUM(E39:AB39)</f>
        <v>5</v>
      </c>
    </row>
    <row r="40" ht="12.75" customHeight="1">
      <c r="A40" s="56"/>
      <c r="C40" s="31"/>
      <c r="D40" s="12" t="s">
        <v>13</v>
      </c>
      <c r="E40" s="12">
        <v>1.0</v>
      </c>
      <c r="F40" s="12"/>
      <c r="G40" s="12"/>
      <c r="H40" s="12"/>
      <c r="I40" s="12"/>
      <c r="J40" s="12"/>
      <c r="K40" s="12"/>
      <c r="L40" s="12"/>
      <c r="M40" s="12">
        <v>1.0</v>
      </c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>
        <v>2.0</v>
      </c>
      <c r="AB40" s="12"/>
      <c r="AC40" s="8">
        <f t="shared" si="12"/>
        <v>4</v>
      </c>
    </row>
    <row r="41" ht="12.75" customHeight="1">
      <c r="A41" s="58"/>
      <c r="B41" s="63"/>
      <c r="C41" s="33"/>
      <c r="D41" s="8" t="s">
        <v>14</v>
      </c>
      <c r="E41" s="8">
        <f t="shared" ref="E41:AB41" si="13">SUM(E39:E40)</f>
        <v>1</v>
      </c>
      <c r="F41" s="8">
        <f t="shared" si="13"/>
        <v>0</v>
      </c>
      <c r="G41" s="8">
        <f t="shared" si="13"/>
        <v>0</v>
      </c>
      <c r="H41" s="8">
        <f t="shared" si="13"/>
        <v>0</v>
      </c>
      <c r="I41" s="8">
        <f t="shared" si="13"/>
        <v>0</v>
      </c>
      <c r="J41" s="8">
        <f t="shared" si="13"/>
        <v>1</v>
      </c>
      <c r="K41" s="8">
        <f t="shared" si="13"/>
        <v>0</v>
      </c>
      <c r="L41" s="8">
        <f t="shared" si="13"/>
        <v>0</v>
      </c>
      <c r="M41" s="8">
        <f t="shared" si="13"/>
        <v>1</v>
      </c>
      <c r="N41" s="8">
        <f t="shared" si="13"/>
        <v>0</v>
      </c>
      <c r="O41" s="8">
        <f t="shared" si="13"/>
        <v>0</v>
      </c>
      <c r="P41" s="8">
        <f t="shared" si="13"/>
        <v>0</v>
      </c>
      <c r="Q41" s="8">
        <f t="shared" si="13"/>
        <v>0</v>
      </c>
      <c r="R41" s="8">
        <f t="shared" si="13"/>
        <v>0</v>
      </c>
      <c r="S41" s="8">
        <f t="shared" si="13"/>
        <v>0</v>
      </c>
      <c r="T41" s="8">
        <f t="shared" si="13"/>
        <v>0</v>
      </c>
      <c r="U41" s="8">
        <f t="shared" si="13"/>
        <v>0</v>
      </c>
      <c r="V41" s="8">
        <f t="shared" si="13"/>
        <v>0</v>
      </c>
      <c r="W41" s="8">
        <f t="shared" si="13"/>
        <v>1</v>
      </c>
      <c r="X41" s="8">
        <f t="shared" si="13"/>
        <v>0</v>
      </c>
      <c r="Y41" s="8">
        <f t="shared" si="13"/>
        <v>0</v>
      </c>
      <c r="Z41" s="8">
        <f t="shared" si="13"/>
        <v>0</v>
      </c>
      <c r="AA41" s="8">
        <f t="shared" si="13"/>
        <v>4</v>
      </c>
      <c r="AB41" s="8">
        <f t="shared" si="13"/>
        <v>1</v>
      </c>
      <c r="AC41" s="8">
        <f t="shared" si="12"/>
        <v>9</v>
      </c>
    </row>
    <row r="42" ht="12.75" customHeight="1">
      <c r="A42" s="64"/>
      <c r="B42" s="63"/>
      <c r="C42" s="63"/>
      <c r="D42" s="33"/>
      <c r="E42" s="29"/>
      <c r="F42" s="21"/>
      <c r="G42" s="21"/>
      <c r="H42" s="21"/>
      <c r="I42" s="22"/>
      <c r="J42" s="12"/>
      <c r="K42" s="12"/>
      <c r="L42" s="12"/>
      <c r="M42" s="12"/>
      <c r="N42" s="17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8"/>
    </row>
    <row r="43" ht="12.75" customHeight="1">
      <c r="A43" s="61" t="s">
        <v>34</v>
      </c>
      <c r="B43" s="20" t="s">
        <v>35</v>
      </c>
      <c r="C43" s="21"/>
      <c r="D43" s="22"/>
      <c r="E43" s="8"/>
      <c r="F43" s="8"/>
      <c r="G43" s="8"/>
      <c r="H43" s="8"/>
      <c r="I43" s="8"/>
      <c r="J43" s="8"/>
      <c r="K43" s="8"/>
      <c r="L43" s="8"/>
      <c r="M43" s="8"/>
      <c r="N43" s="8"/>
      <c r="O43" s="39"/>
      <c r="P43" s="18"/>
      <c r="Q43" s="19"/>
      <c r="R43" s="19"/>
      <c r="S43" s="19"/>
      <c r="T43" s="19"/>
      <c r="U43" s="17"/>
      <c r="V43" s="17"/>
      <c r="W43" s="17"/>
      <c r="X43" s="17"/>
      <c r="Y43" s="17"/>
      <c r="Z43" s="17"/>
      <c r="AA43" s="17"/>
      <c r="AB43" s="17"/>
      <c r="AC43" s="8"/>
    </row>
    <row r="44" ht="15.0" customHeight="1">
      <c r="A44" s="54"/>
      <c r="B44" s="62" t="s">
        <v>36</v>
      </c>
      <c r="C44" s="65"/>
      <c r="D44" s="28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7"/>
      <c r="P44" s="18"/>
      <c r="Q44" s="19"/>
      <c r="R44" s="19"/>
      <c r="S44" s="19"/>
      <c r="T44" s="19"/>
      <c r="U44" s="39"/>
      <c r="V44" s="39"/>
      <c r="W44" s="39"/>
      <c r="X44" s="39"/>
      <c r="Y44" s="39"/>
      <c r="Z44" s="39"/>
      <c r="AA44" s="39"/>
      <c r="AB44" s="39"/>
      <c r="AC44" s="8"/>
    </row>
    <row r="45" ht="15.0" customHeight="1">
      <c r="A45" s="24"/>
      <c r="B45" s="46" t="s">
        <v>17</v>
      </c>
      <c r="C45" s="66" t="s">
        <v>37</v>
      </c>
      <c r="D45" s="22"/>
      <c r="E45" s="12">
        <v>13.0</v>
      </c>
      <c r="F45" s="12">
        <v>11.0</v>
      </c>
      <c r="G45" s="12">
        <v>21.0</v>
      </c>
      <c r="H45" s="12">
        <v>14.0</v>
      </c>
      <c r="I45" s="12">
        <v>23.0</v>
      </c>
      <c r="J45" s="12">
        <v>28.0</v>
      </c>
      <c r="K45" s="12">
        <v>45.0</v>
      </c>
      <c r="L45" s="12">
        <v>37.0</v>
      </c>
      <c r="M45" s="12">
        <v>37.0</v>
      </c>
      <c r="N45" s="12">
        <v>46.0</v>
      </c>
      <c r="O45" s="12">
        <v>35.0</v>
      </c>
      <c r="P45" s="12">
        <v>15.0</v>
      </c>
      <c r="Q45" s="12">
        <v>15.0</v>
      </c>
      <c r="R45" s="12">
        <v>29.0</v>
      </c>
      <c r="S45" s="12">
        <v>30.0</v>
      </c>
      <c r="T45" s="12">
        <v>42.0</v>
      </c>
      <c r="U45" s="12">
        <v>26.0</v>
      </c>
      <c r="V45" s="12">
        <v>38.0</v>
      </c>
      <c r="W45" s="12">
        <v>24.0</v>
      </c>
      <c r="X45" s="12">
        <v>23.0</v>
      </c>
      <c r="Y45" s="12">
        <v>22.0</v>
      </c>
      <c r="Z45" s="12">
        <v>7.0</v>
      </c>
      <c r="AA45" s="12">
        <v>14.0</v>
      </c>
      <c r="AB45" s="12">
        <v>17.0</v>
      </c>
      <c r="AC45" s="8">
        <f t="shared" ref="AC45:AC57" si="14">SUM(E45:AB45)</f>
        <v>612</v>
      </c>
    </row>
    <row r="46" ht="12.75" customHeight="1">
      <c r="A46" s="24"/>
      <c r="B46" s="46" t="s">
        <v>19</v>
      </c>
      <c r="C46" s="66" t="s">
        <v>38</v>
      </c>
      <c r="D46" s="22"/>
      <c r="E46" s="12">
        <v>23.0</v>
      </c>
      <c r="F46" s="12">
        <v>24.0</v>
      </c>
      <c r="G46" s="12">
        <v>40.0</v>
      </c>
      <c r="H46" s="12">
        <v>17.0</v>
      </c>
      <c r="I46" s="12">
        <v>50.0</v>
      </c>
      <c r="J46" s="12">
        <v>42.0</v>
      </c>
      <c r="K46" s="12">
        <v>29.0</v>
      </c>
      <c r="L46" s="12">
        <v>45.0</v>
      </c>
      <c r="M46" s="12">
        <v>37.0</v>
      </c>
      <c r="N46" s="12">
        <v>29.0</v>
      </c>
      <c r="O46" s="12">
        <v>36.0</v>
      </c>
      <c r="P46" s="12">
        <v>45.0</v>
      </c>
      <c r="Q46" s="12">
        <v>57.0</v>
      </c>
      <c r="R46" s="12">
        <v>45.0</v>
      </c>
      <c r="S46" s="12">
        <v>49.0</v>
      </c>
      <c r="T46" s="12">
        <v>37.0</v>
      </c>
      <c r="U46" s="12">
        <v>43.0</v>
      </c>
      <c r="V46" s="12">
        <v>41.0</v>
      </c>
      <c r="W46" s="12">
        <v>39.0</v>
      </c>
      <c r="X46" s="12">
        <v>30.0</v>
      </c>
      <c r="Y46" s="12">
        <v>15.0</v>
      </c>
      <c r="Z46" s="12">
        <v>22.0</v>
      </c>
      <c r="AA46" s="12">
        <v>20.0</v>
      </c>
      <c r="AB46" s="12">
        <v>23.0</v>
      </c>
      <c r="AC46" s="8">
        <f t="shared" si="14"/>
        <v>838</v>
      </c>
    </row>
    <row r="47" ht="15.0" customHeight="1">
      <c r="A47" s="24"/>
      <c r="B47" s="46" t="s">
        <v>21</v>
      </c>
      <c r="C47" s="66" t="s">
        <v>39</v>
      </c>
      <c r="D47" s="22"/>
      <c r="E47" s="12">
        <v>9.0</v>
      </c>
      <c r="F47" s="12">
        <v>4.0</v>
      </c>
      <c r="G47" s="12">
        <v>12.0</v>
      </c>
      <c r="H47" s="12">
        <v>8.0</v>
      </c>
      <c r="I47" s="12">
        <v>9.0</v>
      </c>
      <c r="J47" s="12">
        <v>12.0</v>
      </c>
      <c r="K47" s="12">
        <v>7.0</v>
      </c>
      <c r="L47" s="12">
        <v>5.0</v>
      </c>
      <c r="M47" s="12">
        <v>17.0</v>
      </c>
      <c r="N47" s="12">
        <v>13.0</v>
      </c>
      <c r="O47" s="12">
        <v>6.0</v>
      </c>
      <c r="P47" s="12">
        <v>13.0</v>
      </c>
      <c r="Q47" s="12">
        <v>14.0</v>
      </c>
      <c r="R47" s="12">
        <v>11.0</v>
      </c>
      <c r="S47" s="12">
        <v>6.0</v>
      </c>
      <c r="T47" s="12">
        <v>15.0</v>
      </c>
      <c r="U47" s="12">
        <v>18.0</v>
      </c>
      <c r="V47" s="12">
        <v>18.0</v>
      </c>
      <c r="W47" s="12">
        <v>13.0</v>
      </c>
      <c r="X47" s="12">
        <v>9.0</v>
      </c>
      <c r="Y47" s="12">
        <v>8.0</v>
      </c>
      <c r="Z47" s="12">
        <v>10.0</v>
      </c>
      <c r="AA47" s="12">
        <v>13.0</v>
      </c>
      <c r="AB47" s="12">
        <v>8.0</v>
      </c>
      <c r="AC47" s="8">
        <f t="shared" si="14"/>
        <v>258</v>
      </c>
    </row>
    <row r="48" ht="15.0" customHeight="1">
      <c r="A48" s="24"/>
      <c r="B48" s="46" t="s">
        <v>23</v>
      </c>
      <c r="C48" s="66" t="s">
        <v>40</v>
      </c>
      <c r="D48" s="22"/>
      <c r="E48" s="12">
        <v>7.0</v>
      </c>
      <c r="F48" s="12">
        <v>20.0</v>
      </c>
      <c r="G48" s="12">
        <v>15.0</v>
      </c>
      <c r="H48" s="12">
        <v>13.0</v>
      </c>
      <c r="I48" s="12">
        <v>27.0</v>
      </c>
      <c r="J48" s="12">
        <v>24.0</v>
      </c>
      <c r="K48" s="12">
        <v>22.0</v>
      </c>
      <c r="L48" s="12">
        <v>25.0</v>
      </c>
      <c r="M48" s="12">
        <v>19.0</v>
      </c>
      <c r="N48" s="12">
        <v>17.0</v>
      </c>
      <c r="O48" s="12">
        <v>22.0</v>
      </c>
      <c r="P48" s="12">
        <v>23.0</v>
      </c>
      <c r="Q48" s="12">
        <v>21.0</v>
      </c>
      <c r="R48" s="12">
        <v>18.0</v>
      </c>
      <c r="S48" s="12">
        <v>25.0</v>
      </c>
      <c r="T48" s="12">
        <v>18.0</v>
      </c>
      <c r="U48" s="12">
        <v>31.0</v>
      </c>
      <c r="V48" s="12">
        <v>23.0</v>
      </c>
      <c r="W48" s="12">
        <v>24.0</v>
      </c>
      <c r="X48" s="12">
        <v>23.0</v>
      </c>
      <c r="Y48" s="12">
        <v>23.0</v>
      </c>
      <c r="Z48" s="12">
        <v>11.0</v>
      </c>
      <c r="AA48" s="12">
        <v>25.0</v>
      </c>
      <c r="AB48" s="12">
        <v>18.0</v>
      </c>
      <c r="AC48" s="8">
        <f t="shared" si="14"/>
        <v>494</v>
      </c>
    </row>
    <row r="49" ht="12.75" customHeight="1">
      <c r="A49" s="24"/>
      <c r="B49" s="46" t="s">
        <v>41</v>
      </c>
      <c r="C49" s="66" t="s">
        <v>42</v>
      </c>
      <c r="D49" s="22"/>
      <c r="E49" s="12">
        <v>11.0</v>
      </c>
      <c r="F49" s="12">
        <v>20.0</v>
      </c>
      <c r="G49" s="12">
        <v>13.0</v>
      </c>
      <c r="H49" s="12">
        <v>14.0</v>
      </c>
      <c r="I49" s="12">
        <v>22.0</v>
      </c>
      <c r="J49" s="12">
        <v>20.0</v>
      </c>
      <c r="K49" s="12">
        <v>14.0</v>
      </c>
      <c r="L49" s="12">
        <v>14.0</v>
      </c>
      <c r="M49" s="12">
        <v>18.0</v>
      </c>
      <c r="N49" s="12">
        <v>9.0</v>
      </c>
      <c r="O49" s="12">
        <v>9.0</v>
      </c>
      <c r="P49" s="12">
        <v>25.0</v>
      </c>
      <c r="Q49" s="12">
        <v>23.0</v>
      </c>
      <c r="R49" s="12">
        <v>20.0</v>
      </c>
      <c r="S49" s="12">
        <v>5.0</v>
      </c>
      <c r="T49" s="12">
        <v>20.0</v>
      </c>
      <c r="U49" s="12">
        <v>13.0</v>
      </c>
      <c r="V49" s="12">
        <v>13.0</v>
      </c>
      <c r="W49" s="12">
        <v>15.0</v>
      </c>
      <c r="X49" s="12">
        <v>16.0</v>
      </c>
      <c r="Y49" s="12">
        <v>16.0</v>
      </c>
      <c r="Z49" s="12">
        <v>10.0</v>
      </c>
      <c r="AA49" s="12">
        <v>17.0</v>
      </c>
      <c r="AB49" s="12">
        <v>22.0</v>
      </c>
      <c r="AC49" s="8">
        <f t="shared" si="14"/>
        <v>379</v>
      </c>
    </row>
    <row r="50" ht="15.0" customHeight="1">
      <c r="A50" s="24"/>
      <c r="B50" s="46" t="s">
        <v>43</v>
      </c>
      <c r="C50" s="66" t="s">
        <v>44</v>
      </c>
      <c r="D50" s="22"/>
      <c r="E50" s="12">
        <v>17.0</v>
      </c>
      <c r="F50" s="12">
        <v>13.0</v>
      </c>
      <c r="G50" s="12">
        <v>10.0</v>
      </c>
      <c r="H50" s="12">
        <v>7.0</v>
      </c>
      <c r="I50" s="12">
        <v>16.0</v>
      </c>
      <c r="J50" s="12">
        <v>13.0</v>
      </c>
      <c r="K50" s="12">
        <v>5.0</v>
      </c>
      <c r="L50" s="12">
        <v>13.0</v>
      </c>
      <c r="M50" s="12">
        <v>3.0</v>
      </c>
      <c r="N50" s="12">
        <v>10.0</v>
      </c>
      <c r="O50" s="12">
        <v>7.0</v>
      </c>
      <c r="P50" s="12">
        <v>9.0</v>
      </c>
      <c r="Q50" s="12">
        <v>9.0</v>
      </c>
      <c r="R50" s="12">
        <v>15.0</v>
      </c>
      <c r="S50" s="12">
        <v>16.0</v>
      </c>
      <c r="T50" s="12">
        <v>13.0</v>
      </c>
      <c r="U50" s="12">
        <v>11.0</v>
      </c>
      <c r="V50" s="12">
        <v>19.0</v>
      </c>
      <c r="W50" s="12">
        <v>24.0</v>
      </c>
      <c r="X50" s="12">
        <v>14.0</v>
      </c>
      <c r="Y50" s="12">
        <v>23.0</v>
      </c>
      <c r="Z50" s="12">
        <v>7.0</v>
      </c>
      <c r="AA50" s="12">
        <v>16.0</v>
      </c>
      <c r="AB50" s="12">
        <v>10.0</v>
      </c>
      <c r="AC50" s="8">
        <f t="shared" si="14"/>
        <v>300</v>
      </c>
    </row>
    <row r="51" ht="15.0" customHeight="1">
      <c r="A51" s="24"/>
      <c r="B51" s="46" t="s">
        <v>45</v>
      </c>
      <c r="C51" s="66" t="s">
        <v>46</v>
      </c>
      <c r="D51" s="22"/>
      <c r="E51" s="12">
        <v>2.0</v>
      </c>
      <c r="F51" s="12">
        <v>2.0</v>
      </c>
      <c r="G51" s="12">
        <v>2.0</v>
      </c>
      <c r="H51" s="12">
        <v>1.0</v>
      </c>
      <c r="I51" s="12">
        <v>1.0</v>
      </c>
      <c r="J51" s="12">
        <v>4.0</v>
      </c>
      <c r="K51" s="12">
        <v>3.0</v>
      </c>
      <c r="L51" s="12">
        <v>0.0</v>
      </c>
      <c r="M51" s="12">
        <v>1.0</v>
      </c>
      <c r="N51" s="12">
        <v>1.0</v>
      </c>
      <c r="O51" s="12">
        <v>2.0</v>
      </c>
      <c r="P51" s="12">
        <v>1.0</v>
      </c>
      <c r="Q51" s="12">
        <v>2.0</v>
      </c>
      <c r="R51" s="12">
        <v>4.0</v>
      </c>
      <c r="S51" s="12">
        <v>5.0</v>
      </c>
      <c r="T51" s="12">
        <v>4.0</v>
      </c>
      <c r="U51" s="12">
        <v>3.0</v>
      </c>
      <c r="V51" s="12">
        <v>1.0</v>
      </c>
      <c r="W51" s="12">
        <v>5.0</v>
      </c>
      <c r="X51" s="12">
        <v>0.0</v>
      </c>
      <c r="Y51" s="12">
        <v>3.0</v>
      </c>
      <c r="Z51" s="12">
        <v>0.0</v>
      </c>
      <c r="AA51" s="12">
        <v>1.0</v>
      </c>
      <c r="AB51" s="12">
        <v>3.0</v>
      </c>
      <c r="AC51" s="8">
        <f t="shared" si="14"/>
        <v>51</v>
      </c>
    </row>
    <row r="52" ht="12.75" customHeight="1">
      <c r="A52" s="24"/>
      <c r="B52" s="46" t="s">
        <v>47</v>
      </c>
      <c r="C52" s="66" t="s">
        <v>48</v>
      </c>
      <c r="D52" s="22"/>
      <c r="E52" s="12">
        <v>0.0</v>
      </c>
      <c r="F52" s="12">
        <v>2.0</v>
      </c>
      <c r="G52" s="12">
        <v>3.0</v>
      </c>
      <c r="H52" s="12">
        <v>3.0</v>
      </c>
      <c r="I52" s="12">
        <v>1.0</v>
      </c>
      <c r="J52" s="12">
        <v>6.0</v>
      </c>
      <c r="K52" s="12">
        <v>4.0</v>
      </c>
      <c r="L52" s="12">
        <v>8.0</v>
      </c>
      <c r="M52" s="12">
        <v>2.0</v>
      </c>
      <c r="N52" s="12">
        <v>8.0</v>
      </c>
      <c r="O52" s="12">
        <v>4.0</v>
      </c>
      <c r="P52" s="12">
        <v>8.0</v>
      </c>
      <c r="Q52" s="12">
        <v>5.0</v>
      </c>
      <c r="R52" s="12">
        <v>6.0</v>
      </c>
      <c r="S52" s="12">
        <v>2.0</v>
      </c>
      <c r="T52" s="12">
        <v>4.0</v>
      </c>
      <c r="U52" s="12">
        <v>2.0</v>
      </c>
      <c r="V52" s="12">
        <v>4.0</v>
      </c>
      <c r="W52" s="12">
        <v>0.0</v>
      </c>
      <c r="X52" s="12">
        <v>4.0</v>
      </c>
      <c r="Y52" s="12">
        <v>1.0</v>
      </c>
      <c r="Z52" s="12">
        <v>6.0</v>
      </c>
      <c r="AA52" s="12">
        <v>5.0</v>
      </c>
      <c r="AB52" s="12">
        <v>6.0</v>
      </c>
      <c r="AC52" s="8">
        <f t="shared" si="14"/>
        <v>94</v>
      </c>
    </row>
    <row r="53" ht="12.75" customHeight="1">
      <c r="A53" s="24"/>
      <c r="B53" s="46" t="s">
        <v>49</v>
      </c>
      <c r="C53" s="66" t="s">
        <v>50</v>
      </c>
      <c r="D53" s="22"/>
      <c r="E53" s="12">
        <v>1.0</v>
      </c>
      <c r="F53" s="12">
        <v>2.0</v>
      </c>
      <c r="G53" s="12">
        <v>1.0</v>
      </c>
      <c r="H53" s="12">
        <v>0.0</v>
      </c>
      <c r="I53" s="12">
        <v>2.0</v>
      </c>
      <c r="J53" s="12">
        <v>0.0</v>
      </c>
      <c r="K53" s="12">
        <v>0.0</v>
      </c>
      <c r="L53" s="12">
        <v>3.0</v>
      </c>
      <c r="M53" s="12">
        <v>2.0</v>
      </c>
      <c r="N53" s="12">
        <v>0.0</v>
      </c>
      <c r="O53" s="12">
        <v>1.0</v>
      </c>
      <c r="P53" s="12">
        <v>1.0</v>
      </c>
      <c r="Q53" s="12">
        <v>0.0</v>
      </c>
      <c r="R53" s="12">
        <v>0.0</v>
      </c>
      <c r="S53" s="12">
        <v>1.0</v>
      </c>
      <c r="T53" s="12">
        <v>1.0</v>
      </c>
      <c r="U53" s="12">
        <v>0.0</v>
      </c>
      <c r="V53" s="12">
        <v>0.0</v>
      </c>
      <c r="W53" s="12">
        <v>1.0</v>
      </c>
      <c r="X53" s="12">
        <v>0.0</v>
      </c>
      <c r="Y53" s="12">
        <v>2.0</v>
      </c>
      <c r="Z53" s="12">
        <v>1.0</v>
      </c>
      <c r="AA53" s="12">
        <v>0.0</v>
      </c>
      <c r="AB53" s="12">
        <v>0.0</v>
      </c>
      <c r="AC53" s="8">
        <f t="shared" si="14"/>
        <v>19</v>
      </c>
    </row>
    <row r="54" ht="12.75" customHeight="1">
      <c r="A54" s="24"/>
      <c r="B54" s="46" t="s">
        <v>51</v>
      </c>
      <c r="C54" s="66" t="s">
        <v>52</v>
      </c>
      <c r="D54" s="22"/>
      <c r="E54" s="12">
        <v>12.0</v>
      </c>
      <c r="F54" s="12">
        <v>24.0</v>
      </c>
      <c r="G54" s="12">
        <v>25.0</v>
      </c>
      <c r="H54" s="12">
        <v>14.0</v>
      </c>
      <c r="I54" s="12">
        <v>45.0</v>
      </c>
      <c r="J54" s="12">
        <v>17.0</v>
      </c>
      <c r="K54" s="12">
        <v>18.0</v>
      </c>
      <c r="L54" s="12">
        <v>18.0</v>
      </c>
      <c r="M54" s="12">
        <v>13.0</v>
      </c>
      <c r="N54" s="12">
        <v>20.0</v>
      </c>
      <c r="O54" s="12">
        <v>20.0</v>
      </c>
      <c r="P54" s="12">
        <v>22.0</v>
      </c>
      <c r="Q54" s="12">
        <v>20.0</v>
      </c>
      <c r="R54" s="12">
        <v>35.0</v>
      </c>
      <c r="S54" s="12">
        <v>8.0</v>
      </c>
      <c r="T54" s="12">
        <v>16.0</v>
      </c>
      <c r="U54" s="12">
        <v>24.0</v>
      </c>
      <c r="V54" s="12">
        <v>26.0</v>
      </c>
      <c r="W54" s="12">
        <v>15.0</v>
      </c>
      <c r="X54" s="12">
        <v>20.0</v>
      </c>
      <c r="Y54" s="12">
        <v>19.0</v>
      </c>
      <c r="Z54" s="12">
        <v>26.0</v>
      </c>
      <c r="AA54" s="12">
        <v>21.0</v>
      </c>
      <c r="AB54" s="12">
        <v>16.0</v>
      </c>
      <c r="AC54" s="8">
        <f t="shared" si="14"/>
        <v>494</v>
      </c>
    </row>
    <row r="55" ht="12.75" customHeight="1">
      <c r="A55" s="24"/>
      <c r="B55" s="46" t="s">
        <v>53</v>
      </c>
      <c r="C55" s="66" t="s">
        <v>54</v>
      </c>
      <c r="D55" s="22"/>
      <c r="E55" s="12">
        <v>0.0</v>
      </c>
      <c r="F55" s="12">
        <v>1.0</v>
      </c>
      <c r="G55" s="12">
        <v>1.0</v>
      </c>
      <c r="H55" s="12">
        <v>3.0</v>
      </c>
      <c r="I55" s="12">
        <v>2.0</v>
      </c>
      <c r="J55" s="12">
        <v>5.0</v>
      </c>
      <c r="K55" s="12">
        <v>2.0</v>
      </c>
      <c r="L55" s="12">
        <v>0.0</v>
      </c>
      <c r="M55" s="12">
        <v>1.0</v>
      </c>
      <c r="N55" s="12">
        <v>0.0</v>
      </c>
      <c r="O55" s="12">
        <v>0.0</v>
      </c>
      <c r="P55" s="12">
        <v>1.0</v>
      </c>
      <c r="Q55" s="12">
        <v>0.0</v>
      </c>
      <c r="R55" s="12">
        <v>1.0</v>
      </c>
      <c r="S55" s="12">
        <v>0.0</v>
      </c>
      <c r="T55" s="12">
        <v>1.0</v>
      </c>
      <c r="U55" s="12">
        <v>2.0</v>
      </c>
      <c r="V55" s="12">
        <v>2.0</v>
      </c>
      <c r="W55" s="12">
        <v>1.0</v>
      </c>
      <c r="X55" s="12">
        <v>2.0</v>
      </c>
      <c r="Y55" s="12">
        <v>0.0</v>
      </c>
      <c r="Z55" s="12">
        <v>1.0</v>
      </c>
      <c r="AA55" s="12">
        <v>0.0</v>
      </c>
      <c r="AB55" s="12">
        <v>2.0</v>
      </c>
      <c r="AC55" s="8">
        <f t="shared" si="14"/>
        <v>28</v>
      </c>
    </row>
    <row r="56" ht="12.75" customHeight="1">
      <c r="A56" s="24"/>
      <c r="B56" s="46" t="s">
        <v>55</v>
      </c>
      <c r="C56" s="66" t="s">
        <v>56</v>
      </c>
      <c r="D56" s="22"/>
      <c r="E56" s="12">
        <v>19.0</v>
      </c>
      <c r="F56" s="12">
        <v>24.0</v>
      </c>
      <c r="G56" s="12">
        <v>47.0</v>
      </c>
      <c r="H56" s="12">
        <v>10.0</v>
      </c>
      <c r="I56" s="12">
        <v>20.0</v>
      </c>
      <c r="J56" s="12">
        <v>15.0</v>
      </c>
      <c r="K56" s="12">
        <v>36.0</v>
      </c>
      <c r="L56" s="12">
        <v>35.0</v>
      </c>
      <c r="M56" s="12">
        <v>27.0</v>
      </c>
      <c r="N56" s="12">
        <v>23.0</v>
      </c>
      <c r="O56" s="12">
        <v>29.0</v>
      </c>
      <c r="P56" s="12">
        <v>9.0</v>
      </c>
      <c r="Q56" s="12">
        <v>9.0</v>
      </c>
      <c r="R56" s="12">
        <v>13.0</v>
      </c>
      <c r="S56" s="12">
        <v>13.0</v>
      </c>
      <c r="T56" s="12">
        <v>22.0</v>
      </c>
      <c r="U56" s="12">
        <v>26.0</v>
      </c>
      <c r="V56" s="12">
        <v>26.0</v>
      </c>
      <c r="W56" s="12">
        <v>21.0</v>
      </c>
      <c r="X56" s="12">
        <v>22.0</v>
      </c>
      <c r="Y56" s="12">
        <v>28.0</v>
      </c>
      <c r="Z56" s="12">
        <v>26.0</v>
      </c>
      <c r="AA56" s="12">
        <v>27.0</v>
      </c>
      <c r="AB56" s="12">
        <v>34.0</v>
      </c>
      <c r="AC56" s="8">
        <f t="shared" si="14"/>
        <v>561</v>
      </c>
    </row>
    <row r="57" ht="12.75" customHeight="1">
      <c r="A57" s="64"/>
      <c r="B57" s="46" t="s">
        <v>57</v>
      </c>
      <c r="C57" s="66" t="s">
        <v>58</v>
      </c>
      <c r="D57" s="22"/>
      <c r="E57" s="12">
        <v>1.0</v>
      </c>
      <c r="F57" s="12">
        <v>0.0</v>
      </c>
      <c r="G57" s="12">
        <v>4.0</v>
      </c>
      <c r="H57" s="12">
        <v>0.0</v>
      </c>
      <c r="I57" s="12">
        <v>1.0</v>
      </c>
      <c r="J57" s="12">
        <v>2.0</v>
      </c>
      <c r="K57" s="12">
        <v>1.0</v>
      </c>
      <c r="L57" s="12">
        <v>2.0</v>
      </c>
      <c r="M57" s="12">
        <v>1.0</v>
      </c>
      <c r="N57" s="12">
        <v>1.0</v>
      </c>
      <c r="O57" s="12">
        <v>1.0</v>
      </c>
      <c r="P57" s="12">
        <v>1.0</v>
      </c>
      <c r="Q57" s="12">
        <v>5.0</v>
      </c>
      <c r="R57" s="12">
        <v>0.0</v>
      </c>
      <c r="S57" s="12">
        <v>0.0</v>
      </c>
      <c r="T57" s="12">
        <v>1.0</v>
      </c>
      <c r="U57" s="12">
        <v>2.0</v>
      </c>
      <c r="V57" s="12">
        <v>3.0</v>
      </c>
      <c r="W57" s="12">
        <v>2.0</v>
      </c>
      <c r="X57" s="12">
        <v>3.0</v>
      </c>
      <c r="Y57" s="12">
        <v>2.0</v>
      </c>
      <c r="Z57" s="12">
        <v>1.0</v>
      </c>
      <c r="AA57" s="12">
        <v>1.0</v>
      </c>
      <c r="AB57" s="12">
        <v>6.0</v>
      </c>
      <c r="AC57" s="8">
        <f t="shared" si="14"/>
        <v>41</v>
      </c>
    </row>
    <row r="58" ht="12.75" customHeight="1">
      <c r="A58" s="29"/>
      <c r="B58" s="21"/>
      <c r="C58" s="21"/>
      <c r="D58" s="22"/>
      <c r="E58" s="12"/>
      <c r="F58" s="12"/>
      <c r="G58" s="12"/>
      <c r="H58" s="12"/>
      <c r="I58" s="12"/>
      <c r="J58" s="12"/>
      <c r="K58" s="12"/>
      <c r="L58" s="12"/>
      <c r="M58" s="12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8"/>
    </row>
    <row r="59" ht="12.75" customHeight="1">
      <c r="A59" s="61" t="s">
        <v>59</v>
      </c>
      <c r="B59" s="20" t="s">
        <v>60</v>
      </c>
      <c r="C59" s="21"/>
      <c r="D59" s="22"/>
      <c r="E59" s="8"/>
      <c r="F59" s="8"/>
      <c r="G59" s="8"/>
      <c r="H59" s="8"/>
      <c r="I59" s="8"/>
      <c r="J59" s="8"/>
      <c r="K59" s="8"/>
      <c r="L59" s="8"/>
      <c r="M59" s="8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8"/>
    </row>
    <row r="60" ht="12.75" customHeight="1">
      <c r="A60" s="61"/>
      <c r="B60" s="69" t="s">
        <v>61</v>
      </c>
      <c r="C60" s="50" t="s">
        <v>62</v>
      </c>
      <c r="D60" s="22"/>
      <c r="E60" s="12">
        <f t="shared" ref="E60:AB60" si="15">SUM(E45:E57)</f>
        <v>115</v>
      </c>
      <c r="F60" s="12">
        <f t="shared" si="15"/>
        <v>147</v>
      </c>
      <c r="G60" s="12">
        <f t="shared" si="15"/>
        <v>194</v>
      </c>
      <c r="H60" s="12">
        <f t="shared" si="15"/>
        <v>104</v>
      </c>
      <c r="I60" s="12">
        <f t="shared" si="15"/>
        <v>219</v>
      </c>
      <c r="J60" s="12">
        <f t="shared" si="15"/>
        <v>188</v>
      </c>
      <c r="K60" s="12">
        <f t="shared" si="15"/>
        <v>186</v>
      </c>
      <c r="L60" s="12">
        <f t="shared" si="15"/>
        <v>205</v>
      </c>
      <c r="M60" s="12">
        <f t="shared" si="15"/>
        <v>178</v>
      </c>
      <c r="N60" s="12">
        <f t="shared" si="15"/>
        <v>177</v>
      </c>
      <c r="O60" s="12">
        <f t="shared" si="15"/>
        <v>172</v>
      </c>
      <c r="P60" s="12">
        <f t="shared" si="15"/>
        <v>173</v>
      </c>
      <c r="Q60" s="12">
        <f t="shared" si="15"/>
        <v>180</v>
      </c>
      <c r="R60" s="12">
        <f t="shared" si="15"/>
        <v>197</v>
      </c>
      <c r="S60" s="12">
        <f t="shared" si="15"/>
        <v>160</v>
      </c>
      <c r="T60" s="12">
        <f t="shared" si="15"/>
        <v>194</v>
      </c>
      <c r="U60" s="12">
        <f t="shared" si="15"/>
        <v>201</v>
      </c>
      <c r="V60" s="12">
        <f t="shared" si="15"/>
        <v>214</v>
      </c>
      <c r="W60" s="12">
        <f t="shared" si="15"/>
        <v>184</v>
      </c>
      <c r="X60" s="12">
        <f t="shared" si="15"/>
        <v>166</v>
      </c>
      <c r="Y60" s="12">
        <f t="shared" si="15"/>
        <v>162</v>
      </c>
      <c r="Z60" s="12">
        <f t="shared" si="15"/>
        <v>128</v>
      </c>
      <c r="AA60" s="12">
        <f t="shared" si="15"/>
        <v>160</v>
      </c>
      <c r="AB60" s="12">
        <f t="shared" si="15"/>
        <v>165</v>
      </c>
      <c r="AC60" s="8">
        <f t="shared" ref="AC60:AC62" si="16">SUM(E60:AB60)</f>
        <v>4169</v>
      </c>
    </row>
    <row r="61" ht="12.75" customHeight="1">
      <c r="A61" s="57"/>
      <c r="B61" s="69" t="s">
        <v>63</v>
      </c>
      <c r="C61" s="50" t="s">
        <v>64</v>
      </c>
      <c r="D61" s="22"/>
      <c r="E61" s="12">
        <v>23.0</v>
      </c>
      <c r="F61" s="12">
        <v>49.0</v>
      </c>
      <c r="G61" s="12">
        <v>27.0</v>
      </c>
      <c r="H61" s="12">
        <v>74.0</v>
      </c>
      <c r="I61" s="12">
        <v>20.0</v>
      </c>
      <c r="J61" s="12">
        <v>58.0</v>
      </c>
      <c r="K61" s="12">
        <v>63.0</v>
      </c>
      <c r="L61" s="12">
        <v>48.0</v>
      </c>
      <c r="M61" s="12">
        <v>27.0</v>
      </c>
      <c r="N61" s="12">
        <v>27.0</v>
      </c>
      <c r="O61" s="12">
        <v>56.0</v>
      </c>
      <c r="P61" s="12">
        <v>76.0</v>
      </c>
      <c r="Q61" s="12">
        <v>50.0</v>
      </c>
      <c r="R61" s="12">
        <v>41.0</v>
      </c>
      <c r="S61" s="12">
        <v>29.0</v>
      </c>
      <c r="T61" s="12">
        <v>50.0</v>
      </c>
      <c r="U61" s="12">
        <v>41.0</v>
      </c>
      <c r="V61" s="12">
        <v>32.0</v>
      </c>
      <c r="W61" s="12">
        <v>53.0</v>
      </c>
      <c r="X61" s="12">
        <v>61.0</v>
      </c>
      <c r="Y61" s="12">
        <v>55.0</v>
      </c>
      <c r="Z61" s="12">
        <v>48.0</v>
      </c>
      <c r="AA61" s="12">
        <v>59.0</v>
      </c>
      <c r="AB61" s="12">
        <v>31.0</v>
      </c>
      <c r="AC61" s="8">
        <f t="shared" si="16"/>
        <v>1098</v>
      </c>
    </row>
    <row r="62" ht="12.75" customHeight="1">
      <c r="A62" s="58"/>
      <c r="B62" s="69" t="s">
        <v>65</v>
      </c>
      <c r="C62" s="50" t="s">
        <v>66</v>
      </c>
      <c r="D62" s="22"/>
      <c r="E62" s="8">
        <f t="shared" ref="E62:AB62" si="17">SUM(E60:E61)</f>
        <v>138</v>
      </c>
      <c r="F62" s="8">
        <f t="shared" si="17"/>
        <v>196</v>
      </c>
      <c r="G62" s="8">
        <f t="shared" si="17"/>
        <v>221</v>
      </c>
      <c r="H62" s="8">
        <f t="shared" si="17"/>
        <v>178</v>
      </c>
      <c r="I62" s="8">
        <f t="shared" si="17"/>
        <v>239</v>
      </c>
      <c r="J62" s="8">
        <f t="shared" si="17"/>
        <v>246</v>
      </c>
      <c r="K62" s="8">
        <f t="shared" si="17"/>
        <v>249</v>
      </c>
      <c r="L62" s="8">
        <f t="shared" si="17"/>
        <v>253</v>
      </c>
      <c r="M62" s="8">
        <f t="shared" si="17"/>
        <v>205</v>
      </c>
      <c r="N62" s="8">
        <f t="shared" si="17"/>
        <v>204</v>
      </c>
      <c r="O62" s="8">
        <f t="shared" si="17"/>
        <v>228</v>
      </c>
      <c r="P62" s="8">
        <f t="shared" si="17"/>
        <v>249</v>
      </c>
      <c r="Q62" s="8">
        <f t="shared" si="17"/>
        <v>230</v>
      </c>
      <c r="R62" s="8">
        <f t="shared" si="17"/>
        <v>238</v>
      </c>
      <c r="S62" s="8">
        <f t="shared" si="17"/>
        <v>189</v>
      </c>
      <c r="T62" s="8">
        <f t="shared" si="17"/>
        <v>244</v>
      </c>
      <c r="U62" s="8">
        <f t="shared" si="17"/>
        <v>242</v>
      </c>
      <c r="V62" s="8">
        <f t="shared" si="17"/>
        <v>246</v>
      </c>
      <c r="W62" s="8">
        <f t="shared" si="17"/>
        <v>237</v>
      </c>
      <c r="X62" s="8">
        <f t="shared" si="17"/>
        <v>227</v>
      </c>
      <c r="Y62" s="8">
        <f t="shared" si="17"/>
        <v>217</v>
      </c>
      <c r="Z62" s="8">
        <f t="shared" si="17"/>
        <v>176</v>
      </c>
      <c r="AA62" s="8">
        <f t="shared" si="17"/>
        <v>219</v>
      </c>
      <c r="AB62" s="8">
        <f t="shared" si="17"/>
        <v>196</v>
      </c>
      <c r="AC62" s="8">
        <f t="shared" si="16"/>
        <v>5267</v>
      </c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46">
    <mergeCell ref="B12:D12"/>
    <mergeCell ref="E12:AB12"/>
    <mergeCell ref="AC12:AC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E37:I37"/>
    <mergeCell ref="B36:D36"/>
    <mergeCell ref="B38:D38"/>
    <mergeCell ref="B39:C41"/>
    <mergeCell ref="A42:D42"/>
    <mergeCell ref="E42:I42"/>
    <mergeCell ref="B43:D43"/>
    <mergeCell ref="B44:D44"/>
    <mergeCell ref="C45:D45"/>
    <mergeCell ref="C46:D46"/>
    <mergeCell ref="C47:D47"/>
    <mergeCell ref="C48:D48"/>
    <mergeCell ref="C49:D49"/>
    <mergeCell ref="C50:D50"/>
    <mergeCell ref="C51:D51"/>
    <mergeCell ref="B59:D59"/>
    <mergeCell ref="C60:D60"/>
    <mergeCell ref="C61:D61"/>
    <mergeCell ref="C62:D62"/>
    <mergeCell ref="C52:D52"/>
    <mergeCell ref="C53:D53"/>
    <mergeCell ref="C54:D54"/>
    <mergeCell ref="C55:D55"/>
    <mergeCell ref="C56:D56"/>
    <mergeCell ref="C57:D57"/>
    <mergeCell ref="A58:D58"/>
  </mergeCells>
  <conditionalFormatting sqref="E30:T30">
    <cfRule type="expression" dxfId="0" priority="1">
      <formula>E30&lt;&gt;E62</formula>
    </cfRule>
  </conditionalFormatting>
  <conditionalFormatting sqref="E34:T34">
    <cfRule type="expression" dxfId="0" priority="2">
      <formula>E34&lt;&gt;E62</formula>
    </cfRule>
  </conditionalFormatting>
  <conditionalFormatting sqref="E14:AB15">
    <cfRule type="containsBlanks" dxfId="1" priority="3">
      <formula>LEN(TRIM(E14))=0</formula>
    </cfRule>
  </conditionalFormatting>
  <conditionalFormatting sqref="E19:AB20">
    <cfRule type="containsBlanks" dxfId="1" priority="4">
      <formula>LEN(TRIM(E19))=0</formula>
    </cfRule>
  </conditionalFormatting>
  <conditionalFormatting sqref="E22:AB23 E25:AB26 E33:AB33 E35:AB35 E39:AB40">
    <cfRule type="containsBlanks" dxfId="1" priority="5">
      <formula>LEN(TRIM(E22))=0</formula>
    </cfRule>
  </conditionalFormatting>
  <conditionalFormatting sqref="E30:AB30">
    <cfRule type="expression" dxfId="0" priority="6">
      <formula>E30&lt;&gt;E34</formula>
    </cfRule>
  </conditionalFormatting>
  <conditionalFormatting sqref="E34:AB34">
    <cfRule type="expression" dxfId="2" priority="7">
      <formula>E30&lt;&gt;E34</formula>
    </cfRule>
  </conditionalFormatting>
  <conditionalFormatting sqref="E34:AB34">
    <cfRule type="expression" dxfId="3" priority="8">
      <formula>E30=E34</formula>
    </cfRule>
  </conditionalFormatting>
  <conditionalFormatting sqref="E34:AB34">
    <cfRule type="expression" dxfId="0" priority="9">
      <formula>E34&lt;&gt;E30</formula>
    </cfRule>
  </conditionalFormatting>
  <conditionalFormatting sqref="E45:AB57">
    <cfRule type="containsBlanks" dxfId="1" priority="10">
      <formula>LEN(TRIM(E45))=0</formula>
    </cfRule>
  </conditionalFormatting>
  <conditionalFormatting sqref="E60:AB61">
    <cfRule type="containsBlanks" dxfId="1" priority="11">
      <formula>LEN(TRIM(E60))=0</formula>
    </cfRule>
  </conditionalFormatting>
  <conditionalFormatting sqref="U30:AB30">
    <cfRule type="expression" dxfId="0" priority="12">
      <formula>U30&lt;&gt;U47</formula>
    </cfRule>
  </conditionalFormatting>
  <conditionalFormatting sqref="U34:AB34">
    <cfRule type="expression" dxfId="0" priority="13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67.14"/>
    <col customWidth="1" min="4" max="4" width="14.57"/>
    <col customWidth="1" min="5" max="13" width="9.14"/>
    <col customWidth="1" min="14" max="14" width="9.57"/>
    <col customWidth="1" min="15" max="23" width="9.14"/>
    <col customWidth="1" min="24" max="26" width="8.71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 t="s">
        <v>0</v>
      </c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 t="s">
        <v>2</v>
      </c>
      <c r="D3" s="1" t="s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"/>
      <c r="C4" s="1" t="s">
        <v>4</v>
      </c>
      <c r="D4" s="1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1" t="s">
        <v>67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2"/>
      <c r="B11" s="16"/>
      <c r="C11" s="16"/>
      <c r="D11" s="16"/>
      <c r="E11" s="2"/>
      <c r="F11" s="2"/>
      <c r="G11" s="2"/>
      <c r="H11" s="2"/>
      <c r="I11" s="2"/>
      <c r="J11" s="2"/>
      <c r="K11" s="2"/>
      <c r="L11" s="2"/>
      <c r="M11" s="2"/>
      <c r="N11" s="3"/>
      <c r="O11" s="3"/>
      <c r="P11" s="3"/>
      <c r="Q11" s="3"/>
      <c r="R11" s="3"/>
      <c r="S11" s="3"/>
      <c r="T11" s="3"/>
      <c r="U11" s="3"/>
      <c r="V11" s="3"/>
      <c r="W11" s="3"/>
      <c r="X11" s="1"/>
      <c r="Y11" s="1"/>
      <c r="Z11" s="1"/>
    </row>
    <row r="12" ht="12.75" customHeight="1">
      <c r="A12" s="8" t="s">
        <v>6</v>
      </c>
      <c r="B12" s="20" t="s">
        <v>7</v>
      </c>
      <c r="C12" s="21"/>
      <c r="D12" s="22"/>
      <c r="E12" s="34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53" t="s">
        <v>8</v>
      </c>
      <c r="X12" s="1"/>
      <c r="Y12" s="1"/>
      <c r="Z12" s="1"/>
    </row>
    <row r="13" ht="12.75" customHeight="1">
      <c r="A13" s="12" t="s">
        <v>9</v>
      </c>
      <c r="B13" s="25" t="s">
        <v>10</v>
      </c>
      <c r="C13" s="21"/>
      <c r="D13" s="22"/>
      <c r="E13" s="8" t="s">
        <v>69</v>
      </c>
      <c r="F13" s="8" t="s">
        <v>70</v>
      </c>
      <c r="G13" s="8" t="s">
        <v>71</v>
      </c>
      <c r="H13" s="8" t="s">
        <v>72</v>
      </c>
      <c r="I13" s="8" t="s">
        <v>73</v>
      </c>
      <c r="J13" s="8" t="s">
        <v>74</v>
      </c>
      <c r="K13" s="8" t="s">
        <v>75</v>
      </c>
      <c r="L13" s="8" t="s">
        <v>76</v>
      </c>
      <c r="M13" s="8" t="s">
        <v>77</v>
      </c>
      <c r="N13" s="8" t="s">
        <v>78</v>
      </c>
      <c r="O13" s="8" t="s">
        <v>79</v>
      </c>
      <c r="P13" s="8" t="s">
        <v>80</v>
      </c>
      <c r="Q13" s="8" t="s">
        <v>81</v>
      </c>
      <c r="R13" s="8" t="s">
        <v>82</v>
      </c>
      <c r="S13" s="8" t="s">
        <v>83</v>
      </c>
      <c r="T13" s="8" t="s">
        <v>84</v>
      </c>
      <c r="U13" s="8" t="s">
        <v>85</v>
      </c>
      <c r="V13" s="8" t="s">
        <v>86</v>
      </c>
      <c r="W13" s="33"/>
      <c r="X13" s="1"/>
      <c r="Y13" s="1"/>
      <c r="Z13" s="1"/>
    </row>
    <row r="14" ht="12.75" customHeight="1">
      <c r="A14" s="24"/>
      <c r="B14" s="27" t="s">
        <v>11</v>
      </c>
      <c r="C14" s="28"/>
      <c r="D14" s="12" t="s">
        <v>12</v>
      </c>
      <c r="E14" s="12">
        <v>124.0</v>
      </c>
      <c r="F14" s="12">
        <v>130.0</v>
      </c>
      <c r="G14" s="12">
        <v>115.0</v>
      </c>
      <c r="H14" s="12">
        <v>131.0</v>
      </c>
      <c r="I14" s="12">
        <v>128.0</v>
      </c>
      <c r="J14" s="12">
        <v>128.0</v>
      </c>
      <c r="K14" s="12">
        <v>73.0</v>
      </c>
      <c r="L14" s="12">
        <v>128.0</v>
      </c>
      <c r="M14" s="12">
        <v>117.0</v>
      </c>
      <c r="N14" s="12">
        <v>117.0</v>
      </c>
      <c r="O14" s="12">
        <v>93.0</v>
      </c>
      <c r="P14" s="12">
        <v>139.0</v>
      </c>
      <c r="Q14" s="12">
        <v>152.0</v>
      </c>
      <c r="R14" s="12">
        <v>142.0</v>
      </c>
      <c r="S14" s="12">
        <v>132.0</v>
      </c>
      <c r="T14" s="12">
        <v>122.0</v>
      </c>
      <c r="U14" s="12">
        <v>115.0</v>
      </c>
      <c r="V14" s="12">
        <v>117.0</v>
      </c>
      <c r="W14" s="8">
        <f t="shared" ref="W14:W16" si="1">SUM(E14:V14)</f>
        <v>2203</v>
      </c>
      <c r="X14" s="1"/>
      <c r="Y14" s="1"/>
      <c r="Z14" s="1"/>
    </row>
    <row r="15" ht="12.75" customHeight="1">
      <c r="A15" s="24"/>
      <c r="B15" s="30"/>
      <c r="C15" s="31"/>
      <c r="D15" s="12" t="s">
        <v>13</v>
      </c>
      <c r="E15" s="12">
        <v>141.0</v>
      </c>
      <c r="F15" s="12">
        <v>140.0</v>
      </c>
      <c r="G15" s="12">
        <v>124.0</v>
      </c>
      <c r="H15" s="12">
        <v>131.0</v>
      </c>
      <c r="I15" s="12">
        <v>131.0</v>
      </c>
      <c r="J15" s="12">
        <v>141.0</v>
      </c>
      <c r="K15" s="12">
        <v>85.0</v>
      </c>
      <c r="L15" s="12">
        <v>136.0</v>
      </c>
      <c r="M15" s="12">
        <v>113.0</v>
      </c>
      <c r="N15" s="12">
        <v>133.0</v>
      </c>
      <c r="O15" s="12">
        <v>83.0</v>
      </c>
      <c r="P15" s="12">
        <v>148.0</v>
      </c>
      <c r="Q15" s="12">
        <v>136.0</v>
      </c>
      <c r="R15" s="12">
        <v>134.0</v>
      </c>
      <c r="S15" s="12">
        <v>139.0</v>
      </c>
      <c r="T15" s="12">
        <v>136.0</v>
      </c>
      <c r="U15" s="12">
        <v>122.0</v>
      </c>
      <c r="V15" s="12">
        <v>125.0</v>
      </c>
      <c r="W15" s="8">
        <f t="shared" si="1"/>
        <v>2298</v>
      </c>
      <c r="X15" s="1"/>
      <c r="Y15" s="1"/>
      <c r="Z15" s="1"/>
    </row>
    <row r="16" ht="12.75" customHeight="1">
      <c r="A16" s="32"/>
      <c r="B16" s="26"/>
      <c r="C16" s="33"/>
      <c r="D16" s="8" t="s">
        <v>14</v>
      </c>
      <c r="E16" s="8">
        <f t="shared" ref="E16:V16" si="2">SUM(E14:E15)</f>
        <v>265</v>
      </c>
      <c r="F16" s="8">
        <f t="shared" si="2"/>
        <v>270</v>
      </c>
      <c r="G16" s="8">
        <f t="shared" si="2"/>
        <v>239</v>
      </c>
      <c r="H16" s="8">
        <f t="shared" si="2"/>
        <v>262</v>
      </c>
      <c r="I16" s="8">
        <f t="shared" si="2"/>
        <v>259</v>
      </c>
      <c r="J16" s="8">
        <f t="shared" si="2"/>
        <v>269</v>
      </c>
      <c r="K16" s="8">
        <f t="shared" si="2"/>
        <v>158</v>
      </c>
      <c r="L16" s="8">
        <f t="shared" si="2"/>
        <v>264</v>
      </c>
      <c r="M16" s="8">
        <f t="shared" si="2"/>
        <v>230</v>
      </c>
      <c r="N16" s="8">
        <f t="shared" si="2"/>
        <v>250</v>
      </c>
      <c r="O16" s="8">
        <f t="shared" si="2"/>
        <v>176</v>
      </c>
      <c r="P16" s="8">
        <f t="shared" si="2"/>
        <v>287</v>
      </c>
      <c r="Q16" s="8">
        <f t="shared" si="2"/>
        <v>288</v>
      </c>
      <c r="R16" s="8">
        <f t="shared" si="2"/>
        <v>276</v>
      </c>
      <c r="S16" s="8">
        <f t="shared" si="2"/>
        <v>271</v>
      </c>
      <c r="T16" s="8">
        <f t="shared" si="2"/>
        <v>258</v>
      </c>
      <c r="U16" s="8">
        <f t="shared" si="2"/>
        <v>237</v>
      </c>
      <c r="V16" s="8">
        <f t="shared" si="2"/>
        <v>242</v>
      </c>
      <c r="W16" s="8">
        <f t="shared" si="1"/>
        <v>4501</v>
      </c>
      <c r="X16" s="1"/>
      <c r="Y16" s="1"/>
      <c r="Z16" s="1"/>
    </row>
    <row r="17" ht="12.75" customHeight="1">
      <c r="A17" s="29"/>
      <c r="B17" s="21"/>
      <c r="C17" s="21"/>
      <c r="D17" s="22"/>
      <c r="E17" s="12"/>
      <c r="F17" s="12"/>
      <c r="G17" s="12"/>
      <c r="H17" s="12"/>
      <c r="I17" s="12"/>
      <c r="J17" s="12"/>
      <c r="K17" s="12"/>
      <c r="L17" s="12"/>
      <c r="M17" s="12"/>
      <c r="N17" s="17"/>
      <c r="O17" s="17"/>
      <c r="P17" s="17"/>
      <c r="Q17" s="17"/>
      <c r="R17" s="17"/>
      <c r="S17" s="17"/>
      <c r="T17" s="17"/>
      <c r="U17" s="17"/>
      <c r="V17" s="17"/>
      <c r="W17" s="8"/>
      <c r="X17" s="1"/>
      <c r="Y17" s="1"/>
      <c r="Z17" s="1"/>
    </row>
    <row r="18" ht="12.75" customHeight="1">
      <c r="A18" s="54" t="s">
        <v>15</v>
      </c>
      <c r="B18" s="25" t="s">
        <v>16</v>
      </c>
      <c r="C18" s="21"/>
      <c r="D18" s="22"/>
      <c r="E18" s="12"/>
      <c r="F18" s="12"/>
      <c r="G18" s="12"/>
      <c r="H18" s="12"/>
      <c r="I18" s="12"/>
      <c r="J18" s="12"/>
      <c r="K18" s="12"/>
      <c r="L18" s="12"/>
      <c r="M18" s="12"/>
      <c r="N18" s="17"/>
      <c r="O18" s="17"/>
      <c r="P18" s="17"/>
      <c r="Q18" s="17"/>
      <c r="R18" s="17"/>
      <c r="S18" s="17"/>
      <c r="T18" s="17"/>
      <c r="U18" s="17"/>
      <c r="V18" s="17"/>
      <c r="W18" s="8"/>
      <c r="X18" s="1"/>
      <c r="Y18" s="1"/>
      <c r="Z18" s="1"/>
    </row>
    <row r="19" ht="12.75" customHeight="1">
      <c r="A19" s="54"/>
      <c r="B19" s="55" t="s">
        <v>17</v>
      </c>
      <c r="C19" s="36" t="s">
        <v>18</v>
      </c>
      <c r="D19" s="12" t="s">
        <v>12</v>
      </c>
      <c r="E19" s="12">
        <v>106.0</v>
      </c>
      <c r="F19" s="12">
        <v>108.0</v>
      </c>
      <c r="G19" s="12">
        <v>96.0</v>
      </c>
      <c r="H19" s="12">
        <v>104.0</v>
      </c>
      <c r="I19" s="12">
        <v>100.0</v>
      </c>
      <c r="J19" s="12">
        <v>106.0</v>
      </c>
      <c r="K19" s="12">
        <v>52.0</v>
      </c>
      <c r="L19" s="12">
        <v>112.0</v>
      </c>
      <c r="M19" s="12">
        <v>92.0</v>
      </c>
      <c r="N19" s="12">
        <v>96.0</v>
      </c>
      <c r="O19" s="12">
        <v>72.0</v>
      </c>
      <c r="P19" s="12">
        <v>108.0</v>
      </c>
      <c r="Q19" s="12">
        <v>117.0</v>
      </c>
      <c r="R19" s="12">
        <v>108.0</v>
      </c>
      <c r="S19" s="12">
        <v>109.0</v>
      </c>
      <c r="T19" s="12">
        <v>104.0</v>
      </c>
      <c r="U19" s="12">
        <v>100.0</v>
      </c>
      <c r="V19" s="12">
        <v>82.0</v>
      </c>
      <c r="W19" s="8">
        <f t="shared" ref="W19:W30" si="3">SUM(E19:V19)</f>
        <v>1772</v>
      </c>
      <c r="X19" s="1"/>
      <c r="Y19" s="1"/>
      <c r="Z19" s="1"/>
    </row>
    <row r="20" ht="12.75" customHeight="1">
      <c r="A20" s="56"/>
      <c r="B20" s="31"/>
      <c r="C20" s="37"/>
      <c r="D20" s="12" t="s">
        <v>13</v>
      </c>
      <c r="E20" s="12">
        <v>119.0</v>
      </c>
      <c r="F20" s="12">
        <v>120.0</v>
      </c>
      <c r="G20" s="12">
        <v>108.0</v>
      </c>
      <c r="H20" s="12">
        <v>108.0</v>
      </c>
      <c r="I20" s="12">
        <v>106.0</v>
      </c>
      <c r="J20" s="12">
        <v>119.0</v>
      </c>
      <c r="K20" s="12">
        <v>70.0</v>
      </c>
      <c r="L20" s="12">
        <v>115.0</v>
      </c>
      <c r="M20" s="12">
        <v>101.0</v>
      </c>
      <c r="N20" s="12">
        <v>121.0</v>
      </c>
      <c r="O20" s="12">
        <v>63.0</v>
      </c>
      <c r="P20" s="12">
        <v>130.0</v>
      </c>
      <c r="Q20" s="12">
        <v>111.0</v>
      </c>
      <c r="R20" s="12">
        <v>119.0</v>
      </c>
      <c r="S20" s="12">
        <v>118.0</v>
      </c>
      <c r="T20" s="12">
        <v>117.0</v>
      </c>
      <c r="U20" s="12">
        <v>103.0</v>
      </c>
      <c r="V20" s="12">
        <v>93.0</v>
      </c>
      <c r="W20" s="8">
        <f t="shared" si="3"/>
        <v>1941</v>
      </c>
      <c r="X20" s="1"/>
      <c r="Y20" s="1"/>
      <c r="Z20" s="1"/>
    </row>
    <row r="21" ht="12.75" customHeight="1">
      <c r="A21" s="57"/>
      <c r="B21" s="33"/>
      <c r="C21" s="38"/>
      <c r="D21" s="8" t="s">
        <v>14</v>
      </c>
      <c r="E21" s="8">
        <f t="shared" ref="E21:V21" si="4">SUM(E19:E20)</f>
        <v>225</v>
      </c>
      <c r="F21" s="8">
        <f t="shared" si="4"/>
        <v>228</v>
      </c>
      <c r="G21" s="8">
        <f t="shared" si="4"/>
        <v>204</v>
      </c>
      <c r="H21" s="8">
        <f t="shared" si="4"/>
        <v>212</v>
      </c>
      <c r="I21" s="8">
        <f t="shared" si="4"/>
        <v>206</v>
      </c>
      <c r="J21" s="8">
        <f t="shared" si="4"/>
        <v>225</v>
      </c>
      <c r="K21" s="8">
        <f t="shared" si="4"/>
        <v>122</v>
      </c>
      <c r="L21" s="8">
        <f t="shared" si="4"/>
        <v>227</v>
      </c>
      <c r="M21" s="8">
        <f t="shared" si="4"/>
        <v>193</v>
      </c>
      <c r="N21" s="8">
        <f t="shared" si="4"/>
        <v>217</v>
      </c>
      <c r="O21" s="8">
        <f t="shared" si="4"/>
        <v>135</v>
      </c>
      <c r="P21" s="8">
        <f t="shared" si="4"/>
        <v>238</v>
      </c>
      <c r="Q21" s="8">
        <f t="shared" si="4"/>
        <v>228</v>
      </c>
      <c r="R21" s="8">
        <f t="shared" si="4"/>
        <v>227</v>
      </c>
      <c r="S21" s="8">
        <f t="shared" si="4"/>
        <v>227</v>
      </c>
      <c r="T21" s="8">
        <f t="shared" si="4"/>
        <v>221</v>
      </c>
      <c r="U21" s="8">
        <f t="shared" si="4"/>
        <v>203</v>
      </c>
      <c r="V21" s="8">
        <f t="shared" si="4"/>
        <v>175</v>
      </c>
      <c r="W21" s="8">
        <f t="shared" si="3"/>
        <v>3713</v>
      </c>
      <c r="X21" s="1"/>
      <c r="Y21" s="1"/>
      <c r="Z21" s="1"/>
    </row>
    <row r="22" ht="12.75" customHeight="1">
      <c r="A22" s="56"/>
      <c r="B22" s="55" t="s">
        <v>19</v>
      </c>
      <c r="C22" s="36" t="s">
        <v>20</v>
      </c>
      <c r="D22" s="12" t="s">
        <v>12</v>
      </c>
      <c r="E22" s="12">
        <v>0.0</v>
      </c>
      <c r="F22" s="12">
        <v>0.0</v>
      </c>
      <c r="G22" s="12">
        <v>1.0</v>
      </c>
      <c r="H22" s="12">
        <v>0.0</v>
      </c>
      <c r="I22" s="12">
        <v>1.0</v>
      </c>
      <c r="J22" s="12">
        <v>0.0</v>
      </c>
      <c r="K22" s="12">
        <v>1.0</v>
      </c>
      <c r="L22" s="12">
        <v>1.0</v>
      </c>
      <c r="M22" s="12">
        <v>0.0</v>
      </c>
      <c r="N22" s="12">
        <v>0.0</v>
      </c>
      <c r="O22" s="12">
        <v>1.0</v>
      </c>
      <c r="P22" s="12">
        <v>0.0</v>
      </c>
      <c r="Q22" s="12">
        <v>0.0</v>
      </c>
      <c r="R22" s="12">
        <v>0.0</v>
      </c>
      <c r="S22" s="12">
        <v>1.0</v>
      </c>
      <c r="T22" s="12">
        <v>0.0</v>
      </c>
      <c r="U22" s="12">
        <v>1.0</v>
      </c>
      <c r="V22" s="12">
        <v>0.0</v>
      </c>
      <c r="W22" s="8">
        <f t="shared" si="3"/>
        <v>7</v>
      </c>
      <c r="X22" s="1"/>
      <c r="Y22" s="1"/>
      <c r="Z22" s="1"/>
    </row>
    <row r="23" ht="15.0" customHeight="1">
      <c r="A23" s="56"/>
      <c r="B23" s="31"/>
      <c r="C23" s="37"/>
      <c r="D23" s="12" t="s">
        <v>13</v>
      </c>
      <c r="E23" s="12">
        <v>0.0</v>
      </c>
      <c r="F23" s="12">
        <v>1.0</v>
      </c>
      <c r="G23" s="12">
        <v>0.0</v>
      </c>
      <c r="H23" s="12">
        <v>1.0</v>
      </c>
      <c r="I23" s="12">
        <v>0.0</v>
      </c>
      <c r="J23" s="12">
        <v>1.0</v>
      </c>
      <c r="K23" s="12">
        <v>0.0</v>
      </c>
      <c r="L23" s="12">
        <v>0.0</v>
      </c>
      <c r="M23" s="12">
        <v>0.0</v>
      </c>
      <c r="N23" s="12">
        <v>2.0</v>
      </c>
      <c r="O23" s="12">
        <v>0.0</v>
      </c>
      <c r="P23" s="12">
        <v>1.0</v>
      </c>
      <c r="Q23" s="12">
        <v>0.0</v>
      </c>
      <c r="R23" s="12">
        <v>1.0</v>
      </c>
      <c r="S23" s="12">
        <v>0.0</v>
      </c>
      <c r="T23" s="12">
        <v>1.0</v>
      </c>
      <c r="U23" s="12">
        <v>2.0</v>
      </c>
      <c r="V23" s="12">
        <v>0.0</v>
      </c>
      <c r="W23" s="8">
        <f t="shared" si="3"/>
        <v>10</v>
      </c>
      <c r="X23" s="1"/>
      <c r="Y23" s="1"/>
      <c r="Z23" s="1"/>
    </row>
    <row r="24" ht="15.0" customHeight="1">
      <c r="A24" s="57"/>
      <c r="B24" s="33"/>
      <c r="C24" s="38"/>
      <c r="D24" s="8" t="s">
        <v>14</v>
      </c>
      <c r="E24" s="8">
        <f t="shared" ref="E24:V24" si="5">SUM(E22:E23)</f>
        <v>0</v>
      </c>
      <c r="F24" s="8">
        <f t="shared" si="5"/>
        <v>1</v>
      </c>
      <c r="G24" s="8">
        <f t="shared" si="5"/>
        <v>1</v>
      </c>
      <c r="H24" s="8">
        <f t="shared" si="5"/>
        <v>1</v>
      </c>
      <c r="I24" s="8">
        <f t="shared" si="5"/>
        <v>1</v>
      </c>
      <c r="J24" s="8">
        <f t="shared" si="5"/>
        <v>1</v>
      </c>
      <c r="K24" s="8">
        <f t="shared" si="5"/>
        <v>1</v>
      </c>
      <c r="L24" s="8">
        <f t="shared" si="5"/>
        <v>1</v>
      </c>
      <c r="M24" s="8">
        <f t="shared" si="5"/>
        <v>0</v>
      </c>
      <c r="N24" s="8">
        <f t="shared" si="5"/>
        <v>2</v>
      </c>
      <c r="O24" s="8">
        <f t="shared" si="5"/>
        <v>1</v>
      </c>
      <c r="P24" s="8">
        <f t="shared" si="5"/>
        <v>1</v>
      </c>
      <c r="Q24" s="8">
        <f t="shared" si="5"/>
        <v>0</v>
      </c>
      <c r="R24" s="8">
        <f t="shared" si="5"/>
        <v>1</v>
      </c>
      <c r="S24" s="8">
        <f t="shared" si="5"/>
        <v>1</v>
      </c>
      <c r="T24" s="8">
        <f t="shared" si="5"/>
        <v>1</v>
      </c>
      <c r="U24" s="8">
        <f t="shared" si="5"/>
        <v>3</v>
      </c>
      <c r="V24" s="8">
        <f t="shared" si="5"/>
        <v>0</v>
      </c>
      <c r="W24" s="8">
        <f t="shared" si="3"/>
        <v>17</v>
      </c>
      <c r="X24" s="1"/>
      <c r="Y24" s="1"/>
      <c r="Z24" s="1"/>
    </row>
    <row r="25" ht="15.0" customHeight="1">
      <c r="A25" s="56"/>
      <c r="B25" s="55" t="s">
        <v>21</v>
      </c>
      <c r="C25" s="36" t="s">
        <v>22</v>
      </c>
      <c r="D25" s="12" t="s">
        <v>12</v>
      </c>
      <c r="E25" s="12">
        <v>1.0</v>
      </c>
      <c r="F25" s="12">
        <v>1.0</v>
      </c>
      <c r="G25" s="12">
        <v>1.0</v>
      </c>
      <c r="H25" s="12">
        <v>1.0</v>
      </c>
      <c r="I25" s="12">
        <v>0.0</v>
      </c>
      <c r="J25" s="12">
        <v>2.0</v>
      </c>
      <c r="K25" s="12">
        <v>4.0</v>
      </c>
      <c r="L25" s="12">
        <v>0.0</v>
      </c>
      <c r="M25" s="12">
        <v>0.0</v>
      </c>
      <c r="N25" s="12">
        <v>1.0</v>
      </c>
      <c r="O25" s="12">
        <v>2.0</v>
      </c>
      <c r="P25" s="12">
        <v>4.0</v>
      </c>
      <c r="Q25" s="12">
        <v>0.0</v>
      </c>
      <c r="R25" s="12">
        <v>0.0</v>
      </c>
      <c r="S25" s="12">
        <v>0.0</v>
      </c>
      <c r="T25" s="12">
        <v>0.0</v>
      </c>
      <c r="U25" s="12">
        <v>1.0</v>
      </c>
      <c r="V25" s="12">
        <v>7.0</v>
      </c>
      <c r="W25" s="8">
        <f t="shared" si="3"/>
        <v>25</v>
      </c>
      <c r="X25" s="1"/>
      <c r="Y25" s="1"/>
      <c r="Z25" s="1"/>
    </row>
    <row r="26" ht="15.0" customHeight="1">
      <c r="A26" s="56"/>
      <c r="B26" s="31"/>
      <c r="C26" s="37"/>
      <c r="D26" s="12" t="s">
        <v>13</v>
      </c>
      <c r="E26" s="12">
        <v>2.0</v>
      </c>
      <c r="F26" s="12">
        <v>2.0</v>
      </c>
      <c r="G26" s="12">
        <v>1.0</v>
      </c>
      <c r="H26" s="12">
        <v>1.0</v>
      </c>
      <c r="I26" s="12">
        <v>0.0</v>
      </c>
      <c r="J26" s="12">
        <v>1.0</v>
      </c>
      <c r="K26" s="12">
        <v>3.0</v>
      </c>
      <c r="L26" s="12">
        <v>0.0</v>
      </c>
      <c r="M26" s="12">
        <v>0.0</v>
      </c>
      <c r="N26" s="12">
        <v>1.0</v>
      </c>
      <c r="O26" s="12">
        <v>2.0</v>
      </c>
      <c r="P26" s="12">
        <v>7.0</v>
      </c>
      <c r="Q26" s="12">
        <v>1.0</v>
      </c>
      <c r="R26" s="12">
        <v>0.0</v>
      </c>
      <c r="S26" s="12">
        <v>1.0</v>
      </c>
      <c r="T26" s="12">
        <v>2.0</v>
      </c>
      <c r="U26" s="12">
        <v>3.0</v>
      </c>
      <c r="V26" s="12">
        <v>6.0</v>
      </c>
      <c r="W26" s="8">
        <f t="shared" si="3"/>
        <v>33</v>
      </c>
      <c r="X26" s="1"/>
      <c r="Y26" s="1"/>
      <c r="Z26" s="1"/>
    </row>
    <row r="27" ht="12.75" customHeight="1">
      <c r="A27" s="57"/>
      <c r="B27" s="33"/>
      <c r="C27" s="38"/>
      <c r="D27" s="8" t="s">
        <v>14</v>
      </c>
      <c r="E27" s="8">
        <f t="shared" ref="E27:V27" si="6">SUM(E25:E26)</f>
        <v>3</v>
      </c>
      <c r="F27" s="8">
        <f t="shared" si="6"/>
        <v>3</v>
      </c>
      <c r="G27" s="8">
        <f t="shared" si="6"/>
        <v>2</v>
      </c>
      <c r="H27" s="8">
        <f t="shared" si="6"/>
        <v>2</v>
      </c>
      <c r="I27" s="8">
        <f t="shared" si="6"/>
        <v>0</v>
      </c>
      <c r="J27" s="8">
        <f t="shared" si="6"/>
        <v>3</v>
      </c>
      <c r="K27" s="8">
        <f t="shared" si="6"/>
        <v>7</v>
      </c>
      <c r="L27" s="8">
        <f t="shared" si="6"/>
        <v>0</v>
      </c>
      <c r="M27" s="8">
        <f t="shared" si="6"/>
        <v>0</v>
      </c>
      <c r="N27" s="8">
        <f t="shared" si="6"/>
        <v>2</v>
      </c>
      <c r="O27" s="8">
        <f t="shared" si="6"/>
        <v>4</v>
      </c>
      <c r="P27" s="8">
        <f t="shared" si="6"/>
        <v>11</v>
      </c>
      <c r="Q27" s="8">
        <f t="shared" si="6"/>
        <v>1</v>
      </c>
      <c r="R27" s="8">
        <f t="shared" si="6"/>
        <v>0</v>
      </c>
      <c r="S27" s="8">
        <f t="shared" si="6"/>
        <v>1</v>
      </c>
      <c r="T27" s="8">
        <f t="shared" si="6"/>
        <v>2</v>
      </c>
      <c r="U27" s="8">
        <f t="shared" si="6"/>
        <v>4</v>
      </c>
      <c r="V27" s="8">
        <f t="shared" si="6"/>
        <v>13</v>
      </c>
      <c r="W27" s="8">
        <f t="shared" si="3"/>
        <v>58</v>
      </c>
      <c r="X27" s="1"/>
      <c r="Y27" s="1"/>
      <c r="Z27" s="1"/>
    </row>
    <row r="28" ht="12.75" customHeight="1">
      <c r="A28" s="57"/>
      <c r="B28" s="53" t="s">
        <v>23</v>
      </c>
      <c r="C28" s="41" t="s">
        <v>24</v>
      </c>
      <c r="D28" s="8" t="s">
        <v>12</v>
      </c>
      <c r="E28" s="8">
        <f t="shared" ref="E28:V28" si="7">SUM(E19,E22,E25)</f>
        <v>107</v>
      </c>
      <c r="F28" s="8">
        <f t="shared" si="7"/>
        <v>109</v>
      </c>
      <c r="G28" s="8">
        <f t="shared" si="7"/>
        <v>98</v>
      </c>
      <c r="H28" s="8">
        <f t="shared" si="7"/>
        <v>105</v>
      </c>
      <c r="I28" s="8">
        <f t="shared" si="7"/>
        <v>101</v>
      </c>
      <c r="J28" s="8">
        <f t="shared" si="7"/>
        <v>108</v>
      </c>
      <c r="K28" s="8">
        <f t="shared" si="7"/>
        <v>57</v>
      </c>
      <c r="L28" s="8">
        <f t="shared" si="7"/>
        <v>113</v>
      </c>
      <c r="M28" s="8">
        <f t="shared" si="7"/>
        <v>92</v>
      </c>
      <c r="N28" s="8">
        <f t="shared" si="7"/>
        <v>97</v>
      </c>
      <c r="O28" s="8">
        <f t="shared" si="7"/>
        <v>75</v>
      </c>
      <c r="P28" s="8">
        <f t="shared" si="7"/>
        <v>112</v>
      </c>
      <c r="Q28" s="8">
        <f t="shared" si="7"/>
        <v>117</v>
      </c>
      <c r="R28" s="8">
        <f t="shared" si="7"/>
        <v>108</v>
      </c>
      <c r="S28" s="8">
        <f t="shared" si="7"/>
        <v>110</v>
      </c>
      <c r="T28" s="8">
        <f t="shared" si="7"/>
        <v>104</v>
      </c>
      <c r="U28" s="8">
        <f t="shared" si="7"/>
        <v>102</v>
      </c>
      <c r="V28" s="8">
        <f t="shared" si="7"/>
        <v>89</v>
      </c>
      <c r="W28" s="8">
        <f t="shared" si="3"/>
        <v>1804</v>
      </c>
      <c r="X28" s="1"/>
      <c r="Y28" s="1"/>
      <c r="Z28" s="1"/>
    </row>
    <row r="29" ht="15.0" customHeight="1">
      <c r="A29" s="57"/>
      <c r="B29" s="31"/>
      <c r="C29" s="37"/>
      <c r="D29" s="8" t="s">
        <v>13</v>
      </c>
      <c r="E29" s="8">
        <f t="shared" ref="E29:V29" si="8">SUM(E20,E23,E26)</f>
        <v>121</v>
      </c>
      <c r="F29" s="8">
        <f t="shared" si="8"/>
        <v>123</v>
      </c>
      <c r="G29" s="8">
        <f t="shared" si="8"/>
        <v>109</v>
      </c>
      <c r="H29" s="8">
        <f t="shared" si="8"/>
        <v>110</v>
      </c>
      <c r="I29" s="8">
        <f t="shared" si="8"/>
        <v>106</v>
      </c>
      <c r="J29" s="8">
        <f t="shared" si="8"/>
        <v>121</v>
      </c>
      <c r="K29" s="8">
        <f t="shared" si="8"/>
        <v>73</v>
      </c>
      <c r="L29" s="8">
        <f t="shared" si="8"/>
        <v>115</v>
      </c>
      <c r="M29" s="8">
        <f t="shared" si="8"/>
        <v>101</v>
      </c>
      <c r="N29" s="8">
        <f t="shared" si="8"/>
        <v>124</v>
      </c>
      <c r="O29" s="8">
        <f t="shared" si="8"/>
        <v>65</v>
      </c>
      <c r="P29" s="8">
        <f t="shared" si="8"/>
        <v>138</v>
      </c>
      <c r="Q29" s="8">
        <f t="shared" si="8"/>
        <v>112</v>
      </c>
      <c r="R29" s="8">
        <f t="shared" si="8"/>
        <v>120</v>
      </c>
      <c r="S29" s="8">
        <f t="shared" si="8"/>
        <v>119</v>
      </c>
      <c r="T29" s="8">
        <f t="shared" si="8"/>
        <v>120</v>
      </c>
      <c r="U29" s="8">
        <f t="shared" si="8"/>
        <v>108</v>
      </c>
      <c r="V29" s="8">
        <f t="shared" si="8"/>
        <v>99</v>
      </c>
      <c r="W29" s="8">
        <f t="shared" si="3"/>
        <v>1984</v>
      </c>
      <c r="X29" s="1"/>
      <c r="Y29" s="1"/>
      <c r="Z29" s="1"/>
    </row>
    <row r="30" ht="12.75" customHeight="1">
      <c r="A30" s="57"/>
      <c r="B30" s="33"/>
      <c r="C30" s="38"/>
      <c r="D30" s="8" t="s">
        <v>14</v>
      </c>
      <c r="E30" s="8">
        <f t="shared" ref="E30:V30" si="9">SUM(E28:E29)</f>
        <v>228</v>
      </c>
      <c r="F30" s="8">
        <f t="shared" si="9"/>
        <v>232</v>
      </c>
      <c r="G30" s="8">
        <f t="shared" si="9"/>
        <v>207</v>
      </c>
      <c r="H30" s="8">
        <f t="shared" si="9"/>
        <v>215</v>
      </c>
      <c r="I30" s="8">
        <f t="shared" si="9"/>
        <v>207</v>
      </c>
      <c r="J30" s="8">
        <f t="shared" si="9"/>
        <v>229</v>
      </c>
      <c r="K30" s="8">
        <f t="shared" si="9"/>
        <v>130</v>
      </c>
      <c r="L30" s="8">
        <f t="shared" si="9"/>
        <v>228</v>
      </c>
      <c r="M30" s="8">
        <f t="shared" si="9"/>
        <v>193</v>
      </c>
      <c r="N30" s="8">
        <f t="shared" si="9"/>
        <v>221</v>
      </c>
      <c r="O30" s="8">
        <f t="shared" si="9"/>
        <v>140</v>
      </c>
      <c r="P30" s="8">
        <f t="shared" si="9"/>
        <v>250</v>
      </c>
      <c r="Q30" s="8">
        <f t="shared" si="9"/>
        <v>229</v>
      </c>
      <c r="R30" s="8">
        <f t="shared" si="9"/>
        <v>228</v>
      </c>
      <c r="S30" s="8">
        <f t="shared" si="9"/>
        <v>229</v>
      </c>
      <c r="T30" s="8">
        <f t="shared" si="9"/>
        <v>224</v>
      </c>
      <c r="U30" s="8">
        <f t="shared" si="9"/>
        <v>210</v>
      </c>
      <c r="V30" s="8">
        <f t="shared" si="9"/>
        <v>188</v>
      </c>
      <c r="W30" s="8">
        <f t="shared" si="3"/>
        <v>3788</v>
      </c>
      <c r="X30" s="1"/>
      <c r="Y30" s="1"/>
      <c r="Z30" s="1"/>
    </row>
    <row r="31" ht="12.75" customHeight="1">
      <c r="A31" s="29"/>
      <c r="B31" s="21"/>
      <c r="C31" s="21"/>
      <c r="D31" s="22"/>
      <c r="E31" s="12"/>
      <c r="F31" s="12"/>
      <c r="G31" s="12"/>
      <c r="H31" s="12"/>
      <c r="I31" s="12"/>
      <c r="J31" s="12"/>
      <c r="K31" s="12"/>
      <c r="L31" s="12"/>
      <c r="M31" s="12"/>
      <c r="N31" s="17"/>
      <c r="O31" s="17"/>
      <c r="P31" s="17"/>
      <c r="Q31" s="17"/>
      <c r="R31" s="17"/>
      <c r="S31" s="17"/>
      <c r="T31" s="17"/>
      <c r="U31" s="17"/>
      <c r="V31" s="17"/>
      <c r="W31" s="8"/>
      <c r="X31" s="1"/>
      <c r="Y31" s="1"/>
      <c r="Z31" s="1"/>
    </row>
    <row r="32" ht="12.75" customHeight="1">
      <c r="A32" s="58" t="s">
        <v>25</v>
      </c>
      <c r="B32" s="20" t="s">
        <v>26</v>
      </c>
      <c r="C32" s="21"/>
      <c r="D32" s="22"/>
      <c r="E32" s="8"/>
      <c r="F32" s="8"/>
      <c r="G32" s="8"/>
      <c r="H32" s="8"/>
      <c r="I32" s="8"/>
      <c r="J32" s="8"/>
      <c r="K32" s="8"/>
      <c r="L32" s="8"/>
      <c r="M32" s="8"/>
      <c r="N32" s="39"/>
      <c r="O32" s="39"/>
      <c r="P32" s="39"/>
      <c r="Q32" s="39"/>
      <c r="R32" s="39"/>
      <c r="S32" s="39"/>
      <c r="T32" s="39"/>
      <c r="U32" s="39"/>
      <c r="V32" s="39"/>
      <c r="W32" s="8"/>
      <c r="X32" s="1"/>
      <c r="Y32" s="1"/>
      <c r="Z32" s="1"/>
    </row>
    <row r="33" ht="12.75" customHeight="1">
      <c r="A33" s="12">
        <v>1.0</v>
      </c>
      <c r="B33" s="25" t="s">
        <v>121</v>
      </c>
      <c r="C33" s="21"/>
      <c r="D33" s="22"/>
      <c r="E33" s="12">
        <v>271.0</v>
      </c>
      <c r="F33" s="12">
        <v>276.0</v>
      </c>
      <c r="G33" s="12">
        <v>245.0</v>
      </c>
      <c r="H33" s="12">
        <v>268.0</v>
      </c>
      <c r="I33" s="12">
        <v>264.0</v>
      </c>
      <c r="J33" s="12">
        <v>275.0</v>
      </c>
      <c r="K33" s="12">
        <v>162.0</v>
      </c>
      <c r="L33" s="12">
        <v>271.0</v>
      </c>
      <c r="M33" s="12">
        <v>235.0</v>
      </c>
      <c r="N33" s="12">
        <v>254.0</v>
      </c>
      <c r="O33" s="12">
        <v>180.0</v>
      </c>
      <c r="P33" s="12">
        <v>293.0</v>
      </c>
      <c r="Q33" s="12">
        <v>294.0</v>
      </c>
      <c r="R33" s="12">
        <v>282.0</v>
      </c>
      <c r="S33" s="12">
        <v>288.0</v>
      </c>
      <c r="T33" s="12">
        <v>266.0</v>
      </c>
      <c r="U33" s="12">
        <v>240.0</v>
      </c>
      <c r="V33" s="12">
        <v>251.0</v>
      </c>
      <c r="W33" s="8">
        <f t="shared" ref="W33:W36" si="10">SUM(E33:V33)</f>
        <v>4615</v>
      </c>
      <c r="X33" s="1"/>
      <c r="Y33" s="1"/>
      <c r="Z33" s="1"/>
    </row>
    <row r="34" ht="15.0" customHeight="1">
      <c r="A34" s="12">
        <v>2.0</v>
      </c>
      <c r="B34" s="25" t="s">
        <v>28</v>
      </c>
      <c r="C34" s="21"/>
      <c r="D34" s="22"/>
      <c r="E34" s="8">
        <v>228.0</v>
      </c>
      <c r="F34" s="8">
        <v>232.0</v>
      </c>
      <c r="G34" s="8">
        <v>207.0</v>
      </c>
      <c r="H34" s="8">
        <v>215.0</v>
      </c>
      <c r="I34" s="8">
        <v>207.0</v>
      </c>
      <c r="J34" s="8">
        <v>229.0</v>
      </c>
      <c r="K34" s="8">
        <v>130.0</v>
      </c>
      <c r="L34" s="8">
        <v>228.0</v>
      </c>
      <c r="M34" s="8">
        <v>193.0</v>
      </c>
      <c r="N34" s="8">
        <v>221.0</v>
      </c>
      <c r="O34" s="8">
        <v>140.0</v>
      </c>
      <c r="P34" s="8">
        <v>250.0</v>
      </c>
      <c r="Q34" s="8">
        <v>229.0</v>
      </c>
      <c r="R34" s="8">
        <v>228.0</v>
      </c>
      <c r="S34" s="8">
        <v>229.0</v>
      </c>
      <c r="T34" s="8">
        <v>224.0</v>
      </c>
      <c r="U34" s="8">
        <v>210.0</v>
      </c>
      <c r="V34" s="8">
        <v>188.0</v>
      </c>
      <c r="W34" s="8">
        <f t="shared" si="10"/>
        <v>3788</v>
      </c>
      <c r="X34" s="1"/>
      <c r="Y34" s="1"/>
      <c r="Z34" s="1"/>
    </row>
    <row r="35" ht="12.75" customHeight="1">
      <c r="A35" s="12">
        <v>3.0</v>
      </c>
      <c r="B35" s="25" t="s">
        <v>29</v>
      </c>
      <c r="C35" s="21"/>
      <c r="D35" s="22"/>
      <c r="E35" s="12">
        <v>0.0</v>
      </c>
      <c r="F35" s="12">
        <v>0.0</v>
      </c>
      <c r="G35" s="12">
        <v>0.0</v>
      </c>
      <c r="H35" s="12">
        <v>0.0</v>
      </c>
      <c r="I35" s="12">
        <v>0.0</v>
      </c>
      <c r="J35" s="12">
        <v>0.0</v>
      </c>
      <c r="K35" s="12">
        <v>0.0</v>
      </c>
      <c r="L35" s="12">
        <v>0.0</v>
      </c>
      <c r="M35" s="12">
        <v>0.0</v>
      </c>
      <c r="N35" s="12">
        <v>0.0</v>
      </c>
      <c r="O35" s="12">
        <v>0.0</v>
      </c>
      <c r="P35" s="12">
        <v>0.0</v>
      </c>
      <c r="Q35" s="12">
        <v>0.0</v>
      </c>
      <c r="R35" s="12">
        <v>0.0</v>
      </c>
      <c r="S35" s="12">
        <v>0.0</v>
      </c>
      <c r="T35" s="12">
        <v>0.0</v>
      </c>
      <c r="U35" s="12">
        <v>0.0</v>
      </c>
      <c r="V35" s="12">
        <v>1.0</v>
      </c>
      <c r="W35" s="8">
        <f t="shared" si="10"/>
        <v>1</v>
      </c>
      <c r="X35" s="1"/>
      <c r="Y35" s="1"/>
      <c r="Z35" s="1"/>
    </row>
    <row r="36" ht="12.75" customHeight="1">
      <c r="A36" s="12">
        <v>4.0</v>
      </c>
      <c r="B36" s="25" t="s">
        <v>30</v>
      </c>
      <c r="C36" s="21"/>
      <c r="D36" s="22"/>
      <c r="E36" s="8">
        <f t="shared" ref="E36:V36" si="11">E33-(E34+E35)</f>
        <v>43</v>
      </c>
      <c r="F36" s="8">
        <f t="shared" si="11"/>
        <v>44</v>
      </c>
      <c r="G36" s="8">
        <f t="shared" si="11"/>
        <v>38</v>
      </c>
      <c r="H36" s="8">
        <f t="shared" si="11"/>
        <v>53</v>
      </c>
      <c r="I36" s="8">
        <f t="shared" si="11"/>
        <v>57</v>
      </c>
      <c r="J36" s="8">
        <f t="shared" si="11"/>
        <v>46</v>
      </c>
      <c r="K36" s="8">
        <f t="shared" si="11"/>
        <v>32</v>
      </c>
      <c r="L36" s="8">
        <f t="shared" si="11"/>
        <v>43</v>
      </c>
      <c r="M36" s="8">
        <f t="shared" si="11"/>
        <v>42</v>
      </c>
      <c r="N36" s="8">
        <f t="shared" si="11"/>
        <v>33</v>
      </c>
      <c r="O36" s="8">
        <f t="shared" si="11"/>
        <v>40</v>
      </c>
      <c r="P36" s="8">
        <f t="shared" si="11"/>
        <v>43</v>
      </c>
      <c r="Q36" s="8">
        <f t="shared" si="11"/>
        <v>65</v>
      </c>
      <c r="R36" s="8">
        <f t="shared" si="11"/>
        <v>54</v>
      </c>
      <c r="S36" s="8">
        <f t="shared" si="11"/>
        <v>59</v>
      </c>
      <c r="T36" s="8">
        <f t="shared" si="11"/>
        <v>42</v>
      </c>
      <c r="U36" s="8">
        <f t="shared" si="11"/>
        <v>30</v>
      </c>
      <c r="V36" s="8">
        <f t="shared" si="11"/>
        <v>62</v>
      </c>
      <c r="W36" s="8">
        <f t="shared" si="10"/>
        <v>826</v>
      </c>
      <c r="X36" s="1"/>
      <c r="Y36" s="1"/>
      <c r="Z36" s="1"/>
    </row>
    <row r="37" ht="12.75" customHeight="1">
      <c r="A37" s="59"/>
      <c r="B37" s="60"/>
      <c r="C37" s="60"/>
      <c r="D37" s="60"/>
      <c r="E37" s="29"/>
      <c r="F37" s="21"/>
      <c r="G37" s="21"/>
      <c r="H37" s="21"/>
      <c r="I37" s="22"/>
      <c r="J37" s="12"/>
      <c r="K37" s="12"/>
      <c r="L37" s="12"/>
      <c r="M37" s="12"/>
      <c r="N37" s="17"/>
      <c r="O37" s="59"/>
      <c r="P37" s="59"/>
      <c r="Q37" s="59"/>
      <c r="R37" s="59"/>
      <c r="S37" s="59"/>
      <c r="T37" s="59"/>
      <c r="U37" s="59"/>
      <c r="V37" s="59"/>
      <c r="W37" s="8"/>
      <c r="X37" s="1"/>
      <c r="Y37" s="1"/>
      <c r="Z37" s="1"/>
    </row>
    <row r="38" ht="12.75" customHeight="1">
      <c r="A38" s="61" t="s">
        <v>31</v>
      </c>
      <c r="B38" s="20" t="s">
        <v>32</v>
      </c>
      <c r="C38" s="21"/>
      <c r="D38" s="22"/>
      <c r="E38" s="8"/>
      <c r="F38" s="8"/>
      <c r="G38" s="8"/>
      <c r="H38" s="8"/>
      <c r="I38" s="8"/>
      <c r="J38" s="8"/>
      <c r="K38" s="8"/>
      <c r="L38" s="8"/>
      <c r="M38" s="8"/>
      <c r="N38" s="39"/>
      <c r="O38" s="39"/>
      <c r="P38" s="39"/>
      <c r="Q38" s="39"/>
      <c r="R38" s="39"/>
      <c r="S38" s="39"/>
      <c r="T38" s="39"/>
      <c r="U38" s="39"/>
      <c r="V38" s="39"/>
      <c r="W38" s="8"/>
      <c r="X38" s="1"/>
      <c r="Y38" s="1"/>
      <c r="Z38" s="1"/>
    </row>
    <row r="39" ht="12.75" customHeight="1">
      <c r="A39" s="54"/>
      <c r="B39" s="62" t="s">
        <v>33</v>
      </c>
      <c r="C39" s="28"/>
      <c r="D39" s="12" t="s">
        <v>12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>
        <v>1.0</v>
      </c>
      <c r="P39" s="12"/>
      <c r="Q39" s="12"/>
      <c r="R39" s="12"/>
      <c r="S39" s="12"/>
      <c r="T39" s="12"/>
      <c r="U39" s="12"/>
      <c r="V39" s="12"/>
      <c r="W39" s="8">
        <f t="shared" ref="W39:W41" si="12">SUM(E39:V39)</f>
        <v>1</v>
      </c>
      <c r="X39" s="1"/>
      <c r="Y39" s="1"/>
      <c r="Z39" s="1"/>
    </row>
    <row r="40" ht="12.75" customHeight="1">
      <c r="A40" s="56"/>
      <c r="C40" s="31"/>
      <c r="D40" s="12" t="s">
        <v>13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>
        <v>1.0</v>
      </c>
      <c r="W40" s="8">
        <f t="shared" si="12"/>
        <v>1</v>
      </c>
      <c r="X40" s="1"/>
      <c r="Y40" s="1"/>
      <c r="Z40" s="1"/>
    </row>
    <row r="41" ht="12.75" customHeight="1">
      <c r="A41" s="58"/>
      <c r="B41" s="63"/>
      <c r="C41" s="33"/>
      <c r="D41" s="8" t="s">
        <v>14</v>
      </c>
      <c r="E41" s="8">
        <f t="shared" ref="E41:V41" si="13">SUM(E39:E40)</f>
        <v>0</v>
      </c>
      <c r="F41" s="8">
        <f t="shared" si="13"/>
        <v>0</v>
      </c>
      <c r="G41" s="8">
        <f t="shared" si="13"/>
        <v>0</v>
      </c>
      <c r="H41" s="8">
        <f t="shared" si="13"/>
        <v>0</v>
      </c>
      <c r="I41" s="8">
        <f t="shared" si="13"/>
        <v>0</v>
      </c>
      <c r="J41" s="8">
        <f t="shared" si="13"/>
        <v>0</v>
      </c>
      <c r="K41" s="8">
        <f t="shared" si="13"/>
        <v>0</v>
      </c>
      <c r="L41" s="8">
        <f t="shared" si="13"/>
        <v>0</v>
      </c>
      <c r="M41" s="8">
        <f t="shared" si="13"/>
        <v>0</v>
      </c>
      <c r="N41" s="8">
        <f t="shared" si="13"/>
        <v>0</v>
      </c>
      <c r="O41" s="8">
        <f t="shared" si="13"/>
        <v>1</v>
      </c>
      <c r="P41" s="8">
        <f t="shared" si="13"/>
        <v>0</v>
      </c>
      <c r="Q41" s="8">
        <f t="shared" si="13"/>
        <v>0</v>
      </c>
      <c r="R41" s="8">
        <f t="shared" si="13"/>
        <v>0</v>
      </c>
      <c r="S41" s="8">
        <f t="shared" si="13"/>
        <v>0</v>
      </c>
      <c r="T41" s="8">
        <f t="shared" si="13"/>
        <v>0</v>
      </c>
      <c r="U41" s="8">
        <f t="shared" si="13"/>
        <v>0</v>
      </c>
      <c r="V41" s="8">
        <f t="shared" si="13"/>
        <v>1</v>
      </c>
      <c r="W41" s="8">
        <f t="shared" si="12"/>
        <v>2</v>
      </c>
      <c r="X41" s="1"/>
      <c r="Y41" s="1"/>
      <c r="Z41" s="1"/>
    </row>
    <row r="42" ht="12.75" customHeight="1">
      <c r="A42" s="64"/>
      <c r="B42" s="63"/>
      <c r="C42" s="63"/>
      <c r="D42" s="33"/>
      <c r="E42" s="29"/>
      <c r="F42" s="21"/>
      <c r="G42" s="21"/>
      <c r="H42" s="21"/>
      <c r="I42" s="22"/>
      <c r="J42" s="12"/>
      <c r="K42" s="12"/>
      <c r="L42" s="12"/>
      <c r="M42" s="12"/>
      <c r="N42" s="17"/>
      <c r="O42" s="59"/>
      <c r="P42" s="59"/>
      <c r="Q42" s="59"/>
      <c r="R42" s="59"/>
      <c r="S42" s="59"/>
      <c r="T42" s="59"/>
      <c r="U42" s="59"/>
      <c r="V42" s="59"/>
      <c r="W42" s="8"/>
      <c r="X42" s="1"/>
      <c r="Y42" s="1"/>
      <c r="Z42" s="1"/>
    </row>
    <row r="43" ht="12.75" customHeight="1">
      <c r="A43" s="61" t="s">
        <v>34</v>
      </c>
      <c r="B43" s="20" t="s">
        <v>35</v>
      </c>
      <c r="C43" s="21"/>
      <c r="D43" s="22"/>
      <c r="E43" s="8"/>
      <c r="F43" s="8"/>
      <c r="G43" s="8"/>
      <c r="H43" s="8"/>
      <c r="I43" s="8"/>
      <c r="J43" s="8"/>
      <c r="K43" s="8"/>
      <c r="L43" s="8"/>
      <c r="M43" s="8"/>
      <c r="N43" s="8"/>
      <c r="O43" s="39"/>
      <c r="P43" s="18"/>
      <c r="Q43" s="19"/>
      <c r="R43" s="19"/>
      <c r="S43" s="19"/>
      <c r="T43" s="19"/>
      <c r="U43" s="17"/>
      <c r="V43" s="17"/>
      <c r="W43" s="8"/>
      <c r="X43" s="1"/>
      <c r="Y43" s="1"/>
      <c r="Z43" s="1"/>
    </row>
    <row r="44" ht="15.0" customHeight="1">
      <c r="A44" s="54"/>
      <c r="B44" s="62" t="s">
        <v>36</v>
      </c>
      <c r="C44" s="65"/>
      <c r="D44" s="28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7"/>
      <c r="P44" s="18"/>
      <c r="Q44" s="19"/>
      <c r="R44" s="19"/>
      <c r="S44" s="19"/>
      <c r="T44" s="19"/>
      <c r="U44" s="39"/>
      <c r="V44" s="39"/>
      <c r="W44" s="8"/>
      <c r="X44" s="1"/>
      <c r="Y44" s="1"/>
      <c r="Z44" s="1"/>
    </row>
    <row r="45" ht="15.0" customHeight="1">
      <c r="A45" s="24"/>
      <c r="B45" s="46" t="s">
        <v>17</v>
      </c>
      <c r="C45" s="66" t="s">
        <v>37</v>
      </c>
      <c r="D45" s="22"/>
      <c r="E45" s="12">
        <v>19.0</v>
      </c>
      <c r="F45" s="12">
        <v>12.0</v>
      </c>
      <c r="G45" s="12">
        <v>10.0</v>
      </c>
      <c r="H45" s="12">
        <v>9.0</v>
      </c>
      <c r="I45" s="12">
        <v>20.0</v>
      </c>
      <c r="J45" s="12">
        <v>29.0</v>
      </c>
      <c r="K45" s="12">
        <v>6.0</v>
      </c>
      <c r="L45" s="12">
        <v>26.0</v>
      </c>
      <c r="M45" s="12">
        <v>21.0</v>
      </c>
      <c r="N45" s="12">
        <v>25.0</v>
      </c>
      <c r="O45" s="12">
        <v>24.0</v>
      </c>
      <c r="P45" s="12">
        <v>29.0</v>
      </c>
      <c r="Q45" s="12">
        <v>41.0</v>
      </c>
      <c r="R45" s="12">
        <v>29.0</v>
      </c>
      <c r="S45" s="12">
        <v>14.0</v>
      </c>
      <c r="T45" s="12">
        <v>14.0</v>
      </c>
      <c r="U45" s="12">
        <v>12.0</v>
      </c>
      <c r="V45" s="12">
        <v>21.0</v>
      </c>
      <c r="W45" s="8">
        <f t="shared" ref="W45:W57" si="14">SUM(E45:V45)</f>
        <v>361</v>
      </c>
      <c r="X45" s="1"/>
      <c r="Y45" s="1"/>
      <c r="Z45" s="1"/>
    </row>
    <row r="46" ht="12.75" customHeight="1">
      <c r="A46" s="24"/>
      <c r="B46" s="46" t="s">
        <v>19</v>
      </c>
      <c r="C46" s="66" t="s">
        <v>38</v>
      </c>
      <c r="D46" s="22"/>
      <c r="E46" s="12">
        <v>23.0</v>
      </c>
      <c r="F46" s="12">
        <v>28.0</v>
      </c>
      <c r="G46" s="12">
        <v>20.0</v>
      </c>
      <c r="H46" s="12">
        <v>28.0</v>
      </c>
      <c r="I46" s="12">
        <v>29.0</v>
      </c>
      <c r="J46" s="12">
        <v>29.0</v>
      </c>
      <c r="K46" s="12">
        <v>18.0</v>
      </c>
      <c r="L46" s="12">
        <v>28.0</v>
      </c>
      <c r="M46" s="12">
        <v>28.0</v>
      </c>
      <c r="N46" s="12">
        <v>33.0</v>
      </c>
      <c r="O46" s="12">
        <v>16.0</v>
      </c>
      <c r="P46" s="12">
        <v>17.0</v>
      </c>
      <c r="Q46" s="12">
        <v>30.0</v>
      </c>
      <c r="R46" s="12">
        <v>28.0</v>
      </c>
      <c r="S46" s="12">
        <v>32.0</v>
      </c>
      <c r="T46" s="12">
        <v>34.0</v>
      </c>
      <c r="U46" s="12">
        <v>24.0</v>
      </c>
      <c r="V46" s="12">
        <v>27.0</v>
      </c>
      <c r="W46" s="8">
        <f t="shared" si="14"/>
        <v>472</v>
      </c>
      <c r="X46" s="1"/>
      <c r="Y46" s="1"/>
      <c r="Z46" s="1"/>
    </row>
    <row r="47" ht="15.0" customHeight="1">
      <c r="A47" s="24"/>
      <c r="B47" s="46" t="s">
        <v>21</v>
      </c>
      <c r="C47" s="66" t="s">
        <v>39</v>
      </c>
      <c r="D47" s="22"/>
      <c r="E47" s="12">
        <v>12.0</v>
      </c>
      <c r="F47" s="12">
        <v>15.0</v>
      </c>
      <c r="G47" s="12">
        <v>14.0</v>
      </c>
      <c r="H47" s="12">
        <v>10.0</v>
      </c>
      <c r="I47" s="12">
        <v>7.0</v>
      </c>
      <c r="J47" s="12">
        <v>15.0</v>
      </c>
      <c r="K47" s="12">
        <v>12.0</v>
      </c>
      <c r="L47" s="12">
        <v>12.0</v>
      </c>
      <c r="M47" s="12">
        <v>8.0</v>
      </c>
      <c r="N47" s="12">
        <v>16.0</v>
      </c>
      <c r="O47" s="12">
        <v>14.0</v>
      </c>
      <c r="P47" s="12">
        <v>25.0</v>
      </c>
      <c r="Q47" s="12">
        <v>15.0</v>
      </c>
      <c r="R47" s="12">
        <v>14.0</v>
      </c>
      <c r="S47" s="12">
        <v>16.0</v>
      </c>
      <c r="T47" s="12">
        <v>16.0</v>
      </c>
      <c r="U47" s="12">
        <v>14.0</v>
      </c>
      <c r="V47" s="12">
        <v>10.0</v>
      </c>
      <c r="W47" s="8">
        <f t="shared" si="14"/>
        <v>245</v>
      </c>
      <c r="X47" s="1"/>
      <c r="Y47" s="1"/>
      <c r="Z47" s="1"/>
    </row>
    <row r="48" ht="15.0" customHeight="1">
      <c r="A48" s="24"/>
      <c r="B48" s="46" t="s">
        <v>23</v>
      </c>
      <c r="C48" s="66" t="s">
        <v>40</v>
      </c>
      <c r="D48" s="22"/>
      <c r="E48" s="12">
        <v>20.0</v>
      </c>
      <c r="F48" s="12">
        <v>20.0</v>
      </c>
      <c r="G48" s="12">
        <v>18.0</v>
      </c>
      <c r="H48" s="12">
        <v>22.0</v>
      </c>
      <c r="I48" s="12">
        <v>24.0</v>
      </c>
      <c r="J48" s="12">
        <v>18.0</v>
      </c>
      <c r="K48" s="12">
        <v>8.0</v>
      </c>
      <c r="L48" s="12">
        <v>17.0</v>
      </c>
      <c r="M48" s="12">
        <v>12.0</v>
      </c>
      <c r="N48" s="12">
        <v>17.0</v>
      </c>
      <c r="O48" s="12">
        <v>12.0</v>
      </c>
      <c r="P48" s="12">
        <v>30.0</v>
      </c>
      <c r="Q48" s="12">
        <v>14.0</v>
      </c>
      <c r="R48" s="12">
        <v>29.0</v>
      </c>
      <c r="S48" s="12">
        <v>24.0</v>
      </c>
      <c r="T48" s="12">
        <v>24.0</v>
      </c>
      <c r="U48" s="12">
        <v>11.0</v>
      </c>
      <c r="V48" s="12">
        <v>25.0</v>
      </c>
      <c r="W48" s="8">
        <f t="shared" si="14"/>
        <v>345</v>
      </c>
      <c r="X48" s="1"/>
      <c r="Y48" s="1"/>
      <c r="Z48" s="1"/>
    </row>
    <row r="49" ht="12.75" customHeight="1">
      <c r="A49" s="24"/>
      <c r="B49" s="46" t="s">
        <v>41</v>
      </c>
      <c r="C49" s="66" t="s">
        <v>42</v>
      </c>
      <c r="D49" s="22"/>
      <c r="E49" s="12">
        <v>22.0</v>
      </c>
      <c r="F49" s="12">
        <v>12.0</v>
      </c>
      <c r="G49" s="12">
        <v>15.0</v>
      </c>
      <c r="H49" s="12">
        <v>18.0</v>
      </c>
      <c r="I49" s="12">
        <v>17.0</v>
      </c>
      <c r="J49" s="12">
        <v>23.0</v>
      </c>
      <c r="K49" s="12">
        <v>12.0</v>
      </c>
      <c r="L49" s="12">
        <v>10.0</v>
      </c>
      <c r="M49" s="12">
        <v>16.0</v>
      </c>
      <c r="N49" s="12">
        <v>17.0</v>
      </c>
      <c r="O49" s="12">
        <v>16.0</v>
      </c>
      <c r="P49" s="12">
        <v>14.0</v>
      </c>
      <c r="Q49" s="12">
        <v>16.0</v>
      </c>
      <c r="R49" s="12">
        <v>12.0</v>
      </c>
      <c r="S49" s="12">
        <v>20.0</v>
      </c>
      <c r="T49" s="12">
        <v>14.0</v>
      </c>
      <c r="U49" s="12">
        <v>22.0</v>
      </c>
      <c r="V49" s="12">
        <v>23.0</v>
      </c>
      <c r="W49" s="8">
        <f t="shared" si="14"/>
        <v>299</v>
      </c>
      <c r="X49" s="1"/>
      <c r="Y49" s="1"/>
      <c r="Z49" s="1"/>
    </row>
    <row r="50" ht="15.0" customHeight="1">
      <c r="A50" s="24"/>
      <c r="B50" s="46" t="s">
        <v>43</v>
      </c>
      <c r="C50" s="66" t="s">
        <v>44</v>
      </c>
      <c r="D50" s="22"/>
      <c r="E50" s="12">
        <v>21.0</v>
      </c>
      <c r="F50" s="12">
        <v>19.0</v>
      </c>
      <c r="G50" s="12">
        <v>19.0</v>
      </c>
      <c r="H50" s="12">
        <v>15.0</v>
      </c>
      <c r="I50" s="12">
        <v>12.0</v>
      </c>
      <c r="J50" s="12">
        <v>12.0</v>
      </c>
      <c r="K50" s="12">
        <v>8.0</v>
      </c>
      <c r="L50" s="12">
        <v>9.0</v>
      </c>
      <c r="M50" s="12">
        <v>12.0</v>
      </c>
      <c r="N50" s="12">
        <v>16.0</v>
      </c>
      <c r="O50" s="12">
        <v>8.0</v>
      </c>
      <c r="P50" s="12">
        <v>23.0</v>
      </c>
      <c r="Q50" s="12">
        <v>21.0</v>
      </c>
      <c r="R50" s="12">
        <v>10.0</v>
      </c>
      <c r="S50" s="12">
        <v>17.0</v>
      </c>
      <c r="T50" s="12">
        <v>9.0</v>
      </c>
      <c r="U50" s="12">
        <v>23.0</v>
      </c>
      <c r="V50" s="12">
        <v>9.0</v>
      </c>
      <c r="W50" s="8">
        <f t="shared" si="14"/>
        <v>263</v>
      </c>
      <c r="X50" s="1"/>
      <c r="Y50" s="1"/>
      <c r="Z50" s="1"/>
    </row>
    <row r="51" ht="15.0" customHeight="1">
      <c r="A51" s="24"/>
      <c r="B51" s="46" t="s">
        <v>45</v>
      </c>
      <c r="C51" s="66" t="s">
        <v>46</v>
      </c>
      <c r="D51" s="22"/>
      <c r="E51" s="12">
        <v>2.0</v>
      </c>
      <c r="F51" s="12">
        <v>3.0</v>
      </c>
      <c r="G51" s="12">
        <v>2.0</v>
      </c>
      <c r="H51" s="12">
        <v>4.0</v>
      </c>
      <c r="I51" s="12">
        <v>8.0</v>
      </c>
      <c r="J51" s="12">
        <v>3.0</v>
      </c>
      <c r="K51" s="12">
        <v>0.0</v>
      </c>
      <c r="L51" s="12">
        <v>5.0</v>
      </c>
      <c r="M51" s="12">
        <v>2.0</v>
      </c>
      <c r="N51" s="12">
        <v>7.0</v>
      </c>
      <c r="O51" s="12">
        <v>1.0</v>
      </c>
      <c r="P51" s="12">
        <v>3.0</v>
      </c>
      <c r="Q51" s="12">
        <v>2.0</v>
      </c>
      <c r="R51" s="12">
        <v>2.0</v>
      </c>
      <c r="S51" s="12">
        <v>4.0</v>
      </c>
      <c r="T51" s="12">
        <v>7.0</v>
      </c>
      <c r="U51" s="12">
        <v>3.0</v>
      </c>
      <c r="V51" s="12">
        <v>2.0</v>
      </c>
      <c r="W51" s="8">
        <f t="shared" si="14"/>
        <v>60</v>
      </c>
      <c r="X51" s="1"/>
      <c r="Y51" s="1"/>
      <c r="Z51" s="1"/>
    </row>
    <row r="52" ht="12.75" customHeight="1">
      <c r="A52" s="24"/>
      <c r="B52" s="46" t="s">
        <v>47</v>
      </c>
      <c r="C52" s="66" t="s">
        <v>48</v>
      </c>
      <c r="D52" s="22"/>
      <c r="E52" s="12">
        <v>4.0</v>
      </c>
      <c r="F52" s="12">
        <v>4.0</v>
      </c>
      <c r="G52" s="12">
        <v>2.0</v>
      </c>
      <c r="H52" s="12">
        <v>3.0</v>
      </c>
      <c r="I52" s="12">
        <v>2.0</v>
      </c>
      <c r="J52" s="12">
        <v>3.0</v>
      </c>
      <c r="K52" s="12">
        <v>4.0</v>
      </c>
      <c r="L52" s="12">
        <v>2.0</v>
      </c>
      <c r="M52" s="12">
        <v>1.0</v>
      </c>
      <c r="N52" s="12">
        <v>6.0</v>
      </c>
      <c r="O52" s="12">
        <v>1.0</v>
      </c>
      <c r="P52" s="12">
        <v>2.0</v>
      </c>
      <c r="Q52" s="12">
        <v>5.0</v>
      </c>
      <c r="R52" s="12">
        <v>3.0</v>
      </c>
      <c r="S52" s="12">
        <v>2.0</v>
      </c>
      <c r="T52" s="12">
        <v>4.0</v>
      </c>
      <c r="U52" s="12">
        <v>2.0</v>
      </c>
      <c r="V52" s="12">
        <v>3.0</v>
      </c>
      <c r="W52" s="8">
        <f t="shared" si="14"/>
        <v>53</v>
      </c>
      <c r="X52" s="1"/>
      <c r="Y52" s="1"/>
      <c r="Z52" s="1"/>
    </row>
    <row r="53" ht="12.75" customHeight="1">
      <c r="A53" s="24"/>
      <c r="B53" s="46" t="s">
        <v>49</v>
      </c>
      <c r="C53" s="66" t="s">
        <v>50</v>
      </c>
      <c r="D53" s="22"/>
      <c r="E53" s="12">
        <v>2.0</v>
      </c>
      <c r="F53" s="12">
        <v>2.0</v>
      </c>
      <c r="G53" s="12">
        <v>0.0</v>
      </c>
      <c r="H53" s="12">
        <v>1.0</v>
      </c>
      <c r="I53" s="12">
        <v>2.0</v>
      </c>
      <c r="J53" s="12">
        <v>1.0</v>
      </c>
      <c r="K53" s="12">
        <v>1.0</v>
      </c>
      <c r="L53" s="12">
        <v>0.0</v>
      </c>
      <c r="M53" s="12">
        <v>1.0</v>
      </c>
      <c r="N53" s="12">
        <v>2.0</v>
      </c>
      <c r="O53" s="12">
        <v>1.0</v>
      </c>
      <c r="P53" s="12">
        <v>1.0</v>
      </c>
      <c r="Q53" s="12">
        <v>3.0</v>
      </c>
      <c r="R53" s="12">
        <v>1.0</v>
      </c>
      <c r="S53" s="12">
        <v>0.0</v>
      </c>
      <c r="T53" s="12">
        <v>0.0</v>
      </c>
      <c r="U53" s="12">
        <v>0.0</v>
      </c>
      <c r="V53" s="12">
        <v>2.0</v>
      </c>
      <c r="W53" s="8">
        <f t="shared" si="14"/>
        <v>20</v>
      </c>
      <c r="X53" s="1"/>
      <c r="Y53" s="1"/>
      <c r="Z53" s="1"/>
    </row>
    <row r="54" ht="12.75" customHeight="1">
      <c r="A54" s="24"/>
      <c r="B54" s="46" t="s">
        <v>51</v>
      </c>
      <c r="C54" s="66" t="s">
        <v>52</v>
      </c>
      <c r="D54" s="22"/>
      <c r="E54" s="12">
        <v>12.0</v>
      </c>
      <c r="F54" s="12">
        <v>39.0</v>
      </c>
      <c r="G54" s="12">
        <v>31.0</v>
      </c>
      <c r="H54" s="12">
        <v>16.0</v>
      </c>
      <c r="I54" s="12">
        <v>11.0</v>
      </c>
      <c r="J54" s="12">
        <v>25.0</v>
      </c>
      <c r="K54" s="12">
        <v>12.0</v>
      </c>
      <c r="L54" s="12">
        <v>16.0</v>
      </c>
      <c r="M54" s="12">
        <v>13.0</v>
      </c>
      <c r="N54" s="12">
        <v>17.0</v>
      </c>
      <c r="O54" s="12">
        <v>9.0</v>
      </c>
      <c r="P54" s="12">
        <v>18.0</v>
      </c>
      <c r="Q54" s="12">
        <v>12.0</v>
      </c>
      <c r="R54" s="12">
        <v>24.0</v>
      </c>
      <c r="S54" s="12">
        <v>27.0</v>
      </c>
      <c r="T54" s="12">
        <v>20.0</v>
      </c>
      <c r="U54" s="12">
        <v>21.0</v>
      </c>
      <c r="V54" s="12">
        <v>23.0</v>
      </c>
      <c r="W54" s="8">
        <f t="shared" si="14"/>
        <v>346</v>
      </c>
      <c r="X54" s="1"/>
      <c r="Y54" s="1"/>
      <c r="Z54" s="1"/>
    </row>
    <row r="55" ht="12.75" customHeight="1">
      <c r="A55" s="24"/>
      <c r="B55" s="46" t="s">
        <v>53</v>
      </c>
      <c r="C55" s="66" t="s">
        <v>54</v>
      </c>
      <c r="D55" s="22"/>
      <c r="E55" s="12">
        <v>1.0</v>
      </c>
      <c r="F55" s="12">
        <v>1.0</v>
      </c>
      <c r="G55" s="12">
        <v>1.0</v>
      </c>
      <c r="H55" s="12">
        <v>0.0</v>
      </c>
      <c r="I55" s="12">
        <v>0.0</v>
      </c>
      <c r="J55" s="12">
        <v>1.0</v>
      </c>
      <c r="K55" s="12">
        <v>0.0</v>
      </c>
      <c r="L55" s="12">
        <v>2.0</v>
      </c>
      <c r="M55" s="12">
        <v>0.0</v>
      </c>
      <c r="N55" s="12">
        <v>0.0</v>
      </c>
      <c r="O55" s="12">
        <v>0.0</v>
      </c>
      <c r="P55" s="12">
        <v>0.0</v>
      </c>
      <c r="Q55" s="12">
        <v>1.0</v>
      </c>
      <c r="R55" s="12">
        <v>1.0</v>
      </c>
      <c r="S55" s="12">
        <v>1.0</v>
      </c>
      <c r="T55" s="12">
        <v>0.0</v>
      </c>
      <c r="U55" s="12">
        <v>2.0</v>
      </c>
      <c r="V55" s="12">
        <v>1.0</v>
      </c>
      <c r="W55" s="8">
        <f t="shared" si="14"/>
        <v>12</v>
      </c>
      <c r="X55" s="1"/>
      <c r="Y55" s="1"/>
      <c r="Z55" s="1"/>
    </row>
    <row r="56" ht="12.75" customHeight="1">
      <c r="A56" s="24"/>
      <c r="B56" s="46" t="s">
        <v>55</v>
      </c>
      <c r="C56" s="66" t="s">
        <v>56</v>
      </c>
      <c r="D56" s="22"/>
      <c r="E56" s="12">
        <v>31.0</v>
      </c>
      <c r="F56" s="12">
        <v>25.0</v>
      </c>
      <c r="G56" s="12">
        <v>28.0</v>
      </c>
      <c r="H56" s="12">
        <v>26.0</v>
      </c>
      <c r="I56" s="12">
        <v>20.0</v>
      </c>
      <c r="J56" s="12">
        <v>19.0</v>
      </c>
      <c r="K56" s="12">
        <v>7.0</v>
      </c>
      <c r="L56" s="12">
        <v>19.0</v>
      </c>
      <c r="M56" s="12">
        <v>31.0</v>
      </c>
      <c r="N56" s="12">
        <v>21.0</v>
      </c>
      <c r="O56" s="12">
        <v>18.0</v>
      </c>
      <c r="P56" s="12">
        <v>27.0</v>
      </c>
      <c r="Q56" s="12">
        <v>21.0</v>
      </c>
      <c r="R56" s="12">
        <v>28.0</v>
      </c>
      <c r="S56" s="12">
        <v>34.0</v>
      </c>
      <c r="T56" s="12">
        <v>22.0</v>
      </c>
      <c r="U56" s="12">
        <v>44.0</v>
      </c>
      <c r="V56" s="12">
        <v>13.0</v>
      </c>
      <c r="W56" s="8">
        <f t="shared" si="14"/>
        <v>434</v>
      </c>
      <c r="X56" s="1"/>
      <c r="Y56" s="1"/>
      <c r="Z56" s="1"/>
    </row>
    <row r="57" ht="12.75" customHeight="1">
      <c r="A57" s="64"/>
      <c r="B57" s="46" t="s">
        <v>57</v>
      </c>
      <c r="C57" s="66" t="s">
        <v>58</v>
      </c>
      <c r="D57" s="22"/>
      <c r="E57" s="12">
        <v>1.0</v>
      </c>
      <c r="F57" s="12">
        <v>1.0</v>
      </c>
      <c r="G57" s="12">
        <v>1.0</v>
      </c>
      <c r="H57" s="12">
        <v>1.0</v>
      </c>
      <c r="I57" s="12">
        <v>2.0</v>
      </c>
      <c r="J57" s="12">
        <v>0.0</v>
      </c>
      <c r="K57" s="12">
        <v>1.0</v>
      </c>
      <c r="L57" s="12">
        <v>0.0</v>
      </c>
      <c r="M57" s="12">
        <v>1.0</v>
      </c>
      <c r="N57" s="12">
        <v>0.0</v>
      </c>
      <c r="O57" s="12">
        <v>2.0</v>
      </c>
      <c r="P57" s="12">
        <v>0.0</v>
      </c>
      <c r="Q57" s="12">
        <v>0.0</v>
      </c>
      <c r="R57" s="12">
        <v>0.0</v>
      </c>
      <c r="S57" s="12">
        <v>1.0</v>
      </c>
      <c r="T57" s="12">
        <v>2.0</v>
      </c>
      <c r="U57" s="12">
        <v>2.0</v>
      </c>
      <c r="V57" s="12">
        <v>2.0</v>
      </c>
      <c r="W57" s="8">
        <f t="shared" si="14"/>
        <v>17</v>
      </c>
      <c r="X57" s="1"/>
      <c r="Y57" s="1"/>
      <c r="Z57" s="1"/>
    </row>
    <row r="58" ht="12.75" customHeight="1">
      <c r="A58" s="29"/>
      <c r="B58" s="21"/>
      <c r="C58" s="21"/>
      <c r="D58" s="22"/>
      <c r="E58" s="12"/>
      <c r="F58" s="12"/>
      <c r="G58" s="12"/>
      <c r="H58" s="12"/>
      <c r="I58" s="12"/>
      <c r="J58" s="12"/>
      <c r="K58" s="12"/>
      <c r="L58" s="12"/>
      <c r="M58" s="12"/>
      <c r="N58" s="17"/>
      <c r="O58" s="17"/>
      <c r="P58" s="17"/>
      <c r="Q58" s="17"/>
      <c r="R58" s="17"/>
      <c r="S58" s="17"/>
      <c r="T58" s="17"/>
      <c r="U58" s="17"/>
      <c r="V58" s="17"/>
      <c r="W58" s="8"/>
      <c r="X58" s="1"/>
      <c r="Y58" s="1"/>
      <c r="Z58" s="1"/>
    </row>
    <row r="59" ht="12.75" customHeight="1">
      <c r="A59" s="61" t="s">
        <v>59</v>
      </c>
      <c r="B59" s="20" t="s">
        <v>60</v>
      </c>
      <c r="C59" s="21"/>
      <c r="D59" s="22"/>
      <c r="E59" s="8"/>
      <c r="F59" s="8"/>
      <c r="G59" s="8"/>
      <c r="H59" s="8"/>
      <c r="I59" s="8"/>
      <c r="J59" s="8"/>
      <c r="K59" s="8"/>
      <c r="L59" s="8"/>
      <c r="M59" s="8"/>
      <c r="N59" s="39"/>
      <c r="O59" s="39"/>
      <c r="P59" s="39"/>
      <c r="Q59" s="39"/>
      <c r="R59" s="39"/>
      <c r="S59" s="39"/>
      <c r="T59" s="39"/>
      <c r="U59" s="39"/>
      <c r="V59" s="39"/>
      <c r="W59" s="8"/>
      <c r="X59" s="1"/>
      <c r="Y59" s="1"/>
      <c r="Z59" s="1"/>
    </row>
    <row r="60" ht="12.75" customHeight="1">
      <c r="A60" s="61"/>
      <c r="B60" s="69" t="s">
        <v>61</v>
      </c>
      <c r="C60" s="50" t="s">
        <v>62</v>
      </c>
      <c r="D60" s="22"/>
      <c r="E60" s="12">
        <f t="shared" ref="E60:V60" si="15">SUM(E45:E57)</f>
        <v>170</v>
      </c>
      <c r="F60" s="12">
        <f t="shared" si="15"/>
        <v>181</v>
      </c>
      <c r="G60" s="12">
        <f t="shared" si="15"/>
        <v>161</v>
      </c>
      <c r="H60" s="12">
        <f t="shared" si="15"/>
        <v>153</v>
      </c>
      <c r="I60" s="12">
        <f t="shared" si="15"/>
        <v>154</v>
      </c>
      <c r="J60" s="12">
        <f t="shared" si="15"/>
        <v>178</v>
      </c>
      <c r="K60" s="12">
        <f t="shared" si="15"/>
        <v>89</v>
      </c>
      <c r="L60" s="12">
        <f t="shared" si="15"/>
        <v>146</v>
      </c>
      <c r="M60" s="12">
        <f t="shared" si="15"/>
        <v>146</v>
      </c>
      <c r="N60" s="12">
        <f t="shared" si="15"/>
        <v>177</v>
      </c>
      <c r="O60" s="12">
        <f t="shared" si="15"/>
        <v>122</v>
      </c>
      <c r="P60" s="12">
        <f t="shared" si="15"/>
        <v>189</v>
      </c>
      <c r="Q60" s="12">
        <f t="shared" si="15"/>
        <v>181</v>
      </c>
      <c r="R60" s="12">
        <f t="shared" si="15"/>
        <v>181</v>
      </c>
      <c r="S60" s="12">
        <f t="shared" si="15"/>
        <v>192</v>
      </c>
      <c r="T60" s="12">
        <f t="shared" si="15"/>
        <v>166</v>
      </c>
      <c r="U60" s="12">
        <f t="shared" si="15"/>
        <v>180</v>
      </c>
      <c r="V60" s="12">
        <f t="shared" si="15"/>
        <v>161</v>
      </c>
      <c r="W60" s="8">
        <f t="shared" ref="W60:W62" si="16">SUM(E60:V60)</f>
        <v>2927</v>
      </c>
      <c r="X60" s="1"/>
      <c r="Y60" s="1"/>
      <c r="Z60" s="1"/>
    </row>
    <row r="61" ht="12.75" customHeight="1">
      <c r="A61" s="57"/>
      <c r="B61" s="69" t="s">
        <v>63</v>
      </c>
      <c r="C61" s="50" t="s">
        <v>64</v>
      </c>
      <c r="D61" s="22"/>
      <c r="E61" s="12">
        <v>58.0</v>
      </c>
      <c r="F61" s="12">
        <v>51.0</v>
      </c>
      <c r="G61" s="12">
        <v>46.0</v>
      </c>
      <c r="H61" s="12">
        <v>62.0</v>
      </c>
      <c r="I61" s="12">
        <v>53.0</v>
      </c>
      <c r="J61" s="12">
        <v>51.0</v>
      </c>
      <c r="K61" s="12">
        <v>41.0</v>
      </c>
      <c r="L61" s="12">
        <v>82.0</v>
      </c>
      <c r="M61" s="12">
        <v>47.0</v>
      </c>
      <c r="N61" s="12">
        <v>44.0</v>
      </c>
      <c r="O61" s="12">
        <v>18.0</v>
      </c>
      <c r="P61" s="12">
        <v>61.0</v>
      </c>
      <c r="Q61" s="12">
        <v>48.0</v>
      </c>
      <c r="R61" s="12">
        <v>47.0</v>
      </c>
      <c r="S61" s="12">
        <v>37.0</v>
      </c>
      <c r="T61" s="12">
        <v>58.0</v>
      </c>
      <c r="U61" s="12">
        <v>30.0</v>
      </c>
      <c r="V61" s="12">
        <v>27.0</v>
      </c>
      <c r="W61" s="8">
        <f t="shared" si="16"/>
        <v>861</v>
      </c>
      <c r="X61" s="1"/>
      <c r="Y61" s="1"/>
      <c r="Z61" s="1"/>
    </row>
    <row r="62" ht="12.75" customHeight="1">
      <c r="A62" s="58"/>
      <c r="B62" s="69" t="s">
        <v>65</v>
      </c>
      <c r="C62" s="50" t="s">
        <v>66</v>
      </c>
      <c r="D62" s="22"/>
      <c r="E62" s="8">
        <f t="shared" ref="E62:V62" si="17">SUM(E60:E61)</f>
        <v>228</v>
      </c>
      <c r="F62" s="8">
        <f t="shared" si="17"/>
        <v>232</v>
      </c>
      <c r="G62" s="8">
        <f t="shared" si="17"/>
        <v>207</v>
      </c>
      <c r="H62" s="8">
        <f t="shared" si="17"/>
        <v>215</v>
      </c>
      <c r="I62" s="8">
        <f t="shared" si="17"/>
        <v>207</v>
      </c>
      <c r="J62" s="8">
        <f t="shared" si="17"/>
        <v>229</v>
      </c>
      <c r="K62" s="8">
        <f t="shared" si="17"/>
        <v>130</v>
      </c>
      <c r="L62" s="8">
        <f t="shared" si="17"/>
        <v>228</v>
      </c>
      <c r="M62" s="8">
        <f t="shared" si="17"/>
        <v>193</v>
      </c>
      <c r="N62" s="8">
        <f t="shared" si="17"/>
        <v>221</v>
      </c>
      <c r="O62" s="8">
        <f t="shared" si="17"/>
        <v>140</v>
      </c>
      <c r="P62" s="8">
        <f t="shared" si="17"/>
        <v>250</v>
      </c>
      <c r="Q62" s="8">
        <f t="shared" si="17"/>
        <v>229</v>
      </c>
      <c r="R62" s="8">
        <f t="shared" si="17"/>
        <v>228</v>
      </c>
      <c r="S62" s="8">
        <f t="shared" si="17"/>
        <v>229</v>
      </c>
      <c r="T62" s="8">
        <f t="shared" si="17"/>
        <v>224</v>
      </c>
      <c r="U62" s="8">
        <f t="shared" si="17"/>
        <v>210</v>
      </c>
      <c r="V62" s="8">
        <f t="shared" si="17"/>
        <v>188</v>
      </c>
      <c r="W62" s="8">
        <f t="shared" si="16"/>
        <v>3788</v>
      </c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6">
    <mergeCell ref="B12:D12"/>
    <mergeCell ref="E12:V12"/>
    <mergeCell ref="W12:W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E37:I37"/>
    <mergeCell ref="B36:D36"/>
    <mergeCell ref="B38:D38"/>
    <mergeCell ref="B39:C41"/>
    <mergeCell ref="A42:D42"/>
    <mergeCell ref="E42:I42"/>
    <mergeCell ref="B43:D43"/>
    <mergeCell ref="B44:D44"/>
    <mergeCell ref="C45:D45"/>
    <mergeCell ref="C46:D46"/>
    <mergeCell ref="C47:D47"/>
    <mergeCell ref="C48:D48"/>
    <mergeCell ref="C49:D49"/>
    <mergeCell ref="C50:D50"/>
    <mergeCell ref="C51:D51"/>
    <mergeCell ref="B59:D59"/>
    <mergeCell ref="C60:D60"/>
    <mergeCell ref="C61:D61"/>
    <mergeCell ref="C62:D62"/>
    <mergeCell ref="C52:D52"/>
    <mergeCell ref="C53:D53"/>
    <mergeCell ref="C54:D54"/>
    <mergeCell ref="C55:D55"/>
    <mergeCell ref="C56:D56"/>
    <mergeCell ref="C57:D57"/>
    <mergeCell ref="A58:D58"/>
  </mergeCells>
  <conditionalFormatting sqref="E30:T30">
    <cfRule type="expression" dxfId="0" priority="1">
      <formula>E30&lt;&gt;E62</formula>
    </cfRule>
  </conditionalFormatting>
  <conditionalFormatting sqref="E34:T34">
    <cfRule type="expression" dxfId="0" priority="2">
      <formula>E34&lt;&gt;E62</formula>
    </cfRule>
  </conditionalFormatting>
  <conditionalFormatting sqref="E14:V15">
    <cfRule type="containsBlanks" dxfId="1" priority="3">
      <formula>LEN(TRIM(E14))=0</formula>
    </cfRule>
  </conditionalFormatting>
  <conditionalFormatting sqref="E19:V20">
    <cfRule type="containsBlanks" dxfId="1" priority="4">
      <formula>LEN(TRIM(E19))=0</formula>
    </cfRule>
  </conditionalFormatting>
  <conditionalFormatting sqref="E22:V23 E25:V26 E33:V33 E35:V35 E39:V40">
    <cfRule type="containsBlanks" dxfId="1" priority="5">
      <formula>LEN(TRIM(E22))=0</formula>
    </cfRule>
  </conditionalFormatting>
  <conditionalFormatting sqref="E30:V30">
    <cfRule type="expression" dxfId="0" priority="6">
      <formula>E30&lt;&gt;E34</formula>
    </cfRule>
  </conditionalFormatting>
  <conditionalFormatting sqref="E34:V34">
    <cfRule type="expression" dxfId="2" priority="7">
      <formula>E30&lt;&gt;E34</formula>
    </cfRule>
  </conditionalFormatting>
  <conditionalFormatting sqref="E34:V34">
    <cfRule type="expression" dxfId="3" priority="8">
      <formula>E30=E34</formula>
    </cfRule>
  </conditionalFormatting>
  <conditionalFormatting sqref="E34:V34">
    <cfRule type="expression" dxfId="0" priority="9">
      <formula>E34&lt;&gt;E30</formula>
    </cfRule>
  </conditionalFormatting>
  <conditionalFormatting sqref="E45:V57">
    <cfRule type="containsBlanks" dxfId="1" priority="10">
      <formula>LEN(TRIM(E45))=0</formula>
    </cfRule>
  </conditionalFormatting>
  <conditionalFormatting sqref="E60:V61">
    <cfRule type="containsBlanks" dxfId="1" priority="11">
      <formula>LEN(TRIM(E60))=0</formula>
    </cfRule>
  </conditionalFormatting>
  <conditionalFormatting sqref="U30:V30">
    <cfRule type="expression" dxfId="0" priority="12">
      <formula>U30&lt;&gt;U47</formula>
    </cfRule>
  </conditionalFormatting>
  <conditionalFormatting sqref="U34:V34">
    <cfRule type="expression" dxfId="0" priority="13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67.14"/>
    <col customWidth="1" min="4" max="4" width="14.57"/>
    <col customWidth="1" min="5" max="13" width="9.14"/>
    <col customWidth="1" min="14" max="14" width="9.57"/>
    <col customWidth="1" min="15" max="18" width="9.14"/>
    <col customWidth="1" min="19" max="26" width="8.71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 t="s">
        <v>0</v>
      </c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 t="s">
        <v>2</v>
      </c>
      <c r="D3" s="1" t="s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"/>
      <c r="C4" s="1" t="s">
        <v>4</v>
      </c>
      <c r="D4" s="1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1" t="s">
        <v>67</v>
      </c>
      <c r="D9" s="1" t="s">
        <v>124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2"/>
      <c r="B11" s="16"/>
      <c r="C11" s="16"/>
      <c r="D11" s="16"/>
      <c r="E11" s="2"/>
      <c r="F11" s="2"/>
      <c r="G11" s="2"/>
      <c r="H11" s="2"/>
      <c r="I11" s="2"/>
      <c r="J11" s="2"/>
      <c r="K11" s="2"/>
      <c r="L11" s="2"/>
      <c r="M11" s="2"/>
      <c r="N11" s="3"/>
      <c r="O11" s="3"/>
      <c r="P11" s="3"/>
      <c r="Q11" s="3"/>
      <c r="R11" s="3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8" t="s">
        <v>6</v>
      </c>
      <c r="B12" s="20" t="s">
        <v>7</v>
      </c>
      <c r="C12" s="21"/>
      <c r="D12" s="22"/>
      <c r="E12" s="34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53" t="s">
        <v>8</v>
      </c>
      <c r="S12" s="1"/>
      <c r="T12" s="1"/>
      <c r="U12" s="1"/>
      <c r="V12" s="1"/>
      <c r="W12" s="1"/>
      <c r="X12" s="1"/>
      <c r="Y12" s="1"/>
      <c r="Z12" s="1"/>
    </row>
    <row r="13" ht="12.75" customHeight="1">
      <c r="A13" s="12" t="s">
        <v>9</v>
      </c>
      <c r="B13" s="25" t="s">
        <v>10</v>
      </c>
      <c r="C13" s="21"/>
      <c r="D13" s="22"/>
      <c r="E13" s="8" t="s">
        <v>69</v>
      </c>
      <c r="F13" s="8" t="s">
        <v>70</v>
      </c>
      <c r="G13" s="8" t="s">
        <v>71</v>
      </c>
      <c r="H13" s="8" t="s">
        <v>72</v>
      </c>
      <c r="I13" s="8" t="s">
        <v>73</v>
      </c>
      <c r="J13" s="8" t="s">
        <v>74</v>
      </c>
      <c r="K13" s="8" t="s">
        <v>75</v>
      </c>
      <c r="L13" s="8" t="s">
        <v>76</v>
      </c>
      <c r="M13" s="8" t="s">
        <v>77</v>
      </c>
      <c r="N13" s="8" t="s">
        <v>78</v>
      </c>
      <c r="O13" s="8" t="s">
        <v>79</v>
      </c>
      <c r="P13" s="8" t="s">
        <v>80</v>
      </c>
      <c r="Q13" s="8" t="s">
        <v>81</v>
      </c>
      <c r="R13" s="33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24"/>
      <c r="B14" s="27" t="s">
        <v>11</v>
      </c>
      <c r="C14" s="28"/>
      <c r="D14" s="12" t="s">
        <v>12</v>
      </c>
      <c r="E14" s="12">
        <v>130.0</v>
      </c>
      <c r="F14" s="12">
        <v>128.0</v>
      </c>
      <c r="G14" s="12">
        <v>120.0</v>
      </c>
      <c r="H14" s="12">
        <v>102.0</v>
      </c>
      <c r="I14" s="12">
        <v>109.0</v>
      </c>
      <c r="J14" s="12">
        <v>127.0</v>
      </c>
      <c r="K14" s="12">
        <v>138.0</v>
      </c>
      <c r="L14" s="12">
        <v>139.0</v>
      </c>
      <c r="M14" s="12">
        <v>142.0</v>
      </c>
      <c r="N14" s="12">
        <v>146.0</v>
      </c>
      <c r="O14" s="12">
        <v>142.0</v>
      </c>
      <c r="P14" s="12">
        <v>137.0</v>
      </c>
      <c r="Q14" s="12">
        <v>129.0</v>
      </c>
      <c r="R14" s="8">
        <f t="shared" ref="R14:R16" si="1">SUM(E14:Q14)</f>
        <v>1689</v>
      </c>
      <c r="S14" s="1"/>
      <c r="T14" s="1"/>
      <c r="U14" s="1"/>
      <c r="V14" s="1"/>
      <c r="W14" s="1"/>
      <c r="X14" s="1"/>
      <c r="Y14" s="1"/>
      <c r="Z14" s="1"/>
    </row>
    <row r="15" ht="12.75" customHeight="1">
      <c r="A15" s="24"/>
      <c r="B15" s="30"/>
      <c r="C15" s="31"/>
      <c r="D15" s="12" t="s">
        <v>13</v>
      </c>
      <c r="E15" s="12">
        <v>119.0</v>
      </c>
      <c r="F15" s="12">
        <v>135.0</v>
      </c>
      <c r="G15" s="12">
        <v>117.0</v>
      </c>
      <c r="H15" s="12">
        <v>111.0</v>
      </c>
      <c r="I15" s="12">
        <v>109.0</v>
      </c>
      <c r="J15" s="12">
        <v>121.0</v>
      </c>
      <c r="K15" s="12">
        <v>137.0</v>
      </c>
      <c r="L15" s="12">
        <v>143.0</v>
      </c>
      <c r="M15" s="12">
        <v>146.0</v>
      </c>
      <c r="N15" s="12">
        <v>140.0</v>
      </c>
      <c r="O15" s="12">
        <v>144.0</v>
      </c>
      <c r="P15" s="12">
        <v>138.0</v>
      </c>
      <c r="Q15" s="12">
        <v>147.0</v>
      </c>
      <c r="R15" s="8">
        <f t="shared" si="1"/>
        <v>1707</v>
      </c>
      <c r="S15" s="1"/>
      <c r="T15" s="1"/>
      <c r="U15" s="1"/>
      <c r="V15" s="1"/>
      <c r="W15" s="1"/>
      <c r="X15" s="1"/>
      <c r="Y15" s="1"/>
      <c r="Z15" s="1"/>
    </row>
    <row r="16" ht="12.75" customHeight="1">
      <c r="A16" s="32"/>
      <c r="B16" s="26"/>
      <c r="C16" s="33"/>
      <c r="D16" s="8" t="s">
        <v>14</v>
      </c>
      <c r="E16" s="8">
        <f t="shared" ref="E16:Q16" si="2">SUM(E14:E15)</f>
        <v>249</v>
      </c>
      <c r="F16" s="8">
        <f t="shared" si="2"/>
        <v>263</v>
      </c>
      <c r="G16" s="8">
        <f t="shared" si="2"/>
        <v>237</v>
      </c>
      <c r="H16" s="8">
        <f t="shared" si="2"/>
        <v>213</v>
      </c>
      <c r="I16" s="8">
        <f t="shared" si="2"/>
        <v>218</v>
      </c>
      <c r="J16" s="8">
        <f t="shared" si="2"/>
        <v>248</v>
      </c>
      <c r="K16" s="8">
        <f t="shared" si="2"/>
        <v>275</v>
      </c>
      <c r="L16" s="8">
        <f t="shared" si="2"/>
        <v>282</v>
      </c>
      <c r="M16" s="8">
        <f t="shared" si="2"/>
        <v>288</v>
      </c>
      <c r="N16" s="8">
        <f t="shared" si="2"/>
        <v>286</v>
      </c>
      <c r="O16" s="8">
        <f t="shared" si="2"/>
        <v>286</v>
      </c>
      <c r="P16" s="8">
        <f t="shared" si="2"/>
        <v>275</v>
      </c>
      <c r="Q16" s="8">
        <f t="shared" si="2"/>
        <v>276</v>
      </c>
      <c r="R16" s="8">
        <f t="shared" si="1"/>
        <v>3396</v>
      </c>
      <c r="S16" s="1"/>
      <c r="T16" s="1"/>
      <c r="U16" s="1"/>
      <c r="V16" s="1"/>
      <c r="W16" s="1"/>
      <c r="X16" s="1"/>
      <c r="Y16" s="1"/>
      <c r="Z16" s="1"/>
    </row>
    <row r="17" ht="12.75" customHeight="1">
      <c r="A17" s="29"/>
      <c r="B17" s="21"/>
      <c r="C17" s="21"/>
      <c r="D17" s="22"/>
      <c r="E17" s="12"/>
      <c r="F17" s="12"/>
      <c r="G17" s="12"/>
      <c r="H17" s="12"/>
      <c r="I17" s="12"/>
      <c r="J17" s="12"/>
      <c r="K17" s="12"/>
      <c r="L17" s="12"/>
      <c r="M17" s="12"/>
      <c r="N17" s="17"/>
      <c r="O17" s="17"/>
      <c r="P17" s="17"/>
      <c r="Q17" s="17"/>
      <c r="R17" s="8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54" t="s">
        <v>15</v>
      </c>
      <c r="B18" s="25" t="s">
        <v>16</v>
      </c>
      <c r="C18" s="21"/>
      <c r="D18" s="22"/>
      <c r="E18" s="12"/>
      <c r="F18" s="12"/>
      <c r="G18" s="12"/>
      <c r="H18" s="12"/>
      <c r="I18" s="12"/>
      <c r="J18" s="12"/>
      <c r="K18" s="12"/>
      <c r="L18" s="12"/>
      <c r="M18" s="12"/>
      <c r="N18" s="17"/>
      <c r="O18" s="17"/>
      <c r="P18" s="17"/>
      <c r="Q18" s="17"/>
      <c r="R18" s="8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54"/>
      <c r="B19" s="55" t="s">
        <v>17</v>
      </c>
      <c r="C19" s="36" t="s">
        <v>18</v>
      </c>
      <c r="D19" s="12" t="s">
        <v>12</v>
      </c>
      <c r="E19" s="12">
        <v>97.0</v>
      </c>
      <c r="F19" s="12">
        <v>88.0</v>
      </c>
      <c r="G19" s="12">
        <v>92.0</v>
      </c>
      <c r="H19" s="12">
        <v>76.0</v>
      </c>
      <c r="I19" s="12">
        <v>87.0</v>
      </c>
      <c r="J19" s="12">
        <v>104.0</v>
      </c>
      <c r="K19" s="12">
        <v>114.0</v>
      </c>
      <c r="L19" s="12">
        <v>109.0</v>
      </c>
      <c r="M19" s="12">
        <v>118.0</v>
      </c>
      <c r="N19" s="12">
        <v>102.0</v>
      </c>
      <c r="O19" s="12">
        <v>110.0</v>
      </c>
      <c r="P19" s="12">
        <v>103.0</v>
      </c>
      <c r="Q19" s="12">
        <v>113.0</v>
      </c>
      <c r="R19" s="8">
        <f t="shared" ref="R19:R30" si="3">SUM(E19:Q19)</f>
        <v>1313</v>
      </c>
      <c r="S19" s="1"/>
      <c r="T19" s="1"/>
      <c r="U19" s="1"/>
      <c r="V19" s="1"/>
      <c r="W19" s="1"/>
      <c r="X19" s="1"/>
      <c r="Y19" s="1"/>
      <c r="Z19" s="1"/>
    </row>
    <row r="20" ht="12.75" customHeight="1">
      <c r="A20" s="56"/>
      <c r="B20" s="31"/>
      <c r="C20" s="37"/>
      <c r="D20" s="12" t="s">
        <v>13</v>
      </c>
      <c r="E20" s="12">
        <v>102.0</v>
      </c>
      <c r="F20" s="12">
        <v>111.0</v>
      </c>
      <c r="G20" s="12">
        <v>102.0</v>
      </c>
      <c r="H20" s="12">
        <v>88.0</v>
      </c>
      <c r="I20" s="12">
        <v>88.0</v>
      </c>
      <c r="J20" s="12">
        <v>93.0</v>
      </c>
      <c r="K20" s="12">
        <v>109.0</v>
      </c>
      <c r="L20" s="12">
        <v>120.0</v>
      </c>
      <c r="M20" s="12">
        <v>132.0</v>
      </c>
      <c r="N20" s="12">
        <v>120.0</v>
      </c>
      <c r="O20" s="12">
        <v>121.0</v>
      </c>
      <c r="P20" s="12">
        <v>115.0</v>
      </c>
      <c r="Q20" s="12">
        <v>129.0</v>
      </c>
      <c r="R20" s="8">
        <f t="shared" si="3"/>
        <v>1430</v>
      </c>
      <c r="S20" s="1"/>
      <c r="T20" s="1"/>
      <c r="U20" s="1"/>
      <c r="V20" s="1"/>
      <c r="W20" s="1"/>
      <c r="X20" s="1"/>
      <c r="Y20" s="1"/>
      <c r="Z20" s="1"/>
    </row>
    <row r="21" ht="12.75" customHeight="1">
      <c r="A21" s="57"/>
      <c r="B21" s="33"/>
      <c r="C21" s="38"/>
      <c r="D21" s="8" t="s">
        <v>14</v>
      </c>
      <c r="E21" s="8">
        <f t="shared" ref="E21:Q21" si="4">SUM(E19:E20)</f>
        <v>199</v>
      </c>
      <c r="F21" s="8">
        <f t="shared" si="4"/>
        <v>199</v>
      </c>
      <c r="G21" s="8">
        <f t="shared" si="4"/>
        <v>194</v>
      </c>
      <c r="H21" s="8">
        <f t="shared" si="4"/>
        <v>164</v>
      </c>
      <c r="I21" s="8">
        <f t="shared" si="4"/>
        <v>175</v>
      </c>
      <c r="J21" s="8">
        <f t="shared" si="4"/>
        <v>197</v>
      </c>
      <c r="K21" s="8">
        <f t="shared" si="4"/>
        <v>223</v>
      </c>
      <c r="L21" s="8">
        <f t="shared" si="4"/>
        <v>229</v>
      </c>
      <c r="M21" s="8">
        <f t="shared" si="4"/>
        <v>250</v>
      </c>
      <c r="N21" s="8">
        <f t="shared" si="4"/>
        <v>222</v>
      </c>
      <c r="O21" s="8">
        <f t="shared" si="4"/>
        <v>231</v>
      </c>
      <c r="P21" s="8">
        <f t="shared" si="4"/>
        <v>218</v>
      </c>
      <c r="Q21" s="8">
        <f t="shared" si="4"/>
        <v>242</v>
      </c>
      <c r="R21" s="8">
        <f t="shared" si="3"/>
        <v>2743</v>
      </c>
      <c r="S21" s="1"/>
      <c r="T21" s="1"/>
      <c r="U21" s="1"/>
      <c r="V21" s="1"/>
      <c r="W21" s="1"/>
      <c r="X21" s="1"/>
      <c r="Y21" s="1"/>
      <c r="Z21" s="1"/>
    </row>
    <row r="22" ht="12.75" customHeight="1">
      <c r="A22" s="56"/>
      <c r="B22" s="55" t="s">
        <v>19</v>
      </c>
      <c r="C22" s="36" t="s">
        <v>20</v>
      </c>
      <c r="D22" s="12" t="s">
        <v>12</v>
      </c>
      <c r="E22" s="12">
        <v>0.0</v>
      </c>
      <c r="F22" s="12">
        <v>1.0</v>
      </c>
      <c r="G22" s="12">
        <v>0.0</v>
      </c>
      <c r="H22" s="12">
        <v>1.0</v>
      </c>
      <c r="I22" s="12">
        <v>0.0</v>
      </c>
      <c r="J22" s="12">
        <v>1.0</v>
      </c>
      <c r="K22" s="12">
        <v>0.0</v>
      </c>
      <c r="L22" s="12">
        <v>1.0</v>
      </c>
      <c r="M22" s="12">
        <v>1.0</v>
      </c>
      <c r="N22" s="12">
        <v>1.0</v>
      </c>
      <c r="O22" s="12">
        <v>1.0</v>
      </c>
      <c r="P22" s="12">
        <v>0.0</v>
      </c>
      <c r="Q22" s="12">
        <v>1.0</v>
      </c>
      <c r="R22" s="8">
        <f t="shared" si="3"/>
        <v>8</v>
      </c>
      <c r="S22" s="1"/>
      <c r="T22" s="1"/>
      <c r="U22" s="1"/>
      <c r="V22" s="1"/>
      <c r="W22" s="1"/>
      <c r="X22" s="1"/>
      <c r="Y22" s="1"/>
      <c r="Z22" s="1"/>
    </row>
    <row r="23" ht="15.0" customHeight="1">
      <c r="A23" s="56"/>
      <c r="B23" s="31"/>
      <c r="C23" s="37"/>
      <c r="D23" s="12" t="s">
        <v>13</v>
      </c>
      <c r="E23" s="12">
        <v>0.0</v>
      </c>
      <c r="F23" s="12">
        <v>0.0</v>
      </c>
      <c r="G23" s="12">
        <v>1.0</v>
      </c>
      <c r="H23" s="12">
        <v>0.0</v>
      </c>
      <c r="I23" s="12">
        <v>1.0</v>
      </c>
      <c r="J23" s="12">
        <v>0.0</v>
      </c>
      <c r="K23" s="12">
        <v>0.0</v>
      </c>
      <c r="L23" s="12">
        <v>0.0</v>
      </c>
      <c r="M23" s="12">
        <v>0.0</v>
      </c>
      <c r="N23" s="12">
        <v>0.0</v>
      </c>
      <c r="O23" s="12">
        <v>0.0</v>
      </c>
      <c r="P23" s="12">
        <v>0.0</v>
      </c>
      <c r="Q23" s="12">
        <v>0.0</v>
      </c>
      <c r="R23" s="8">
        <f t="shared" si="3"/>
        <v>2</v>
      </c>
      <c r="S23" s="1"/>
      <c r="T23" s="1"/>
      <c r="U23" s="1"/>
      <c r="V23" s="1"/>
      <c r="W23" s="1"/>
      <c r="X23" s="1"/>
      <c r="Y23" s="1"/>
      <c r="Z23" s="1"/>
    </row>
    <row r="24" ht="15.0" customHeight="1">
      <c r="A24" s="57"/>
      <c r="B24" s="33"/>
      <c r="C24" s="38"/>
      <c r="D24" s="8" t="s">
        <v>14</v>
      </c>
      <c r="E24" s="8">
        <f t="shared" ref="E24:Q24" si="5">SUM(E22:E23)</f>
        <v>0</v>
      </c>
      <c r="F24" s="8">
        <f t="shared" si="5"/>
        <v>1</v>
      </c>
      <c r="G24" s="8">
        <f t="shared" si="5"/>
        <v>1</v>
      </c>
      <c r="H24" s="8">
        <f t="shared" si="5"/>
        <v>1</v>
      </c>
      <c r="I24" s="8">
        <f t="shared" si="5"/>
        <v>1</v>
      </c>
      <c r="J24" s="8">
        <f t="shared" si="5"/>
        <v>1</v>
      </c>
      <c r="K24" s="8">
        <f t="shared" si="5"/>
        <v>0</v>
      </c>
      <c r="L24" s="8">
        <f t="shared" si="5"/>
        <v>1</v>
      </c>
      <c r="M24" s="8">
        <f t="shared" si="5"/>
        <v>1</v>
      </c>
      <c r="N24" s="8">
        <f t="shared" si="5"/>
        <v>1</v>
      </c>
      <c r="O24" s="8">
        <f t="shared" si="5"/>
        <v>1</v>
      </c>
      <c r="P24" s="8">
        <f t="shared" si="5"/>
        <v>0</v>
      </c>
      <c r="Q24" s="8">
        <f t="shared" si="5"/>
        <v>1</v>
      </c>
      <c r="R24" s="8">
        <f t="shared" si="3"/>
        <v>10</v>
      </c>
      <c r="S24" s="1"/>
      <c r="T24" s="1"/>
      <c r="U24" s="1"/>
      <c r="V24" s="1"/>
      <c r="W24" s="1"/>
      <c r="X24" s="1"/>
      <c r="Y24" s="1"/>
      <c r="Z24" s="1"/>
    </row>
    <row r="25" ht="15.0" customHeight="1">
      <c r="A25" s="56"/>
      <c r="B25" s="55" t="s">
        <v>21</v>
      </c>
      <c r="C25" s="36" t="s">
        <v>22</v>
      </c>
      <c r="D25" s="12" t="s">
        <v>12</v>
      </c>
      <c r="E25" s="12">
        <v>0.0</v>
      </c>
      <c r="F25" s="12">
        <v>1.0</v>
      </c>
      <c r="G25" s="12">
        <v>1.0</v>
      </c>
      <c r="H25" s="12">
        <v>0.0</v>
      </c>
      <c r="I25" s="12">
        <v>0.0</v>
      </c>
      <c r="J25" s="12">
        <v>1.0</v>
      </c>
      <c r="K25" s="12">
        <v>2.0</v>
      </c>
      <c r="L25" s="12">
        <v>3.0</v>
      </c>
      <c r="M25" s="12">
        <v>0.0</v>
      </c>
      <c r="N25" s="12">
        <v>1.0</v>
      </c>
      <c r="O25" s="12">
        <v>2.0</v>
      </c>
      <c r="P25" s="12">
        <v>1.0</v>
      </c>
      <c r="Q25" s="12">
        <v>3.0</v>
      </c>
      <c r="R25" s="8">
        <f t="shared" si="3"/>
        <v>15</v>
      </c>
      <c r="S25" s="1"/>
      <c r="T25" s="1"/>
      <c r="U25" s="1"/>
      <c r="V25" s="1"/>
      <c r="W25" s="1"/>
      <c r="X25" s="1"/>
      <c r="Y25" s="1"/>
      <c r="Z25" s="1"/>
    </row>
    <row r="26" ht="15.0" customHeight="1">
      <c r="A26" s="56"/>
      <c r="B26" s="31"/>
      <c r="C26" s="37"/>
      <c r="D26" s="12" t="s">
        <v>13</v>
      </c>
      <c r="E26" s="12">
        <v>2.0</v>
      </c>
      <c r="F26" s="12">
        <v>1.0</v>
      </c>
      <c r="G26" s="12">
        <v>4.0</v>
      </c>
      <c r="H26" s="12">
        <v>1.0</v>
      </c>
      <c r="I26" s="12">
        <v>1.0</v>
      </c>
      <c r="J26" s="12">
        <v>3.0</v>
      </c>
      <c r="K26" s="12">
        <v>4.0</v>
      </c>
      <c r="L26" s="12">
        <v>2.0</v>
      </c>
      <c r="M26" s="12">
        <v>1.0</v>
      </c>
      <c r="N26" s="12">
        <v>0.0</v>
      </c>
      <c r="O26" s="12">
        <v>1.0</v>
      </c>
      <c r="P26" s="12">
        <v>4.0</v>
      </c>
      <c r="Q26" s="12">
        <v>1.0</v>
      </c>
      <c r="R26" s="8">
        <f t="shared" si="3"/>
        <v>25</v>
      </c>
      <c r="S26" s="1"/>
      <c r="T26" s="1"/>
      <c r="U26" s="1"/>
      <c r="V26" s="1"/>
      <c r="W26" s="1"/>
      <c r="X26" s="1"/>
      <c r="Y26" s="1"/>
      <c r="Z26" s="1"/>
    </row>
    <row r="27" ht="12.75" customHeight="1">
      <c r="A27" s="57"/>
      <c r="B27" s="33"/>
      <c r="C27" s="38"/>
      <c r="D27" s="8" t="s">
        <v>14</v>
      </c>
      <c r="E27" s="8">
        <f t="shared" ref="E27:Q27" si="6">SUM(E25:E26)</f>
        <v>2</v>
      </c>
      <c r="F27" s="8">
        <f t="shared" si="6"/>
        <v>2</v>
      </c>
      <c r="G27" s="8">
        <f t="shared" si="6"/>
        <v>5</v>
      </c>
      <c r="H27" s="8">
        <f t="shared" si="6"/>
        <v>1</v>
      </c>
      <c r="I27" s="8">
        <f t="shared" si="6"/>
        <v>1</v>
      </c>
      <c r="J27" s="8">
        <f t="shared" si="6"/>
        <v>4</v>
      </c>
      <c r="K27" s="8">
        <f t="shared" si="6"/>
        <v>6</v>
      </c>
      <c r="L27" s="8">
        <f t="shared" si="6"/>
        <v>5</v>
      </c>
      <c r="M27" s="8">
        <f t="shared" si="6"/>
        <v>1</v>
      </c>
      <c r="N27" s="8">
        <f t="shared" si="6"/>
        <v>1</v>
      </c>
      <c r="O27" s="8">
        <f t="shared" si="6"/>
        <v>3</v>
      </c>
      <c r="P27" s="8">
        <f t="shared" si="6"/>
        <v>5</v>
      </c>
      <c r="Q27" s="8">
        <f t="shared" si="6"/>
        <v>4</v>
      </c>
      <c r="R27" s="8">
        <f t="shared" si="3"/>
        <v>40</v>
      </c>
      <c r="S27" s="1"/>
      <c r="T27" s="1"/>
      <c r="U27" s="1"/>
      <c r="V27" s="1"/>
      <c r="W27" s="1"/>
      <c r="X27" s="1"/>
      <c r="Y27" s="1"/>
      <c r="Z27" s="1"/>
    </row>
    <row r="28" ht="12.75" customHeight="1">
      <c r="A28" s="57"/>
      <c r="B28" s="53" t="s">
        <v>23</v>
      </c>
      <c r="C28" s="41" t="s">
        <v>24</v>
      </c>
      <c r="D28" s="8" t="s">
        <v>12</v>
      </c>
      <c r="E28" s="8">
        <f t="shared" ref="E28:Q28" si="7">SUM(E19,E22,E25)</f>
        <v>97</v>
      </c>
      <c r="F28" s="8">
        <f t="shared" si="7"/>
        <v>90</v>
      </c>
      <c r="G28" s="8">
        <f t="shared" si="7"/>
        <v>93</v>
      </c>
      <c r="H28" s="8">
        <f t="shared" si="7"/>
        <v>77</v>
      </c>
      <c r="I28" s="8">
        <f t="shared" si="7"/>
        <v>87</v>
      </c>
      <c r="J28" s="8">
        <f t="shared" si="7"/>
        <v>106</v>
      </c>
      <c r="K28" s="8">
        <f t="shared" si="7"/>
        <v>116</v>
      </c>
      <c r="L28" s="8">
        <f t="shared" si="7"/>
        <v>113</v>
      </c>
      <c r="M28" s="8">
        <f t="shared" si="7"/>
        <v>119</v>
      </c>
      <c r="N28" s="8">
        <f t="shared" si="7"/>
        <v>104</v>
      </c>
      <c r="O28" s="8">
        <f t="shared" si="7"/>
        <v>113</v>
      </c>
      <c r="P28" s="8">
        <f t="shared" si="7"/>
        <v>104</v>
      </c>
      <c r="Q28" s="8">
        <f t="shared" si="7"/>
        <v>117</v>
      </c>
      <c r="R28" s="8">
        <f t="shared" si="3"/>
        <v>1336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57"/>
      <c r="B29" s="31"/>
      <c r="C29" s="37"/>
      <c r="D29" s="8" t="s">
        <v>13</v>
      </c>
      <c r="E29" s="8">
        <f t="shared" ref="E29:Q29" si="8">SUM(E20,E23,E26)</f>
        <v>104</v>
      </c>
      <c r="F29" s="8">
        <f t="shared" si="8"/>
        <v>112</v>
      </c>
      <c r="G29" s="8">
        <f t="shared" si="8"/>
        <v>107</v>
      </c>
      <c r="H29" s="8">
        <f t="shared" si="8"/>
        <v>89</v>
      </c>
      <c r="I29" s="8">
        <f t="shared" si="8"/>
        <v>90</v>
      </c>
      <c r="J29" s="8">
        <f t="shared" si="8"/>
        <v>96</v>
      </c>
      <c r="K29" s="8">
        <f t="shared" si="8"/>
        <v>113</v>
      </c>
      <c r="L29" s="8">
        <f t="shared" si="8"/>
        <v>122</v>
      </c>
      <c r="M29" s="8">
        <f t="shared" si="8"/>
        <v>133</v>
      </c>
      <c r="N29" s="8">
        <f t="shared" si="8"/>
        <v>120</v>
      </c>
      <c r="O29" s="8">
        <f t="shared" si="8"/>
        <v>122</v>
      </c>
      <c r="P29" s="8">
        <f t="shared" si="8"/>
        <v>119</v>
      </c>
      <c r="Q29" s="8">
        <f t="shared" si="8"/>
        <v>130</v>
      </c>
      <c r="R29" s="8">
        <f t="shared" si="3"/>
        <v>1457</v>
      </c>
      <c r="S29" s="1"/>
      <c r="T29" s="1"/>
      <c r="U29" s="1"/>
      <c r="V29" s="1"/>
      <c r="W29" s="1"/>
      <c r="X29" s="1"/>
      <c r="Y29" s="1"/>
      <c r="Z29" s="1"/>
    </row>
    <row r="30" ht="12.75" customHeight="1">
      <c r="A30" s="57"/>
      <c r="B30" s="33"/>
      <c r="C30" s="38"/>
      <c r="D30" s="8" t="s">
        <v>14</v>
      </c>
      <c r="E30" s="8">
        <f t="shared" ref="E30:Q30" si="9">SUM(E28:E29)</f>
        <v>201</v>
      </c>
      <c r="F30" s="8">
        <f t="shared" si="9"/>
        <v>202</v>
      </c>
      <c r="G30" s="8">
        <f t="shared" si="9"/>
        <v>200</v>
      </c>
      <c r="H30" s="8">
        <f t="shared" si="9"/>
        <v>166</v>
      </c>
      <c r="I30" s="8">
        <f t="shared" si="9"/>
        <v>177</v>
      </c>
      <c r="J30" s="8">
        <f t="shared" si="9"/>
        <v>202</v>
      </c>
      <c r="K30" s="8">
        <f t="shared" si="9"/>
        <v>229</v>
      </c>
      <c r="L30" s="8">
        <f t="shared" si="9"/>
        <v>235</v>
      </c>
      <c r="M30" s="8">
        <f t="shared" si="9"/>
        <v>252</v>
      </c>
      <c r="N30" s="8">
        <f t="shared" si="9"/>
        <v>224</v>
      </c>
      <c r="O30" s="8">
        <f t="shared" si="9"/>
        <v>235</v>
      </c>
      <c r="P30" s="8">
        <f t="shared" si="9"/>
        <v>223</v>
      </c>
      <c r="Q30" s="8">
        <f t="shared" si="9"/>
        <v>247</v>
      </c>
      <c r="R30" s="8">
        <f t="shared" si="3"/>
        <v>2793</v>
      </c>
      <c r="S30" s="1"/>
      <c r="T30" s="1"/>
      <c r="U30" s="1"/>
      <c r="V30" s="1"/>
      <c r="W30" s="1"/>
      <c r="X30" s="1"/>
      <c r="Y30" s="1"/>
      <c r="Z30" s="1"/>
    </row>
    <row r="31" ht="12.75" customHeight="1">
      <c r="A31" s="29"/>
      <c r="B31" s="21"/>
      <c r="C31" s="21"/>
      <c r="D31" s="22"/>
      <c r="E31" s="12"/>
      <c r="F31" s="12"/>
      <c r="G31" s="12"/>
      <c r="H31" s="12"/>
      <c r="I31" s="12"/>
      <c r="J31" s="12"/>
      <c r="K31" s="12"/>
      <c r="L31" s="12"/>
      <c r="M31" s="12"/>
      <c r="N31" s="17"/>
      <c r="O31" s="17"/>
      <c r="P31" s="17"/>
      <c r="Q31" s="17"/>
      <c r="R31" s="8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58" t="s">
        <v>25</v>
      </c>
      <c r="B32" s="20" t="s">
        <v>26</v>
      </c>
      <c r="C32" s="21"/>
      <c r="D32" s="22"/>
      <c r="E32" s="8"/>
      <c r="F32" s="8"/>
      <c r="G32" s="8"/>
      <c r="H32" s="8"/>
      <c r="I32" s="8"/>
      <c r="J32" s="8"/>
      <c r="K32" s="8"/>
      <c r="L32" s="8"/>
      <c r="M32" s="8"/>
      <c r="N32" s="39"/>
      <c r="O32" s="39"/>
      <c r="P32" s="39"/>
      <c r="Q32" s="39"/>
      <c r="R32" s="8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2">
        <v>1.0</v>
      </c>
      <c r="B33" s="25" t="s">
        <v>121</v>
      </c>
      <c r="C33" s="21"/>
      <c r="D33" s="22"/>
      <c r="E33" s="12">
        <v>260.0</v>
      </c>
      <c r="F33" s="12">
        <v>269.0</v>
      </c>
      <c r="G33" s="12">
        <v>242.0</v>
      </c>
      <c r="H33" s="12">
        <v>219.0</v>
      </c>
      <c r="I33" s="12">
        <v>223.0</v>
      </c>
      <c r="J33" s="12">
        <v>253.0</v>
      </c>
      <c r="K33" s="12">
        <v>282.0</v>
      </c>
      <c r="L33" s="12">
        <v>279.0</v>
      </c>
      <c r="M33" s="12">
        <v>291.0</v>
      </c>
      <c r="N33" s="12">
        <v>286.0</v>
      </c>
      <c r="O33" s="12">
        <v>310.0</v>
      </c>
      <c r="P33" s="12">
        <v>279.0</v>
      </c>
      <c r="Q33" s="12">
        <v>282.0</v>
      </c>
      <c r="R33" s="8">
        <f t="shared" ref="R33:R36" si="10">SUM(E33:Q33)</f>
        <v>3475</v>
      </c>
      <c r="S33" s="1"/>
      <c r="T33" s="1"/>
      <c r="U33" s="1"/>
      <c r="V33" s="1"/>
      <c r="W33" s="1"/>
      <c r="X33" s="1"/>
      <c r="Y33" s="1"/>
      <c r="Z33" s="1"/>
    </row>
    <row r="34" ht="15.0" customHeight="1">
      <c r="A34" s="12">
        <v>2.0</v>
      </c>
      <c r="B34" s="25" t="s">
        <v>28</v>
      </c>
      <c r="C34" s="21"/>
      <c r="D34" s="22"/>
      <c r="E34" s="8">
        <v>201.0</v>
      </c>
      <c r="F34" s="8">
        <v>202.0</v>
      </c>
      <c r="G34" s="8">
        <v>200.0</v>
      </c>
      <c r="H34" s="8">
        <v>166.0</v>
      </c>
      <c r="I34" s="8">
        <v>177.0</v>
      </c>
      <c r="J34" s="8">
        <v>202.0</v>
      </c>
      <c r="K34" s="8">
        <v>229.0</v>
      </c>
      <c r="L34" s="8">
        <v>235.0</v>
      </c>
      <c r="M34" s="8">
        <v>252.0</v>
      </c>
      <c r="N34" s="8">
        <v>224.0</v>
      </c>
      <c r="O34" s="8">
        <v>235.0</v>
      </c>
      <c r="P34" s="8">
        <v>223.0</v>
      </c>
      <c r="Q34" s="8">
        <v>247.0</v>
      </c>
      <c r="R34" s="8">
        <f t="shared" si="10"/>
        <v>2793</v>
      </c>
      <c r="S34" s="1"/>
      <c r="T34" s="1"/>
      <c r="U34" s="1"/>
      <c r="V34" s="1"/>
      <c r="W34" s="1"/>
      <c r="X34" s="1"/>
      <c r="Y34" s="1"/>
      <c r="Z34" s="1"/>
    </row>
    <row r="35" ht="12.75" customHeight="1">
      <c r="A35" s="12">
        <v>3.0</v>
      </c>
      <c r="B35" s="25" t="s">
        <v>29</v>
      </c>
      <c r="C35" s="21"/>
      <c r="D35" s="22"/>
      <c r="E35" s="12">
        <v>0.0</v>
      </c>
      <c r="F35" s="12">
        <v>0.0</v>
      </c>
      <c r="G35" s="12">
        <v>0.0</v>
      </c>
      <c r="H35" s="12">
        <v>3.0</v>
      </c>
      <c r="I35" s="12">
        <v>0.0</v>
      </c>
      <c r="J35" s="12">
        <v>0.0</v>
      </c>
      <c r="K35" s="12">
        <v>0.0</v>
      </c>
      <c r="L35" s="12">
        <v>0.0</v>
      </c>
      <c r="M35" s="12">
        <v>0.0</v>
      </c>
      <c r="N35" s="12">
        <v>0.0</v>
      </c>
      <c r="O35" s="12">
        <v>0.0</v>
      </c>
      <c r="P35" s="12">
        <v>0.0</v>
      </c>
      <c r="Q35" s="12">
        <v>0.0</v>
      </c>
      <c r="R35" s="8">
        <f t="shared" si="10"/>
        <v>3</v>
      </c>
      <c r="S35" s="1"/>
      <c r="T35" s="1"/>
      <c r="U35" s="1"/>
      <c r="V35" s="1"/>
      <c r="W35" s="1"/>
      <c r="X35" s="1"/>
      <c r="Y35" s="1"/>
      <c r="Z35" s="1"/>
    </row>
    <row r="36" ht="12.75" customHeight="1">
      <c r="A36" s="12">
        <v>4.0</v>
      </c>
      <c r="B36" s="25" t="s">
        <v>30</v>
      </c>
      <c r="C36" s="21"/>
      <c r="D36" s="22"/>
      <c r="E36" s="8">
        <f t="shared" ref="E36:Q36" si="11">E33-(E34+E35)</f>
        <v>59</v>
      </c>
      <c r="F36" s="8">
        <f t="shared" si="11"/>
        <v>67</v>
      </c>
      <c r="G36" s="8">
        <f t="shared" si="11"/>
        <v>42</v>
      </c>
      <c r="H36" s="8">
        <f t="shared" si="11"/>
        <v>50</v>
      </c>
      <c r="I36" s="8">
        <f t="shared" si="11"/>
        <v>46</v>
      </c>
      <c r="J36" s="8">
        <f t="shared" si="11"/>
        <v>51</v>
      </c>
      <c r="K36" s="8">
        <f t="shared" si="11"/>
        <v>53</v>
      </c>
      <c r="L36" s="8">
        <f t="shared" si="11"/>
        <v>44</v>
      </c>
      <c r="M36" s="8">
        <f t="shared" si="11"/>
        <v>39</v>
      </c>
      <c r="N36" s="8">
        <f t="shared" si="11"/>
        <v>62</v>
      </c>
      <c r="O36" s="8">
        <f t="shared" si="11"/>
        <v>75</v>
      </c>
      <c r="P36" s="8">
        <f t="shared" si="11"/>
        <v>56</v>
      </c>
      <c r="Q36" s="8">
        <f t="shared" si="11"/>
        <v>35</v>
      </c>
      <c r="R36" s="8">
        <f t="shared" si="10"/>
        <v>679</v>
      </c>
      <c r="S36" s="1"/>
      <c r="T36" s="1"/>
      <c r="U36" s="1"/>
      <c r="V36" s="1"/>
      <c r="W36" s="1"/>
      <c r="X36" s="1"/>
      <c r="Y36" s="1"/>
      <c r="Z36" s="1"/>
    </row>
    <row r="37" ht="12.75" customHeight="1">
      <c r="A37" s="59"/>
      <c r="B37" s="60"/>
      <c r="C37" s="60"/>
      <c r="D37" s="60"/>
      <c r="E37" s="29"/>
      <c r="F37" s="21"/>
      <c r="G37" s="21"/>
      <c r="H37" s="21"/>
      <c r="I37" s="22"/>
      <c r="J37" s="12"/>
      <c r="K37" s="12"/>
      <c r="L37" s="12"/>
      <c r="M37" s="12"/>
      <c r="N37" s="17"/>
      <c r="O37" s="59"/>
      <c r="P37" s="59"/>
      <c r="Q37" s="59"/>
      <c r="R37" s="8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61" t="s">
        <v>31</v>
      </c>
      <c r="B38" s="20" t="s">
        <v>32</v>
      </c>
      <c r="C38" s="21"/>
      <c r="D38" s="22"/>
      <c r="E38" s="8"/>
      <c r="F38" s="8"/>
      <c r="G38" s="8"/>
      <c r="H38" s="8"/>
      <c r="I38" s="8"/>
      <c r="J38" s="8"/>
      <c r="K38" s="8"/>
      <c r="L38" s="8"/>
      <c r="M38" s="8"/>
      <c r="N38" s="39"/>
      <c r="O38" s="39"/>
      <c r="P38" s="39"/>
      <c r="Q38" s="39"/>
      <c r="R38" s="8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54"/>
      <c r="B39" s="62" t="s">
        <v>33</v>
      </c>
      <c r="C39" s="28"/>
      <c r="D39" s="12" t="s">
        <v>12</v>
      </c>
      <c r="E39" s="12"/>
      <c r="F39" s="12">
        <v>2.0</v>
      </c>
      <c r="G39" s="12"/>
      <c r="H39" s="12"/>
      <c r="I39" s="12"/>
      <c r="J39" s="12"/>
      <c r="K39" s="12">
        <v>1.0</v>
      </c>
      <c r="L39" s="12"/>
      <c r="M39" s="12"/>
      <c r="N39" s="12"/>
      <c r="O39" s="12"/>
      <c r="P39" s="12"/>
      <c r="Q39" s="12">
        <v>2.0</v>
      </c>
      <c r="R39" s="8">
        <f t="shared" ref="R39:R41" si="12">SUM(E39:Q39)</f>
        <v>5</v>
      </c>
      <c r="S39" s="1"/>
      <c r="T39" s="1"/>
      <c r="U39" s="1"/>
      <c r="V39" s="1"/>
      <c r="W39" s="1"/>
      <c r="X39" s="1"/>
      <c r="Y39" s="1"/>
      <c r="Z39" s="1"/>
    </row>
    <row r="40" ht="12.75" customHeight="1">
      <c r="A40" s="56"/>
      <c r="C40" s="31"/>
      <c r="D40" s="12" t="s">
        <v>13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>
        <v>3.0</v>
      </c>
      <c r="R40" s="8">
        <f t="shared" si="12"/>
        <v>3</v>
      </c>
      <c r="S40" s="1"/>
      <c r="T40" s="1"/>
      <c r="U40" s="1"/>
      <c r="V40" s="1"/>
      <c r="W40" s="1"/>
      <c r="X40" s="1"/>
      <c r="Y40" s="1"/>
      <c r="Z40" s="1"/>
    </row>
    <row r="41" ht="12.75" customHeight="1">
      <c r="A41" s="58"/>
      <c r="B41" s="63"/>
      <c r="C41" s="33"/>
      <c r="D41" s="8" t="s">
        <v>14</v>
      </c>
      <c r="E41" s="8">
        <f t="shared" ref="E41:Q41" si="13">SUM(E39:E40)</f>
        <v>0</v>
      </c>
      <c r="F41" s="8">
        <f t="shared" si="13"/>
        <v>2</v>
      </c>
      <c r="G41" s="8">
        <f t="shared" si="13"/>
        <v>0</v>
      </c>
      <c r="H41" s="8">
        <f t="shared" si="13"/>
        <v>0</v>
      </c>
      <c r="I41" s="8">
        <f t="shared" si="13"/>
        <v>0</v>
      </c>
      <c r="J41" s="8">
        <f t="shared" si="13"/>
        <v>0</v>
      </c>
      <c r="K41" s="8">
        <f t="shared" si="13"/>
        <v>1</v>
      </c>
      <c r="L41" s="8">
        <f t="shared" si="13"/>
        <v>0</v>
      </c>
      <c r="M41" s="8">
        <f t="shared" si="13"/>
        <v>0</v>
      </c>
      <c r="N41" s="8">
        <f t="shared" si="13"/>
        <v>0</v>
      </c>
      <c r="O41" s="8">
        <f t="shared" si="13"/>
        <v>0</v>
      </c>
      <c r="P41" s="8">
        <f t="shared" si="13"/>
        <v>0</v>
      </c>
      <c r="Q41" s="8">
        <f t="shared" si="13"/>
        <v>5</v>
      </c>
      <c r="R41" s="8">
        <f t="shared" si="12"/>
        <v>8</v>
      </c>
      <c r="S41" s="1"/>
      <c r="T41" s="1"/>
      <c r="U41" s="1"/>
      <c r="V41" s="1"/>
      <c r="W41" s="1"/>
      <c r="X41" s="1"/>
      <c r="Y41" s="1"/>
      <c r="Z41" s="1"/>
    </row>
    <row r="42" ht="12.75" customHeight="1">
      <c r="A42" s="64"/>
      <c r="B42" s="63"/>
      <c r="C42" s="63"/>
      <c r="D42" s="33"/>
      <c r="E42" s="29"/>
      <c r="F42" s="21"/>
      <c r="G42" s="21"/>
      <c r="H42" s="21"/>
      <c r="I42" s="22"/>
      <c r="J42" s="12"/>
      <c r="K42" s="12"/>
      <c r="L42" s="12"/>
      <c r="M42" s="12"/>
      <c r="N42" s="17"/>
      <c r="O42" s="59"/>
      <c r="P42" s="59"/>
      <c r="Q42" s="59"/>
      <c r="R42" s="8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61" t="s">
        <v>34</v>
      </c>
      <c r="B43" s="20" t="s">
        <v>35</v>
      </c>
      <c r="C43" s="21"/>
      <c r="D43" s="22"/>
      <c r="E43" s="8"/>
      <c r="F43" s="8"/>
      <c r="G43" s="8"/>
      <c r="H43" s="8"/>
      <c r="I43" s="8"/>
      <c r="J43" s="8"/>
      <c r="K43" s="8"/>
      <c r="L43" s="8"/>
      <c r="M43" s="8"/>
      <c r="N43" s="8"/>
      <c r="O43" s="39"/>
      <c r="P43" s="18"/>
      <c r="Q43" s="19"/>
      <c r="R43" s="8"/>
      <c r="S43" s="1"/>
      <c r="T43" s="1"/>
      <c r="U43" s="1"/>
      <c r="V43" s="1"/>
      <c r="W43" s="1"/>
      <c r="X43" s="1"/>
      <c r="Y43" s="1"/>
      <c r="Z43" s="1"/>
    </row>
    <row r="44" ht="15.0" customHeight="1">
      <c r="A44" s="54"/>
      <c r="B44" s="62" t="s">
        <v>36</v>
      </c>
      <c r="C44" s="65"/>
      <c r="D44" s="28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7"/>
      <c r="P44" s="18"/>
      <c r="Q44" s="19"/>
      <c r="R44" s="8"/>
      <c r="S44" s="1"/>
      <c r="T44" s="1"/>
      <c r="U44" s="1"/>
      <c r="V44" s="1"/>
      <c r="W44" s="1"/>
      <c r="X44" s="1"/>
      <c r="Y44" s="1"/>
      <c r="Z44" s="1"/>
    </row>
    <row r="45" ht="15.0" customHeight="1">
      <c r="A45" s="24"/>
      <c r="B45" s="46" t="s">
        <v>17</v>
      </c>
      <c r="C45" s="66" t="s">
        <v>37</v>
      </c>
      <c r="D45" s="22"/>
      <c r="E45" s="12">
        <v>27.0</v>
      </c>
      <c r="F45" s="12">
        <v>32.0</v>
      </c>
      <c r="G45" s="12">
        <v>16.0</v>
      </c>
      <c r="H45" s="12">
        <v>12.0</v>
      </c>
      <c r="I45" s="12">
        <v>14.0</v>
      </c>
      <c r="J45" s="12">
        <v>15.0</v>
      </c>
      <c r="K45" s="12">
        <v>36.0</v>
      </c>
      <c r="L45" s="12">
        <v>31.0</v>
      </c>
      <c r="M45" s="12">
        <v>22.0</v>
      </c>
      <c r="N45" s="12">
        <v>29.0</v>
      </c>
      <c r="O45" s="12">
        <v>21.0</v>
      </c>
      <c r="P45" s="12">
        <v>18.0</v>
      </c>
      <c r="Q45" s="12">
        <v>36.0</v>
      </c>
      <c r="R45" s="8">
        <f t="shared" ref="R45:R57" si="14">SUM(E45:Q45)</f>
        <v>309</v>
      </c>
      <c r="S45" s="1"/>
      <c r="T45" s="1"/>
      <c r="U45" s="1"/>
      <c r="V45" s="1"/>
      <c r="W45" s="1"/>
      <c r="X45" s="1"/>
      <c r="Y45" s="1"/>
      <c r="Z45" s="1"/>
    </row>
    <row r="46" ht="12.75" customHeight="1">
      <c r="A46" s="24"/>
      <c r="B46" s="46" t="s">
        <v>19</v>
      </c>
      <c r="C46" s="66" t="s">
        <v>38</v>
      </c>
      <c r="D46" s="22"/>
      <c r="E46" s="12">
        <v>23.0</v>
      </c>
      <c r="F46" s="12">
        <v>24.0</v>
      </c>
      <c r="G46" s="12">
        <v>41.0</v>
      </c>
      <c r="H46" s="12">
        <v>21.0</v>
      </c>
      <c r="I46" s="12">
        <v>33.0</v>
      </c>
      <c r="J46" s="12">
        <v>42.0</v>
      </c>
      <c r="K46" s="12">
        <v>36.0</v>
      </c>
      <c r="L46" s="12">
        <v>31.0</v>
      </c>
      <c r="M46" s="12">
        <v>45.0</v>
      </c>
      <c r="N46" s="12">
        <v>56.0</v>
      </c>
      <c r="O46" s="12">
        <v>46.0</v>
      </c>
      <c r="P46" s="12">
        <v>40.0</v>
      </c>
      <c r="Q46" s="12">
        <v>31.0</v>
      </c>
      <c r="R46" s="8">
        <f t="shared" si="14"/>
        <v>469</v>
      </c>
      <c r="S46" s="1"/>
      <c r="T46" s="1"/>
      <c r="U46" s="1"/>
      <c r="V46" s="1"/>
      <c r="W46" s="1"/>
      <c r="X46" s="1"/>
      <c r="Y46" s="1"/>
      <c r="Z46" s="1"/>
    </row>
    <row r="47" ht="15.0" customHeight="1">
      <c r="A47" s="24"/>
      <c r="B47" s="46" t="s">
        <v>21</v>
      </c>
      <c r="C47" s="66" t="s">
        <v>39</v>
      </c>
      <c r="D47" s="22"/>
      <c r="E47" s="12">
        <v>13.0</v>
      </c>
      <c r="F47" s="12">
        <v>6.0</v>
      </c>
      <c r="G47" s="12">
        <v>17.0</v>
      </c>
      <c r="H47" s="12">
        <v>15.0</v>
      </c>
      <c r="I47" s="12">
        <v>15.0</v>
      </c>
      <c r="J47" s="12">
        <v>6.0</v>
      </c>
      <c r="K47" s="12">
        <v>20.0</v>
      </c>
      <c r="L47" s="12">
        <v>16.0</v>
      </c>
      <c r="M47" s="12">
        <v>12.0</v>
      </c>
      <c r="N47" s="12">
        <v>9.0</v>
      </c>
      <c r="O47" s="12">
        <v>18.0</v>
      </c>
      <c r="P47" s="12">
        <v>13.0</v>
      </c>
      <c r="Q47" s="12">
        <v>18.0</v>
      </c>
      <c r="R47" s="8">
        <f t="shared" si="14"/>
        <v>178</v>
      </c>
      <c r="S47" s="1"/>
      <c r="T47" s="1"/>
      <c r="U47" s="1"/>
      <c r="V47" s="1"/>
      <c r="W47" s="1"/>
      <c r="X47" s="1"/>
      <c r="Y47" s="1"/>
      <c r="Z47" s="1"/>
    </row>
    <row r="48" ht="15.0" customHeight="1">
      <c r="A48" s="24"/>
      <c r="B48" s="46" t="s">
        <v>23</v>
      </c>
      <c r="C48" s="66" t="s">
        <v>40</v>
      </c>
      <c r="D48" s="22"/>
      <c r="E48" s="12">
        <v>13.0</v>
      </c>
      <c r="F48" s="12">
        <v>13.0</v>
      </c>
      <c r="G48" s="12">
        <v>16.0</v>
      </c>
      <c r="H48" s="12">
        <v>15.0</v>
      </c>
      <c r="I48" s="12">
        <v>13.0</v>
      </c>
      <c r="J48" s="12">
        <v>8.0</v>
      </c>
      <c r="K48" s="12">
        <v>19.0</v>
      </c>
      <c r="L48" s="12">
        <v>21.0</v>
      </c>
      <c r="M48" s="12">
        <v>27.0</v>
      </c>
      <c r="N48" s="12">
        <v>15.0</v>
      </c>
      <c r="O48" s="12">
        <v>16.0</v>
      </c>
      <c r="P48" s="12">
        <v>19.0</v>
      </c>
      <c r="Q48" s="12">
        <v>24.0</v>
      </c>
      <c r="R48" s="8">
        <f t="shared" si="14"/>
        <v>219</v>
      </c>
      <c r="S48" s="1"/>
      <c r="T48" s="1"/>
      <c r="U48" s="1"/>
      <c r="V48" s="1"/>
      <c r="W48" s="1"/>
      <c r="X48" s="1"/>
      <c r="Y48" s="1"/>
      <c r="Z48" s="1"/>
    </row>
    <row r="49" ht="12.75" customHeight="1">
      <c r="A49" s="24"/>
      <c r="B49" s="46" t="s">
        <v>41</v>
      </c>
      <c r="C49" s="66" t="s">
        <v>42</v>
      </c>
      <c r="D49" s="22"/>
      <c r="E49" s="12">
        <v>25.0</v>
      </c>
      <c r="F49" s="12">
        <v>13.0</v>
      </c>
      <c r="G49" s="12">
        <v>24.0</v>
      </c>
      <c r="H49" s="12">
        <v>13.0</v>
      </c>
      <c r="I49" s="12">
        <v>10.0</v>
      </c>
      <c r="J49" s="12">
        <v>14.0</v>
      </c>
      <c r="K49" s="12">
        <v>15.0</v>
      </c>
      <c r="L49" s="12">
        <v>15.0</v>
      </c>
      <c r="M49" s="12">
        <v>16.0</v>
      </c>
      <c r="N49" s="12">
        <v>15.0</v>
      </c>
      <c r="O49" s="12">
        <v>17.0</v>
      </c>
      <c r="P49" s="12">
        <v>12.0</v>
      </c>
      <c r="Q49" s="12">
        <v>19.0</v>
      </c>
      <c r="R49" s="8">
        <f t="shared" si="14"/>
        <v>208</v>
      </c>
      <c r="S49" s="1"/>
      <c r="T49" s="1"/>
      <c r="U49" s="1"/>
      <c r="V49" s="1"/>
      <c r="W49" s="1"/>
      <c r="X49" s="1"/>
      <c r="Y49" s="1"/>
      <c r="Z49" s="1"/>
    </row>
    <row r="50" ht="15.0" customHeight="1">
      <c r="A50" s="24"/>
      <c r="B50" s="46" t="s">
        <v>43</v>
      </c>
      <c r="C50" s="66" t="s">
        <v>44</v>
      </c>
      <c r="D50" s="22"/>
      <c r="E50" s="12">
        <v>14.0</v>
      </c>
      <c r="F50" s="12">
        <v>9.0</v>
      </c>
      <c r="G50" s="12">
        <v>13.0</v>
      </c>
      <c r="H50" s="12">
        <v>7.0</v>
      </c>
      <c r="I50" s="12">
        <v>5.0</v>
      </c>
      <c r="J50" s="12">
        <v>9.0</v>
      </c>
      <c r="K50" s="12">
        <v>21.0</v>
      </c>
      <c r="L50" s="12">
        <v>25.0</v>
      </c>
      <c r="M50" s="12">
        <v>26.0</v>
      </c>
      <c r="N50" s="12">
        <v>13.0</v>
      </c>
      <c r="O50" s="12">
        <v>17.0</v>
      </c>
      <c r="P50" s="12">
        <v>25.0</v>
      </c>
      <c r="Q50" s="12">
        <v>15.0</v>
      </c>
      <c r="R50" s="8">
        <f t="shared" si="14"/>
        <v>199</v>
      </c>
      <c r="S50" s="1"/>
      <c r="T50" s="1"/>
      <c r="U50" s="1"/>
      <c r="V50" s="1"/>
      <c r="W50" s="1"/>
      <c r="X50" s="1"/>
      <c r="Y50" s="1"/>
      <c r="Z50" s="1"/>
    </row>
    <row r="51" ht="15.0" customHeight="1">
      <c r="A51" s="24"/>
      <c r="B51" s="46" t="s">
        <v>45</v>
      </c>
      <c r="C51" s="66" t="s">
        <v>46</v>
      </c>
      <c r="D51" s="22"/>
      <c r="E51" s="12">
        <v>2.0</v>
      </c>
      <c r="F51" s="12">
        <v>0.0</v>
      </c>
      <c r="G51" s="12">
        <v>3.0</v>
      </c>
      <c r="H51" s="12">
        <v>2.0</v>
      </c>
      <c r="I51" s="12">
        <v>1.0</v>
      </c>
      <c r="J51" s="12">
        <v>1.0</v>
      </c>
      <c r="K51" s="12">
        <v>1.0</v>
      </c>
      <c r="L51" s="12">
        <v>3.0</v>
      </c>
      <c r="M51" s="12">
        <v>1.0</v>
      </c>
      <c r="N51" s="12">
        <v>0.0</v>
      </c>
      <c r="O51" s="12">
        <v>3.0</v>
      </c>
      <c r="P51" s="12">
        <v>3.0</v>
      </c>
      <c r="Q51" s="12">
        <v>4.0</v>
      </c>
      <c r="R51" s="8">
        <f t="shared" si="14"/>
        <v>24</v>
      </c>
      <c r="S51" s="1"/>
      <c r="T51" s="1"/>
      <c r="U51" s="1"/>
      <c r="V51" s="1"/>
      <c r="W51" s="1"/>
      <c r="X51" s="1"/>
      <c r="Y51" s="1"/>
      <c r="Z51" s="1"/>
    </row>
    <row r="52" ht="12.75" customHeight="1">
      <c r="A52" s="24"/>
      <c r="B52" s="46" t="s">
        <v>47</v>
      </c>
      <c r="C52" s="66" t="s">
        <v>48</v>
      </c>
      <c r="D52" s="22"/>
      <c r="E52" s="12">
        <v>6.0</v>
      </c>
      <c r="F52" s="12">
        <v>4.0</v>
      </c>
      <c r="G52" s="12">
        <v>0.0</v>
      </c>
      <c r="H52" s="12">
        <v>5.0</v>
      </c>
      <c r="I52" s="12">
        <v>0.0</v>
      </c>
      <c r="J52" s="12">
        <v>1.0</v>
      </c>
      <c r="K52" s="12">
        <v>5.0</v>
      </c>
      <c r="L52" s="12">
        <v>0.0</v>
      </c>
      <c r="M52" s="12">
        <v>3.0</v>
      </c>
      <c r="N52" s="12">
        <v>2.0</v>
      </c>
      <c r="O52" s="12">
        <v>4.0</v>
      </c>
      <c r="P52" s="12">
        <v>1.0</v>
      </c>
      <c r="Q52" s="12">
        <v>4.0</v>
      </c>
      <c r="R52" s="8">
        <f t="shared" si="14"/>
        <v>35</v>
      </c>
      <c r="S52" s="1"/>
      <c r="T52" s="1"/>
      <c r="U52" s="1"/>
      <c r="V52" s="1"/>
      <c r="W52" s="1"/>
      <c r="X52" s="1"/>
      <c r="Y52" s="1"/>
      <c r="Z52" s="1"/>
    </row>
    <row r="53" ht="12.75" customHeight="1">
      <c r="A53" s="24"/>
      <c r="B53" s="46" t="s">
        <v>49</v>
      </c>
      <c r="C53" s="66" t="s">
        <v>50</v>
      </c>
      <c r="D53" s="22"/>
      <c r="E53" s="12">
        <v>0.0</v>
      </c>
      <c r="F53" s="12">
        <v>0.0</v>
      </c>
      <c r="G53" s="12">
        <v>1.0</v>
      </c>
      <c r="H53" s="12">
        <v>2.0</v>
      </c>
      <c r="I53" s="12">
        <v>1.0</v>
      </c>
      <c r="J53" s="12">
        <v>0.0</v>
      </c>
      <c r="K53" s="12">
        <v>0.0</v>
      </c>
      <c r="L53" s="12">
        <v>2.0</v>
      </c>
      <c r="M53" s="12">
        <v>2.0</v>
      </c>
      <c r="N53" s="12">
        <v>1.0</v>
      </c>
      <c r="O53" s="12">
        <v>0.0</v>
      </c>
      <c r="P53" s="12">
        <v>3.0</v>
      </c>
      <c r="Q53" s="12">
        <v>0.0</v>
      </c>
      <c r="R53" s="8">
        <f t="shared" si="14"/>
        <v>12</v>
      </c>
      <c r="S53" s="1"/>
      <c r="T53" s="1"/>
      <c r="U53" s="1"/>
      <c r="V53" s="1"/>
      <c r="W53" s="1"/>
      <c r="X53" s="1"/>
      <c r="Y53" s="1"/>
      <c r="Z53" s="1"/>
    </row>
    <row r="54" ht="12.75" customHeight="1">
      <c r="A54" s="24"/>
      <c r="B54" s="46" t="s">
        <v>51</v>
      </c>
      <c r="C54" s="66" t="s">
        <v>52</v>
      </c>
      <c r="D54" s="22"/>
      <c r="E54" s="12">
        <v>15.0</v>
      </c>
      <c r="F54" s="12">
        <v>24.0</v>
      </c>
      <c r="G54" s="12">
        <v>20.0</v>
      </c>
      <c r="H54" s="12">
        <v>17.0</v>
      </c>
      <c r="I54" s="12">
        <v>18.0</v>
      </c>
      <c r="J54" s="12">
        <v>19.0</v>
      </c>
      <c r="K54" s="12">
        <v>16.0</v>
      </c>
      <c r="L54" s="12">
        <v>18.0</v>
      </c>
      <c r="M54" s="12">
        <v>25.0</v>
      </c>
      <c r="N54" s="12">
        <v>21.0</v>
      </c>
      <c r="O54" s="12">
        <v>21.0</v>
      </c>
      <c r="P54" s="12">
        <v>18.0</v>
      </c>
      <c r="Q54" s="12">
        <v>21.0</v>
      </c>
      <c r="R54" s="8">
        <f t="shared" si="14"/>
        <v>253</v>
      </c>
      <c r="S54" s="1"/>
      <c r="T54" s="1"/>
      <c r="U54" s="1"/>
      <c r="V54" s="1"/>
      <c r="W54" s="1"/>
      <c r="X54" s="1"/>
      <c r="Y54" s="1"/>
      <c r="Z54" s="1"/>
    </row>
    <row r="55" ht="12.75" customHeight="1">
      <c r="A55" s="24"/>
      <c r="B55" s="46" t="s">
        <v>53</v>
      </c>
      <c r="C55" s="66" t="s">
        <v>54</v>
      </c>
      <c r="D55" s="22"/>
      <c r="E55" s="12">
        <v>2.0</v>
      </c>
      <c r="F55" s="12">
        <v>1.0</v>
      </c>
      <c r="G55" s="12">
        <v>0.0</v>
      </c>
      <c r="H55" s="12">
        <v>2.0</v>
      </c>
      <c r="I55" s="12">
        <v>1.0</v>
      </c>
      <c r="J55" s="12">
        <v>2.0</v>
      </c>
      <c r="K55" s="12">
        <v>1.0</v>
      </c>
      <c r="L55" s="12">
        <v>0.0</v>
      </c>
      <c r="M55" s="12">
        <v>3.0</v>
      </c>
      <c r="N55" s="12">
        <v>2.0</v>
      </c>
      <c r="O55" s="12">
        <v>0.0</v>
      </c>
      <c r="P55" s="12">
        <v>1.0</v>
      </c>
      <c r="Q55" s="12">
        <v>1.0</v>
      </c>
      <c r="R55" s="8">
        <f t="shared" si="14"/>
        <v>16</v>
      </c>
      <c r="S55" s="1"/>
      <c r="T55" s="1"/>
      <c r="U55" s="1"/>
      <c r="V55" s="1"/>
      <c r="W55" s="1"/>
      <c r="X55" s="1"/>
      <c r="Y55" s="1"/>
      <c r="Z55" s="1"/>
    </row>
    <row r="56" ht="12.75" customHeight="1">
      <c r="A56" s="24"/>
      <c r="B56" s="46" t="s">
        <v>55</v>
      </c>
      <c r="C56" s="66" t="s">
        <v>56</v>
      </c>
      <c r="D56" s="22"/>
      <c r="E56" s="12">
        <v>17.0</v>
      </c>
      <c r="F56" s="12">
        <v>14.0</v>
      </c>
      <c r="G56" s="12">
        <v>12.0</v>
      </c>
      <c r="H56" s="12">
        <v>14.0</v>
      </c>
      <c r="I56" s="12">
        <v>16.0</v>
      </c>
      <c r="J56" s="12">
        <v>15.0</v>
      </c>
      <c r="K56" s="12">
        <v>23.0</v>
      </c>
      <c r="L56" s="12">
        <v>19.0</v>
      </c>
      <c r="M56" s="12">
        <v>29.0</v>
      </c>
      <c r="N56" s="12">
        <v>32.0</v>
      </c>
      <c r="O56" s="12">
        <v>37.0</v>
      </c>
      <c r="P56" s="12">
        <v>19.0</v>
      </c>
      <c r="Q56" s="12">
        <v>27.0</v>
      </c>
      <c r="R56" s="8">
        <f t="shared" si="14"/>
        <v>274</v>
      </c>
      <c r="S56" s="1"/>
      <c r="T56" s="1"/>
      <c r="U56" s="1"/>
      <c r="V56" s="1"/>
      <c r="W56" s="1"/>
      <c r="X56" s="1"/>
      <c r="Y56" s="1"/>
      <c r="Z56" s="1"/>
    </row>
    <row r="57" ht="12.75" customHeight="1">
      <c r="A57" s="64"/>
      <c r="B57" s="46" t="s">
        <v>57</v>
      </c>
      <c r="C57" s="66" t="s">
        <v>58</v>
      </c>
      <c r="D57" s="22"/>
      <c r="E57" s="12">
        <v>1.0</v>
      </c>
      <c r="F57" s="12">
        <v>3.0</v>
      </c>
      <c r="G57" s="12">
        <v>1.0</v>
      </c>
      <c r="H57" s="12">
        <v>1.0</v>
      </c>
      <c r="I57" s="12">
        <v>0.0</v>
      </c>
      <c r="J57" s="12">
        <v>1.0</v>
      </c>
      <c r="K57" s="12">
        <v>3.0</v>
      </c>
      <c r="L57" s="12">
        <v>5.0</v>
      </c>
      <c r="M57" s="12">
        <v>0.0</v>
      </c>
      <c r="N57" s="12">
        <v>1.0</v>
      </c>
      <c r="O57" s="12">
        <v>0.0</v>
      </c>
      <c r="P57" s="12">
        <v>0.0</v>
      </c>
      <c r="Q57" s="12">
        <v>0.0</v>
      </c>
      <c r="R57" s="8">
        <f t="shared" si="14"/>
        <v>16</v>
      </c>
      <c r="S57" s="1"/>
      <c r="T57" s="1"/>
      <c r="U57" s="1"/>
      <c r="V57" s="1"/>
      <c r="W57" s="1"/>
      <c r="X57" s="1"/>
      <c r="Y57" s="1"/>
      <c r="Z57" s="1"/>
    </row>
    <row r="58" ht="12.75" customHeight="1">
      <c r="A58" s="29"/>
      <c r="B58" s="21"/>
      <c r="C58" s="21"/>
      <c r="D58" s="22"/>
      <c r="E58" s="12"/>
      <c r="F58" s="12"/>
      <c r="G58" s="12"/>
      <c r="H58" s="12"/>
      <c r="I58" s="12"/>
      <c r="J58" s="12"/>
      <c r="K58" s="12"/>
      <c r="L58" s="12"/>
      <c r="M58" s="12"/>
      <c r="N58" s="17"/>
      <c r="O58" s="17"/>
      <c r="P58" s="17"/>
      <c r="Q58" s="17"/>
      <c r="R58" s="8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61" t="s">
        <v>59</v>
      </c>
      <c r="B59" s="20" t="s">
        <v>60</v>
      </c>
      <c r="C59" s="21"/>
      <c r="D59" s="22"/>
      <c r="E59" s="8"/>
      <c r="F59" s="8"/>
      <c r="G59" s="8"/>
      <c r="H59" s="8"/>
      <c r="I59" s="8"/>
      <c r="J59" s="8"/>
      <c r="K59" s="8"/>
      <c r="L59" s="8"/>
      <c r="M59" s="8"/>
      <c r="N59" s="39"/>
      <c r="O59" s="39"/>
      <c r="P59" s="39"/>
      <c r="Q59" s="39"/>
      <c r="R59" s="8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61"/>
      <c r="B60" s="69" t="s">
        <v>61</v>
      </c>
      <c r="C60" s="50" t="s">
        <v>62</v>
      </c>
      <c r="D60" s="22"/>
      <c r="E60" s="12">
        <f t="shared" ref="E60:Q60" si="15">SUM(E45:E57)</f>
        <v>158</v>
      </c>
      <c r="F60" s="12">
        <f t="shared" si="15"/>
        <v>143</v>
      </c>
      <c r="G60" s="12">
        <f t="shared" si="15"/>
        <v>164</v>
      </c>
      <c r="H60" s="12">
        <f t="shared" si="15"/>
        <v>126</v>
      </c>
      <c r="I60" s="12">
        <f t="shared" si="15"/>
        <v>127</v>
      </c>
      <c r="J60" s="12">
        <f t="shared" si="15"/>
        <v>133</v>
      </c>
      <c r="K60" s="12">
        <f t="shared" si="15"/>
        <v>196</v>
      </c>
      <c r="L60" s="12">
        <f t="shared" si="15"/>
        <v>186</v>
      </c>
      <c r="M60" s="12">
        <f t="shared" si="15"/>
        <v>211</v>
      </c>
      <c r="N60" s="12">
        <f t="shared" si="15"/>
        <v>196</v>
      </c>
      <c r="O60" s="12">
        <f t="shared" si="15"/>
        <v>200</v>
      </c>
      <c r="P60" s="12">
        <f t="shared" si="15"/>
        <v>172</v>
      </c>
      <c r="Q60" s="12">
        <f t="shared" si="15"/>
        <v>200</v>
      </c>
      <c r="R60" s="8">
        <f t="shared" ref="R60:R62" si="16">SUM(E60:Q60)</f>
        <v>2212</v>
      </c>
      <c r="S60" s="1"/>
      <c r="T60" s="1"/>
      <c r="U60" s="1"/>
      <c r="V60" s="1"/>
      <c r="W60" s="1"/>
      <c r="X60" s="1"/>
      <c r="Y60" s="1"/>
      <c r="Z60" s="1"/>
    </row>
    <row r="61" ht="12.75" customHeight="1">
      <c r="A61" s="57"/>
      <c r="B61" s="69" t="s">
        <v>63</v>
      </c>
      <c r="C61" s="50" t="s">
        <v>64</v>
      </c>
      <c r="D61" s="22"/>
      <c r="E61" s="12">
        <v>43.0</v>
      </c>
      <c r="F61" s="12">
        <v>59.0</v>
      </c>
      <c r="G61" s="12">
        <v>36.0</v>
      </c>
      <c r="H61" s="12">
        <v>40.0</v>
      </c>
      <c r="I61" s="12">
        <v>50.0</v>
      </c>
      <c r="J61" s="12">
        <v>69.0</v>
      </c>
      <c r="K61" s="12">
        <v>33.0</v>
      </c>
      <c r="L61" s="12">
        <v>49.0</v>
      </c>
      <c r="M61" s="12">
        <v>41.0</v>
      </c>
      <c r="N61" s="12">
        <v>28.0</v>
      </c>
      <c r="O61" s="12">
        <v>35.0</v>
      </c>
      <c r="P61" s="12">
        <v>51.0</v>
      </c>
      <c r="Q61" s="12">
        <v>47.0</v>
      </c>
      <c r="R61" s="8">
        <f t="shared" si="16"/>
        <v>581</v>
      </c>
      <c r="S61" s="1"/>
      <c r="T61" s="1"/>
      <c r="U61" s="1"/>
      <c r="V61" s="1"/>
      <c r="W61" s="1"/>
      <c r="X61" s="1"/>
      <c r="Y61" s="1"/>
      <c r="Z61" s="1"/>
    </row>
    <row r="62" ht="12.75" customHeight="1">
      <c r="A62" s="58"/>
      <c r="B62" s="69" t="s">
        <v>65</v>
      </c>
      <c r="C62" s="50" t="s">
        <v>66</v>
      </c>
      <c r="D62" s="22"/>
      <c r="E62" s="8">
        <f t="shared" ref="E62:Q62" si="17">SUM(E60:E61)</f>
        <v>201</v>
      </c>
      <c r="F62" s="8">
        <f t="shared" si="17"/>
        <v>202</v>
      </c>
      <c r="G62" s="8">
        <f t="shared" si="17"/>
        <v>200</v>
      </c>
      <c r="H62" s="8">
        <f t="shared" si="17"/>
        <v>166</v>
      </c>
      <c r="I62" s="8">
        <f t="shared" si="17"/>
        <v>177</v>
      </c>
      <c r="J62" s="8">
        <f t="shared" si="17"/>
        <v>202</v>
      </c>
      <c r="K62" s="8">
        <f t="shared" si="17"/>
        <v>229</v>
      </c>
      <c r="L62" s="8">
        <f t="shared" si="17"/>
        <v>235</v>
      </c>
      <c r="M62" s="8">
        <f t="shared" si="17"/>
        <v>252</v>
      </c>
      <c r="N62" s="8">
        <f t="shared" si="17"/>
        <v>224</v>
      </c>
      <c r="O62" s="8">
        <f t="shared" si="17"/>
        <v>235</v>
      </c>
      <c r="P62" s="8">
        <f t="shared" si="17"/>
        <v>223</v>
      </c>
      <c r="Q62" s="8">
        <f t="shared" si="17"/>
        <v>247</v>
      </c>
      <c r="R62" s="8">
        <f t="shared" si="16"/>
        <v>2793</v>
      </c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6">
    <mergeCell ref="B12:D12"/>
    <mergeCell ref="E12:Q12"/>
    <mergeCell ref="R12:R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E37:I37"/>
    <mergeCell ref="B36:D36"/>
    <mergeCell ref="B38:D38"/>
    <mergeCell ref="B39:C41"/>
    <mergeCell ref="A42:D42"/>
    <mergeCell ref="E42:I42"/>
    <mergeCell ref="B43:D43"/>
    <mergeCell ref="B44:D44"/>
    <mergeCell ref="C45:D45"/>
    <mergeCell ref="C46:D46"/>
    <mergeCell ref="C47:D47"/>
    <mergeCell ref="C48:D48"/>
    <mergeCell ref="C49:D49"/>
    <mergeCell ref="C50:D50"/>
    <mergeCell ref="C51:D51"/>
    <mergeCell ref="B59:D59"/>
    <mergeCell ref="C60:D60"/>
    <mergeCell ref="C61:D61"/>
    <mergeCell ref="C62:D62"/>
    <mergeCell ref="C52:D52"/>
    <mergeCell ref="C53:D53"/>
    <mergeCell ref="C54:D54"/>
    <mergeCell ref="C55:D55"/>
    <mergeCell ref="C56:D56"/>
    <mergeCell ref="C57:D57"/>
    <mergeCell ref="A58:D58"/>
  </mergeCells>
  <conditionalFormatting sqref="E30:Q30">
    <cfRule type="expression" dxfId="0" priority="1">
      <formula>E30&lt;&gt;E62</formula>
    </cfRule>
  </conditionalFormatting>
  <conditionalFormatting sqref="E34:Q34">
    <cfRule type="expression" dxfId="0" priority="2">
      <formula>E34&lt;&gt;E62</formula>
    </cfRule>
  </conditionalFormatting>
  <conditionalFormatting sqref="E14:Q15">
    <cfRule type="containsBlanks" dxfId="1" priority="3">
      <formula>LEN(TRIM(E14))=0</formula>
    </cfRule>
  </conditionalFormatting>
  <conditionalFormatting sqref="E19:Q20">
    <cfRule type="containsBlanks" dxfId="1" priority="4">
      <formula>LEN(TRIM(E19))=0</formula>
    </cfRule>
  </conditionalFormatting>
  <conditionalFormatting sqref="E22:Q23 E25:Q26 E33:Q33 E35:Q35 E39:Q40">
    <cfRule type="containsBlanks" dxfId="1" priority="5">
      <formula>LEN(TRIM(E22))=0</formula>
    </cfRule>
  </conditionalFormatting>
  <conditionalFormatting sqref="E30:Q30">
    <cfRule type="expression" dxfId="0" priority="6">
      <formula>E30&lt;&gt;E34</formula>
    </cfRule>
  </conditionalFormatting>
  <conditionalFormatting sqref="E34:Q34">
    <cfRule type="expression" dxfId="2" priority="7">
      <formula>E30&lt;&gt;E34</formula>
    </cfRule>
  </conditionalFormatting>
  <conditionalFormatting sqref="E34:Q34">
    <cfRule type="expression" dxfId="3" priority="8">
      <formula>E30=E34</formula>
    </cfRule>
  </conditionalFormatting>
  <conditionalFormatting sqref="E34:Q34">
    <cfRule type="expression" dxfId="0" priority="9">
      <formula>E34&lt;&gt;E30</formula>
    </cfRule>
  </conditionalFormatting>
  <conditionalFormatting sqref="E45:Q57">
    <cfRule type="containsBlanks" dxfId="1" priority="10">
      <formula>LEN(TRIM(E45))=0</formula>
    </cfRule>
  </conditionalFormatting>
  <conditionalFormatting sqref="E60:Q61">
    <cfRule type="containsBlanks" dxfId="1" priority="11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67.14"/>
    <col customWidth="1" min="4" max="4" width="14.57"/>
    <col customWidth="1" min="5" max="13" width="9.14"/>
    <col customWidth="1" min="14" max="14" width="9.57"/>
    <col customWidth="1" min="15" max="20" width="9.14"/>
    <col customWidth="1" min="21" max="26" width="8.71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 t="s">
        <v>0</v>
      </c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 t="s">
        <v>2</v>
      </c>
      <c r="D3" s="1" t="s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"/>
      <c r="C4" s="1" t="s">
        <v>4</v>
      </c>
      <c r="D4" s="1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1" t="s">
        <v>67</v>
      </c>
      <c r="D9" s="1" t="s">
        <v>125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2"/>
      <c r="B11" s="16"/>
      <c r="C11" s="16"/>
      <c r="D11" s="16"/>
      <c r="E11" s="2"/>
      <c r="F11" s="2"/>
      <c r="G11" s="2"/>
      <c r="H11" s="2"/>
      <c r="I11" s="2"/>
      <c r="J11" s="2"/>
      <c r="K11" s="2"/>
      <c r="L11" s="2"/>
      <c r="M11" s="2"/>
      <c r="N11" s="3"/>
      <c r="O11" s="3"/>
      <c r="P11" s="3"/>
      <c r="Q11" s="3"/>
      <c r="R11" s="3"/>
      <c r="S11" s="3"/>
      <c r="T11" s="3"/>
      <c r="U11" s="1"/>
      <c r="V11" s="1"/>
      <c r="W11" s="1"/>
      <c r="X11" s="1"/>
      <c r="Y11" s="1"/>
      <c r="Z11" s="1"/>
    </row>
    <row r="12" ht="12.75" customHeight="1">
      <c r="A12" s="8" t="s">
        <v>6</v>
      </c>
      <c r="B12" s="20" t="s">
        <v>7</v>
      </c>
      <c r="C12" s="21"/>
      <c r="D12" s="22"/>
      <c r="E12" s="34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53" t="s">
        <v>8</v>
      </c>
      <c r="U12" s="1"/>
      <c r="V12" s="1"/>
      <c r="W12" s="1"/>
      <c r="X12" s="1"/>
      <c r="Y12" s="1"/>
      <c r="Z12" s="1"/>
    </row>
    <row r="13" ht="12.75" customHeight="1">
      <c r="A13" s="12" t="s">
        <v>9</v>
      </c>
      <c r="B13" s="25" t="s">
        <v>10</v>
      </c>
      <c r="C13" s="21"/>
      <c r="D13" s="22"/>
      <c r="E13" s="8" t="s">
        <v>69</v>
      </c>
      <c r="F13" s="8" t="s">
        <v>70</v>
      </c>
      <c r="G13" s="8" t="s">
        <v>71</v>
      </c>
      <c r="H13" s="8" t="s">
        <v>72</v>
      </c>
      <c r="I13" s="8" t="s">
        <v>73</v>
      </c>
      <c r="J13" s="8" t="s">
        <v>74</v>
      </c>
      <c r="K13" s="8" t="s">
        <v>75</v>
      </c>
      <c r="L13" s="8" t="s">
        <v>76</v>
      </c>
      <c r="M13" s="8" t="s">
        <v>77</v>
      </c>
      <c r="N13" s="8" t="s">
        <v>78</v>
      </c>
      <c r="O13" s="8" t="s">
        <v>79</v>
      </c>
      <c r="P13" s="8" t="s">
        <v>80</v>
      </c>
      <c r="Q13" s="8" t="s">
        <v>81</v>
      </c>
      <c r="R13" s="8" t="s">
        <v>82</v>
      </c>
      <c r="S13" s="8" t="s">
        <v>83</v>
      </c>
      <c r="T13" s="33"/>
      <c r="U13" s="1"/>
      <c r="V13" s="1"/>
      <c r="W13" s="1"/>
      <c r="X13" s="1"/>
      <c r="Y13" s="1"/>
      <c r="Z13" s="1"/>
    </row>
    <row r="14" ht="12.75" customHeight="1">
      <c r="A14" s="24"/>
      <c r="B14" s="27" t="s">
        <v>11</v>
      </c>
      <c r="C14" s="28"/>
      <c r="D14" s="12" t="s">
        <v>12</v>
      </c>
      <c r="E14" s="12">
        <v>150.0</v>
      </c>
      <c r="F14" s="12">
        <v>126.0</v>
      </c>
      <c r="G14" s="12">
        <v>151.0</v>
      </c>
      <c r="H14" s="12">
        <v>146.0</v>
      </c>
      <c r="I14" s="12">
        <v>147.0</v>
      </c>
      <c r="J14" s="12">
        <v>147.0</v>
      </c>
      <c r="K14" s="12">
        <v>134.0</v>
      </c>
      <c r="L14" s="12">
        <v>115.0</v>
      </c>
      <c r="M14" s="12">
        <v>105.0</v>
      </c>
      <c r="N14" s="12">
        <v>127.0</v>
      </c>
      <c r="O14" s="12">
        <v>113.0</v>
      </c>
      <c r="P14" s="12">
        <v>124.0</v>
      </c>
      <c r="Q14" s="12">
        <v>140.0</v>
      </c>
      <c r="R14" s="12">
        <v>138.0</v>
      </c>
      <c r="S14" s="12">
        <v>121.0</v>
      </c>
      <c r="T14" s="8">
        <f t="shared" ref="T14:T16" si="1">SUM(E14:S14)</f>
        <v>1984</v>
      </c>
      <c r="U14" s="1"/>
      <c r="V14" s="1"/>
      <c r="W14" s="1"/>
      <c r="X14" s="1"/>
      <c r="Y14" s="1"/>
      <c r="Z14" s="1"/>
    </row>
    <row r="15" ht="12.75" customHeight="1">
      <c r="A15" s="24"/>
      <c r="B15" s="30"/>
      <c r="C15" s="31"/>
      <c r="D15" s="12" t="s">
        <v>13</v>
      </c>
      <c r="E15" s="12">
        <v>145.0</v>
      </c>
      <c r="F15" s="12">
        <v>109.0</v>
      </c>
      <c r="G15" s="12">
        <v>135.0</v>
      </c>
      <c r="H15" s="12">
        <v>151.0</v>
      </c>
      <c r="I15" s="12">
        <v>143.0</v>
      </c>
      <c r="J15" s="12">
        <v>147.0</v>
      </c>
      <c r="K15" s="12">
        <v>124.0</v>
      </c>
      <c r="L15" s="12">
        <v>105.0</v>
      </c>
      <c r="M15" s="12">
        <v>103.0</v>
      </c>
      <c r="N15" s="12">
        <v>116.0</v>
      </c>
      <c r="O15" s="12">
        <v>115.0</v>
      </c>
      <c r="P15" s="12">
        <v>111.0</v>
      </c>
      <c r="Q15" s="12">
        <v>145.0</v>
      </c>
      <c r="R15" s="12">
        <v>158.0</v>
      </c>
      <c r="S15" s="12">
        <v>137.0</v>
      </c>
      <c r="T15" s="8">
        <f t="shared" si="1"/>
        <v>1944</v>
      </c>
      <c r="U15" s="1"/>
      <c r="V15" s="1"/>
      <c r="W15" s="1"/>
      <c r="X15" s="1"/>
      <c r="Y15" s="1"/>
      <c r="Z15" s="1"/>
    </row>
    <row r="16" ht="12.75" customHeight="1">
      <c r="A16" s="32"/>
      <c r="B16" s="26"/>
      <c r="C16" s="33"/>
      <c r="D16" s="8" t="s">
        <v>14</v>
      </c>
      <c r="E16" s="8">
        <f t="shared" ref="E16:S16" si="2">SUM(E14:E15)</f>
        <v>295</v>
      </c>
      <c r="F16" s="8">
        <f t="shared" si="2"/>
        <v>235</v>
      </c>
      <c r="G16" s="8">
        <f t="shared" si="2"/>
        <v>286</v>
      </c>
      <c r="H16" s="8">
        <f t="shared" si="2"/>
        <v>297</v>
      </c>
      <c r="I16" s="8">
        <f t="shared" si="2"/>
        <v>290</v>
      </c>
      <c r="J16" s="8">
        <f t="shared" si="2"/>
        <v>294</v>
      </c>
      <c r="K16" s="8">
        <f t="shared" si="2"/>
        <v>258</v>
      </c>
      <c r="L16" s="8">
        <f t="shared" si="2"/>
        <v>220</v>
      </c>
      <c r="M16" s="8">
        <f t="shared" si="2"/>
        <v>208</v>
      </c>
      <c r="N16" s="8">
        <f t="shared" si="2"/>
        <v>243</v>
      </c>
      <c r="O16" s="8">
        <f t="shared" si="2"/>
        <v>228</v>
      </c>
      <c r="P16" s="8">
        <f t="shared" si="2"/>
        <v>235</v>
      </c>
      <c r="Q16" s="8">
        <f t="shared" si="2"/>
        <v>285</v>
      </c>
      <c r="R16" s="8">
        <f t="shared" si="2"/>
        <v>296</v>
      </c>
      <c r="S16" s="8">
        <f t="shared" si="2"/>
        <v>258</v>
      </c>
      <c r="T16" s="8">
        <f t="shared" si="1"/>
        <v>3928</v>
      </c>
      <c r="U16" s="1"/>
      <c r="V16" s="1"/>
      <c r="W16" s="1"/>
      <c r="X16" s="1"/>
      <c r="Y16" s="1"/>
      <c r="Z16" s="1"/>
    </row>
    <row r="17" ht="12.75" customHeight="1">
      <c r="A17" s="29"/>
      <c r="B17" s="21"/>
      <c r="C17" s="21"/>
      <c r="D17" s="22"/>
      <c r="E17" s="12"/>
      <c r="F17" s="12"/>
      <c r="G17" s="12"/>
      <c r="H17" s="12"/>
      <c r="I17" s="12"/>
      <c r="J17" s="12"/>
      <c r="K17" s="12"/>
      <c r="L17" s="12"/>
      <c r="M17" s="12"/>
      <c r="N17" s="17"/>
      <c r="O17" s="17"/>
      <c r="P17" s="17"/>
      <c r="Q17" s="17"/>
      <c r="R17" s="17"/>
      <c r="S17" s="17"/>
      <c r="T17" s="8"/>
      <c r="U17" s="1"/>
      <c r="V17" s="1"/>
      <c r="W17" s="1"/>
      <c r="X17" s="1"/>
      <c r="Y17" s="1"/>
      <c r="Z17" s="1"/>
    </row>
    <row r="18" ht="12.75" customHeight="1">
      <c r="A18" s="54" t="s">
        <v>15</v>
      </c>
      <c r="B18" s="25" t="s">
        <v>16</v>
      </c>
      <c r="C18" s="21"/>
      <c r="D18" s="22"/>
      <c r="E18" s="12"/>
      <c r="F18" s="12"/>
      <c r="G18" s="12"/>
      <c r="H18" s="12"/>
      <c r="I18" s="12"/>
      <c r="J18" s="12"/>
      <c r="K18" s="12"/>
      <c r="L18" s="12"/>
      <c r="M18" s="12"/>
      <c r="N18" s="17"/>
      <c r="O18" s="17"/>
      <c r="P18" s="17"/>
      <c r="Q18" s="17"/>
      <c r="R18" s="17"/>
      <c r="S18" s="17"/>
      <c r="T18" s="8"/>
      <c r="U18" s="1"/>
      <c r="V18" s="1"/>
      <c r="W18" s="1"/>
      <c r="X18" s="1"/>
      <c r="Y18" s="1"/>
      <c r="Z18" s="1"/>
    </row>
    <row r="19" ht="12.75" customHeight="1">
      <c r="A19" s="54"/>
      <c r="B19" s="55" t="s">
        <v>17</v>
      </c>
      <c r="C19" s="36" t="s">
        <v>18</v>
      </c>
      <c r="D19" s="12" t="s">
        <v>12</v>
      </c>
      <c r="E19" s="12">
        <v>117.0</v>
      </c>
      <c r="F19" s="12">
        <v>104.0</v>
      </c>
      <c r="G19" s="12">
        <v>116.0</v>
      </c>
      <c r="H19" s="12">
        <v>116.0</v>
      </c>
      <c r="I19" s="12">
        <v>116.0</v>
      </c>
      <c r="J19" s="12">
        <v>116.0</v>
      </c>
      <c r="K19" s="12">
        <v>111.0</v>
      </c>
      <c r="L19" s="12">
        <v>83.0</v>
      </c>
      <c r="M19" s="12">
        <v>85.0</v>
      </c>
      <c r="N19" s="12">
        <v>113.0</v>
      </c>
      <c r="O19" s="12">
        <v>100.0</v>
      </c>
      <c r="P19" s="12">
        <v>102.0</v>
      </c>
      <c r="Q19" s="12">
        <v>121.0</v>
      </c>
      <c r="R19" s="12">
        <v>134.0</v>
      </c>
      <c r="S19" s="12">
        <v>96.0</v>
      </c>
      <c r="T19" s="8">
        <f t="shared" ref="T19:T30" si="3">SUM(E19:S19)</f>
        <v>1630</v>
      </c>
      <c r="U19" s="1"/>
      <c r="V19" s="1"/>
      <c r="W19" s="1"/>
      <c r="X19" s="1"/>
      <c r="Y19" s="1"/>
      <c r="Z19" s="1"/>
    </row>
    <row r="20" ht="12.75" customHeight="1">
      <c r="A20" s="56"/>
      <c r="B20" s="31"/>
      <c r="C20" s="37"/>
      <c r="D20" s="12" t="s">
        <v>13</v>
      </c>
      <c r="E20" s="12">
        <v>124.0</v>
      </c>
      <c r="F20" s="12">
        <v>96.0</v>
      </c>
      <c r="G20" s="12">
        <v>108.0</v>
      </c>
      <c r="H20" s="12">
        <v>122.0</v>
      </c>
      <c r="I20" s="12">
        <v>119.0</v>
      </c>
      <c r="J20" s="12">
        <v>118.0</v>
      </c>
      <c r="K20" s="12">
        <v>106.0</v>
      </c>
      <c r="L20" s="12">
        <v>88.0</v>
      </c>
      <c r="M20" s="12">
        <v>89.0</v>
      </c>
      <c r="N20" s="12">
        <v>105.0</v>
      </c>
      <c r="O20" s="12">
        <v>103.0</v>
      </c>
      <c r="P20" s="12">
        <v>96.0</v>
      </c>
      <c r="Q20" s="12">
        <v>115.0</v>
      </c>
      <c r="R20" s="12">
        <v>148.0</v>
      </c>
      <c r="S20" s="12">
        <v>98.0</v>
      </c>
      <c r="T20" s="8">
        <f t="shared" si="3"/>
        <v>1635</v>
      </c>
      <c r="U20" s="1"/>
      <c r="V20" s="1"/>
      <c r="W20" s="1"/>
      <c r="X20" s="1"/>
      <c r="Y20" s="1"/>
      <c r="Z20" s="1"/>
    </row>
    <row r="21" ht="12.75" customHeight="1">
      <c r="A21" s="57"/>
      <c r="B21" s="33"/>
      <c r="C21" s="38"/>
      <c r="D21" s="8" t="s">
        <v>14</v>
      </c>
      <c r="E21" s="8">
        <f t="shared" ref="E21:S21" si="4">SUM(E19:E20)</f>
        <v>241</v>
      </c>
      <c r="F21" s="8">
        <f t="shared" si="4"/>
        <v>200</v>
      </c>
      <c r="G21" s="8">
        <f t="shared" si="4"/>
        <v>224</v>
      </c>
      <c r="H21" s="8">
        <f t="shared" si="4"/>
        <v>238</v>
      </c>
      <c r="I21" s="8">
        <f t="shared" si="4"/>
        <v>235</v>
      </c>
      <c r="J21" s="8">
        <f t="shared" si="4"/>
        <v>234</v>
      </c>
      <c r="K21" s="8">
        <f t="shared" si="4"/>
        <v>217</v>
      </c>
      <c r="L21" s="8">
        <f t="shared" si="4"/>
        <v>171</v>
      </c>
      <c r="M21" s="8">
        <f t="shared" si="4"/>
        <v>174</v>
      </c>
      <c r="N21" s="8">
        <f t="shared" si="4"/>
        <v>218</v>
      </c>
      <c r="O21" s="8">
        <f t="shared" si="4"/>
        <v>203</v>
      </c>
      <c r="P21" s="8">
        <f t="shared" si="4"/>
        <v>198</v>
      </c>
      <c r="Q21" s="8">
        <f t="shared" si="4"/>
        <v>236</v>
      </c>
      <c r="R21" s="8">
        <f t="shared" si="4"/>
        <v>282</v>
      </c>
      <c r="S21" s="8">
        <f t="shared" si="4"/>
        <v>194</v>
      </c>
      <c r="T21" s="8">
        <f t="shared" si="3"/>
        <v>3265</v>
      </c>
      <c r="U21" s="1"/>
      <c r="V21" s="1"/>
      <c r="W21" s="1"/>
      <c r="X21" s="1"/>
      <c r="Y21" s="1"/>
      <c r="Z21" s="1"/>
    </row>
    <row r="22" ht="12.75" customHeight="1">
      <c r="A22" s="56"/>
      <c r="B22" s="55" t="s">
        <v>19</v>
      </c>
      <c r="C22" s="36" t="s">
        <v>20</v>
      </c>
      <c r="D22" s="12" t="s">
        <v>12</v>
      </c>
      <c r="E22" s="12">
        <v>0.0</v>
      </c>
      <c r="F22" s="12">
        <v>0.0</v>
      </c>
      <c r="G22" s="12">
        <v>0.0</v>
      </c>
      <c r="H22" s="12">
        <v>0.0</v>
      </c>
      <c r="I22" s="12">
        <v>1.0</v>
      </c>
      <c r="J22" s="12">
        <v>1.0</v>
      </c>
      <c r="K22" s="12">
        <v>1.0</v>
      </c>
      <c r="L22" s="12">
        <v>2.0</v>
      </c>
      <c r="M22" s="12">
        <v>1.0</v>
      </c>
      <c r="N22" s="12">
        <v>1.0</v>
      </c>
      <c r="O22" s="12">
        <v>1.0</v>
      </c>
      <c r="P22" s="12">
        <v>0.0</v>
      </c>
      <c r="Q22" s="12">
        <v>1.0</v>
      </c>
      <c r="R22" s="12">
        <v>0.0</v>
      </c>
      <c r="S22" s="12">
        <v>1.0</v>
      </c>
      <c r="T22" s="8">
        <f t="shared" si="3"/>
        <v>10</v>
      </c>
      <c r="U22" s="1"/>
      <c r="V22" s="1"/>
      <c r="W22" s="1"/>
      <c r="X22" s="1"/>
      <c r="Y22" s="1"/>
      <c r="Z22" s="1"/>
    </row>
    <row r="23" ht="15.0" customHeight="1">
      <c r="A23" s="56"/>
      <c r="B23" s="31"/>
      <c r="C23" s="37"/>
      <c r="D23" s="12" t="s">
        <v>13</v>
      </c>
      <c r="E23" s="12">
        <v>0.0</v>
      </c>
      <c r="F23" s="12">
        <v>0.0</v>
      </c>
      <c r="G23" s="12">
        <v>1.0</v>
      </c>
      <c r="H23" s="12">
        <v>0.0</v>
      </c>
      <c r="I23" s="12">
        <v>0.0</v>
      </c>
      <c r="J23" s="12">
        <v>0.0</v>
      </c>
      <c r="K23" s="12">
        <v>0.0</v>
      </c>
      <c r="L23" s="12">
        <v>0.0</v>
      </c>
      <c r="M23" s="12">
        <v>0.0</v>
      </c>
      <c r="N23" s="12">
        <v>0.0</v>
      </c>
      <c r="O23" s="12">
        <v>0.0</v>
      </c>
      <c r="P23" s="12">
        <v>1.0</v>
      </c>
      <c r="Q23" s="12">
        <v>0.0</v>
      </c>
      <c r="R23" s="12">
        <v>0.0</v>
      </c>
      <c r="S23" s="12">
        <v>0.0</v>
      </c>
      <c r="T23" s="8">
        <f t="shared" si="3"/>
        <v>2</v>
      </c>
      <c r="U23" s="1"/>
      <c r="V23" s="1"/>
      <c r="W23" s="1"/>
      <c r="X23" s="1"/>
      <c r="Y23" s="1"/>
      <c r="Z23" s="1"/>
    </row>
    <row r="24" ht="15.0" customHeight="1">
      <c r="A24" s="57"/>
      <c r="B24" s="33"/>
      <c r="C24" s="38"/>
      <c r="D24" s="8" t="s">
        <v>14</v>
      </c>
      <c r="E24" s="8">
        <f t="shared" ref="E24:S24" si="5">SUM(E22:E23)</f>
        <v>0</v>
      </c>
      <c r="F24" s="8">
        <f t="shared" si="5"/>
        <v>0</v>
      </c>
      <c r="G24" s="8">
        <f t="shared" si="5"/>
        <v>1</v>
      </c>
      <c r="H24" s="8">
        <f t="shared" si="5"/>
        <v>0</v>
      </c>
      <c r="I24" s="8">
        <f t="shared" si="5"/>
        <v>1</v>
      </c>
      <c r="J24" s="8">
        <f t="shared" si="5"/>
        <v>1</v>
      </c>
      <c r="K24" s="8">
        <f t="shared" si="5"/>
        <v>1</v>
      </c>
      <c r="L24" s="8">
        <f t="shared" si="5"/>
        <v>2</v>
      </c>
      <c r="M24" s="8">
        <f t="shared" si="5"/>
        <v>1</v>
      </c>
      <c r="N24" s="8">
        <f t="shared" si="5"/>
        <v>1</v>
      </c>
      <c r="O24" s="8">
        <f t="shared" si="5"/>
        <v>1</v>
      </c>
      <c r="P24" s="8">
        <f t="shared" si="5"/>
        <v>1</v>
      </c>
      <c r="Q24" s="8">
        <f t="shared" si="5"/>
        <v>1</v>
      </c>
      <c r="R24" s="8">
        <f t="shared" si="5"/>
        <v>0</v>
      </c>
      <c r="S24" s="8">
        <f t="shared" si="5"/>
        <v>1</v>
      </c>
      <c r="T24" s="8">
        <f t="shared" si="3"/>
        <v>12</v>
      </c>
      <c r="U24" s="1"/>
      <c r="V24" s="1"/>
      <c r="W24" s="1"/>
      <c r="X24" s="1"/>
      <c r="Y24" s="1"/>
      <c r="Z24" s="1"/>
    </row>
    <row r="25" ht="15.0" customHeight="1">
      <c r="A25" s="56"/>
      <c r="B25" s="55" t="s">
        <v>21</v>
      </c>
      <c r="C25" s="36" t="s">
        <v>22</v>
      </c>
      <c r="D25" s="12" t="s">
        <v>12</v>
      </c>
      <c r="E25" s="12">
        <v>0.0</v>
      </c>
      <c r="F25" s="12">
        <v>0.0</v>
      </c>
      <c r="G25" s="12">
        <v>2.0</v>
      </c>
      <c r="H25" s="12">
        <v>1.0</v>
      </c>
      <c r="I25" s="12">
        <v>0.0</v>
      </c>
      <c r="J25" s="12">
        <v>0.0</v>
      </c>
      <c r="K25" s="12">
        <v>1.0</v>
      </c>
      <c r="L25" s="12">
        <v>1.0</v>
      </c>
      <c r="M25" s="12">
        <v>0.0</v>
      </c>
      <c r="N25" s="12">
        <v>1.0</v>
      </c>
      <c r="O25" s="12">
        <v>1.0</v>
      </c>
      <c r="P25" s="12">
        <v>0.0</v>
      </c>
      <c r="Q25" s="12">
        <v>1.0</v>
      </c>
      <c r="R25" s="12">
        <v>2.0</v>
      </c>
      <c r="S25" s="12">
        <v>0.0</v>
      </c>
      <c r="T25" s="8">
        <f t="shared" si="3"/>
        <v>10</v>
      </c>
      <c r="U25" s="1"/>
      <c r="V25" s="1"/>
      <c r="W25" s="1"/>
      <c r="X25" s="1"/>
      <c r="Y25" s="1"/>
      <c r="Z25" s="1"/>
    </row>
    <row r="26" ht="15.0" customHeight="1">
      <c r="A26" s="56"/>
      <c r="B26" s="31"/>
      <c r="C26" s="37"/>
      <c r="D26" s="12" t="s">
        <v>13</v>
      </c>
      <c r="E26" s="12">
        <v>2.0</v>
      </c>
      <c r="F26" s="12">
        <v>1.0</v>
      </c>
      <c r="G26" s="12">
        <v>1.0</v>
      </c>
      <c r="H26" s="12">
        <v>1.0</v>
      </c>
      <c r="I26" s="12">
        <v>2.0</v>
      </c>
      <c r="J26" s="12">
        <v>1.0</v>
      </c>
      <c r="K26" s="12">
        <v>1.0</v>
      </c>
      <c r="L26" s="12">
        <v>2.0</v>
      </c>
      <c r="M26" s="12">
        <v>1.0</v>
      </c>
      <c r="N26" s="12">
        <v>2.0</v>
      </c>
      <c r="O26" s="12">
        <v>1.0</v>
      </c>
      <c r="P26" s="12">
        <v>1.0</v>
      </c>
      <c r="Q26" s="12">
        <v>0.0</v>
      </c>
      <c r="R26" s="12">
        <v>0.0</v>
      </c>
      <c r="S26" s="12">
        <v>1.0</v>
      </c>
      <c r="T26" s="8">
        <f t="shared" si="3"/>
        <v>17</v>
      </c>
      <c r="U26" s="1"/>
      <c r="V26" s="1"/>
      <c r="W26" s="1"/>
      <c r="X26" s="1"/>
      <c r="Y26" s="1"/>
      <c r="Z26" s="1"/>
    </row>
    <row r="27" ht="12.75" customHeight="1">
      <c r="A27" s="57"/>
      <c r="B27" s="33"/>
      <c r="C27" s="38"/>
      <c r="D27" s="8" t="s">
        <v>14</v>
      </c>
      <c r="E27" s="8">
        <f t="shared" ref="E27:S27" si="6">SUM(E25:E26)</f>
        <v>2</v>
      </c>
      <c r="F27" s="8">
        <f t="shared" si="6"/>
        <v>1</v>
      </c>
      <c r="G27" s="8">
        <f t="shared" si="6"/>
        <v>3</v>
      </c>
      <c r="H27" s="8">
        <f t="shared" si="6"/>
        <v>2</v>
      </c>
      <c r="I27" s="8">
        <f t="shared" si="6"/>
        <v>2</v>
      </c>
      <c r="J27" s="8">
        <f t="shared" si="6"/>
        <v>1</v>
      </c>
      <c r="K27" s="8">
        <f t="shared" si="6"/>
        <v>2</v>
      </c>
      <c r="L27" s="8">
        <f t="shared" si="6"/>
        <v>3</v>
      </c>
      <c r="M27" s="8">
        <f t="shared" si="6"/>
        <v>1</v>
      </c>
      <c r="N27" s="8">
        <f t="shared" si="6"/>
        <v>3</v>
      </c>
      <c r="O27" s="8">
        <f t="shared" si="6"/>
        <v>2</v>
      </c>
      <c r="P27" s="8">
        <f t="shared" si="6"/>
        <v>1</v>
      </c>
      <c r="Q27" s="8">
        <f t="shared" si="6"/>
        <v>1</v>
      </c>
      <c r="R27" s="8">
        <f t="shared" si="6"/>
        <v>2</v>
      </c>
      <c r="S27" s="8">
        <f t="shared" si="6"/>
        <v>1</v>
      </c>
      <c r="T27" s="8">
        <f t="shared" si="3"/>
        <v>27</v>
      </c>
      <c r="U27" s="1"/>
      <c r="V27" s="1"/>
      <c r="W27" s="1"/>
      <c r="X27" s="1"/>
      <c r="Y27" s="1"/>
      <c r="Z27" s="1"/>
    </row>
    <row r="28" ht="12.75" customHeight="1">
      <c r="A28" s="57"/>
      <c r="B28" s="53" t="s">
        <v>23</v>
      </c>
      <c r="C28" s="41" t="s">
        <v>24</v>
      </c>
      <c r="D28" s="8" t="s">
        <v>12</v>
      </c>
      <c r="E28" s="8">
        <f t="shared" ref="E28:S28" si="7">SUM(E19,E22,E25)</f>
        <v>117</v>
      </c>
      <c r="F28" s="8">
        <f t="shared" si="7"/>
        <v>104</v>
      </c>
      <c r="G28" s="8">
        <f t="shared" si="7"/>
        <v>118</v>
      </c>
      <c r="H28" s="8">
        <f t="shared" si="7"/>
        <v>117</v>
      </c>
      <c r="I28" s="8">
        <f t="shared" si="7"/>
        <v>117</v>
      </c>
      <c r="J28" s="8">
        <f t="shared" si="7"/>
        <v>117</v>
      </c>
      <c r="K28" s="8">
        <f t="shared" si="7"/>
        <v>113</v>
      </c>
      <c r="L28" s="8">
        <f t="shared" si="7"/>
        <v>86</v>
      </c>
      <c r="M28" s="8">
        <f t="shared" si="7"/>
        <v>86</v>
      </c>
      <c r="N28" s="8">
        <f t="shared" si="7"/>
        <v>115</v>
      </c>
      <c r="O28" s="8">
        <f t="shared" si="7"/>
        <v>102</v>
      </c>
      <c r="P28" s="8">
        <f t="shared" si="7"/>
        <v>102</v>
      </c>
      <c r="Q28" s="8">
        <f t="shared" si="7"/>
        <v>123</v>
      </c>
      <c r="R28" s="8">
        <f t="shared" si="7"/>
        <v>136</v>
      </c>
      <c r="S28" s="8">
        <f t="shared" si="7"/>
        <v>97</v>
      </c>
      <c r="T28" s="8">
        <f t="shared" si="3"/>
        <v>1650</v>
      </c>
      <c r="U28" s="1"/>
      <c r="V28" s="1"/>
      <c r="W28" s="1"/>
      <c r="X28" s="1"/>
      <c r="Y28" s="1"/>
      <c r="Z28" s="1"/>
    </row>
    <row r="29" ht="15.0" customHeight="1">
      <c r="A29" s="57"/>
      <c r="B29" s="31"/>
      <c r="C29" s="37"/>
      <c r="D29" s="8" t="s">
        <v>13</v>
      </c>
      <c r="E29" s="8">
        <f t="shared" ref="E29:S29" si="8">SUM(E20,E23,E26)</f>
        <v>126</v>
      </c>
      <c r="F29" s="8">
        <f t="shared" si="8"/>
        <v>97</v>
      </c>
      <c r="G29" s="8">
        <f t="shared" si="8"/>
        <v>110</v>
      </c>
      <c r="H29" s="8">
        <f t="shared" si="8"/>
        <v>123</v>
      </c>
      <c r="I29" s="8">
        <f t="shared" si="8"/>
        <v>121</v>
      </c>
      <c r="J29" s="8">
        <f t="shared" si="8"/>
        <v>119</v>
      </c>
      <c r="K29" s="8">
        <f t="shared" si="8"/>
        <v>107</v>
      </c>
      <c r="L29" s="8">
        <f t="shared" si="8"/>
        <v>90</v>
      </c>
      <c r="M29" s="8">
        <f t="shared" si="8"/>
        <v>90</v>
      </c>
      <c r="N29" s="8">
        <f t="shared" si="8"/>
        <v>107</v>
      </c>
      <c r="O29" s="8">
        <f t="shared" si="8"/>
        <v>104</v>
      </c>
      <c r="P29" s="8">
        <f t="shared" si="8"/>
        <v>98</v>
      </c>
      <c r="Q29" s="8">
        <f t="shared" si="8"/>
        <v>115</v>
      </c>
      <c r="R29" s="8">
        <f t="shared" si="8"/>
        <v>148</v>
      </c>
      <c r="S29" s="8">
        <f t="shared" si="8"/>
        <v>99</v>
      </c>
      <c r="T29" s="8">
        <f t="shared" si="3"/>
        <v>1654</v>
      </c>
      <c r="U29" s="1"/>
      <c r="V29" s="1"/>
      <c r="W29" s="1"/>
      <c r="X29" s="1"/>
      <c r="Y29" s="1"/>
      <c r="Z29" s="1"/>
    </row>
    <row r="30" ht="12.75" customHeight="1">
      <c r="A30" s="57"/>
      <c r="B30" s="33"/>
      <c r="C30" s="38"/>
      <c r="D30" s="8" t="s">
        <v>14</v>
      </c>
      <c r="E30" s="8">
        <f t="shared" ref="E30:S30" si="9">SUM(E28:E29)</f>
        <v>243</v>
      </c>
      <c r="F30" s="8">
        <f t="shared" si="9"/>
        <v>201</v>
      </c>
      <c r="G30" s="8">
        <f t="shared" si="9"/>
        <v>228</v>
      </c>
      <c r="H30" s="8">
        <f t="shared" si="9"/>
        <v>240</v>
      </c>
      <c r="I30" s="8">
        <f t="shared" si="9"/>
        <v>238</v>
      </c>
      <c r="J30" s="8">
        <f t="shared" si="9"/>
        <v>236</v>
      </c>
      <c r="K30" s="8">
        <f t="shared" si="9"/>
        <v>220</v>
      </c>
      <c r="L30" s="8">
        <f t="shared" si="9"/>
        <v>176</v>
      </c>
      <c r="M30" s="8">
        <f t="shared" si="9"/>
        <v>176</v>
      </c>
      <c r="N30" s="8">
        <f t="shared" si="9"/>
        <v>222</v>
      </c>
      <c r="O30" s="8">
        <f t="shared" si="9"/>
        <v>206</v>
      </c>
      <c r="P30" s="8">
        <f t="shared" si="9"/>
        <v>200</v>
      </c>
      <c r="Q30" s="8">
        <f t="shared" si="9"/>
        <v>238</v>
      </c>
      <c r="R30" s="8">
        <f t="shared" si="9"/>
        <v>284</v>
      </c>
      <c r="S30" s="8">
        <f t="shared" si="9"/>
        <v>196</v>
      </c>
      <c r="T30" s="8">
        <f t="shared" si="3"/>
        <v>3304</v>
      </c>
      <c r="U30" s="1"/>
      <c r="V30" s="1"/>
      <c r="W30" s="1"/>
      <c r="X30" s="1"/>
      <c r="Y30" s="1"/>
      <c r="Z30" s="1"/>
    </row>
    <row r="31" ht="12.75" customHeight="1">
      <c r="A31" s="29"/>
      <c r="B31" s="21"/>
      <c r="C31" s="21"/>
      <c r="D31" s="22"/>
      <c r="E31" s="12"/>
      <c r="F31" s="12"/>
      <c r="G31" s="12"/>
      <c r="H31" s="12"/>
      <c r="I31" s="12"/>
      <c r="J31" s="12"/>
      <c r="K31" s="12"/>
      <c r="L31" s="12"/>
      <c r="M31" s="12"/>
      <c r="N31" s="17"/>
      <c r="O31" s="17"/>
      <c r="P31" s="17"/>
      <c r="Q31" s="17"/>
      <c r="R31" s="17"/>
      <c r="S31" s="17"/>
      <c r="T31" s="8"/>
      <c r="U31" s="1"/>
      <c r="V31" s="1"/>
      <c r="W31" s="1"/>
      <c r="X31" s="1"/>
      <c r="Y31" s="1"/>
      <c r="Z31" s="1"/>
    </row>
    <row r="32" ht="12.75" customHeight="1">
      <c r="A32" s="58" t="s">
        <v>25</v>
      </c>
      <c r="B32" s="20" t="s">
        <v>26</v>
      </c>
      <c r="C32" s="21"/>
      <c r="D32" s="22"/>
      <c r="E32" s="8"/>
      <c r="F32" s="8"/>
      <c r="G32" s="8"/>
      <c r="H32" s="8"/>
      <c r="I32" s="8"/>
      <c r="J32" s="8"/>
      <c r="K32" s="8"/>
      <c r="L32" s="8"/>
      <c r="M32" s="8"/>
      <c r="N32" s="39"/>
      <c r="O32" s="39"/>
      <c r="P32" s="39"/>
      <c r="Q32" s="39"/>
      <c r="R32" s="39"/>
      <c r="S32" s="39"/>
      <c r="T32" s="8"/>
      <c r="U32" s="1"/>
      <c r="V32" s="1"/>
      <c r="W32" s="1"/>
      <c r="X32" s="1"/>
      <c r="Y32" s="1"/>
      <c r="Z32" s="1"/>
    </row>
    <row r="33" ht="12.75" customHeight="1">
      <c r="A33" s="12">
        <v>1.0</v>
      </c>
      <c r="B33" s="25" t="s">
        <v>121</v>
      </c>
      <c r="C33" s="21"/>
      <c r="D33" s="22"/>
      <c r="E33" s="12">
        <v>301.0</v>
      </c>
      <c r="F33" s="12">
        <v>240.0</v>
      </c>
      <c r="G33" s="12">
        <v>287.0</v>
      </c>
      <c r="H33" s="12">
        <v>303.0</v>
      </c>
      <c r="I33" s="12">
        <v>300.0</v>
      </c>
      <c r="J33" s="12">
        <v>300.0</v>
      </c>
      <c r="K33" s="12">
        <v>264.0</v>
      </c>
      <c r="L33" s="12">
        <v>225.0</v>
      </c>
      <c r="M33" s="12">
        <v>213.0</v>
      </c>
      <c r="N33" s="12">
        <v>248.0</v>
      </c>
      <c r="O33" s="12">
        <v>233.0</v>
      </c>
      <c r="P33" s="12">
        <v>240.0</v>
      </c>
      <c r="Q33" s="12">
        <v>291.0</v>
      </c>
      <c r="R33" s="12">
        <v>302.0</v>
      </c>
      <c r="S33" s="12">
        <v>262.0</v>
      </c>
      <c r="T33" s="8">
        <f t="shared" ref="T33:T36" si="10">SUM(E33:S33)</f>
        <v>4009</v>
      </c>
      <c r="U33" s="1"/>
      <c r="V33" s="1"/>
      <c r="W33" s="1"/>
      <c r="X33" s="1"/>
      <c r="Y33" s="1"/>
      <c r="Z33" s="1"/>
    </row>
    <row r="34" ht="15.0" customHeight="1">
      <c r="A34" s="12">
        <v>2.0</v>
      </c>
      <c r="B34" s="25" t="s">
        <v>28</v>
      </c>
      <c r="C34" s="21"/>
      <c r="D34" s="22"/>
      <c r="E34" s="8">
        <v>243.0</v>
      </c>
      <c r="F34" s="8">
        <v>201.0</v>
      </c>
      <c r="G34" s="8">
        <v>228.0</v>
      </c>
      <c r="H34" s="8">
        <v>240.0</v>
      </c>
      <c r="I34" s="8">
        <v>238.0</v>
      </c>
      <c r="J34" s="8">
        <v>236.0</v>
      </c>
      <c r="K34" s="8">
        <v>220.0</v>
      </c>
      <c r="L34" s="8">
        <v>176.0</v>
      </c>
      <c r="M34" s="8">
        <v>176.0</v>
      </c>
      <c r="N34" s="8">
        <v>222.0</v>
      </c>
      <c r="O34" s="8">
        <v>206.0</v>
      </c>
      <c r="P34" s="8">
        <v>200.0</v>
      </c>
      <c r="Q34" s="8">
        <v>238.0</v>
      </c>
      <c r="R34" s="8">
        <v>284.0</v>
      </c>
      <c r="S34" s="8">
        <v>196.0</v>
      </c>
      <c r="T34" s="8">
        <f t="shared" si="10"/>
        <v>3304</v>
      </c>
      <c r="U34" s="1"/>
      <c r="V34" s="1"/>
      <c r="W34" s="1"/>
      <c r="X34" s="1"/>
      <c r="Y34" s="1"/>
      <c r="Z34" s="1"/>
    </row>
    <row r="35" ht="12.75" customHeight="1">
      <c r="A35" s="12">
        <v>3.0</v>
      </c>
      <c r="B35" s="25" t="s">
        <v>29</v>
      </c>
      <c r="C35" s="21"/>
      <c r="D35" s="22"/>
      <c r="E35" s="12">
        <v>0.0</v>
      </c>
      <c r="F35" s="12">
        <v>0.0</v>
      </c>
      <c r="G35" s="12">
        <v>0.0</v>
      </c>
      <c r="H35" s="12">
        <v>0.0</v>
      </c>
      <c r="I35" s="12">
        <v>0.0</v>
      </c>
      <c r="J35" s="12">
        <v>2.0</v>
      </c>
      <c r="K35" s="12">
        <v>0.0</v>
      </c>
      <c r="L35" s="12">
        <v>0.0</v>
      </c>
      <c r="M35" s="12">
        <v>0.0</v>
      </c>
      <c r="N35" s="12">
        <v>0.0</v>
      </c>
      <c r="O35" s="12">
        <v>0.0</v>
      </c>
      <c r="P35" s="12">
        <v>0.0</v>
      </c>
      <c r="Q35" s="12">
        <v>0.0</v>
      </c>
      <c r="R35" s="12">
        <v>0.0</v>
      </c>
      <c r="S35" s="12">
        <v>0.0</v>
      </c>
      <c r="T35" s="8">
        <f t="shared" si="10"/>
        <v>2</v>
      </c>
      <c r="U35" s="1"/>
      <c r="V35" s="1"/>
      <c r="W35" s="1"/>
      <c r="X35" s="1"/>
      <c r="Y35" s="1"/>
      <c r="Z35" s="1"/>
    </row>
    <row r="36" ht="12.75" customHeight="1">
      <c r="A36" s="12">
        <v>4.0</v>
      </c>
      <c r="B36" s="25" t="s">
        <v>30</v>
      </c>
      <c r="C36" s="21"/>
      <c r="D36" s="22"/>
      <c r="E36" s="8">
        <f t="shared" ref="E36:S36" si="11">E33-(E34+E35)</f>
        <v>58</v>
      </c>
      <c r="F36" s="8">
        <f t="shared" si="11"/>
        <v>39</v>
      </c>
      <c r="G36" s="8">
        <f t="shared" si="11"/>
        <v>59</v>
      </c>
      <c r="H36" s="8">
        <f t="shared" si="11"/>
        <v>63</v>
      </c>
      <c r="I36" s="8">
        <f t="shared" si="11"/>
        <v>62</v>
      </c>
      <c r="J36" s="8">
        <f t="shared" si="11"/>
        <v>62</v>
      </c>
      <c r="K36" s="8">
        <f t="shared" si="11"/>
        <v>44</v>
      </c>
      <c r="L36" s="8">
        <f t="shared" si="11"/>
        <v>49</v>
      </c>
      <c r="M36" s="8">
        <f t="shared" si="11"/>
        <v>37</v>
      </c>
      <c r="N36" s="8">
        <f t="shared" si="11"/>
        <v>26</v>
      </c>
      <c r="O36" s="8">
        <f t="shared" si="11"/>
        <v>27</v>
      </c>
      <c r="P36" s="8">
        <f t="shared" si="11"/>
        <v>40</v>
      </c>
      <c r="Q36" s="8">
        <f t="shared" si="11"/>
        <v>53</v>
      </c>
      <c r="R36" s="8">
        <f t="shared" si="11"/>
        <v>18</v>
      </c>
      <c r="S36" s="8">
        <f t="shared" si="11"/>
        <v>66</v>
      </c>
      <c r="T36" s="8">
        <f t="shared" si="10"/>
        <v>703</v>
      </c>
      <c r="U36" s="1"/>
      <c r="V36" s="1"/>
      <c r="W36" s="1"/>
      <c r="X36" s="1"/>
      <c r="Y36" s="1"/>
      <c r="Z36" s="1"/>
    </row>
    <row r="37" ht="12.75" customHeight="1">
      <c r="A37" s="59"/>
      <c r="B37" s="60"/>
      <c r="C37" s="60"/>
      <c r="D37" s="60"/>
      <c r="E37" s="29"/>
      <c r="F37" s="21"/>
      <c r="G37" s="21"/>
      <c r="H37" s="21"/>
      <c r="I37" s="22"/>
      <c r="J37" s="12"/>
      <c r="K37" s="12"/>
      <c r="L37" s="12"/>
      <c r="M37" s="12"/>
      <c r="N37" s="17"/>
      <c r="O37" s="59"/>
      <c r="P37" s="59"/>
      <c r="Q37" s="59"/>
      <c r="R37" s="59"/>
      <c r="S37" s="59"/>
      <c r="T37" s="8"/>
      <c r="U37" s="1"/>
      <c r="V37" s="1"/>
      <c r="W37" s="1"/>
      <c r="X37" s="1"/>
      <c r="Y37" s="1"/>
      <c r="Z37" s="1"/>
    </row>
    <row r="38" ht="12.75" customHeight="1">
      <c r="A38" s="61" t="s">
        <v>31</v>
      </c>
      <c r="B38" s="20" t="s">
        <v>32</v>
      </c>
      <c r="C38" s="21"/>
      <c r="D38" s="22"/>
      <c r="E38" s="8"/>
      <c r="F38" s="8"/>
      <c r="G38" s="8"/>
      <c r="H38" s="8"/>
      <c r="I38" s="8"/>
      <c r="J38" s="8"/>
      <c r="K38" s="8"/>
      <c r="L38" s="8"/>
      <c r="M38" s="8"/>
      <c r="N38" s="39"/>
      <c r="O38" s="39"/>
      <c r="P38" s="39"/>
      <c r="Q38" s="39"/>
      <c r="R38" s="39"/>
      <c r="S38" s="39"/>
      <c r="T38" s="8"/>
      <c r="U38" s="1"/>
      <c r="V38" s="1"/>
      <c r="W38" s="1"/>
      <c r="X38" s="1"/>
      <c r="Y38" s="1"/>
      <c r="Z38" s="1"/>
    </row>
    <row r="39" ht="12.75" customHeight="1">
      <c r="A39" s="54"/>
      <c r="B39" s="62" t="s">
        <v>33</v>
      </c>
      <c r="C39" s="28"/>
      <c r="D39" s="12" t="s">
        <v>12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>
        <v>1.0</v>
      </c>
      <c r="T39" s="8">
        <f t="shared" ref="T39:T41" si="12">SUM(E39:S39)</f>
        <v>1</v>
      </c>
      <c r="U39" s="1"/>
      <c r="V39" s="1"/>
      <c r="W39" s="1"/>
      <c r="X39" s="1"/>
      <c r="Y39" s="1"/>
      <c r="Z39" s="1"/>
    </row>
    <row r="40" ht="12.75" customHeight="1">
      <c r="A40" s="56"/>
      <c r="C40" s="31"/>
      <c r="D40" s="12" t="s">
        <v>13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>
        <v>1.0</v>
      </c>
      <c r="P40" s="12"/>
      <c r="Q40" s="12"/>
      <c r="R40" s="12"/>
      <c r="S40" s="12">
        <v>1.0</v>
      </c>
      <c r="T40" s="8">
        <f t="shared" si="12"/>
        <v>2</v>
      </c>
      <c r="U40" s="1"/>
      <c r="V40" s="1"/>
      <c r="W40" s="1"/>
      <c r="X40" s="1"/>
      <c r="Y40" s="1"/>
      <c r="Z40" s="1"/>
    </row>
    <row r="41" ht="12.75" customHeight="1">
      <c r="A41" s="58"/>
      <c r="B41" s="63"/>
      <c r="C41" s="33"/>
      <c r="D41" s="8" t="s">
        <v>14</v>
      </c>
      <c r="E41" s="8">
        <f t="shared" ref="E41:S41" si="13">SUM(E39:E40)</f>
        <v>0</v>
      </c>
      <c r="F41" s="8">
        <f t="shared" si="13"/>
        <v>0</v>
      </c>
      <c r="G41" s="8">
        <f t="shared" si="13"/>
        <v>0</v>
      </c>
      <c r="H41" s="8">
        <f t="shared" si="13"/>
        <v>0</v>
      </c>
      <c r="I41" s="8">
        <f t="shared" si="13"/>
        <v>0</v>
      </c>
      <c r="J41" s="8">
        <f t="shared" si="13"/>
        <v>0</v>
      </c>
      <c r="K41" s="8">
        <f t="shared" si="13"/>
        <v>0</v>
      </c>
      <c r="L41" s="8">
        <f t="shared" si="13"/>
        <v>0</v>
      </c>
      <c r="M41" s="8">
        <f t="shared" si="13"/>
        <v>0</v>
      </c>
      <c r="N41" s="8">
        <f t="shared" si="13"/>
        <v>0</v>
      </c>
      <c r="O41" s="8">
        <f t="shared" si="13"/>
        <v>1</v>
      </c>
      <c r="P41" s="8">
        <f t="shared" si="13"/>
        <v>0</v>
      </c>
      <c r="Q41" s="8">
        <f t="shared" si="13"/>
        <v>0</v>
      </c>
      <c r="R41" s="8">
        <f t="shared" si="13"/>
        <v>0</v>
      </c>
      <c r="S41" s="8">
        <f t="shared" si="13"/>
        <v>2</v>
      </c>
      <c r="T41" s="8">
        <f t="shared" si="12"/>
        <v>3</v>
      </c>
      <c r="U41" s="1"/>
      <c r="V41" s="1"/>
      <c r="W41" s="1"/>
      <c r="X41" s="1"/>
      <c r="Y41" s="1"/>
      <c r="Z41" s="1"/>
    </row>
    <row r="42" ht="12.75" customHeight="1">
      <c r="A42" s="64"/>
      <c r="B42" s="63"/>
      <c r="C42" s="63"/>
      <c r="D42" s="33"/>
      <c r="E42" s="29"/>
      <c r="F42" s="21"/>
      <c r="G42" s="21"/>
      <c r="H42" s="21"/>
      <c r="I42" s="22"/>
      <c r="J42" s="12"/>
      <c r="K42" s="12"/>
      <c r="L42" s="12"/>
      <c r="M42" s="12"/>
      <c r="N42" s="17"/>
      <c r="O42" s="59"/>
      <c r="P42" s="59"/>
      <c r="Q42" s="59"/>
      <c r="R42" s="59"/>
      <c r="S42" s="59"/>
      <c r="T42" s="8"/>
      <c r="U42" s="1"/>
      <c r="V42" s="1"/>
      <c r="W42" s="1"/>
      <c r="X42" s="1"/>
      <c r="Y42" s="1"/>
      <c r="Z42" s="1"/>
    </row>
    <row r="43" ht="12.75" customHeight="1">
      <c r="A43" s="61" t="s">
        <v>34</v>
      </c>
      <c r="B43" s="20" t="s">
        <v>35</v>
      </c>
      <c r="C43" s="21"/>
      <c r="D43" s="22"/>
      <c r="E43" s="8"/>
      <c r="F43" s="8"/>
      <c r="G43" s="8"/>
      <c r="H43" s="8"/>
      <c r="I43" s="8"/>
      <c r="J43" s="8"/>
      <c r="K43" s="8"/>
      <c r="L43" s="8"/>
      <c r="M43" s="8"/>
      <c r="N43" s="8"/>
      <c r="O43" s="39"/>
      <c r="P43" s="18"/>
      <c r="Q43" s="19"/>
      <c r="R43" s="19"/>
      <c r="S43" s="19"/>
      <c r="T43" s="8"/>
      <c r="U43" s="1"/>
      <c r="V43" s="1"/>
      <c r="W43" s="1"/>
      <c r="X43" s="1"/>
      <c r="Y43" s="1"/>
      <c r="Z43" s="1"/>
    </row>
    <row r="44" ht="15.0" customHeight="1">
      <c r="A44" s="54"/>
      <c r="B44" s="62" t="s">
        <v>36</v>
      </c>
      <c r="C44" s="65"/>
      <c r="D44" s="28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7"/>
      <c r="P44" s="18"/>
      <c r="Q44" s="19"/>
      <c r="R44" s="19"/>
      <c r="S44" s="19"/>
      <c r="T44" s="8"/>
      <c r="U44" s="1"/>
      <c r="V44" s="1"/>
      <c r="W44" s="1"/>
      <c r="X44" s="1"/>
      <c r="Y44" s="1"/>
      <c r="Z44" s="1"/>
    </row>
    <row r="45" ht="15.0" customHeight="1">
      <c r="A45" s="24"/>
      <c r="B45" s="46" t="s">
        <v>17</v>
      </c>
      <c r="C45" s="66" t="s">
        <v>37</v>
      </c>
      <c r="D45" s="22"/>
      <c r="E45" s="12">
        <v>9.0</v>
      </c>
      <c r="F45" s="12">
        <v>12.0</v>
      </c>
      <c r="G45" s="12">
        <v>15.0</v>
      </c>
      <c r="H45" s="12">
        <v>38.0</v>
      </c>
      <c r="I45" s="12">
        <v>38.0</v>
      </c>
      <c r="J45" s="12">
        <v>20.0</v>
      </c>
      <c r="K45" s="12">
        <v>23.0</v>
      </c>
      <c r="L45" s="12">
        <v>23.0</v>
      </c>
      <c r="M45" s="12">
        <v>18.0</v>
      </c>
      <c r="N45" s="12">
        <v>24.0</v>
      </c>
      <c r="O45" s="12">
        <v>28.0</v>
      </c>
      <c r="P45" s="12">
        <v>16.0</v>
      </c>
      <c r="Q45" s="12">
        <v>40.0</v>
      </c>
      <c r="R45" s="12">
        <v>52.0</v>
      </c>
      <c r="S45" s="12">
        <v>11.0</v>
      </c>
      <c r="T45" s="8">
        <f t="shared" ref="T45:T57" si="14">SUM(E45:S45)</f>
        <v>367</v>
      </c>
      <c r="U45" s="1"/>
      <c r="V45" s="1"/>
      <c r="W45" s="1"/>
      <c r="X45" s="1"/>
      <c r="Y45" s="1"/>
      <c r="Z45" s="1"/>
    </row>
    <row r="46" ht="12.75" customHeight="1">
      <c r="A46" s="24"/>
      <c r="B46" s="46" t="s">
        <v>19</v>
      </c>
      <c r="C46" s="66" t="s">
        <v>38</v>
      </c>
      <c r="D46" s="22"/>
      <c r="E46" s="12">
        <v>35.0</v>
      </c>
      <c r="F46" s="12">
        <v>22.0</v>
      </c>
      <c r="G46" s="12">
        <v>41.0</v>
      </c>
      <c r="H46" s="12">
        <v>32.0</v>
      </c>
      <c r="I46" s="12">
        <v>27.0</v>
      </c>
      <c r="J46" s="12">
        <v>35.0</v>
      </c>
      <c r="K46" s="12">
        <v>33.0</v>
      </c>
      <c r="L46" s="12">
        <v>26.0</v>
      </c>
      <c r="M46" s="12">
        <v>24.0</v>
      </c>
      <c r="N46" s="12">
        <v>38.0</v>
      </c>
      <c r="O46" s="12">
        <v>38.0</v>
      </c>
      <c r="P46" s="12">
        <v>38.0</v>
      </c>
      <c r="Q46" s="12">
        <v>42.0</v>
      </c>
      <c r="R46" s="12">
        <v>50.0</v>
      </c>
      <c r="S46" s="12">
        <v>40.0</v>
      </c>
      <c r="T46" s="8">
        <f t="shared" si="14"/>
        <v>521</v>
      </c>
      <c r="U46" s="1"/>
      <c r="V46" s="1"/>
      <c r="W46" s="1"/>
      <c r="X46" s="1"/>
      <c r="Y46" s="1"/>
      <c r="Z46" s="1"/>
    </row>
    <row r="47" ht="15.0" customHeight="1">
      <c r="A47" s="24"/>
      <c r="B47" s="46" t="s">
        <v>21</v>
      </c>
      <c r="C47" s="66" t="s">
        <v>39</v>
      </c>
      <c r="D47" s="22"/>
      <c r="E47" s="12">
        <v>13.0</v>
      </c>
      <c r="F47" s="12">
        <v>9.0</v>
      </c>
      <c r="G47" s="12">
        <v>11.0</v>
      </c>
      <c r="H47" s="12">
        <v>10.0</v>
      </c>
      <c r="I47" s="12">
        <v>20.0</v>
      </c>
      <c r="J47" s="12">
        <v>23.0</v>
      </c>
      <c r="K47" s="12">
        <v>13.0</v>
      </c>
      <c r="L47" s="12">
        <v>11.0</v>
      </c>
      <c r="M47" s="12">
        <v>13.0</v>
      </c>
      <c r="N47" s="12">
        <v>28.0</v>
      </c>
      <c r="O47" s="12">
        <v>20.0</v>
      </c>
      <c r="P47" s="12">
        <v>15.0</v>
      </c>
      <c r="Q47" s="12">
        <v>16.0</v>
      </c>
      <c r="R47" s="12">
        <v>19.0</v>
      </c>
      <c r="S47" s="12">
        <v>26.0</v>
      </c>
      <c r="T47" s="8">
        <f t="shared" si="14"/>
        <v>247</v>
      </c>
      <c r="U47" s="1"/>
      <c r="V47" s="1"/>
      <c r="W47" s="1"/>
      <c r="X47" s="1"/>
      <c r="Y47" s="1"/>
      <c r="Z47" s="1"/>
    </row>
    <row r="48" ht="15.0" customHeight="1">
      <c r="A48" s="24"/>
      <c r="B48" s="46" t="s">
        <v>23</v>
      </c>
      <c r="C48" s="66" t="s">
        <v>40</v>
      </c>
      <c r="D48" s="22"/>
      <c r="E48" s="12">
        <v>22.0</v>
      </c>
      <c r="F48" s="12">
        <v>14.0</v>
      </c>
      <c r="G48" s="12">
        <v>23.0</v>
      </c>
      <c r="H48" s="12">
        <v>26.0</v>
      </c>
      <c r="I48" s="12">
        <v>19.0</v>
      </c>
      <c r="J48" s="12">
        <v>23.0</v>
      </c>
      <c r="K48" s="12">
        <v>26.0</v>
      </c>
      <c r="L48" s="12">
        <v>14.0</v>
      </c>
      <c r="M48" s="12">
        <v>19.0</v>
      </c>
      <c r="N48" s="12">
        <v>19.0</v>
      </c>
      <c r="O48" s="12">
        <v>18.0</v>
      </c>
      <c r="P48" s="12">
        <v>17.0</v>
      </c>
      <c r="Q48" s="12">
        <v>15.0</v>
      </c>
      <c r="R48" s="12">
        <v>26.0</v>
      </c>
      <c r="S48" s="12">
        <v>17.0</v>
      </c>
      <c r="T48" s="8">
        <f t="shared" si="14"/>
        <v>298</v>
      </c>
      <c r="U48" s="1"/>
      <c r="V48" s="1"/>
      <c r="W48" s="1"/>
      <c r="X48" s="1"/>
      <c r="Y48" s="1"/>
      <c r="Z48" s="1"/>
    </row>
    <row r="49" ht="12.75" customHeight="1">
      <c r="A49" s="24"/>
      <c r="B49" s="46" t="s">
        <v>41</v>
      </c>
      <c r="C49" s="66" t="s">
        <v>42</v>
      </c>
      <c r="D49" s="22"/>
      <c r="E49" s="12">
        <v>16.0</v>
      </c>
      <c r="F49" s="12">
        <v>13.0</v>
      </c>
      <c r="G49" s="12">
        <v>13.0</v>
      </c>
      <c r="H49" s="12">
        <v>19.0</v>
      </c>
      <c r="I49" s="12">
        <v>14.0</v>
      </c>
      <c r="J49" s="12">
        <v>16.0</v>
      </c>
      <c r="K49" s="12">
        <v>13.0</v>
      </c>
      <c r="L49" s="12">
        <v>10.0</v>
      </c>
      <c r="M49" s="12">
        <v>13.0</v>
      </c>
      <c r="N49" s="12">
        <v>13.0</v>
      </c>
      <c r="O49" s="12">
        <v>16.0</v>
      </c>
      <c r="P49" s="12">
        <v>12.0</v>
      </c>
      <c r="Q49" s="12">
        <v>15.0</v>
      </c>
      <c r="R49" s="12">
        <v>17.0</v>
      </c>
      <c r="S49" s="12">
        <v>25.0</v>
      </c>
      <c r="T49" s="8">
        <f t="shared" si="14"/>
        <v>225</v>
      </c>
      <c r="U49" s="1"/>
      <c r="V49" s="1"/>
      <c r="W49" s="1"/>
      <c r="X49" s="1"/>
      <c r="Y49" s="1"/>
      <c r="Z49" s="1"/>
    </row>
    <row r="50" ht="15.0" customHeight="1">
      <c r="A50" s="24"/>
      <c r="B50" s="46" t="s">
        <v>43</v>
      </c>
      <c r="C50" s="66" t="s">
        <v>44</v>
      </c>
      <c r="D50" s="22"/>
      <c r="E50" s="12">
        <v>12.0</v>
      </c>
      <c r="F50" s="12">
        <v>8.0</v>
      </c>
      <c r="G50" s="12">
        <v>16.0</v>
      </c>
      <c r="H50" s="12">
        <v>20.0</v>
      </c>
      <c r="I50" s="12">
        <v>11.0</v>
      </c>
      <c r="J50" s="12">
        <v>20.0</v>
      </c>
      <c r="K50" s="12">
        <v>14.0</v>
      </c>
      <c r="L50" s="12">
        <v>13.0</v>
      </c>
      <c r="M50" s="12">
        <v>19.0</v>
      </c>
      <c r="N50" s="12">
        <v>17.0</v>
      </c>
      <c r="O50" s="12">
        <v>26.0</v>
      </c>
      <c r="P50" s="12">
        <v>18.0</v>
      </c>
      <c r="Q50" s="12">
        <v>12.0</v>
      </c>
      <c r="R50" s="12">
        <v>36.0</v>
      </c>
      <c r="S50" s="12">
        <v>10.0</v>
      </c>
      <c r="T50" s="8">
        <f t="shared" si="14"/>
        <v>252</v>
      </c>
      <c r="U50" s="1"/>
      <c r="V50" s="1"/>
      <c r="W50" s="1"/>
      <c r="X50" s="1"/>
      <c r="Y50" s="1"/>
      <c r="Z50" s="1"/>
    </row>
    <row r="51" ht="15.0" customHeight="1">
      <c r="A51" s="24"/>
      <c r="B51" s="46" t="s">
        <v>45</v>
      </c>
      <c r="C51" s="66" t="s">
        <v>46</v>
      </c>
      <c r="D51" s="22"/>
      <c r="E51" s="12">
        <v>3.0</v>
      </c>
      <c r="F51" s="12">
        <v>0.0</v>
      </c>
      <c r="G51" s="12">
        <v>0.0</v>
      </c>
      <c r="H51" s="12">
        <v>0.0</v>
      </c>
      <c r="I51" s="12">
        <v>0.0</v>
      </c>
      <c r="J51" s="12">
        <v>0.0</v>
      </c>
      <c r="K51" s="12">
        <v>0.0</v>
      </c>
      <c r="L51" s="12">
        <v>1.0</v>
      </c>
      <c r="M51" s="12">
        <v>1.0</v>
      </c>
      <c r="N51" s="12">
        <v>2.0</v>
      </c>
      <c r="O51" s="12">
        <v>2.0</v>
      </c>
      <c r="P51" s="12">
        <v>0.0</v>
      </c>
      <c r="Q51" s="12">
        <v>1.0</v>
      </c>
      <c r="R51" s="12">
        <v>2.0</v>
      </c>
      <c r="S51" s="12">
        <v>3.0</v>
      </c>
      <c r="T51" s="8">
        <f t="shared" si="14"/>
        <v>15</v>
      </c>
      <c r="U51" s="1"/>
      <c r="V51" s="1"/>
      <c r="W51" s="1"/>
      <c r="X51" s="1"/>
      <c r="Y51" s="1"/>
      <c r="Z51" s="1"/>
    </row>
    <row r="52" ht="12.75" customHeight="1">
      <c r="A52" s="24"/>
      <c r="B52" s="46" t="s">
        <v>47</v>
      </c>
      <c r="C52" s="66" t="s">
        <v>48</v>
      </c>
      <c r="D52" s="22"/>
      <c r="E52" s="12">
        <v>4.0</v>
      </c>
      <c r="F52" s="12">
        <v>1.0</v>
      </c>
      <c r="G52" s="12">
        <v>0.0</v>
      </c>
      <c r="H52" s="12">
        <v>3.0</v>
      </c>
      <c r="I52" s="12">
        <v>8.0</v>
      </c>
      <c r="J52" s="12">
        <v>2.0</v>
      </c>
      <c r="K52" s="12">
        <v>2.0</v>
      </c>
      <c r="L52" s="12">
        <v>2.0</v>
      </c>
      <c r="M52" s="12">
        <v>1.0</v>
      </c>
      <c r="N52" s="12">
        <v>2.0</v>
      </c>
      <c r="O52" s="12">
        <v>1.0</v>
      </c>
      <c r="P52" s="12">
        <v>0.0</v>
      </c>
      <c r="Q52" s="12">
        <v>3.0</v>
      </c>
      <c r="R52" s="12">
        <v>1.0</v>
      </c>
      <c r="S52" s="12">
        <v>2.0</v>
      </c>
      <c r="T52" s="8">
        <f t="shared" si="14"/>
        <v>32</v>
      </c>
      <c r="U52" s="1"/>
      <c r="V52" s="1"/>
      <c r="W52" s="1"/>
      <c r="X52" s="1"/>
      <c r="Y52" s="1"/>
      <c r="Z52" s="1"/>
    </row>
    <row r="53" ht="12.75" customHeight="1">
      <c r="A53" s="24"/>
      <c r="B53" s="46" t="s">
        <v>49</v>
      </c>
      <c r="C53" s="66" t="s">
        <v>50</v>
      </c>
      <c r="D53" s="22"/>
      <c r="E53" s="12">
        <v>1.0</v>
      </c>
      <c r="F53" s="12">
        <v>1.0</v>
      </c>
      <c r="G53" s="12">
        <v>0.0</v>
      </c>
      <c r="H53" s="12">
        <v>0.0</v>
      </c>
      <c r="I53" s="12">
        <v>0.0</v>
      </c>
      <c r="J53" s="12">
        <v>1.0</v>
      </c>
      <c r="K53" s="12">
        <v>1.0</v>
      </c>
      <c r="L53" s="12">
        <v>0.0</v>
      </c>
      <c r="M53" s="12">
        <v>1.0</v>
      </c>
      <c r="N53" s="12">
        <v>2.0</v>
      </c>
      <c r="O53" s="12">
        <v>0.0</v>
      </c>
      <c r="P53" s="12">
        <v>0.0</v>
      </c>
      <c r="Q53" s="12">
        <v>1.0</v>
      </c>
      <c r="R53" s="12">
        <v>1.0</v>
      </c>
      <c r="S53" s="12">
        <v>1.0</v>
      </c>
      <c r="T53" s="8">
        <f t="shared" si="14"/>
        <v>10</v>
      </c>
      <c r="U53" s="1"/>
      <c r="V53" s="1"/>
      <c r="W53" s="1"/>
      <c r="X53" s="1"/>
      <c r="Y53" s="1"/>
      <c r="Z53" s="1"/>
    </row>
    <row r="54" ht="12.75" customHeight="1">
      <c r="A54" s="24"/>
      <c r="B54" s="46" t="s">
        <v>51</v>
      </c>
      <c r="C54" s="66" t="s">
        <v>52</v>
      </c>
      <c r="D54" s="22"/>
      <c r="E54" s="12">
        <v>33.0</v>
      </c>
      <c r="F54" s="12">
        <v>16.0</v>
      </c>
      <c r="G54" s="12">
        <v>18.0</v>
      </c>
      <c r="H54" s="12">
        <v>1.0</v>
      </c>
      <c r="I54" s="12">
        <v>20.0</v>
      </c>
      <c r="J54" s="12">
        <v>20.0</v>
      </c>
      <c r="K54" s="12">
        <v>19.0</v>
      </c>
      <c r="L54" s="12">
        <v>16.0</v>
      </c>
      <c r="M54" s="12">
        <v>23.0</v>
      </c>
      <c r="N54" s="12">
        <v>14.0</v>
      </c>
      <c r="O54" s="12">
        <v>17.0</v>
      </c>
      <c r="P54" s="12">
        <v>10.0</v>
      </c>
      <c r="Q54" s="12">
        <v>24.0</v>
      </c>
      <c r="R54" s="12">
        <v>27.0</v>
      </c>
      <c r="S54" s="12">
        <v>20.0</v>
      </c>
      <c r="T54" s="8">
        <f t="shared" si="14"/>
        <v>278</v>
      </c>
      <c r="U54" s="1"/>
      <c r="V54" s="1"/>
      <c r="W54" s="1"/>
      <c r="X54" s="1"/>
      <c r="Y54" s="1"/>
      <c r="Z54" s="1"/>
    </row>
    <row r="55" ht="12.75" customHeight="1">
      <c r="A55" s="24"/>
      <c r="B55" s="46" t="s">
        <v>53</v>
      </c>
      <c r="C55" s="66" t="s">
        <v>54</v>
      </c>
      <c r="D55" s="22"/>
      <c r="E55" s="12">
        <v>0.0</v>
      </c>
      <c r="F55" s="12">
        <v>0.0</v>
      </c>
      <c r="G55" s="12">
        <v>0.0</v>
      </c>
      <c r="H55" s="12">
        <v>1.0</v>
      </c>
      <c r="I55" s="12">
        <v>1.0</v>
      </c>
      <c r="J55" s="12">
        <v>0.0</v>
      </c>
      <c r="K55" s="12">
        <v>1.0</v>
      </c>
      <c r="L55" s="12">
        <v>0.0</v>
      </c>
      <c r="M55" s="12">
        <v>0.0</v>
      </c>
      <c r="N55" s="12">
        <v>0.0</v>
      </c>
      <c r="O55" s="12">
        <v>0.0</v>
      </c>
      <c r="P55" s="12">
        <v>0.0</v>
      </c>
      <c r="Q55" s="12">
        <v>2.0</v>
      </c>
      <c r="R55" s="12">
        <v>0.0</v>
      </c>
      <c r="S55" s="12">
        <v>2.0</v>
      </c>
      <c r="T55" s="8">
        <f t="shared" si="14"/>
        <v>7</v>
      </c>
      <c r="U55" s="1"/>
      <c r="V55" s="1"/>
      <c r="W55" s="1"/>
      <c r="X55" s="1"/>
      <c r="Y55" s="1"/>
      <c r="Z55" s="1"/>
    </row>
    <row r="56" ht="12.75" customHeight="1">
      <c r="A56" s="24"/>
      <c r="B56" s="46" t="s">
        <v>55</v>
      </c>
      <c r="C56" s="66" t="s">
        <v>56</v>
      </c>
      <c r="D56" s="22"/>
      <c r="E56" s="12">
        <v>29.0</v>
      </c>
      <c r="F56" s="12">
        <v>20.0</v>
      </c>
      <c r="G56" s="12">
        <v>41.0</v>
      </c>
      <c r="H56" s="12">
        <v>21.0</v>
      </c>
      <c r="I56" s="12">
        <v>29.0</v>
      </c>
      <c r="J56" s="12">
        <v>38.0</v>
      </c>
      <c r="K56" s="12">
        <v>38.0</v>
      </c>
      <c r="L56" s="12">
        <v>44.0</v>
      </c>
      <c r="M56" s="12">
        <v>21.0</v>
      </c>
      <c r="N56" s="12">
        <v>15.0</v>
      </c>
      <c r="O56" s="12">
        <v>10.0</v>
      </c>
      <c r="P56" s="12">
        <v>24.0</v>
      </c>
      <c r="Q56" s="12">
        <v>37.0</v>
      </c>
      <c r="R56" s="12">
        <v>39.0</v>
      </c>
      <c r="S56" s="12">
        <v>15.0</v>
      </c>
      <c r="T56" s="8">
        <f t="shared" si="14"/>
        <v>421</v>
      </c>
      <c r="U56" s="1"/>
      <c r="V56" s="1"/>
      <c r="W56" s="1"/>
      <c r="X56" s="1"/>
      <c r="Y56" s="1"/>
      <c r="Z56" s="1"/>
    </row>
    <row r="57" ht="12.75" customHeight="1">
      <c r="A57" s="64"/>
      <c r="B57" s="46" t="s">
        <v>57</v>
      </c>
      <c r="C57" s="66" t="s">
        <v>58</v>
      </c>
      <c r="D57" s="22"/>
      <c r="E57" s="12">
        <v>1.0</v>
      </c>
      <c r="F57" s="12">
        <v>2.0</v>
      </c>
      <c r="G57" s="12">
        <v>0.0</v>
      </c>
      <c r="H57" s="12">
        <v>0.0</v>
      </c>
      <c r="I57" s="12">
        <v>1.0</v>
      </c>
      <c r="J57" s="12">
        <v>5.0</v>
      </c>
      <c r="K57" s="12">
        <v>2.0</v>
      </c>
      <c r="L57" s="12">
        <v>0.0</v>
      </c>
      <c r="M57" s="12">
        <v>0.0</v>
      </c>
      <c r="N57" s="12">
        <v>2.0</v>
      </c>
      <c r="O57" s="12">
        <v>4.0</v>
      </c>
      <c r="P57" s="12">
        <v>0.0</v>
      </c>
      <c r="Q57" s="12">
        <v>2.0</v>
      </c>
      <c r="R57" s="12">
        <v>0.0</v>
      </c>
      <c r="S57" s="12">
        <v>2.0</v>
      </c>
      <c r="T57" s="8">
        <f t="shared" si="14"/>
        <v>21</v>
      </c>
      <c r="U57" s="1"/>
      <c r="V57" s="1"/>
      <c r="W57" s="1"/>
      <c r="X57" s="1"/>
      <c r="Y57" s="1"/>
      <c r="Z57" s="1"/>
    </row>
    <row r="58" ht="12.75" customHeight="1">
      <c r="A58" s="29"/>
      <c r="B58" s="21"/>
      <c r="C58" s="21"/>
      <c r="D58" s="22"/>
      <c r="E58" s="12"/>
      <c r="F58" s="12"/>
      <c r="G58" s="12"/>
      <c r="H58" s="12"/>
      <c r="I58" s="12"/>
      <c r="J58" s="12"/>
      <c r="K58" s="12"/>
      <c r="L58" s="12"/>
      <c r="M58" s="12"/>
      <c r="N58" s="17"/>
      <c r="O58" s="17"/>
      <c r="P58" s="17"/>
      <c r="Q58" s="17"/>
      <c r="R58" s="17"/>
      <c r="S58" s="17"/>
      <c r="T58" s="8"/>
      <c r="U58" s="1"/>
      <c r="V58" s="1"/>
      <c r="W58" s="1"/>
      <c r="X58" s="1"/>
      <c r="Y58" s="1"/>
      <c r="Z58" s="1"/>
    </row>
    <row r="59" ht="12.75" customHeight="1">
      <c r="A59" s="61" t="s">
        <v>59</v>
      </c>
      <c r="B59" s="20" t="s">
        <v>60</v>
      </c>
      <c r="C59" s="21"/>
      <c r="D59" s="22"/>
      <c r="E59" s="8"/>
      <c r="F59" s="8"/>
      <c r="G59" s="8"/>
      <c r="H59" s="8"/>
      <c r="I59" s="8"/>
      <c r="J59" s="8"/>
      <c r="K59" s="8"/>
      <c r="L59" s="8"/>
      <c r="M59" s="8"/>
      <c r="N59" s="39"/>
      <c r="O59" s="39"/>
      <c r="P59" s="39"/>
      <c r="Q59" s="39"/>
      <c r="R59" s="39"/>
      <c r="S59" s="39"/>
      <c r="T59" s="8"/>
      <c r="U59" s="1"/>
      <c r="V59" s="1"/>
      <c r="W59" s="1"/>
      <c r="X59" s="1"/>
      <c r="Y59" s="1"/>
      <c r="Z59" s="1"/>
    </row>
    <row r="60" ht="12.75" customHeight="1">
      <c r="A60" s="61"/>
      <c r="B60" s="69" t="s">
        <v>61</v>
      </c>
      <c r="C60" s="50" t="s">
        <v>62</v>
      </c>
      <c r="D60" s="22"/>
      <c r="E60" s="12">
        <f t="shared" ref="E60:S60" si="15">SUM(E45:E57)</f>
        <v>178</v>
      </c>
      <c r="F60" s="12">
        <f t="shared" si="15"/>
        <v>118</v>
      </c>
      <c r="G60" s="12">
        <f t="shared" si="15"/>
        <v>178</v>
      </c>
      <c r="H60" s="12">
        <f t="shared" si="15"/>
        <v>171</v>
      </c>
      <c r="I60" s="12">
        <f t="shared" si="15"/>
        <v>188</v>
      </c>
      <c r="J60" s="12">
        <f t="shared" si="15"/>
        <v>203</v>
      </c>
      <c r="K60" s="12">
        <f t="shared" si="15"/>
        <v>185</v>
      </c>
      <c r="L60" s="12">
        <f t="shared" si="15"/>
        <v>160</v>
      </c>
      <c r="M60" s="12">
        <f t="shared" si="15"/>
        <v>153</v>
      </c>
      <c r="N60" s="12">
        <f t="shared" si="15"/>
        <v>176</v>
      </c>
      <c r="O60" s="12">
        <f t="shared" si="15"/>
        <v>180</v>
      </c>
      <c r="P60" s="12">
        <f t="shared" si="15"/>
        <v>150</v>
      </c>
      <c r="Q60" s="12">
        <f t="shared" si="15"/>
        <v>210</v>
      </c>
      <c r="R60" s="12">
        <f t="shared" si="15"/>
        <v>270</v>
      </c>
      <c r="S60" s="12">
        <f t="shared" si="15"/>
        <v>174</v>
      </c>
      <c r="T60" s="8">
        <f t="shared" ref="T60:T62" si="16">SUM(E60:S60)</f>
        <v>2694</v>
      </c>
      <c r="U60" s="1"/>
      <c r="V60" s="1"/>
      <c r="W60" s="1"/>
      <c r="X60" s="1"/>
      <c r="Y60" s="1"/>
      <c r="Z60" s="1"/>
    </row>
    <row r="61" ht="12.75" customHeight="1">
      <c r="A61" s="57"/>
      <c r="B61" s="69" t="s">
        <v>63</v>
      </c>
      <c r="C61" s="50" t="s">
        <v>64</v>
      </c>
      <c r="D61" s="22"/>
      <c r="E61" s="12">
        <v>65.0</v>
      </c>
      <c r="F61" s="12">
        <v>83.0</v>
      </c>
      <c r="G61" s="12">
        <v>50.0</v>
      </c>
      <c r="H61" s="12">
        <v>69.0</v>
      </c>
      <c r="I61" s="12">
        <v>50.0</v>
      </c>
      <c r="J61" s="12">
        <v>33.0</v>
      </c>
      <c r="K61" s="12">
        <v>35.0</v>
      </c>
      <c r="L61" s="12">
        <v>16.0</v>
      </c>
      <c r="M61" s="12">
        <v>23.0</v>
      </c>
      <c r="N61" s="12">
        <v>46.0</v>
      </c>
      <c r="O61" s="12">
        <v>26.0</v>
      </c>
      <c r="P61" s="12">
        <v>50.0</v>
      </c>
      <c r="Q61" s="12">
        <v>28.0</v>
      </c>
      <c r="R61" s="12">
        <v>14.0</v>
      </c>
      <c r="S61" s="12">
        <v>22.0</v>
      </c>
      <c r="T61" s="8">
        <f t="shared" si="16"/>
        <v>610</v>
      </c>
      <c r="U61" s="1"/>
      <c r="V61" s="1"/>
      <c r="W61" s="1"/>
      <c r="X61" s="1"/>
      <c r="Y61" s="1"/>
      <c r="Z61" s="1"/>
    </row>
    <row r="62" ht="12.75" customHeight="1">
      <c r="A62" s="58"/>
      <c r="B62" s="69" t="s">
        <v>65</v>
      </c>
      <c r="C62" s="50" t="s">
        <v>66</v>
      </c>
      <c r="D62" s="22"/>
      <c r="E62" s="8">
        <f t="shared" ref="E62:S62" si="17">SUM(E60:E61)</f>
        <v>243</v>
      </c>
      <c r="F62" s="8">
        <f t="shared" si="17"/>
        <v>201</v>
      </c>
      <c r="G62" s="8">
        <f t="shared" si="17"/>
        <v>228</v>
      </c>
      <c r="H62" s="8">
        <f t="shared" si="17"/>
        <v>240</v>
      </c>
      <c r="I62" s="8">
        <f t="shared" si="17"/>
        <v>238</v>
      </c>
      <c r="J62" s="8">
        <f t="shared" si="17"/>
        <v>236</v>
      </c>
      <c r="K62" s="8">
        <f t="shared" si="17"/>
        <v>220</v>
      </c>
      <c r="L62" s="8">
        <f t="shared" si="17"/>
        <v>176</v>
      </c>
      <c r="M62" s="8">
        <f t="shared" si="17"/>
        <v>176</v>
      </c>
      <c r="N62" s="8">
        <f t="shared" si="17"/>
        <v>222</v>
      </c>
      <c r="O62" s="8">
        <f t="shared" si="17"/>
        <v>206</v>
      </c>
      <c r="P62" s="8">
        <f t="shared" si="17"/>
        <v>200</v>
      </c>
      <c r="Q62" s="8">
        <f t="shared" si="17"/>
        <v>238</v>
      </c>
      <c r="R62" s="8">
        <f t="shared" si="17"/>
        <v>284</v>
      </c>
      <c r="S62" s="8">
        <f t="shared" si="17"/>
        <v>196</v>
      </c>
      <c r="T62" s="8">
        <f t="shared" si="16"/>
        <v>3304</v>
      </c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6"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E37:I37"/>
    <mergeCell ref="B36:D36"/>
    <mergeCell ref="B38:D38"/>
    <mergeCell ref="B39:C41"/>
    <mergeCell ref="A42:D42"/>
    <mergeCell ref="E42:I42"/>
    <mergeCell ref="B43:D43"/>
    <mergeCell ref="B44:D44"/>
    <mergeCell ref="C45:D45"/>
    <mergeCell ref="C46:D46"/>
    <mergeCell ref="C47:D47"/>
    <mergeCell ref="C48:D48"/>
    <mergeCell ref="C49:D49"/>
    <mergeCell ref="C50:D50"/>
    <mergeCell ref="C51:D51"/>
    <mergeCell ref="B59:D59"/>
    <mergeCell ref="C60:D60"/>
    <mergeCell ref="C61:D61"/>
    <mergeCell ref="C62:D62"/>
    <mergeCell ref="C52:D52"/>
    <mergeCell ref="C53:D53"/>
    <mergeCell ref="C54:D54"/>
    <mergeCell ref="C55:D55"/>
    <mergeCell ref="C56:D56"/>
    <mergeCell ref="C57:D57"/>
    <mergeCell ref="A58:D58"/>
  </mergeCells>
  <conditionalFormatting sqref="E30:S30">
    <cfRule type="expression" dxfId="0" priority="1">
      <formula>E30&lt;&gt;E62</formula>
    </cfRule>
  </conditionalFormatting>
  <conditionalFormatting sqref="E34:S34">
    <cfRule type="expression" dxfId="0" priority="2">
      <formula>E34&lt;&gt;E62</formula>
    </cfRule>
  </conditionalFormatting>
  <conditionalFormatting sqref="E14:S15">
    <cfRule type="containsBlanks" dxfId="1" priority="3">
      <formula>LEN(TRIM(E14))=0</formula>
    </cfRule>
  </conditionalFormatting>
  <conditionalFormatting sqref="E19:S20">
    <cfRule type="containsBlanks" dxfId="1" priority="4">
      <formula>LEN(TRIM(E19))=0</formula>
    </cfRule>
  </conditionalFormatting>
  <conditionalFormatting sqref="E22:S23 E25:S26 E33:S33 E35:S35 E39:S40">
    <cfRule type="containsBlanks" dxfId="1" priority="5">
      <formula>LEN(TRIM(E22))=0</formula>
    </cfRule>
  </conditionalFormatting>
  <conditionalFormatting sqref="E30:S30">
    <cfRule type="expression" dxfId="0" priority="6">
      <formula>E30&lt;&gt;E34</formula>
    </cfRule>
  </conditionalFormatting>
  <conditionalFormatting sqref="E34:S34">
    <cfRule type="expression" dxfId="2" priority="7">
      <formula>E30&lt;&gt;E34</formula>
    </cfRule>
  </conditionalFormatting>
  <conditionalFormatting sqref="E34:S34">
    <cfRule type="expression" dxfId="3" priority="8">
      <formula>E30=E34</formula>
    </cfRule>
  </conditionalFormatting>
  <conditionalFormatting sqref="E34:S34">
    <cfRule type="expression" dxfId="0" priority="9">
      <formula>E34&lt;&gt;E30</formula>
    </cfRule>
  </conditionalFormatting>
  <conditionalFormatting sqref="E45:S57">
    <cfRule type="containsBlanks" dxfId="1" priority="10">
      <formula>LEN(TRIM(E45))=0</formula>
    </cfRule>
  </conditionalFormatting>
  <conditionalFormatting sqref="E60:S61">
    <cfRule type="containsBlanks" dxfId="1" priority="11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67.14"/>
    <col customWidth="1" min="4" max="4" width="14.57"/>
    <col customWidth="1" min="5" max="13" width="9.14"/>
    <col customWidth="1" min="14" max="14" width="9.57"/>
    <col customWidth="1" min="15" max="18" width="9.14"/>
    <col customWidth="1" min="19" max="26" width="8.71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 t="s">
        <v>0</v>
      </c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 t="s">
        <v>2</v>
      </c>
      <c r="D3" s="1" t="s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"/>
      <c r="C4" s="1" t="s">
        <v>4</v>
      </c>
      <c r="D4" s="1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1" t="s">
        <v>67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2"/>
      <c r="B11" s="16"/>
      <c r="C11" s="16"/>
      <c r="D11" s="16"/>
      <c r="E11" s="2"/>
      <c r="F11" s="2"/>
      <c r="G11" s="2"/>
      <c r="H11" s="2"/>
      <c r="I11" s="2"/>
      <c r="J11" s="2"/>
      <c r="K11" s="2"/>
      <c r="L11" s="2"/>
      <c r="M11" s="2"/>
      <c r="N11" s="3"/>
      <c r="O11" s="3"/>
      <c r="P11" s="3"/>
      <c r="Q11" s="3"/>
      <c r="R11" s="3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8" t="s">
        <v>6</v>
      </c>
      <c r="B12" s="20" t="s">
        <v>7</v>
      </c>
      <c r="C12" s="21"/>
      <c r="D12" s="22"/>
      <c r="E12" s="34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53" t="s">
        <v>8</v>
      </c>
      <c r="S12" s="1"/>
      <c r="T12" s="1"/>
      <c r="U12" s="1"/>
      <c r="V12" s="1"/>
      <c r="W12" s="1"/>
      <c r="X12" s="1"/>
      <c r="Y12" s="1"/>
      <c r="Z12" s="1"/>
    </row>
    <row r="13" ht="12.75" customHeight="1">
      <c r="A13" s="12" t="s">
        <v>9</v>
      </c>
      <c r="B13" s="25" t="s">
        <v>10</v>
      </c>
      <c r="C13" s="21"/>
      <c r="D13" s="22"/>
      <c r="E13" s="8" t="s">
        <v>69</v>
      </c>
      <c r="F13" s="8" t="s">
        <v>70</v>
      </c>
      <c r="G13" s="8" t="s">
        <v>71</v>
      </c>
      <c r="H13" s="8" t="s">
        <v>72</v>
      </c>
      <c r="I13" s="8" t="s">
        <v>73</v>
      </c>
      <c r="J13" s="8" t="s">
        <v>74</v>
      </c>
      <c r="K13" s="8" t="s">
        <v>75</v>
      </c>
      <c r="L13" s="8" t="s">
        <v>76</v>
      </c>
      <c r="M13" s="8" t="s">
        <v>77</v>
      </c>
      <c r="N13" s="8" t="s">
        <v>78</v>
      </c>
      <c r="O13" s="8" t="s">
        <v>79</v>
      </c>
      <c r="P13" s="8" t="s">
        <v>80</v>
      </c>
      <c r="Q13" s="8" t="s">
        <v>81</v>
      </c>
      <c r="R13" s="33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24"/>
      <c r="B14" s="27" t="s">
        <v>11</v>
      </c>
      <c r="C14" s="28"/>
      <c r="D14" s="12" t="s">
        <v>12</v>
      </c>
      <c r="E14" s="12">
        <v>135.0</v>
      </c>
      <c r="F14" s="12">
        <v>127.0</v>
      </c>
      <c r="G14" s="12">
        <v>141.0</v>
      </c>
      <c r="H14" s="12">
        <v>142.0</v>
      </c>
      <c r="I14" s="12">
        <v>122.0</v>
      </c>
      <c r="J14" s="12">
        <v>103.0</v>
      </c>
      <c r="K14" s="12">
        <v>120.0</v>
      </c>
      <c r="L14" s="12">
        <v>109.0</v>
      </c>
      <c r="M14" s="12">
        <v>129.0</v>
      </c>
      <c r="N14" s="12">
        <v>137.0</v>
      </c>
      <c r="O14" s="12">
        <v>111.0</v>
      </c>
      <c r="P14" s="12">
        <v>114.0</v>
      </c>
      <c r="Q14" s="12">
        <v>141.0</v>
      </c>
      <c r="R14" s="8">
        <f t="shared" ref="R14:R16" si="1">SUM(E14:Q14)</f>
        <v>1631</v>
      </c>
      <c r="S14" s="1"/>
      <c r="T14" s="1"/>
      <c r="U14" s="1"/>
      <c r="V14" s="1"/>
      <c r="W14" s="1"/>
      <c r="X14" s="1"/>
      <c r="Y14" s="1"/>
      <c r="Z14" s="1"/>
    </row>
    <row r="15" ht="12.75" customHeight="1">
      <c r="A15" s="24"/>
      <c r="B15" s="30"/>
      <c r="C15" s="31"/>
      <c r="D15" s="12" t="s">
        <v>13</v>
      </c>
      <c r="E15" s="12">
        <v>135.0</v>
      </c>
      <c r="F15" s="12">
        <v>125.0</v>
      </c>
      <c r="G15" s="12">
        <v>117.0</v>
      </c>
      <c r="H15" s="12">
        <v>141.0</v>
      </c>
      <c r="I15" s="12">
        <v>117.0</v>
      </c>
      <c r="J15" s="12">
        <v>108.0</v>
      </c>
      <c r="K15" s="12">
        <v>118.0</v>
      </c>
      <c r="L15" s="12">
        <v>128.0</v>
      </c>
      <c r="M15" s="12">
        <v>136.0</v>
      </c>
      <c r="N15" s="12">
        <v>122.0</v>
      </c>
      <c r="O15" s="12">
        <v>110.0</v>
      </c>
      <c r="P15" s="12">
        <v>112.0</v>
      </c>
      <c r="Q15" s="12">
        <v>128.0</v>
      </c>
      <c r="R15" s="8">
        <f t="shared" si="1"/>
        <v>1597</v>
      </c>
      <c r="S15" s="1"/>
      <c r="T15" s="1"/>
      <c r="U15" s="1"/>
      <c r="V15" s="1"/>
      <c r="W15" s="1"/>
      <c r="X15" s="1"/>
      <c r="Y15" s="1"/>
      <c r="Z15" s="1"/>
    </row>
    <row r="16" ht="12.75" customHeight="1">
      <c r="A16" s="32"/>
      <c r="B16" s="26"/>
      <c r="C16" s="33"/>
      <c r="D16" s="8" t="s">
        <v>14</v>
      </c>
      <c r="E16" s="8">
        <f t="shared" ref="E16:Q16" si="2">SUM(E14:E15)</f>
        <v>270</v>
      </c>
      <c r="F16" s="8">
        <f t="shared" si="2"/>
        <v>252</v>
      </c>
      <c r="G16" s="8">
        <f t="shared" si="2"/>
        <v>258</v>
      </c>
      <c r="H16" s="8">
        <f t="shared" si="2"/>
        <v>283</v>
      </c>
      <c r="I16" s="8">
        <f t="shared" si="2"/>
        <v>239</v>
      </c>
      <c r="J16" s="8">
        <f t="shared" si="2"/>
        <v>211</v>
      </c>
      <c r="K16" s="8">
        <f t="shared" si="2"/>
        <v>238</v>
      </c>
      <c r="L16" s="8">
        <f t="shared" si="2"/>
        <v>237</v>
      </c>
      <c r="M16" s="8">
        <f t="shared" si="2"/>
        <v>265</v>
      </c>
      <c r="N16" s="8">
        <f t="shared" si="2"/>
        <v>259</v>
      </c>
      <c r="O16" s="8">
        <f t="shared" si="2"/>
        <v>221</v>
      </c>
      <c r="P16" s="8">
        <f t="shared" si="2"/>
        <v>226</v>
      </c>
      <c r="Q16" s="8">
        <f t="shared" si="2"/>
        <v>269</v>
      </c>
      <c r="R16" s="8">
        <f t="shared" si="1"/>
        <v>3228</v>
      </c>
      <c r="S16" s="1"/>
      <c r="T16" s="1"/>
      <c r="U16" s="1"/>
      <c r="V16" s="1"/>
      <c r="W16" s="1"/>
      <c r="X16" s="1"/>
      <c r="Y16" s="1"/>
      <c r="Z16" s="1"/>
    </row>
    <row r="17" ht="12.75" customHeight="1">
      <c r="A17" s="29"/>
      <c r="B17" s="21"/>
      <c r="C17" s="21"/>
      <c r="D17" s="22"/>
      <c r="E17" s="12"/>
      <c r="F17" s="12"/>
      <c r="G17" s="12"/>
      <c r="H17" s="12"/>
      <c r="I17" s="12"/>
      <c r="J17" s="12"/>
      <c r="K17" s="12"/>
      <c r="L17" s="12"/>
      <c r="M17" s="12"/>
      <c r="N17" s="17"/>
      <c r="O17" s="17"/>
      <c r="P17" s="17"/>
      <c r="Q17" s="17"/>
      <c r="R17" s="8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54" t="s">
        <v>15</v>
      </c>
      <c r="B18" s="25" t="s">
        <v>16</v>
      </c>
      <c r="C18" s="21"/>
      <c r="D18" s="22"/>
      <c r="E18" s="12"/>
      <c r="F18" s="12"/>
      <c r="G18" s="12"/>
      <c r="H18" s="12"/>
      <c r="I18" s="12"/>
      <c r="J18" s="12"/>
      <c r="K18" s="12"/>
      <c r="L18" s="12"/>
      <c r="M18" s="12"/>
      <c r="N18" s="17"/>
      <c r="O18" s="17"/>
      <c r="P18" s="17"/>
      <c r="Q18" s="17"/>
      <c r="R18" s="8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54"/>
      <c r="B19" s="55" t="s">
        <v>17</v>
      </c>
      <c r="C19" s="36" t="s">
        <v>18</v>
      </c>
      <c r="D19" s="12" t="s">
        <v>12</v>
      </c>
      <c r="E19" s="12">
        <v>114.0</v>
      </c>
      <c r="F19" s="12">
        <v>89.0</v>
      </c>
      <c r="G19" s="12">
        <v>119.0</v>
      </c>
      <c r="H19" s="12">
        <v>120.0</v>
      </c>
      <c r="I19" s="12">
        <v>109.0</v>
      </c>
      <c r="J19" s="12">
        <v>98.0</v>
      </c>
      <c r="K19" s="12">
        <v>93.0</v>
      </c>
      <c r="L19" s="12">
        <v>99.0</v>
      </c>
      <c r="M19" s="12">
        <v>101.0</v>
      </c>
      <c r="N19" s="12">
        <v>115.0</v>
      </c>
      <c r="O19" s="12">
        <v>93.0</v>
      </c>
      <c r="P19" s="12">
        <v>93.0</v>
      </c>
      <c r="Q19" s="12">
        <v>101.0</v>
      </c>
      <c r="R19" s="8">
        <f t="shared" ref="R19:R30" si="3">SUM(E19:Q19)</f>
        <v>1344</v>
      </c>
      <c r="S19" s="1"/>
      <c r="T19" s="1"/>
      <c r="U19" s="1"/>
      <c r="V19" s="1"/>
      <c r="W19" s="1"/>
      <c r="X19" s="1"/>
      <c r="Y19" s="1"/>
      <c r="Z19" s="1"/>
    </row>
    <row r="20" ht="12.75" customHeight="1">
      <c r="A20" s="56"/>
      <c r="B20" s="31"/>
      <c r="C20" s="37"/>
      <c r="D20" s="12" t="s">
        <v>13</v>
      </c>
      <c r="E20" s="12">
        <v>120.0</v>
      </c>
      <c r="F20" s="12">
        <v>120.0</v>
      </c>
      <c r="G20" s="12">
        <v>97.0</v>
      </c>
      <c r="H20" s="12">
        <v>127.0</v>
      </c>
      <c r="I20" s="12">
        <v>112.0</v>
      </c>
      <c r="J20" s="12">
        <v>95.0</v>
      </c>
      <c r="K20" s="12">
        <v>102.0</v>
      </c>
      <c r="L20" s="12">
        <v>117.0</v>
      </c>
      <c r="M20" s="12">
        <v>116.0</v>
      </c>
      <c r="N20" s="12">
        <v>109.0</v>
      </c>
      <c r="O20" s="12">
        <v>100.0</v>
      </c>
      <c r="P20" s="12">
        <v>100.0</v>
      </c>
      <c r="Q20" s="12">
        <v>113.0</v>
      </c>
      <c r="R20" s="8">
        <f t="shared" si="3"/>
        <v>1428</v>
      </c>
      <c r="S20" s="1"/>
      <c r="T20" s="1"/>
      <c r="U20" s="1"/>
      <c r="V20" s="1"/>
      <c r="W20" s="1"/>
      <c r="X20" s="1"/>
      <c r="Y20" s="1"/>
      <c r="Z20" s="1"/>
    </row>
    <row r="21" ht="12.75" customHeight="1">
      <c r="A21" s="57"/>
      <c r="B21" s="33"/>
      <c r="C21" s="38"/>
      <c r="D21" s="8" t="s">
        <v>14</v>
      </c>
      <c r="E21" s="8">
        <f t="shared" ref="E21:Q21" si="4">SUM(E19:E20)</f>
        <v>234</v>
      </c>
      <c r="F21" s="8">
        <f t="shared" si="4"/>
        <v>209</v>
      </c>
      <c r="G21" s="8">
        <f t="shared" si="4"/>
        <v>216</v>
      </c>
      <c r="H21" s="8">
        <f t="shared" si="4"/>
        <v>247</v>
      </c>
      <c r="I21" s="8">
        <f t="shared" si="4"/>
        <v>221</v>
      </c>
      <c r="J21" s="8">
        <f t="shared" si="4"/>
        <v>193</v>
      </c>
      <c r="K21" s="8">
        <f t="shared" si="4"/>
        <v>195</v>
      </c>
      <c r="L21" s="8">
        <f t="shared" si="4"/>
        <v>216</v>
      </c>
      <c r="M21" s="8">
        <f t="shared" si="4"/>
        <v>217</v>
      </c>
      <c r="N21" s="8">
        <f t="shared" si="4"/>
        <v>224</v>
      </c>
      <c r="O21" s="8">
        <f t="shared" si="4"/>
        <v>193</v>
      </c>
      <c r="P21" s="8">
        <f t="shared" si="4"/>
        <v>193</v>
      </c>
      <c r="Q21" s="8">
        <f t="shared" si="4"/>
        <v>214</v>
      </c>
      <c r="R21" s="8">
        <f t="shared" si="3"/>
        <v>2772</v>
      </c>
      <c r="S21" s="1"/>
      <c r="T21" s="1"/>
      <c r="U21" s="1"/>
      <c r="V21" s="1"/>
      <c r="W21" s="1"/>
      <c r="X21" s="1"/>
      <c r="Y21" s="1"/>
      <c r="Z21" s="1"/>
    </row>
    <row r="22" ht="12.75" customHeight="1">
      <c r="A22" s="56"/>
      <c r="B22" s="55" t="s">
        <v>19</v>
      </c>
      <c r="C22" s="36" t="s">
        <v>20</v>
      </c>
      <c r="D22" s="12" t="s">
        <v>12</v>
      </c>
      <c r="E22" s="12">
        <v>3.0</v>
      </c>
      <c r="F22" s="12">
        <v>0.0</v>
      </c>
      <c r="G22" s="12">
        <v>0.0</v>
      </c>
      <c r="H22" s="12">
        <v>2.0</v>
      </c>
      <c r="I22" s="12">
        <v>0.0</v>
      </c>
      <c r="J22" s="12">
        <v>0.0</v>
      </c>
      <c r="K22" s="12">
        <v>0.0</v>
      </c>
      <c r="L22" s="12">
        <v>0.0</v>
      </c>
      <c r="M22" s="12">
        <v>0.0</v>
      </c>
      <c r="N22" s="12">
        <v>0.0</v>
      </c>
      <c r="O22" s="12">
        <v>1.0</v>
      </c>
      <c r="P22" s="12">
        <v>0.0</v>
      </c>
      <c r="Q22" s="12">
        <v>1.0</v>
      </c>
      <c r="R22" s="8">
        <f t="shared" si="3"/>
        <v>7</v>
      </c>
      <c r="S22" s="1"/>
      <c r="T22" s="1"/>
      <c r="U22" s="1"/>
      <c r="V22" s="1"/>
      <c r="W22" s="1"/>
      <c r="X22" s="1"/>
      <c r="Y22" s="1"/>
      <c r="Z22" s="1"/>
    </row>
    <row r="23" ht="15.0" customHeight="1">
      <c r="A23" s="56"/>
      <c r="B23" s="31"/>
      <c r="C23" s="37"/>
      <c r="D23" s="12" t="s">
        <v>13</v>
      </c>
      <c r="E23" s="12">
        <v>0.0</v>
      </c>
      <c r="F23" s="12">
        <v>3.0</v>
      </c>
      <c r="G23" s="12">
        <v>0.0</v>
      </c>
      <c r="H23" s="12">
        <v>0.0</v>
      </c>
      <c r="I23" s="12">
        <v>1.0</v>
      </c>
      <c r="J23" s="12">
        <v>1.0</v>
      </c>
      <c r="K23" s="12">
        <v>0.0</v>
      </c>
      <c r="L23" s="12">
        <v>1.0</v>
      </c>
      <c r="M23" s="12">
        <v>0.0</v>
      </c>
      <c r="N23" s="12">
        <v>0.0</v>
      </c>
      <c r="O23" s="12">
        <v>0.0</v>
      </c>
      <c r="P23" s="12">
        <v>0.0</v>
      </c>
      <c r="Q23" s="12">
        <v>0.0</v>
      </c>
      <c r="R23" s="8">
        <f t="shared" si="3"/>
        <v>6</v>
      </c>
      <c r="S23" s="1"/>
      <c r="T23" s="1"/>
      <c r="U23" s="1"/>
      <c r="V23" s="1"/>
      <c r="W23" s="1"/>
      <c r="X23" s="1"/>
      <c r="Y23" s="1"/>
      <c r="Z23" s="1"/>
    </row>
    <row r="24" ht="15.0" customHeight="1">
      <c r="A24" s="57"/>
      <c r="B24" s="33"/>
      <c r="C24" s="38"/>
      <c r="D24" s="8" t="s">
        <v>14</v>
      </c>
      <c r="E24" s="8">
        <f t="shared" ref="E24:Q24" si="5">SUM(E22:E23)</f>
        <v>3</v>
      </c>
      <c r="F24" s="8">
        <f t="shared" si="5"/>
        <v>3</v>
      </c>
      <c r="G24" s="8">
        <f t="shared" si="5"/>
        <v>0</v>
      </c>
      <c r="H24" s="8">
        <f t="shared" si="5"/>
        <v>2</v>
      </c>
      <c r="I24" s="8">
        <f t="shared" si="5"/>
        <v>1</v>
      </c>
      <c r="J24" s="8">
        <f t="shared" si="5"/>
        <v>1</v>
      </c>
      <c r="K24" s="8">
        <f t="shared" si="5"/>
        <v>0</v>
      </c>
      <c r="L24" s="8">
        <f t="shared" si="5"/>
        <v>1</v>
      </c>
      <c r="M24" s="8">
        <f t="shared" si="5"/>
        <v>0</v>
      </c>
      <c r="N24" s="8">
        <f t="shared" si="5"/>
        <v>0</v>
      </c>
      <c r="O24" s="8">
        <f t="shared" si="5"/>
        <v>1</v>
      </c>
      <c r="P24" s="8">
        <f t="shared" si="5"/>
        <v>0</v>
      </c>
      <c r="Q24" s="8">
        <f t="shared" si="5"/>
        <v>1</v>
      </c>
      <c r="R24" s="8">
        <f t="shared" si="3"/>
        <v>13</v>
      </c>
      <c r="S24" s="1"/>
      <c r="T24" s="1"/>
      <c r="U24" s="1"/>
      <c r="V24" s="1"/>
      <c r="W24" s="1"/>
      <c r="X24" s="1"/>
      <c r="Y24" s="1"/>
      <c r="Z24" s="1"/>
    </row>
    <row r="25" ht="15.0" customHeight="1">
      <c r="A25" s="56"/>
      <c r="B25" s="55" t="s">
        <v>21</v>
      </c>
      <c r="C25" s="36" t="s">
        <v>22</v>
      </c>
      <c r="D25" s="12" t="s">
        <v>12</v>
      </c>
      <c r="E25" s="12">
        <v>0.0</v>
      </c>
      <c r="F25" s="12">
        <v>1.0</v>
      </c>
      <c r="G25" s="12">
        <v>0.0</v>
      </c>
      <c r="H25" s="12">
        <v>0.0</v>
      </c>
      <c r="I25" s="12">
        <v>1.0</v>
      </c>
      <c r="J25" s="12">
        <v>3.0</v>
      </c>
      <c r="K25" s="12">
        <v>1.0</v>
      </c>
      <c r="L25" s="12">
        <v>0.0</v>
      </c>
      <c r="M25" s="12">
        <v>0.0</v>
      </c>
      <c r="N25" s="12">
        <v>5.0</v>
      </c>
      <c r="O25" s="12">
        <v>2.0</v>
      </c>
      <c r="P25" s="12">
        <v>0.0</v>
      </c>
      <c r="Q25" s="12">
        <v>2.0</v>
      </c>
      <c r="R25" s="8">
        <f t="shared" si="3"/>
        <v>15</v>
      </c>
      <c r="S25" s="1"/>
      <c r="T25" s="1"/>
      <c r="U25" s="1"/>
      <c r="V25" s="1"/>
      <c r="W25" s="1"/>
      <c r="X25" s="1"/>
      <c r="Y25" s="1"/>
      <c r="Z25" s="1"/>
    </row>
    <row r="26" ht="15.0" customHeight="1">
      <c r="A26" s="56"/>
      <c r="B26" s="31"/>
      <c r="C26" s="37"/>
      <c r="D26" s="12" t="s">
        <v>13</v>
      </c>
      <c r="E26" s="12">
        <v>0.0</v>
      </c>
      <c r="F26" s="12">
        <v>2.0</v>
      </c>
      <c r="G26" s="12">
        <v>0.0</v>
      </c>
      <c r="H26" s="12">
        <v>0.0</v>
      </c>
      <c r="I26" s="12">
        <v>3.0</v>
      </c>
      <c r="J26" s="12">
        <v>4.0</v>
      </c>
      <c r="K26" s="12">
        <v>2.0</v>
      </c>
      <c r="L26" s="12">
        <v>0.0</v>
      </c>
      <c r="M26" s="12">
        <v>0.0</v>
      </c>
      <c r="N26" s="12">
        <v>5.0</v>
      </c>
      <c r="O26" s="12">
        <v>0.0</v>
      </c>
      <c r="P26" s="12">
        <v>1.0</v>
      </c>
      <c r="Q26" s="12">
        <v>1.0</v>
      </c>
      <c r="R26" s="8">
        <f t="shared" si="3"/>
        <v>18</v>
      </c>
      <c r="S26" s="1"/>
      <c r="T26" s="1"/>
      <c r="U26" s="1"/>
      <c r="V26" s="1"/>
      <c r="W26" s="1"/>
      <c r="X26" s="1"/>
      <c r="Y26" s="1"/>
      <c r="Z26" s="1"/>
    </row>
    <row r="27" ht="12.75" customHeight="1">
      <c r="A27" s="57"/>
      <c r="B27" s="33"/>
      <c r="C27" s="38"/>
      <c r="D27" s="8" t="s">
        <v>14</v>
      </c>
      <c r="E27" s="8">
        <f t="shared" ref="E27:Q27" si="6">SUM(E25:E26)</f>
        <v>0</v>
      </c>
      <c r="F27" s="8">
        <f t="shared" si="6"/>
        <v>3</v>
      </c>
      <c r="G27" s="8">
        <f t="shared" si="6"/>
        <v>0</v>
      </c>
      <c r="H27" s="8">
        <f t="shared" si="6"/>
        <v>0</v>
      </c>
      <c r="I27" s="8">
        <f t="shared" si="6"/>
        <v>4</v>
      </c>
      <c r="J27" s="8">
        <f t="shared" si="6"/>
        <v>7</v>
      </c>
      <c r="K27" s="8">
        <f t="shared" si="6"/>
        <v>3</v>
      </c>
      <c r="L27" s="8">
        <f t="shared" si="6"/>
        <v>0</v>
      </c>
      <c r="M27" s="8">
        <f t="shared" si="6"/>
        <v>0</v>
      </c>
      <c r="N27" s="8">
        <f t="shared" si="6"/>
        <v>10</v>
      </c>
      <c r="O27" s="8">
        <f t="shared" si="6"/>
        <v>2</v>
      </c>
      <c r="P27" s="8">
        <f t="shared" si="6"/>
        <v>1</v>
      </c>
      <c r="Q27" s="8">
        <f t="shared" si="6"/>
        <v>3</v>
      </c>
      <c r="R27" s="8">
        <f t="shared" si="3"/>
        <v>33</v>
      </c>
      <c r="S27" s="1"/>
      <c r="T27" s="1"/>
      <c r="U27" s="1"/>
      <c r="V27" s="1"/>
      <c r="W27" s="1"/>
      <c r="X27" s="1"/>
      <c r="Y27" s="1"/>
      <c r="Z27" s="1"/>
    </row>
    <row r="28" ht="12.75" customHeight="1">
      <c r="A28" s="57"/>
      <c r="B28" s="53" t="s">
        <v>23</v>
      </c>
      <c r="C28" s="41" t="s">
        <v>24</v>
      </c>
      <c r="D28" s="8" t="s">
        <v>12</v>
      </c>
      <c r="E28" s="8">
        <f t="shared" ref="E28:Q28" si="7">SUM(E19,E22,E25)</f>
        <v>117</v>
      </c>
      <c r="F28" s="8">
        <f t="shared" si="7"/>
        <v>90</v>
      </c>
      <c r="G28" s="8">
        <f t="shared" si="7"/>
        <v>119</v>
      </c>
      <c r="H28" s="8">
        <f t="shared" si="7"/>
        <v>122</v>
      </c>
      <c r="I28" s="8">
        <f t="shared" si="7"/>
        <v>110</v>
      </c>
      <c r="J28" s="8">
        <f t="shared" si="7"/>
        <v>101</v>
      </c>
      <c r="K28" s="8">
        <f t="shared" si="7"/>
        <v>94</v>
      </c>
      <c r="L28" s="8">
        <f t="shared" si="7"/>
        <v>99</v>
      </c>
      <c r="M28" s="8">
        <f t="shared" si="7"/>
        <v>101</v>
      </c>
      <c r="N28" s="8">
        <f t="shared" si="7"/>
        <v>120</v>
      </c>
      <c r="O28" s="8">
        <f t="shared" si="7"/>
        <v>96</v>
      </c>
      <c r="P28" s="8">
        <f t="shared" si="7"/>
        <v>93</v>
      </c>
      <c r="Q28" s="8">
        <f t="shared" si="7"/>
        <v>104</v>
      </c>
      <c r="R28" s="8">
        <f t="shared" si="3"/>
        <v>1366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57"/>
      <c r="B29" s="31"/>
      <c r="C29" s="37"/>
      <c r="D29" s="8" t="s">
        <v>13</v>
      </c>
      <c r="E29" s="8">
        <f t="shared" ref="E29:Q29" si="8">SUM(E20,E23,E26)</f>
        <v>120</v>
      </c>
      <c r="F29" s="8">
        <f t="shared" si="8"/>
        <v>125</v>
      </c>
      <c r="G29" s="8">
        <f t="shared" si="8"/>
        <v>97</v>
      </c>
      <c r="H29" s="8">
        <f t="shared" si="8"/>
        <v>127</v>
      </c>
      <c r="I29" s="8">
        <f t="shared" si="8"/>
        <v>116</v>
      </c>
      <c r="J29" s="8">
        <f t="shared" si="8"/>
        <v>100</v>
      </c>
      <c r="K29" s="8">
        <f t="shared" si="8"/>
        <v>104</v>
      </c>
      <c r="L29" s="8">
        <f t="shared" si="8"/>
        <v>118</v>
      </c>
      <c r="M29" s="8">
        <f t="shared" si="8"/>
        <v>116</v>
      </c>
      <c r="N29" s="8">
        <f t="shared" si="8"/>
        <v>114</v>
      </c>
      <c r="O29" s="8">
        <f t="shared" si="8"/>
        <v>100</v>
      </c>
      <c r="P29" s="8">
        <f t="shared" si="8"/>
        <v>101</v>
      </c>
      <c r="Q29" s="8">
        <f t="shared" si="8"/>
        <v>114</v>
      </c>
      <c r="R29" s="8">
        <f t="shared" si="3"/>
        <v>1452</v>
      </c>
      <c r="S29" s="1"/>
      <c r="T29" s="1"/>
      <c r="U29" s="1"/>
      <c r="V29" s="1"/>
      <c r="W29" s="1"/>
      <c r="X29" s="1"/>
      <c r="Y29" s="1"/>
      <c r="Z29" s="1"/>
    </row>
    <row r="30" ht="12.75" customHeight="1">
      <c r="A30" s="57"/>
      <c r="B30" s="33"/>
      <c r="C30" s="38"/>
      <c r="D30" s="8" t="s">
        <v>14</v>
      </c>
      <c r="E30" s="8">
        <f t="shared" ref="E30:Q30" si="9">SUM(E28:E29)</f>
        <v>237</v>
      </c>
      <c r="F30" s="8">
        <f t="shared" si="9"/>
        <v>215</v>
      </c>
      <c r="G30" s="8">
        <f t="shared" si="9"/>
        <v>216</v>
      </c>
      <c r="H30" s="8">
        <f t="shared" si="9"/>
        <v>249</v>
      </c>
      <c r="I30" s="8">
        <f t="shared" si="9"/>
        <v>226</v>
      </c>
      <c r="J30" s="8">
        <f t="shared" si="9"/>
        <v>201</v>
      </c>
      <c r="K30" s="8">
        <f t="shared" si="9"/>
        <v>198</v>
      </c>
      <c r="L30" s="8">
        <f t="shared" si="9"/>
        <v>217</v>
      </c>
      <c r="M30" s="8">
        <f t="shared" si="9"/>
        <v>217</v>
      </c>
      <c r="N30" s="8">
        <f t="shared" si="9"/>
        <v>234</v>
      </c>
      <c r="O30" s="8">
        <f t="shared" si="9"/>
        <v>196</v>
      </c>
      <c r="P30" s="8">
        <f t="shared" si="9"/>
        <v>194</v>
      </c>
      <c r="Q30" s="8">
        <f t="shared" si="9"/>
        <v>218</v>
      </c>
      <c r="R30" s="8">
        <f t="shared" si="3"/>
        <v>2818</v>
      </c>
      <c r="S30" s="1"/>
      <c r="T30" s="1"/>
      <c r="U30" s="1"/>
      <c r="V30" s="1"/>
      <c r="W30" s="1"/>
      <c r="X30" s="1"/>
      <c r="Y30" s="1"/>
      <c r="Z30" s="1"/>
    </row>
    <row r="31" ht="12.75" customHeight="1">
      <c r="A31" s="29"/>
      <c r="B31" s="21"/>
      <c r="C31" s="21"/>
      <c r="D31" s="22"/>
      <c r="E31" s="12"/>
      <c r="F31" s="12"/>
      <c r="G31" s="12"/>
      <c r="H31" s="12"/>
      <c r="I31" s="12"/>
      <c r="J31" s="12"/>
      <c r="K31" s="12"/>
      <c r="L31" s="12"/>
      <c r="M31" s="12"/>
      <c r="N31" s="17"/>
      <c r="O31" s="17"/>
      <c r="P31" s="17"/>
      <c r="Q31" s="17"/>
      <c r="R31" s="8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58" t="s">
        <v>25</v>
      </c>
      <c r="B32" s="20" t="s">
        <v>26</v>
      </c>
      <c r="C32" s="21"/>
      <c r="D32" s="22"/>
      <c r="E32" s="8"/>
      <c r="F32" s="8"/>
      <c r="G32" s="8"/>
      <c r="H32" s="8"/>
      <c r="I32" s="8"/>
      <c r="J32" s="8"/>
      <c r="K32" s="8"/>
      <c r="L32" s="8"/>
      <c r="M32" s="8"/>
      <c r="N32" s="39"/>
      <c r="O32" s="39"/>
      <c r="P32" s="39"/>
      <c r="Q32" s="39"/>
      <c r="R32" s="8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2">
        <v>1.0</v>
      </c>
      <c r="B33" s="25" t="s">
        <v>121</v>
      </c>
      <c r="C33" s="21"/>
      <c r="D33" s="22"/>
      <c r="E33" s="12">
        <v>276.0</v>
      </c>
      <c r="F33" s="12">
        <v>257.0</v>
      </c>
      <c r="G33" s="12">
        <v>264.0</v>
      </c>
      <c r="H33" s="12">
        <v>290.0</v>
      </c>
      <c r="I33" s="12">
        <v>245.0</v>
      </c>
      <c r="J33" s="12">
        <v>243.0</v>
      </c>
      <c r="K33" s="12">
        <v>243.0</v>
      </c>
      <c r="L33" s="12">
        <v>243.0</v>
      </c>
      <c r="M33" s="12">
        <v>271.0</v>
      </c>
      <c r="N33" s="12">
        <v>262.0</v>
      </c>
      <c r="O33" s="12">
        <v>226.0</v>
      </c>
      <c r="P33" s="12">
        <v>231.0</v>
      </c>
      <c r="Q33" s="12">
        <v>275.0</v>
      </c>
      <c r="R33" s="8">
        <f t="shared" ref="R33:R36" si="10">SUM(E33:Q33)</f>
        <v>3326</v>
      </c>
      <c r="S33" s="1"/>
      <c r="T33" s="1"/>
      <c r="U33" s="1"/>
      <c r="V33" s="1"/>
      <c r="W33" s="1"/>
      <c r="X33" s="1"/>
      <c r="Y33" s="1"/>
      <c r="Z33" s="1"/>
    </row>
    <row r="34" ht="15.0" customHeight="1">
      <c r="A34" s="12">
        <v>2.0</v>
      </c>
      <c r="B34" s="25" t="s">
        <v>28</v>
      </c>
      <c r="C34" s="21"/>
      <c r="D34" s="22"/>
      <c r="E34" s="8">
        <v>237.0</v>
      </c>
      <c r="F34" s="8">
        <v>215.0</v>
      </c>
      <c r="G34" s="8">
        <v>216.0</v>
      </c>
      <c r="H34" s="8">
        <v>249.0</v>
      </c>
      <c r="I34" s="8">
        <v>226.0</v>
      </c>
      <c r="J34" s="8">
        <v>201.0</v>
      </c>
      <c r="K34" s="8">
        <v>198.0</v>
      </c>
      <c r="L34" s="8">
        <v>217.0</v>
      </c>
      <c r="M34" s="8">
        <v>217.0</v>
      </c>
      <c r="N34" s="8">
        <v>234.0</v>
      </c>
      <c r="O34" s="8">
        <v>196.0</v>
      </c>
      <c r="P34" s="8">
        <v>194.0</v>
      </c>
      <c r="Q34" s="8">
        <v>218.0</v>
      </c>
      <c r="R34" s="8">
        <f t="shared" si="10"/>
        <v>2818</v>
      </c>
      <c r="S34" s="1"/>
      <c r="T34" s="1"/>
      <c r="U34" s="1"/>
      <c r="V34" s="1"/>
      <c r="W34" s="1"/>
      <c r="X34" s="1"/>
      <c r="Y34" s="1"/>
      <c r="Z34" s="1"/>
    </row>
    <row r="35" ht="12.75" customHeight="1">
      <c r="A35" s="12">
        <v>3.0</v>
      </c>
      <c r="B35" s="25" t="s">
        <v>29</v>
      </c>
      <c r="C35" s="21"/>
      <c r="D35" s="22"/>
      <c r="E35" s="12">
        <v>0.0</v>
      </c>
      <c r="F35" s="12">
        <v>0.0</v>
      </c>
      <c r="G35" s="12">
        <v>0.0</v>
      </c>
      <c r="H35" s="12">
        <v>0.0</v>
      </c>
      <c r="I35" s="12">
        <v>0.0</v>
      </c>
      <c r="J35" s="12">
        <v>0.0</v>
      </c>
      <c r="K35" s="12">
        <v>0.0</v>
      </c>
      <c r="L35" s="12">
        <v>0.0</v>
      </c>
      <c r="M35" s="12">
        <v>0.0</v>
      </c>
      <c r="N35" s="12">
        <v>0.0</v>
      </c>
      <c r="O35" s="12">
        <v>0.0</v>
      </c>
      <c r="P35" s="12">
        <v>0.0</v>
      </c>
      <c r="Q35" s="12">
        <v>0.0</v>
      </c>
      <c r="R35" s="8">
        <f t="shared" si="10"/>
        <v>0</v>
      </c>
      <c r="S35" s="1"/>
      <c r="T35" s="1"/>
      <c r="U35" s="1"/>
      <c r="V35" s="1"/>
      <c r="W35" s="1"/>
      <c r="X35" s="1"/>
      <c r="Y35" s="1"/>
      <c r="Z35" s="1"/>
    </row>
    <row r="36" ht="12.75" customHeight="1">
      <c r="A36" s="12">
        <v>4.0</v>
      </c>
      <c r="B36" s="25" t="s">
        <v>30</v>
      </c>
      <c r="C36" s="21"/>
      <c r="D36" s="22"/>
      <c r="E36" s="8">
        <f t="shared" ref="E36:Q36" si="11">E33-(E34+E35)</f>
        <v>39</v>
      </c>
      <c r="F36" s="8">
        <f t="shared" si="11"/>
        <v>42</v>
      </c>
      <c r="G36" s="8">
        <f t="shared" si="11"/>
        <v>48</v>
      </c>
      <c r="H36" s="8">
        <f t="shared" si="11"/>
        <v>41</v>
      </c>
      <c r="I36" s="8">
        <f t="shared" si="11"/>
        <v>19</v>
      </c>
      <c r="J36" s="8">
        <f t="shared" si="11"/>
        <v>42</v>
      </c>
      <c r="K36" s="8">
        <f t="shared" si="11"/>
        <v>45</v>
      </c>
      <c r="L36" s="8">
        <f t="shared" si="11"/>
        <v>26</v>
      </c>
      <c r="M36" s="8">
        <f t="shared" si="11"/>
        <v>54</v>
      </c>
      <c r="N36" s="8">
        <f t="shared" si="11"/>
        <v>28</v>
      </c>
      <c r="O36" s="8">
        <f t="shared" si="11"/>
        <v>30</v>
      </c>
      <c r="P36" s="8">
        <f t="shared" si="11"/>
        <v>37</v>
      </c>
      <c r="Q36" s="8">
        <f t="shared" si="11"/>
        <v>57</v>
      </c>
      <c r="R36" s="8">
        <f t="shared" si="10"/>
        <v>508</v>
      </c>
      <c r="S36" s="1"/>
      <c r="T36" s="1"/>
      <c r="U36" s="1"/>
      <c r="V36" s="1"/>
      <c r="W36" s="1"/>
      <c r="X36" s="1"/>
      <c r="Y36" s="1"/>
      <c r="Z36" s="1"/>
    </row>
    <row r="37" ht="12.75" customHeight="1">
      <c r="A37" s="59"/>
      <c r="B37" s="60"/>
      <c r="C37" s="60"/>
      <c r="D37" s="60"/>
      <c r="E37" s="29"/>
      <c r="F37" s="21"/>
      <c r="G37" s="21"/>
      <c r="H37" s="21"/>
      <c r="I37" s="22"/>
      <c r="J37" s="12"/>
      <c r="K37" s="12"/>
      <c r="L37" s="12"/>
      <c r="M37" s="12"/>
      <c r="N37" s="17"/>
      <c r="O37" s="59"/>
      <c r="P37" s="59"/>
      <c r="Q37" s="59"/>
      <c r="R37" s="8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61" t="s">
        <v>31</v>
      </c>
      <c r="B38" s="20" t="s">
        <v>32</v>
      </c>
      <c r="C38" s="21"/>
      <c r="D38" s="22"/>
      <c r="E38" s="8"/>
      <c r="F38" s="8"/>
      <c r="G38" s="8"/>
      <c r="H38" s="8"/>
      <c r="I38" s="8"/>
      <c r="J38" s="8"/>
      <c r="K38" s="8"/>
      <c r="L38" s="8"/>
      <c r="M38" s="8"/>
      <c r="N38" s="39"/>
      <c r="O38" s="39"/>
      <c r="P38" s="39"/>
      <c r="Q38" s="39"/>
      <c r="R38" s="8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54"/>
      <c r="B39" s="62" t="s">
        <v>33</v>
      </c>
      <c r="C39" s="28"/>
      <c r="D39" s="12" t="s">
        <v>12</v>
      </c>
      <c r="E39" s="12"/>
      <c r="F39" s="12">
        <v>1.0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8">
        <f t="shared" ref="R39:R41" si="12">SUM(E39:Q39)</f>
        <v>1</v>
      </c>
      <c r="S39" s="1"/>
      <c r="T39" s="1"/>
      <c r="U39" s="1"/>
      <c r="V39" s="1"/>
      <c r="W39" s="1"/>
      <c r="X39" s="1"/>
      <c r="Y39" s="1"/>
      <c r="Z39" s="1"/>
    </row>
    <row r="40" ht="12.75" customHeight="1">
      <c r="A40" s="56"/>
      <c r="C40" s="31"/>
      <c r="D40" s="12" t="s">
        <v>13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8">
        <f t="shared" si="12"/>
        <v>0</v>
      </c>
      <c r="S40" s="1"/>
      <c r="T40" s="1"/>
      <c r="U40" s="1"/>
      <c r="V40" s="1"/>
      <c r="W40" s="1"/>
      <c r="X40" s="1"/>
      <c r="Y40" s="1"/>
      <c r="Z40" s="1"/>
    </row>
    <row r="41" ht="12.75" customHeight="1">
      <c r="A41" s="58"/>
      <c r="B41" s="63"/>
      <c r="C41" s="33"/>
      <c r="D41" s="8" t="s">
        <v>14</v>
      </c>
      <c r="E41" s="8">
        <f t="shared" ref="E41:Q41" si="13">SUM(E39:E40)</f>
        <v>0</v>
      </c>
      <c r="F41" s="8">
        <f t="shared" si="13"/>
        <v>1</v>
      </c>
      <c r="G41" s="8">
        <f t="shared" si="13"/>
        <v>0</v>
      </c>
      <c r="H41" s="8">
        <f t="shared" si="13"/>
        <v>0</v>
      </c>
      <c r="I41" s="8">
        <f t="shared" si="13"/>
        <v>0</v>
      </c>
      <c r="J41" s="8">
        <f t="shared" si="13"/>
        <v>0</v>
      </c>
      <c r="K41" s="8">
        <f t="shared" si="13"/>
        <v>0</v>
      </c>
      <c r="L41" s="8">
        <f t="shared" si="13"/>
        <v>0</v>
      </c>
      <c r="M41" s="8">
        <f t="shared" si="13"/>
        <v>0</v>
      </c>
      <c r="N41" s="8">
        <f t="shared" si="13"/>
        <v>0</v>
      </c>
      <c r="O41" s="8">
        <f t="shared" si="13"/>
        <v>0</v>
      </c>
      <c r="P41" s="8">
        <f t="shared" si="13"/>
        <v>0</v>
      </c>
      <c r="Q41" s="8">
        <f t="shared" si="13"/>
        <v>0</v>
      </c>
      <c r="R41" s="8">
        <f t="shared" si="12"/>
        <v>1</v>
      </c>
      <c r="S41" s="1"/>
      <c r="T41" s="1"/>
      <c r="U41" s="1"/>
      <c r="V41" s="1"/>
      <c r="W41" s="1"/>
      <c r="X41" s="1"/>
      <c r="Y41" s="1"/>
      <c r="Z41" s="1"/>
    </row>
    <row r="42" ht="12.75" customHeight="1">
      <c r="A42" s="64"/>
      <c r="B42" s="63"/>
      <c r="C42" s="63"/>
      <c r="D42" s="33"/>
      <c r="E42" s="29"/>
      <c r="F42" s="21"/>
      <c r="G42" s="21"/>
      <c r="H42" s="21"/>
      <c r="I42" s="22"/>
      <c r="J42" s="12"/>
      <c r="K42" s="12"/>
      <c r="L42" s="12"/>
      <c r="M42" s="12"/>
      <c r="N42" s="17"/>
      <c r="O42" s="59"/>
      <c r="P42" s="59"/>
      <c r="Q42" s="59"/>
      <c r="R42" s="8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61" t="s">
        <v>34</v>
      </c>
      <c r="B43" s="20" t="s">
        <v>35</v>
      </c>
      <c r="C43" s="21"/>
      <c r="D43" s="22"/>
      <c r="E43" s="8"/>
      <c r="F43" s="8"/>
      <c r="G43" s="8"/>
      <c r="H43" s="8"/>
      <c r="I43" s="8"/>
      <c r="J43" s="8"/>
      <c r="K43" s="8"/>
      <c r="L43" s="8"/>
      <c r="M43" s="8"/>
      <c r="N43" s="8"/>
      <c r="O43" s="39"/>
      <c r="P43" s="18"/>
      <c r="Q43" s="19"/>
      <c r="R43" s="8"/>
      <c r="S43" s="1"/>
      <c r="T43" s="1"/>
      <c r="U43" s="1"/>
      <c r="V43" s="1"/>
      <c r="W43" s="1"/>
      <c r="X43" s="1"/>
      <c r="Y43" s="1"/>
      <c r="Z43" s="1"/>
    </row>
    <row r="44" ht="15.0" customHeight="1">
      <c r="A44" s="54"/>
      <c r="B44" s="62" t="s">
        <v>36</v>
      </c>
      <c r="C44" s="65"/>
      <c r="D44" s="28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7"/>
      <c r="P44" s="18"/>
      <c r="Q44" s="19"/>
      <c r="R44" s="8"/>
      <c r="S44" s="1"/>
      <c r="T44" s="1"/>
      <c r="U44" s="1"/>
      <c r="V44" s="1"/>
      <c r="W44" s="1"/>
      <c r="X44" s="1"/>
      <c r="Y44" s="1"/>
      <c r="Z44" s="1"/>
    </row>
    <row r="45" ht="15.0" customHeight="1">
      <c r="A45" s="24"/>
      <c r="B45" s="46" t="s">
        <v>17</v>
      </c>
      <c r="C45" s="66" t="s">
        <v>37</v>
      </c>
      <c r="D45" s="22"/>
      <c r="E45" s="12">
        <v>31.0</v>
      </c>
      <c r="F45" s="12">
        <v>39.0</v>
      </c>
      <c r="G45" s="12">
        <v>34.0</v>
      </c>
      <c r="H45" s="12">
        <v>50.0</v>
      </c>
      <c r="I45" s="12">
        <v>32.0</v>
      </c>
      <c r="J45" s="12">
        <v>23.0</v>
      </c>
      <c r="K45" s="12">
        <v>39.0</v>
      </c>
      <c r="L45" s="12">
        <v>51.0</v>
      </c>
      <c r="M45" s="12">
        <v>54.0</v>
      </c>
      <c r="N45" s="12">
        <v>28.0</v>
      </c>
      <c r="O45" s="12">
        <v>59.0</v>
      </c>
      <c r="P45" s="12">
        <v>54.0</v>
      </c>
      <c r="Q45" s="12">
        <v>33.0</v>
      </c>
      <c r="R45" s="8">
        <f t="shared" ref="R45:R57" si="14">SUM(E45:Q45)</f>
        <v>527</v>
      </c>
      <c r="S45" s="1"/>
      <c r="T45" s="1"/>
      <c r="U45" s="1"/>
      <c r="V45" s="1"/>
      <c r="W45" s="1"/>
      <c r="X45" s="1"/>
      <c r="Y45" s="1"/>
      <c r="Z45" s="1"/>
    </row>
    <row r="46" ht="12.75" customHeight="1">
      <c r="A46" s="24"/>
      <c r="B46" s="46" t="s">
        <v>19</v>
      </c>
      <c r="C46" s="66" t="s">
        <v>38</v>
      </c>
      <c r="D46" s="22"/>
      <c r="E46" s="12">
        <v>52.0</v>
      </c>
      <c r="F46" s="12">
        <v>49.0</v>
      </c>
      <c r="G46" s="12">
        <v>43.0</v>
      </c>
      <c r="H46" s="12">
        <v>48.0</v>
      </c>
      <c r="I46" s="12">
        <v>37.0</v>
      </c>
      <c r="J46" s="12">
        <v>44.0</v>
      </c>
      <c r="K46" s="12">
        <v>38.0</v>
      </c>
      <c r="L46" s="12">
        <v>47.0</v>
      </c>
      <c r="M46" s="12">
        <v>42.0</v>
      </c>
      <c r="N46" s="12">
        <v>57.0</v>
      </c>
      <c r="O46" s="12">
        <v>33.0</v>
      </c>
      <c r="P46" s="12">
        <v>36.0</v>
      </c>
      <c r="Q46" s="12">
        <v>40.0</v>
      </c>
      <c r="R46" s="8">
        <f t="shared" si="14"/>
        <v>566</v>
      </c>
      <c r="S46" s="1"/>
      <c r="T46" s="1"/>
      <c r="U46" s="1"/>
      <c r="V46" s="1"/>
      <c r="W46" s="1"/>
      <c r="X46" s="1"/>
      <c r="Y46" s="1"/>
      <c r="Z46" s="1"/>
    </row>
    <row r="47" ht="15.0" customHeight="1">
      <c r="A47" s="24"/>
      <c r="B47" s="46" t="s">
        <v>21</v>
      </c>
      <c r="C47" s="66" t="s">
        <v>39</v>
      </c>
      <c r="D47" s="22"/>
      <c r="E47" s="12">
        <v>11.0</v>
      </c>
      <c r="F47" s="12">
        <v>15.0</v>
      </c>
      <c r="G47" s="12">
        <v>15.0</v>
      </c>
      <c r="H47" s="12">
        <v>25.0</v>
      </c>
      <c r="I47" s="12">
        <v>12.0</v>
      </c>
      <c r="J47" s="12">
        <v>5.0</v>
      </c>
      <c r="K47" s="12">
        <v>11.0</v>
      </c>
      <c r="L47" s="12">
        <v>14.0</v>
      </c>
      <c r="M47" s="12">
        <v>8.0</v>
      </c>
      <c r="N47" s="12">
        <v>10.0</v>
      </c>
      <c r="O47" s="12">
        <v>13.0</v>
      </c>
      <c r="P47" s="12">
        <v>7.0</v>
      </c>
      <c r="Q47" s="12">
        <v>13.0</v>
      </c>
      <c r="R47" s="8">
        <f t="shared" si="14"/>
        <v>159</v>
      </c>
      <c r="S47" s="1"/>
      <c r="T47" s="1"/>
      <c r="U47" s="1"/>
      <c r="V47" s="1"/>
      <c r="W47" s="1"/>
      <c r="X47" s="1"/>
      <c r="Y47" s="1"/>
      <c r="Z47" s="1"/>
    </row>
    <row r="48" ht="15.0" customHeight="1">
      <c r="A48" s="24"/>
      <c r="B48" s="46" t="s">
        <v>23</v>
      </c>
      <c r="C48" s="66" t="s">
        <v>40</v>
      </c>
      <c r="D48" s="22"/>
      <c r="E48" s="12">
        <v>28.0</v>
      </c>
      <c r="F48" s="12">
        <v>20.0</v>
      </c>
      <c r="G48" s="12">
        <v>17.0</v>
      </c>
      <c r="H48" s="12">
        <v>22.0</v>
      </c>
      <c r="I48" s="12">
        <v>13.0</v>
      </c>
      <c r="J48" s="12">
        <v>9.0</v>
      </c>
      <c r="K48" s="12">
        <v>16.0</v>
      </c>
      <c r="L48" s="12">
        <v>13.0</v>
      </c>
      <c r="M48" s="12">
        <v>16.0</v>
      </c>
      <c r="N48" s="12">
        <v>22.0</v>
      </c>
      <c r="O48" s="12">
        <v>13.0</v>
      </c>
      <c r="P48" s="12">
        <v>14.0</v>
      </c>
      <c r="Q48" s="12">
        <v>23.0</v>
      </c>
      <c r="R48" s="8">
        <f t="shared" si="14"/>
        <v>226</v>
      </c>
      <c r="S48" s="1"/>
      <c r="T48" s="1"/>
      <c r="U48" s="1"/>
      <c r="V48" s="1"/>
      <c r="W48" s="1"/>
      <c r="X48" s="1"/>
      <c r="Y48" s="1"/>
      <c r="Z48" s="1"/>
    </row>
    <row r="49" ht="12.75" customHeight="1">
      <c r="A49" s="24"/>
      <c r="B49" s="46" t="s">
        <v>41</v>
      </c>
      <c r="C49" s="66" t="s">
        <v>42</v>
      </c>
      <c r="D49" s="22"/>
      <c r="E49" s="12">
        <v>9.0</v>
      </c>
      <c r="F49" s="12">
        <v>17.0</v>
      </c>
      <c r="G49" s="12">
        <v>16.0</v>
      </c>
      <c r="H49" s="12">
        <v>11.0</v>
      </c>
      <c r="I49" s="12">
        <v>15.0</v>
      </c>
      <c r="J49" s="12">
        <v>16.0</v>
      </c>
      <c r="K49" s="12">
        <v>13.0</v>
      </c>
      <c r="L49" s="12">
        <v>22.0</v>
      </c>
      <c r="M49" s="12">
        <v>11.0</v>
      </c>
      <c r="N49" s="12">
        <v>14.0</v>
      </c>
      <c r="O49" s="12">
        <v>17.0</v>
      </c>
      <c r="P49" s="12">
        <v>13.0</v>
      </c>
      <c r="Q49" s="12">
        <v>14.0</v>
      </c>
      <c r="R49" s="8">
        <f t="shared" si="14"/>
        <v>188</v>
      </c>
      <c r="S49" s="1"/>
      <c r="T49" s="1"/>
      <c r="U49" s="1"/>
      <c r="V49" s="1"/>
      <c r="W49" s="1"/>
      <c r="X49" s="1"/>
      <c r="Y49" s="1"/>
      <c r="Z49" s="1"/>
    </row>
    <row r="50" ht="15.0" customHeight="1">
      <c r="A50" s="24"/>
      <c r="B50" s="46" t="s">
        <v>43</v>
      </c>
      <c r="C50" s="66" t="s">
        <v>44</v>
      </c>
      <c r="D50" s="22"/>
      <c r="E50" s="12">
        <v>25.0</v>
      </c>
      <c r="F50" s="12">
        <v>14.0</v>
      </c>
      <c r="G50" s="12">
        <v>17.0</v>
      </c>
      <c r="H50" s="12">
        <v>11.0</v>
      </c>
      <c r="I50" s="12">
        <v>12.0</v>
      </c>
      <c r="J50" s="12">
        <v>21.0</v>
      </c>
      <c r="K50" s="12">
        <v>13.0</v>
      </c>
      <c r="L50" s="12">
        <v>9.0</v>
      </c>
      <c r="M50" s="12">
        <v>16.0</v>
      </c>
      <c r="N50" s="12">
        <v>14.0</v>
      </c>
      <c r="O50" s="12">
        <v>18.0</v>
      </c>
      <c r="P50" s="12">
        <v>13.0</v>
      </c>
      <c r="Q50" s="12">
        <v>22.0</v>
      </c>
      <c r="R50" s="8">
        <f t="shared" si="14"/>
        <v>205</v>
      </c>
      <c r="S50" s="1"/>
      <c r="T50" s="1"/>
      <c r="U50" s="1"/>
      <c r="V50" s="1"/>
      <c r="W50" s="1"/>
      <c r="X50" s="1"/>
      <c r="Y50" s="1"/>
      <c r="Z50" s="1"/>
    </row>
    <row r="51" ht="15.0" customHeight="1">
      <c r="A51" s="24"/>
      <c r="B51" s="46" t="s">
        <v>45</v>
      </c>
      <c r="C51" s="66" t="s">
        <v>46</v>
      </c>
      <c r="D51" s="22"/>
      <c r="E51" s="12">
        <v>2.0</v>
      </c>
      <c r="F51" s="12">
        <v>0.0</v>
      </c>
      <c r="G51" s="12">
        <v>5.0</v>
      </c>
      <c r="H51" s="12">
        <v>2.0</v>
      </c>
      <c r="I51" s="12">
        <v>1.0</v>
      </c>
      <c r="J51" s="12">
        <v>1.0</v>
      </c>
      <c r="K51" s="12">
        <v>3.0</v>
      </c>
      <c r="L51" s="12">
        <v>2.0</v>
      </c>
      <c r="M51" s="12">
        <v>1.0</v>
      </c>
      <c r="N51" s="12">
        <v>3.0</v>
      </c>
      <c r="O51" s="12">
        <v>3.0</v>
      </c>
      <c r="P51" s="12">
        <v>0.0</v>
      </c>
      <c r="Q51" s="12">
        <v>3.0</v>
      </c>
      <c r="R51" s="8">
        <f t="shared" si="14"/>
        <v>26</v>
      </c>
      <c r="S51" s="1"/>
      <c r="T51" s="1"/>
      <c r="U51" s="1"/>
      <c r="V51" s="1"/>
      <c r="W51" s="1"/>
      <c r="X51" s="1"/>
      <c r="Y51" s="1"/>
      <c r="Z51" s="1"/>
    </row>
    <row r="52" ht="12.75" customHeight="1">
      <c r="A52" s="24"/>
      <c r="B52" s="46" t="s">
        <v>47</v>
      </c>
      <c r="C52" s="66" t="s">
        <v>48</v>
      </c>
      <c r="D52" s="22"/>
      <c r="E52" s="12">
        <v>2.0</v>
      </c>
      <c r="F52" s="12">
        <v>4.0</v>
      </c>
      <c r="G52" s="12">
        <v>5.0</v>
      </c>
      <c r="H52" s="12">
        <v>1.0</v>
      </c>
      <c r="I52" s="12">
        <v>7.0</v>
      </c>
      <c r="J52" s="12">
        <v>2.0</v>
      </c>
      <c r="K52" s="12">
        <v>2.0</v>
      </c>
      <c r="L52" s="12">
        <v>0.0</v>
      </c>
      <c r="M52" s="12">
        <v>0.0</v>
      </c>
      <c r="N52" s="12">
        <v>1.0</v>
      </c>
      <c r="O52" s="12">
        <v>1.0</v>
      </c>
      <c r="P52" s="12">
        <v>0.0</v>
      </c>
      <c r="Q52" s="12">
        <v>1.0</v>
      </c>
      <c r="R52" s="8">
        <f t="shared" si="14"/>
        <v>26</v>
      </c>
      <c r="S52" s="1"/>
      <c r="T52" s="1"/>
      <c r="U52" s="1"/>
      <c r="V52" s="1"/>
      <c r="W52" s="1"/>
      <c r="X52" s="1"/>
      <c r="Y52" s="1"/>
      <c r="Z52" s="1"/>
    </row>
    <row r="53" ht="12.75" customHeight="1">
      <c r="A53" s="24"/>
      <c r="B53" s="46" t="s">
        <v>49</v>
      </c>
      <c r="C53" s="66" t="s">
        <v>50</v>
      </c>
      <c r="D53" s="22"/>
      <c r="E53" s="12">
        <v>1.0</v>
      </c>
      <c r="F53" s="12">
        <v>0.0</v>
      </c>
      <c r="G53" s="12">
        <v>0.0</v>
      </c>
      <c r="H53" s="12">
        <v>0.0</v>
      </c>
      <c r="I53" s="12">
        <v>0.0</v>
      </c>
      <c r="J53" s="12">
        <v>1.0</v>
      </c>
      <c r="K53" s="12">
        <v>0.0</v>
      </c>
      <c r="L53" s="12">
        <v>0.0</v>
      </c>
      <c r="M53" s="12">
        <v>4.0</v>
      </c>
      <c r="N53" s="12">
        <v>0.0</v>
      </c>
      <c r="O53" s="12">
        <v>0.0</v>
      </c>
      <c r="P53" s="12">
        <v>0.0</v>
      </c>
      <c r="Q53" s="12">
        <v>1.0</v>
      </c>
      <c r="R53" s="8">
        <f t="shared" si="14"/>
        <v>7</v>
      </c>
      <c r="S53" s="1"/>
      <c r="T53" s="1"/>
      <c r="U53" s="1"/>
      <c r="V53" s="1"/>
      <c r="W53" s="1"/>
      <c r="X53" s="1"/>
      <c r="Y53" s="1"/>
      <c r="Z53" s="1"/>
    </row>
    <row r="54" ht="12.75" customHeight="1">
      <c r="A54" s="24"/>
      <c r="B54" s="46" t="s">
        <v>51</v>
      </c>
      <c r="C54" s="66" t="s">
        <v>52</v>
      </c>
      <c r="D54" s="22"/>
      <c r="E54" s="12">
        <v>26.0</v>
      </c>
      <c r="F54" s="12">
        <v>18.0</v>
      </c>
      <c r="G54" s="12">
        <v>17.0</v>
      </c>
      <c r="H54" s="12">
        <v>25.0</v>
      </c>
      <c r="I54" s="12">
        <v>25.0</v>
      </c>
      <c r="J54" s="12">
        <v>14.0</v>
      </c>
      <c r="K54" s="12">
        <v>20.0</v>
      </c>
      <c r="L54" s="12">
        <v>21.0</v>
      </c>
      <c r="M54" s="12">
        <v>21.0</v>
      </c>
      <c r="N54" s="12">
        <v>19.0</v>
      </c>
      <c r="O54" s="12">
        <v>8.0</v>
      </c>
      <c r="P54" s="12">
        <v>13.0</v>
      </c>
      <c r="Q54" s="12">
        <v>18.0</v>
      </c>
      <c r="R54" s="8">
        <f t="shared" si="14"/>
        <v>245</v>
      </c>
      <c r="S54" s="1"/>
      <c r="T54" s="1"/>
      <c r="U54" s="1"/>
      <c r="V54" s="1"/>
      <c r="W54" s="1"/>
      <c r="X54" s="1"/>
      <c r="Y54" s="1"/>
      <c r="Z54" s="1"/>
    </row>
    <row r="55" ht="12.75" customHeight="1">
      <c r="A55" s="24"/>
      <c r="B55" s="46" t="s">
        <v>53</v>
      </c>
      <c r="C55" s="66" t="s">
        <v>54</v>
      </c>
      <c r="D55" s="22"/>
      <c r="E55" s="12">
        <v>3.0</v>
      </c>
      <c r="F55" s="12">
        <v>0.0</v>
      </c>
      <c r="G55" s="12">
        <v>2.0</v>
      </c>
      <c r="H55" s="12">
        <v>2.0</v>
      </c>
      <c r="I55" s="12">
        <v>0.0</v>
      </c>
      <c r="J55" s="12">
        <v>1.0</v>
      </c>
      <c r="K55" s="12">
        <v>1.0</v>
      </c>
      <c r="L55" s="12">
        <v>0.0</v>
      </c>
      <c r="M55" s="12">
        <v>1.0</v>
      </c>
      <c r="N55" s="12">
        <v>1.0</v>
      </c>
      <c r="O55" s="12">
        <v>0.0</v>
      </c>
      <c r="P55" s="12">
        <v>0.0</v>
      </c>
      <c r="Q55" s="12">
        <v>2.0</v>
      </c>
      <c r="R55" s="8">
        <f t="shared" si="14"/>
        <v>13</v>
      </c>
      <c r="S55" s="1"/>
      <c r="T55" s="1"/>
      <c r="U55" s="1"/>
      <c r="V55" s="1"/>
      <c r="W55" s="1"/>
      <c r="X55" s="1"/>
      <c r="Y55" s="1"/>
      <c r="Z55" s="1"/>
    </row>
    <row r="56" ht="12.75" customHeight="1">
      <c r="A56" s="24"/>
      <c r="B56" s="46" t="s">
        <v>55</v>
      </c>
      <c r="C56" s="66" t="s">
        <v>56</v>
      </c>
      <c r="D56" s="22"/>
      <c r="E56" s="12">
        <v>22.0</v>
      </c>
      <c r="F56" s="12">
        <v>12.0</v>
      </c>
      <c r="G56" s="12">
        <v>16.0</v>
      </c>
      <c r="H56" s="12">
        <v>28.0</v>
      </c>
      <c r="I56" s="12">
        <v>30.0</v>
      </c>
      <c r="J56" s="12">
        <v>20.0</v>
      </c>
      <c r="K56" s="12">
        <v>20.0</v>
      </c>
      <c r="L56" s="12">
        <v>16.0</v>
      </c>
      <c r="M56" s="12">
        <v>24.0</v>
      </c>
      <c r="N56" s="12">
        <v>21.0</v>
      </c>
      <c r="O56" s="12">
        <v>20.0</v>
      </c>
      <c r="P56" s="12">
        <v>20.0</v>
      </c>
      <c r="Q56" s="12">
        <v>21.0</v>
      </c>
      <c r="R56" s="8">
        <f t="shared" si="14"/>
        <v>270</v>
      </c>
      <c r="S56" s="1"/>
      <c r="T56" s="1"/>
      <c r="U56" s="1"/>
      <c r="V56" s="1"/>
      <c r="W56" s="1"/>
      <c r="X56" s="1"/>
      <c r="Y56" s="1"/>
      <c r="Z56" s="1"/>
    </row>
    <row r="57" ht="12.75" customHeight="1">
      <c r="A57" s="64"/>
      <c r="B57" s="46" t="s">
        <v>57</v>
      </c>
      <c r="C57" s="66" t="s">
        <v>58</v>
      </c>
      <c r="D57" s="22"/>
      <c r="E57" s="12">
        <v>2.0</v>
      </c>
      <c r="F57" s="12">
        <v>1.0</v>
      </c>
      <c r="G57" s="12">
        <v>2.0</v>
      </c>
      <c r="H57" s="12">
        <v>2.0</v>
      </c>
      <c r="I57" s="12">
        <v>2.0</v>
      </c>
      <c r="J57" s="12">
        <v>1.0</v>
      </c>
      <c r="K57" s="12">
        <v>1.0</v>
      </c>
      <c r="L57" s="12">
        <v>0.0</v>
      </c>
      <c r="M57" s="12">
        <v>2.0</v>
      </c>
      <c r="N57" s="12">
        <v>3.0</v>
      </c>
      <c r="O57" s="12">
        <v>0.0</v>
      </c>
      <c r="P57" s="12">
        <v>1.0</v>
      </c>
      <c r="Q57" s="12">
        <v>2.0</v>
      </c>
      <c r="R57" s="8">
        <f t="shared" si="14"/>
        <v>19</v>
      </c>
      <c r="S57" s="1"/>
      <c r="T57" s="1"/>
      <c r="U57" s="1"/>
      <c r="V57" s="1"/>
      <c r="W57" s="1"/>
      <c r="X57" s="1"/>
      <c r="Y57" s="1"/>
      <c r="Z57" s="1"/>
    </row>
    <row r="58" ht="12.75" customHeight="1">
      <c r="A58" s="29"/>
      <c r="B58" s="21"/>
      <c r="C58" s="21"/>
      <c r="D58" s="22"/>
      <c r="E58" s="12"/>
      <c r="F58" s="12"/>
      <c r="G58" s="12"/>
      <c r="H58" s="12"/>
      <c r="I58" s="12"/>
      <c r="J58" s="12"/>
      <c r="K58" s="12"/>
      <c r="L58" s="12"/>
      <c r="M58" s="12"/>
      <c r="N58" s="17"/>
      <c r="O58" s="17"/>
      <c r="P58" s="17"/>
      <c r="Q58" s="17"/>
      <c r="R58" s="8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61" t="s">
        <v>59</v>
      </c>
      <c r="B59" s="20" t="s">
        <v>60</v>
      </c>
      <c r="C59" s="21"/>
      <c r="D59" s="22"/>
      <c r="E59" s="8"/>
      <c r="F59" s="8"/>
      <c r="G59" s="8"/>
      <c r="H59" s="8"/>
      <c r="I59" s="8"/>
      <c r="J59" s="8"/>
      <c r="K59" s="8"/>
      <c r="L59" s="8"/>
      <c r="M59" s="8"/>
      <c r="N59" s="39"/>
      <c r="O59" s="39"/>
      <c r="P59" s="39"/>
      <c r="Q59" s="39"/>
      <c r="R59" s="8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61"/>
      <c r="B60" s="69" t="s">
        <v>61</v>
      </c>
      <c r="C60" s="50" t="s">
        <v>62</v>
      </c>
      <c r="D60" s="22"/>
      <c r="E60" s="12">
        <f t="shared" ref="E60:Q60" si="15">SUM(E45:E57)</f>
        <v>214</v>
      </c>
      <c r="F60" s="12">
        <f t="shared" si="15"/>
        <v>189</v>
      </c>
      <c r="G60" s="12">
        <f t="shared" si="15"/>
        <v>189</v>
      </c>
      <c r="H60" s="12">
        <f t="shared" si="15"/>
        <v>227</v>
      </c>
      <c r="I60" s="12">
        <f t="shared" si="15"/>
        <v>186</v>
      </c>
      <c r="J60" s="12">
        <f t="shared" si="15"/>
        <v>158</v>
      </c>
      <c r="K60" s="12">
        <f t="shared" si="15"/>
        <v>177</v>
      </c>
      <c r="L60" s="12">
        <f t="shared" si="15"/>
        <v>195</v>
      </c>
      <c r="M60" s="12">
        <f t="shared" si="15"/>
        <v>200</v>
      </c>
      <c r="N60" s="12">
        <f t="shared" si="15"/>
        <v>193</v>
      </c>
      <c r="O60" s="12">
        <f t="shared" si="15"/>
        <v>185</v>
      </c>
      <c r="P60" s="12">
        <f t="shared" si="15"/>
        <v>171</v>
      </c>
      <c r="Q60" s="12">
        <f t="shared" si="15"/>
        <v>193</v>
      </c>
      <c r="R60" s="8">
        <f t="shared" ref="R60:R62" si="16">SUM(E60:Q60)</f>
        <v>2477</v>
      </c>
      <c r="S60" s="1"/>
      <c r="T60" s="1"/>
      <c r="U60" s="1"/>
      <c r="V60" s="1"/>
      <c r="W60" s="1"/>
      <c r="X60" s="1"/>
      <c r="Y60" s="1"/>
      <c r="Z60" s="1"/>
    </row>
    <row r="61" ht="12.75" customHeight="1">
      <c r="A61" s="57"/>
      <c r="B61" s="69" t="s">
        <v>63</v>
      </c>
      <c r="C61" s="50" t="s">
        <v>64</v>
      </c>
      <c r="D61" s="22"/>
      <c r="E61" s="12">
        <v>23.0</v>
      </c>
      <c r="F61" s="12">
        <v>26.0</v>
      </c>
      <c r="G61" s="12">
        <v>27.0</v>
      </c>
      <c r="H61" s="12">
        <v>22.0</v>
      </c>
      <c r="I61" s="12">
        <v>40.0</v>
      </c>
      <c r="J61" s="12">
        <v>43.0</v>
      </c>
      <c r="K61" s="12">
        <v>21.0</v>
      </c>
      <c r="L61" s="12">
        <v>22.0</v>
      </c>
      <c r="M61" s="12">
        <v>17.0</v>
      </c>
      <c r="N61" s="12">
        <v>41.0</v>
      </c>
      <c r="O61" s="12">
        <v>11.0</v>
      </c>
      <c r="P61" s="12">
        <v>23.0</v>
      </c>
      <c r="Q61" s="12">
        <v>25.0</v>
      </c>
      <c r="R61" s="8">
        <f t="shared" si="16"/>
        <v>341</v>
      </c>
      <c r="S61" s="1"/>
      <c r="T61" s="1"/>
      <c r="U61" s="1"/>
      <c r="V61" s="1"/>
      <c r="W61" s="1"/>
      <c r="X61" s="1"/>
      <c r="Y61" s="1"/>
      <c r="Z61" s="1"/>
    </row>
    <row r="62" ht="12.75" customHeight="1">
      <c r="A62" s="58"/>
      <c r="B62" s="69" t="s">
        <v>65</v>
      </c>
      <c r="C62" s="50" t="s">
        <v>66</v>
      </c>
      <c r="D62" s="22"/>
      <c r="E62" s="8">
        <f t="shared" ref="E62:Q62" si="17">SUM(E60:E61)</f>
        <v>237</v>
      </c>
      <c r="F62" s="8">
        <f t="shared" si="17"/>
        <v>215</v>
      </c>
      <c r="G62" s="8">
        <f t="shared" si="17"/>
        <v>216</v>
      </c>
      <c r="H62" s="8">
        <f t="shared" si="17"/>
        <v>249</v>
      </c>
      <c r="I62" s="8">
        <f t="shared" si="17"/>
        <v>226</v>
      </c>
      <c r="J62" s="8">
        <f t="shared" si="17"/>
        <v>201</v>
      </c>
      <c r="K62" s="8">
        <f t="shared" si="17"/>
        <v>198</v>
      </c>
      <c r="L62" s="8">
        <f t="shared" si="17"/>
        <v>217</v>
      </c>
      <c r="M62" s="8">
        <f t="shared" si="17"/>
        <v>217</v>
      </c>
      <c r="N62" s="8">
        <f t="shared" si="17"/>
        <v>234</v>
      </c>
      <c r="O62" s="8">
        <f t="shared" si="17"/>
        <v>196</v>
      </c>
      <c r="P62" s="8">
        <f t="shared" si="17"/>
        <v>194</v>
      </c>
      <c r="Q62" s="8">
        <f t="shared" si="17"/>
        <v>218</v>
      </c>
      <c r="R62" s="8">
        <f t="shared" si="16"/>
        <v>2818</v>
      </c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6">
    <mergeCell ref="B12:D12"/>
    <mergeCell ref="E12:Q12"/>
    <mergeCell ref="R12:R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E37:I37"/>
    <mergeCell ref="B36:D36"/>
    <mergeCell ref="B38:D38"/>
    <mergeCell ref="B39:C41"/>
    <mergeCell ref="A42:D42"/>
    <mergeCell ref="E42:I42"/>
    <mergeCell ref="B43:D43"/>
    <mergeCell ref="B44:D44"/>
    <mergeCell ref="C45:D45"/>
    <mergeCell ref="C46:D46"/>
    <mergeCell ref="C47:D47"/>
    <mergeCell ref="C48:D48"/>
    <mergeCell ref="C49:D49"/>
    <mergeCell ref="C50:D50"/>
    <mergeCell ref="C51:D51"/>
    <mergeCell ref="B59:D59"/>
    <mergeCell ref="C60:D60"/>
    <mergeCell ref="C61:D61"/>
    <mergeCell ref="C62:D62"/>
    <mergeCell ref="C52:D52"/>
    <mergeCell ref="C53:D53"/>
    <mergeCell ref="C54:D54"/>
    <mergeCell ref="C55:D55"/>
    <mergeCell ref="C56:D56"/>
    <mergeCell ref="C57:D57"/>
    <mergeCell ref="A58:D58"/>
  </mergeCells>
  <conditionalFormatting sqref="E30:Q30">
    <cfRule type="expression" dxfId="0" priority="1">
      <formula>E30&lt;&gt;E62</formula>
    </cfRule>
  </conditionalFormatting>
  <conditionalFormatting sqref="E34:Q34">
    <cfRule type="expression" dxfId="0" priority="2">
      <formula>E34&lt;&gt;E62</formula>
    </cfRule>
  </conditionalFormatting>
  <conditionalFormatting sqref="E14:Q15">
    <cfRule type="containsBlanks" dxfId="1" priority="3">
      <formula>LEN(TRIM(E14))=0</formula>
    </cfRule>
  </conditionalFormatting>
  <conditionalFormatting sqref="E19:Q20">
    <cfRule type="containsBlanks" dxfId="1" priority="4">
      <formula>LEN(TRIM(E19))=0</formula>
    </cfRule>
  </conditionalFormatting>
  <conditionalFormatting sqref="E22:Q23 E25:Q26 E33:Q33 E35:Q35 E39:Q40">
    <cfRule type="containsBlanks" dxfId="1" priority="5">
      <formula>LEN(TRIM(E22))=0</formula>
    </cfRule>
  </conditionalFormatting>
  <conditionalFormatting sqref="E30:Q30">
    <cfRule type="expression" dxfId="0" priority="6">
      <formula>E30&lt;&gt;E34</formula>
    </cfRule>
  </conditionalFormatting>
  <conditionalFormatting sqref="E34:Q34">
    <cfRule type="expression" dxfId="2" priority="7">
      <formula>E30&lt;&gt;E34</formula>
    </cfRule>
  </conditionalFormatting>
  <conditionalFormatting sqref="E34:Q34">
    <cfRule type="expression" dxfId="3" priority="8">
      <formula>E30=E34</formula>
    </cfRule>
  </conditionalFormatting>
  <conditionalFormatting sqref="E34:Q34">
    <cfRule type="expression" dxfId="0" priority="9">
      <formula>E34&lt;&gt;E30</formula>
    </cfRule>
  </conditionalFormatting>
  <conditionalFormatting sqref="E45:Q57">
    <cfRule type="containsBlanks" dxfId="1" priority="10">
      <formula>LEN(TRIM(E45))=0</formula>
    </cfRule>
  </conditionalFormatting>
  <conditionalFormatting sqref="E60:Q61">
    <cfRule type="containsBlanks" dxfId="1" priority="11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2026-01-14T02:25:32Z</dcterms:created>
  <dc:creator>TEKHUM KPU BWI</dc:creator>
</cp:coreProperties>
</file>