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BADEAN" sheetId="2" r:id="rId5"/>
    <sheet state="visible" name="BLIMBINGSARI" sheetId="3" r:id="rId6"/>
    <sheet state="visible" name="BOMO" sheetId="4" r:id="rId7"/>
    <sheet state="visible" name="GINTANGAN" sheetId="5" r:id="rId8"/>
    <sheet state="visible" name="KALIGUNG" sheetId="6" r:id="rId9"/>
    <sheet state="visible" name="KAOTAN" sheetId="7" r:id="rId10"/>
    <sheet state="visible" name="KARANGREJO" sheetId="8" r:id="rId11"/>
    <sheet state="visible" name="PATOMAN" sheetId="9" r:id="rId12"/>
    <sheet state="visible" name="SUKOJATI" sheetId="10" r:id="rId13"/>
    <sheet state="visible" name="WATUKEBO" sheetId="11" r:id="rId14"/>
  </sheets>
  <definedNames/>
  <calcPr/>
  <extLst>
    <ext uri="GoogleSheetsCustomDataVersion2">
      <go:sheetsCustomData xmlns:go="http://customooxmlschemas.google.com/" r:id="rId15" roundtripDataChecksum="+mArkwI86TF+UGVEPudwIDqBqOHWb2BFwz8x8LJIRHc="/>
    </ext>
  </extLst>
</workbook>
</file>

<file path=xl/sharedStrings.xml><?xml version="1.0" encoding="utf-8"?>
<sst xmlns="http://schemas.openxmlformats.org/spreadsheetml/2006/main" count="1135" uniqueCount="112">
  <si>
    <t>Kecamatan</t>
  </si>
  <si>
    <t>BLIMBINGSARI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</si>
  <si>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</si>
  <si>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</si>
  <si>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</si>
  <si>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</si>
  <si>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</si>
  <si>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</si>
  <si>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</si>
  <si>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</si>
  <si>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</si>
  <si>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</si>
  <si>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</si>
  <si>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</si>
  <si>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</si>
  <si>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</si>
  <si>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</si>
  <si>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</si>
  <si>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</si>
  <si>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</si>
  <si>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</si>
  <si>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</si>
  <si>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</si>
  <si>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</si>
  <si>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</si>
  <si>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</si>
  <si>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</si>
  <si>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</si>
  <si>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</si>
  <si>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</si>
  <si>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</si>
  <si>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</si>
  <si>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</si>
  <si>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</si>
  <si>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</si>
  <si>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</si>
  <si>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</si>
  <si>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A.2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</si>
  <si>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</si>
  <si>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</si>
  <si>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</si>
  <si>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</si>
  <si>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</si>
  <si>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</si>
  <si>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</si>
  <si>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</si>
  <si>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</si>
  <si>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</si>
  <si>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</si>
  <si>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</si>
  <si>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</si>
  <si>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</si>
  <si>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</si>
  <si>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</si>
  <si>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</si>
  <si>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</si>
  <si>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</si>
  <si>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</si>
  <si>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</si>
  <si>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</si>
  <si>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</si>
  <si>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</si>
  <si>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</si>
  <si>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</si>
  <si>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</si>
  <si>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</si>
  <si>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</si>
  <si>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</si>
  <si>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</si>
  <si>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BADEAN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</si>
  <si>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</si>
  <si>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</si>
  <si>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</si>
  <si>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</si>
  <si>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</si>
  <si>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</si>
  <si>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</si>
  <si>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</si>
  <si>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</si>
  <si>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</si>
  <si>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</si>
  <si>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</si>
  <si>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</si>
  <si>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</si>
  <si>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</si>
  <si>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</si>
  <si>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</si>
  <si>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</si>
  <si>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</si>
  <si>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</si>
  <si>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</si>
  <si>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</si>
  <si>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</si>
  <si>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BOMO</t>
  </si>
  <si>
    <t>GINTANGAN</t>
  </si>
  <si>
    <t>KALIGUNG</t>
  </si>
  <si>
    <t>TPS 901</t>
  </si>
  <si>
    <t>TPS 902</t>
  </si>
  <si>
    <t>KAOTAN</t>
  </si>
  <si>
    <t>KARANGREJO</t>
  </si>
  <si>
    <t>PATOMAN</t>
  </si>
  <si>
    <t>SUKOJATI</t>
  </si>
  <si>
    <t>WATUKEBO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</si>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</sst>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Bookman Old Style"/>
    </font>
    <font>
      <b/>
      <color theme="1"/>
      <name val="Bookman Old Style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  <fill>
      <patternFill patternType="solid">
        <fgColor rgb="FF00B050"/>
        <bgColor rgb="FF00B05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1" fillId="0" fontId="10" numFmtId="0" xfId="0" applyBorder="1" applyFont="1"/>
    <xf borderId="1" fillId="3" fontId="9" numFmtId="0" xfId="0" applyAlignment="1" applyBorder="1" applyFill="1" applyFont="1">
      <alignment horizontal="center"/>
    </xf>
    <xf borderId="1" fillId="4" fontId="9" numFmtId="0" xfId="0" applyAlignment="1" applyBorder="1" applyFill="1" applyFont="1">
      <alignment horizontal="center"/>
    </xf>
    <xf borderId="2" fillId="0" fontId="10" numFmtId="0" xfId="0" applyBorder="1" applyFont="1"/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BADEAN!AB14+BLIMBINGSARI!U14+BOMO!W14+GINTANGAN!Z14+KALIGUNG!R14+KAOTAN!M14+KARANGREJO!P14+PATOMAN!T14+SUKOJATI!P14+WATUKEBO!AK14</f>
        <v>21865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BADEAN!AB15+BLIMBINGSARI!U15+BOMO!W15+GINTANGAN!Z15+KALIGUNG!R15+KAOTAN!M15+KARANGREJO!P15+PATOMAN!T15+SUKOJATI!P15+WATUKEBO!AK15</f>
        <v>21891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43756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BADEAN!AB19+BLIMBINGSARI!U19+BOMO!W19+GINTANGAN!Z19+KALIGUNG!R19+KAOTAN!M19+KARANGREJO!P19+PATOMAN!T19+SUKOJATI!P19+WATUKEBO!AK19</f>
        <v>16413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BADEAN!AB20+BLIMBINGSARI!U20+BOMO!W20+GINTANGAN!Z20+KALIGUNG!R20+KAOTAN!M20+KARANGREJO!P20+PATOMAN!T20+SUKOJATI!P20+WATUKEBO!AK20</f>
        <v>17835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34248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BADEAN!AB22+BLIMBINGSARI!U22+BOMO!W22+GINTANGAN!Z22+KALIGUNG!R22+KAOTAN!M22+KARANGREJO!P22+PATOMAN!T22+SUKOJATI!P22+WATUKEBO!AK22</f>
        <v>101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BADEAN!AB23+BLIMBINGSARI!U23+BOMO!W23+GINTANGAN!Z23+KALIGUNG!R23+KAOTAN!M23+KARANGREJO!P23+PATOMAN!T23+SUKOJATI!P23+WATUKEBO!AK23</f>
        <v>27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128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BADEAN!AB25+BLIMBINGSARI!U25+BOMO!W25+GINTANGAN!Z25+KALIGUNG!R25+KAOTAN!M25+KARANGREJO!P25+PATOMAN!T25+SUKOJATI!P25+WATUKEBO!AK25</f>
        <v>100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BADEAN!AB26+BLIMBINGSARI!U26+BOMO!W26+GINTANGAN!Z26+KALIGUNG!R26+KAOTAN!M26+KARANGREJO!P26+PATOMAN!T26+SUKOJATI!P26+WATUKEBO!AK26</f>
        <v>140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240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16614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18002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34616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BADEAN!AB33+BLIMBINGSARI!U33+BOMO!W33+GINTANGAN!Z33+KALIGUNG!R33+KAOTAN!M33+KARANGREJO!P33+PATOMAN!T33+SUKOJATI!P33+WATUKEBO!AK33</f>
        <v>44739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BADEAN!AB34+BLIMBINGSARI!U34+BOMO!W34+GINTANGAN!Z34+KALIGUNG!R34+KAOTAN!M34+KARANGREJO!P34+PATOMAN!T34+SUKOJATI!P34+WATUKEBO!AK34</f>
        <v>34616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BADEAN!AB35+BLIMBINGSARI!U35+BOMO!W35+GINTANGAN!Z35+KALIGUNG!R35+KAOTAN!M35+KARANGREJO!P35+PATOMAN!T35+SUKOJATI!P35+WATUKEBO!AK35</f>
        <v>131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9992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BADEAN!AB39+BLIMBINGSARI!U39+BOMO!W39+GINTANGAN!Z39+KALIGUNG!R39+KAOTAN!M39+KARANGREJO!P39+PATOMAN!T39+SUKOJATI!P39+WATUKEBO!AK39</f>
        <v>46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BADEAN!AB40+BLIMBINGSARI!U40+BOMO!W40+GINTANGAN!Z40+KALIGUNG!R40+KAOTAN!M40+KARANGREJO!P40+PATOMAN!T40+SUKOJATI!P40+WATUKEBO!AK40</f>
        <v>48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94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BADEAN!AB45+BLIMBINGSARI!U45+BOMO!W45+GINTANGAN!Z45+KALIGUNG!R45+KAOTAN!M45+KARANGREJO!P45+PATOMAN!T45+SUKOJATI!P45+WATUKEBO!AK45</f>
        <v>2452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 t="s">
        <v>19</v>
      </c>
      <c r="C46" s="48" t="s">
        <v>39</v>
      </c>
      <c r="D46" s="16"/>
      <c r="E46" s="24">
        <f>BADEAN!AB46+BLIMBINGSARI!U46+BOMO!W46+GINTANGAN!Z46+KALIGUNG!R46+KAOTAN!M46+KARANGREJO!P46+PATOMAN!T46+SUKOJATI!P46+WATUKEBO!AK46</f>
        <v>5449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 t="s">
        <v>21</v>
      </c>
      <c r="C47" s="48" t="s">
        <v>40</v>
      </c>
      <c r="D47" s="16"/>
      <c r="E47" s="24">
        <f>BADEAN!AB47+BLIMBINGSARI!U47+BOMO!W47+GINTANGAN!Z47+KALIGUNG!R47+KAOTAN!M47+KARANGREJO!P47+PATOMAN!T47+SUKOJATI!P47+WATUKEBO!AK47</f>
        <v>2152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7" t="s">
        <v>23</v>
      </c>
      <c r="C48" s="48" t="s">
        <v>41</v>
      </c>
      <c r="D48" s="16"/>
      <c r="E48" s="24">
        <f>BADEAN!AB48+BLIMBINGSARI!U48+BOMO!W48+GINTANGAN!Z48+KALIGUNG!R48+KAOTAN!M48+KARANGREJO!P48+PATOMAN!T48+SUKOJATI!P48+WATUKEBO!AK48</f>
        <v>4551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7" t="s">
        <v>42</v>
      </c>
      <c r="C49" s="48" t="s">
        <v>43</v>
      </c>
      <c r="D49" s="16"/>
      <c r="E49" s="24">
        <f>BADEAN!AB49+BLIMBINGSARI!U49+BOMO!W49+GINTANGAN!Z49+KALIGUNG!R49+KAOTAN!M49+KARANGREJO!P49+PATOMAN!T49+SUKOJATI!P49+WATUKEBO!AK49</f>
        <v>2250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7" t="s">
        <v>44</v>
      </c>
      <c r="C50" s="48" t="s">
        <v>45</v>
      </c>
      <c r="D50" s="16"/>
      <c r="E50" s="24">
        <f>BADEAN!AB50+BLIMBINGSARI!U50+BOMO!W50+GINTANGAN!Z50+KALIGUNG!R50+KAOTAN!M50+KARANGREJO!P50+PATOMAN!T50+SUKOJATI!P50+WATUKEBO!AK50</f>
        <v>2020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7" t="s">
        <v>46</v>
      </c>
      <c r="C51" s="48" t="s">
        <v>47</v>
      </c>
      <c r="D51" s="16"/>
      <c r="E51" s="24">
        <f>BADEAN!AB51+BLIMBINGSARI!U51+BOMO!W51+GINTANGAN!Z51+KALIGUNG!R51+KAOTAN!M51+KARANGREJO!P51+PATOMAN!T51+SUKOJATI!P51+WATUKEBO!AK51</f>
        <v>332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7" t="s">
        <v>48</v>
      </c>
      <c r="C52" s="48" t="s">
        <v>49</v>
      </c>
      <c r="D52" s="16"/>
      <c r="E52" s="24">
        <f>BADEAN!AB52+BLIMBINGSARI!U52+BOMO!W52+GINTANGAN!Z52+KALIGUNG!R52+KAOTAN!M52+KARANGREJO!P52+PATOMAN!T52+SUKOJATI!P52+WATUKEBO!AK52</f>
        <v>544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7" t="s">
        <v>50</v>
      </c>
      <c r="C53" s="48" t="s">
        <v>51</v>
      </c>
      <c r="D53" s="16"/>
      <c r="E53" s="24">
        <f>BADEAN!AB53+BLIMBINGSARI!U53+BOMO!W53+GINTANGAN!Z53+KALIGUNG!R53+KAOTAN!M53+KARANGREJO!P53+PATOMAN!T53+SUKOJATI!P53+WATUKEBO!AK53</f>
        <v>119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7" t="s">
        <v>52</v>
      </c>
      <c r="C54" s="48" t="s">
        <v>53</v>
      </c>
      <c r="D54" s="16"/>
      <c r="E54" s="24">
        <f>BADEAN!AB54+BLIMBINGSARI!U54+BOMO!W54+GINTANGAN!Z54+KALIGUNG!R54+KAOTAN!M54+KARANGREJO!P54+PATOMAN!T54+SUKOJATI!P54+WATUKEBO!AK54</f>
        <v>2645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8"/>
      <c r="B55" s="47" t="s">
        <v>54</v>
      </c>
      <c r="C55" s="48" t="s">
        <v>55</v>
      </c>
      <c r="D55" s="16"/>
      <c r="E55" s="24">
        <f>BADEAN!AB55+BLIMBINGSARI!U55+BOMO!W55+GINTANGAN!Z55+KALIGUNG!R55+KAOTAN!M55+KARANGREJO!P55+PATOMAN!T55+SUKOJATI!P55+WATUKEBO!AK55</f>
        <v>214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47" t="s">
        <v>56</v>
      </c>
      <c r="C56" s="48" t="s">
        <v>57</v>
      </c>
      <c r="D56" s="16"/>
      <c r="E56" s="24">
        <f>BADEAN!AB56+BLIMBINGSARI!U56+BOMO!W56+GINTANGAN!Z56+KALIGUNG!R56+KAOTAN!M56+KARANGREJO!P56+PATOMAN!T56+SUKOJATI!P56+WATUKEBO!AK56</f>
        <v>3135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7" t="s">
        <v>58</v>
      </c>
      <c r="C57" s="48" t="s">
        <v>59</v>
      </c>
      <c r="D57" s="16"/>
      <c r="E57" s="24">
        <f>BADEAN!AB57+BLIMBINGSARI!U57+BOMO!W57+GINTANGAN!Z57+KALIGUNG!R57+KAOTAN!M57+KARANGREJO!P57+PATOMAN!T57+SUKOJATI!P57+WATUKEBO!AK57</f>
        <v>331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2" t="s">
        <v>60</v>
      </c>
      <c r="B59" s="14" t="s">
        <v>61</v>
      </c>
      <c r="C59" s="15"/>
      <c r="D59" s="16"/>
      <c r="E59" s="13"/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2"/>
      <c r="B60" s="53" t="s">
        <v>62</v>
      </c>
      <c r="C60" s="54" t="s">
        <v>63</v>
      </c>
      <c r="D60" s="16"/>
      <c r="E60" s="24">
        <f>BADEAN!AB60+BLIMBINGSARI!U60+BOMO!W60+GINTANGAN!Z60+KALIGUNG!R60+KAOTAN!M60+KARANGREJO!P60+PATOMAN!T60+SUKOJATI!P60+WATUKEBO!AK60</f>
        <v>26194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5"/>
      <c r="B61" s="53" t="s">
        <v>64</v>
      </c>
      <c r="C61" s="54" t="s">
        <v>65</v>
      </c>
      <c r="D61" s="16"/>
      <c r="E61" s="24">
        <f>BADEAN!AB61+BLIMBINGSARI!U61+BOMO!W61+GINTANGAN!Z61+KALIGUNG!R61+KAOTAN!M61+KARANGREJO!P61+PATOMAN!T61+SUKOJATI!P61+WATUKEBO!AK61</f>
        <v>8187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1"/>
      <c r="B62" s="53" t="s">
        <v>66</v>
      </c>
      <c r="C62" s="54" t="s">
        <v>67</v>
      </c>
      <c r="D62" s="16"/>
      <c r="E62" s="13">
        <f>SUM(E60:E61)</f>
        <v>34381</v>
      </c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55"/>
      <c r="C253" s="5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55"/>
      <c r="C254" s="5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55"/>
      <c r="C255" s="5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55"/>
      <c r="C256" s="5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55"/>
      <c r="C257" s="5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55"/>
      <c r="C258" s="5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55"/>
      <c r="C259" s="5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55"/>
      <c r="C260" s="56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55"/>
      <c r="C261" s="56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55"/>
      <c r="C262" s="56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C54:D54"/>
    <mergeCell ref="C55:D55"/>
    <mergeCell ref="C56:D56"/>
    <mergeCell ref="C57:D57"/>
    <mergeCell ref="B59:D59"/>
    <mergeCell ref="C60:D60"/>
    <mergeCell ref="C61:D61"/>
    <mergeCell ref="C62:D62"/>
    <mergeCell ref="C47:D47"/>
    <mergeCell ref="C48:D48"/>
    <mergeCell ref="C49:D49"/>
    <mergeCell ref="C50:D50"/>
    <mergeCell ref="C51:D51"/>
    <mergeCell ref="C52:D52"/>
    <mergeCell ref="C53:D53"/>
  </mergeCells>
  <conditionalFormatting sqref="E30">
    <cfRule type="expression" dxfId="0" priority="1">
      <formula>E30&lt;&gt;E62</formula>
    </cfRule>
  </conditionalFormatting>
  <conditionalFormatting sqref="E30">
    <cfRule type="expression" dxfId="0" priority="2">
      <formula>E30&lt;&gt;E34</formula>
    </cfRule>
  </conditionalFormatting>
  <conditionalFormatting sqref="F58:O5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69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117.0</v>
      </c>
      <c r="G14" s="19">
        <v>109.0</v>
      </c>
      <c r="H14" s="19">
        <v>108.0</v>
      </c>
      <c r="I14" s="19">
        <v>137.0</v>
      </c>
      <c r="J14" s="19">
        <v>145.0</v>
      </c>
      <c r="K14" s="19">
        <v>122.0</v>
      </c>
      <c r="L14" s="19">
        <v>119.0</v>
      </c>
      <c r="M14" s="19">
        <v>144.0</v>
      </c>
      <c r="N14" s="19">
        <v>134.0</v>
      </c>
      <c r="O14" s="19">
        <v>146.0</v>
      </c>
      <c r="P14" s="19">
        <v>128.0</v>
      </c>
      <c r="Q14" s="19">
        <v>141.0</v>
      </c>
      <c r="R14" s="19">
        <v>115.0</v>
      </c>
      <c r="S14" s="19">
        <v>85.0</v>
      </c>
      <c r="T14" s="19">
        <v>89.0</v>
      </c>
      <c r="U14" s="19">
        <v>124.0</v>
      </c>
      <c r="V14" s="19">
        <v>120.0</v>
      </c>
      <c r="W14" s="19">
        <v>134.0</v>
      </c>
      <c r="X14" s="19">
        <v>136.0</v>
      </c>
      <c r="Y14" s="19">
        <v>131.0</v>
      </c>
      <c r="Z14" s="19">
        <v>125.0</v>
      </c>
      <c r="AA14" s="19">
        <v>125.0</v>
      </c>
      <c r="AB14" s="13">
        <f t="shared" ref="AB14:AB16" si="1">SUM(E14:AA14)</f>
        <v>2869</v>
      </c>
    </row>
    <row r="15" ht="12.75" customHeight="1">
      <c r="A15" s="18"/>
      <c r="B15" s="26"/>
      <c r="C15" s="27"/>
      <c r="D15" s="19" t="s">
        <v>13</v>
      </c>
      <c r="E15" s="19">
        <v>130.0</v>
      </c>
      <c r="F15" s="19">
        <v>129.0</v>
      </c>
      <c r="G15" s="19">
        <v>141.0</v>
      </c>
      <c r="H15" s="19">
        <v>122.0</v>
      </c>
      <c r="I15" s="19">
        <v>129.0</v>
      </c>
      <c r="J15" s="19">
        <v>134.0</v>
      </c>
      <c r="K15" s="19">
        <v>132.0</v>
      </c>
      <c r="L15" s="19">
        <v>151.0</v>
      </c>
      <c r="M15" s="19">
        <v>131.0</v>
      </c>
      <c r="N15" s="19">
        <v>143.0</v>
      </c>
      <c r="O15" s="19">
        <v>129.0</v>
      </c>
      <c r="P15" s="19">
        <v>126.0</v>
      </c>
      <c r="Q15" s="19">
        <v>125.0</v>
      </c>
      <c r="R15" s="19">
        <v>114.0</v>
      </c>
      <c r="S15" s="19">
        <v>102.0</v>
      </c>
      <c r="T15" s="19">
        <v>101.0</v>
      </c>
      <c r="U15" s="19">
        <v>129.0</v>
      </c>
      <c r="V15" s="19">
        <v>131.0</v>
      </c>
      <c r="W15" s="19">
        <v>126.0</v>
      </c>
      <c r="X15" s="19">
        <v>122.0</v>
      </c>
      <c r="Y15" s="19">
        <v>124.0</v>
      </c>
      <c r="Z15" s="19">
        <v>116.0</v>
      </c>
      <c r="AA15" s="19">
        <v>114.0</v>
      </c>
      <c r="AB15" s="13">
        <f t="shared" si="1"/>
        <v>2901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265</v>
      </c>
      <c r="F16" s="13">
        <f t="shared" si="2"/>
        <v>246</v>
      </c>
      <c r="G16" s="13">
        <f t="shared" si="2"/>
        <v>250</v>
      </c>
      <c r="H16" s="13">
        <f t="shared" si="2"/>
        <v>230</v>
      </c>
      <c r="I16" s="13">
        <f t="shared" si="2"/>
        <v>266</v>
      </c>
      <c r="J16" s="13">
        <f t="shared" si="2"/>
        <v>279</v>
      </c>
      <c r="K16" s="13">
        <f t="shared" si="2"/>
        <v>254</v>
      </c>
      <c r="L16" s="13">
        <f t="shared" si="2"/>
        <v>270</v>
      </c>
      <c r="M16" s="13">
        <f t="shared" si="2"/>
        <v>275</v>
      </c>
      <c r="N16" s="13">
        <f t="shared" si="2"/>
        <v>277</v>
      </c>
      <c r="O16" s="13">
        <f t="shared" si="2"/>
        <v>275</v>
      </c>
      <c r="P16" s="13">
        <f t="shared" si="2"/>
        <v>254</v>
      </c>
      <c r="Q16" s="13">
        <f t="shared" si="2"/>
        <v>266</v>
      </c>
      <c r="R16" s="13">
        <f t="shared" si="2"/>
        <v>229</v>
      </c>
      <c r="S16" s="13">
        <f t="shared" si="2"/>
        <v>187</v>
      </c>
      <c r="T16" s="13">
        <f t="shared" si="2"/>
        <v>190</v>
      </c>
      <c r="U16" s="13">
        <f t="shared" si="2"/>
        <v>253</v>
      </c>
      <c r="V16" s="13">
        <f t="shared" si="2"/>
        <v>251</v>
      </c>
      <c r="W16" s="13">
        <f t="shared" si="2"/>
        <v>260</v>
      </c>
      <c r="X16" s="13">
        <f t="shared" si="2"/>
        <v>258</v>
      </c>
      <c r="Y16" s="13">
        <f t="shared" si="2"/>
        <v>255</v>
      </c>
      <c r="Z16" s="13">
        <f t="shared" si="2"/>
        <v>241</v>
      </c>
      <c r="AA16" s="13">
        <f t="shared" si="2"/>
        <v>239</v>
      </c>
      <c r="AB16" s="13">
        <f t="shared" si="1"/>
        <v>5770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99.0</v>
      </c>
      <c r="G19" s="19">
        <v>84.0</v>
      </c>
      <c r="H19" s="19">
        <v>86.0</v>
      </c>
      <c r="I19" s="19">
        <v>104.0</v>
      </c>
      <c r="J19" s="19">
        <v>102.0</v>
      </c>
      <c r="K19" s="19">
        <v>85.0</v>
      </c>
      <c r="L19" s="19">
        <v>72.0</v>
      </c>
      <c r="M19" s="19">
        <v>104.0</v>
      </c>
      <c r="N19" s="19">
        <v>93.0</v>
      </c>
      <c r="O19" s="19">
        <v>106.0</v>
      </c>
      <c r="P19" s="19">
        <v>104.0</v>
      </c>
      <c r="Q19" s="19">
        <v>93.0</v>
      </c>
      <c r="R19" s="19">
        <v>67.0</v>
      </c>
      <c r="S19" s="19">
        <v>64.0</v>
      </c>
      <c r="T19" s="19">
        <v>55.0</v>
      </c>
      <c r="U19" s="19">
        <v>92.0</v>
      </c>
      <c r="V19" s="19">
        <v>91.0</v>
      </c>
      <c r="W19" s="19">
        <v>100.0</v>
      </c>
      <c r="X19" s="19">
        <v>98.0</v>
      </c>
      <c r="Y19" s="19">
        <v>100.0</v>
      </c>
      <c r="Z19" s="19">
        <v>104.0</v>
      </c>
      <c r="AA19" s="19">
        <v>95.0</v>
      </c>
      <c r="AB19" s="13">
        <f t="shared" ref="AB19:AB30" si="3">SUM(E19:AA19)</f>
        <v>2109</v>
      </c>
    </row>
    <row r="20" ht="12.75" customHeight="1">
      <c r="A20" s="33"/>
      <c r="B20" s="27"/>
      <c r="C20" s="34"/>
      <c r="D20" s="19" t="s">
        <v>13</v>
      </c>
      <c r="E20" s="19">
        <v>114.0</v>
      </c>
      <c r="F20" s="19">
        <v>104.0</v>
      </c>
      <c r="G20" s="19">
        <v>115.0</v>
      </c>
      <c r="H20" s="19">
        <v>98.0</v>
      </c>
      <c r="I20" s="19">
        <v>108.0</v>
      </c>
      <c r="J20" s="19">
        <v>102.0</v>
      </c>
      <c r="K20" s="19">
        <v>120.0</v>
      </c>
      <c r="L20" s="19">
        <v>108.0</v>
      </c>
      <c r="M20" s="19">
        <v>111.0</v>
      </c>
      <c r="N20" s="19">
        <v>110.0</v>
      </c>
      <c r="O20" s="19">
        <v>102.0</v>
      </c>
      <c r="P20" s="19">
        <v>107.0</v>
      </c>
      <c r="Q20" s="19">
        <v>97.0</v>
      </c>
      <c r="R20" s="19">
        <v>81.0</v>
      </c>
      <c r="S20" s="19">
        <v>81.0</v>
      </c>
      <c r="T20" s="19">
        <v>71.0</v>
      </c>
      <c r="U20" s="19">
        <v>107.0</v>
      </c>
      <c r="V20" s="19">
        <v>112.0</v>
      </c>
      <c r="W20" s="19">
        <v>98.0</v>
      </c>
      <c r="X20" s="19">
        <v>104.0</v>
      </c>
      <c r="Y20" s="19">
        <v>92.0</v>
      </c>
      <c r="Z20" s="19">
        <v>101.0</v>
      </c>
      <c r="AA20" s="19">
        <v>94.0</v>
      </c>
      <c r="AB20" s="13">
        <f t="shared" si="3"/>
        <v>2337</v>
      </c>
    </row>
    <row r="21" ht="12.75" customHeight="1">
      <c r="A21" s="35"/>
      <c r="B21" s="28"/>
      <c r="C21" s="36"/>
      <c r="D21" s="13" t="s">
        <v>14</v>
      </c>
      <c r="E21" s="13">
        <v>225.0</v>
      </c>
      <c r="F21" s="13">
        <v>203.0</v>
      </c>
      <c r="G21" s="13">
        <v>199.0</v>
      </c>
      <c r="H21" s="13">
        <v>184.0</v>
      </c>
      <c r="I21" s="13">
        <v>212.0</v>
      </c>
      <c r="J21" s="13">
        <v>204.0</v>
      </c>
      <c r="K21" s="13">
        <v>205.0</v>
      </c>
      <c r="L21" s="13">
        <v>180.0</v>
      </c>
      <c r="M21" s="13">
        <v>215.0</v>
      </c>
      <c r="N21" s="13">
        <v>203.0</v>
      </c>
      <c r="O21" s="13">
        <v>208.0</v>
      </c>
      <c r="P21" s="13">
        <v>211.0</v>
      </c>
      <c r="Q21" s="13">
        <v>190.0</v>
      </c>
      <c r="R21" s="13">
        <v>148.0</v>
      </c>
      <c r="S21" s="13">
        <v>145.0</v>
      </c>
      <c r="T21" s="13">
        <v>126.0</v>
      </c>
      <c r="U21" s="13">
        <v>199.0</v>
      </c>
      <c r="V21" s="13">
        <v>203.0</v>
      </c>
      <c r="W21" s="13">
        <v>198.0</v>
      </c>
      <c r="X21" s="13">
        <v>202.0</v>
      </c>
      <c r="Y21" s="13">
        <v>192.0</v>
      </c>
      <c r="Z21" s="13">
        <v>205.0</v>
      </c>
      <c r="AA21" s="13">
        <v>189.0</v>
      </c>
      <c r="AB21" s="13">
        <f t="shared" si="3"/>
        <v>4446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1.0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3">
        <v>0.0</v>
      </c>
      <c r="K24" s="13">
        <v>0.0</v>
      </c>
      <c r="L24" s="13">
        <v>0.0</v>
      </c>
      <c r="M24" s="13">
        <v>0.0</v>
      </c>
      <c r="N24" s="13">
        <v>0.0</v>
      </c>
      <c r="O24" s="13">
        <v>1.0</v>
      </c>
      <c r="P24" s="13">
        <v>0.0</v>
      </c>
      <c r="Q24" s="13">
        <v>0.0</v>
      </c>
      <c r="R24" s="13">
        <v>0.0</v>
      </c>
      <c r="S24" s="13">
        <v>0.0</v>
      </c>
      <c r="T24" s="13">
        <v>0.0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13">
        <v>0.0</v>
      </c>
      <c r="AA24" s="13">
        <v>0.0</v>
      </c>
      <c r="AB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4.0</v>
      </c>
      <c r="H25" s="19">
        <v>0.0</v>
      </c>
      <c r="I25" s="19">
        <v>1.0</v>
      </c>
      <c r="J25" s="19">
        <v>3.0</v>
      </c>
      <c r="K25" s="19">
        <v>1.0</v>
      </c>
      <c r="L25" s="19">
        <v>1.0</v>
      </c>
      <c r="M25" s="19">
        <v>0.0</v>
      </c>
      <c r="N25" s="19">
        <v>3.0</v>
      </c>
      <c r="O25" s="19">
        <v>1.0</v>
      </c>
      <c r="P25" s="19">
        <v>2.0</v>
      </c>
      <c r="Q25" s="19">
        <v>4.0</v>
      </c>
      <c r="R25" s="19">
        <v>3.0</v>
      </c>
      <c r="S25" s="19">
        <v>0.0</v>
      </c>
      <c r="T25" s="19">
        <v>6.0</v>
      </c>
      <c r="U25" s="19">
        <v>0.0</v>
      </c>
      <c r="V25" s="19">
        <v>4.0</v>
      </c>
      <c r="W25" s="19">
        <v>1.0</v>
      </c>
      <c r="X25" s="19">
        <v>0.0</v>
      </c>
      <c r="Y25" s="19">
        <v>3.0</v>
      </c>
      <c r="Z25" s="19">
        <v>3.0</v>
      </c>
      <c r="AA25" s="19">
        <v>1.0</v>
      </c>
      <c r="AB25" s="13">
        <f t="shared" si="3"/>
        <v>41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2.0</v>
      </c>
      <c r="H26" s="19">
        <v>0.0</v>
      </c>
      <c r="I26" s="19">
        <v>3.0</v>
      </c>
      <c r="J26" s="19">
        <v>6.0</v>
      </c>
      <c r="K26" s="19">
        <v>0.0</v>
      </c>
      <c r="L26" s="19">
        <v>2.0</v>
      </c>
      <c r="M26" s="19">
        <v>2.0</v>
      </c>
      <c r="N26" s="19">
        <v>1.0</v>
      </c>
      <c r="O26" s="19">
        <v>3.0</v>
      </c>
      <c r="P26" s="19">
        <v>4.0</v>
      </c>
      <c r="Q26" s="19">
        <v>3.0</v>
      </c>
      <c r="R26" s="19">
        <v>3.0</v>
      </c>
      <c r="S26" s="19">
        <v>0.0</v>
      </c>
      <c r="T26" s="19">
        <v>6.0</v>
      </c>
      <c r="U26" s="19">
        <v>0.0</v>
      </c>
      <c r="V26" s="19">
        <v>2.0</v>
      </c>
      <c r="W26" s="19">
        <v>2.0</v>
      </c>
      <c r="X26" s="19">
        <v>0.0</v>
      </c>
      <c r="Y26" s="19">
        <v>1.0</v>
      </c>
      <c r="Z26" s="19">
        <v>0.0</v>
      </c>
      <c r="AA26" s="19">
        <v>0.0</v>
      </c>
      <c r="AB26" s="13">
        <f t="shared" si="3"/>
        <v>40</v>
      </c>
    </row>
    <row r="27" ht="12.75" customHeight="1">
      <c r="A27" s="35"/>
      <c r="B27" s="28"/>
      <c r="C27" s="36"/>
      <c r="D27" s="13" t="s">
        <v>14</v>
      </c>
      <c r="E27" s="13">
        <v>0.0</v>
      </c>
      <c r="F27" s="13">
        <v>0.0</v>
      </c>
      <c r="G27" s="13">
        <v>6.0</v>
      </c>
      <c r="H27" s="13">
        <v>0.0</v>
      </c>
      <c r="I27" s="13">
        <v>4.0</v>
      </c>
      <c r="J27" s="13">
        <v>9.0</v>
      </c>
      <c r="K27" s="13">
        <v>1.0</v>
      </c>
      <c r="L27" s="13">
        <v>3.0</v>
      </c>
      <c r="M27" s="13">
        <v>2.0</v>
      </c>
      <c r="N27" s="13">
        <v>4.0</v>
      </c>
      <c r="O27" s="13">
        <v>4.0</v>
      </c>
      <c r="P27" s="13">
        <v>6.0</v>
      </c>
      <c r="Q27" s="13">
        <v>7.0</v>
      </c>
      <c r="R27" s="13">
        <v>6.0</v>
      </c>
      <c r="S27" s="13">
        <v>0.0</v>
      </c>
      <c r="T27" s="13">
        <v>12.0</v>
      </c>
      <c r="U27" s="13">
        <v>0.0</v>
      </c>
      <c r="V27" s="13">
        <v>6.0</v>
      </c>
      <c r="W27" s="13">
        <v>3.0</v>
      </c>
      <c r="X27" s="13">
        <v>0.0</v>
      </c>
      <c r="Y27" s="13">
        <v>4.0</v>
      </c>
      <c r="Z27" s="13">
        <v>3.0</v>
      </c>
      <c r="AA27" s="13">
        <v>1.0</v>
      </c>
      <c r="AB27" s="13">
        <f t="shared" si="3"/>
        <v>81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111.0</v>
      </c>
      <c r="F28" s="13">
        <v>99.0</v>
      </c>
      <c r="G28" s="13">
        <v>88.0</v>
      </c>
      <c r="H28" s="13">
        <v>86.0</v>
      </c>
      <c r="I28" s="13">
        <v>105.0</v>
      </c>
      <c r="J28" s="13">
        <v>105.0</v>
      </c>
      <c r="K28" s="13">
        <v>86.0</v>
      </c>
      <c r="L28" s="13">
        <v>73.0</v>
      </c>
      <c r="M28" s="13">
        <v>104.0</v>
      </c>
      <c r="N28" s="13">
        <v>96.0</v>
      </c>
      <c r="O28" s="13">
        <v>108.0</v>
      </c>
      <c r="P28" s="13">
        <v>106.0</v>
      </c>
      <c r="Q28" s="13">
        <v>97.0</v>
      </c>
      <c r="R28" s="13">
        <v>70.0</v>
      </c>
      <c r="S28" s="13">
        <v>64.0</v>
      </c>
      <c r="T28" s="13">
        <v>61.0</v>
      </c>
      <c r="U28" s="13">
        <v>92.0</v>
      </c>
      <c r="V28" s="13">
        <v>97.0</v>
      </c>
      <c r="W28" s="13">
        <v>101.0</v>
      </c>
      <c r="X28" s="13">
        <v>98.0</v>
      </c>
      <c r="Y28" s="13">
        <v>104.0</v>
      </c>
      <c r="Z28" s="13">
        <v>107.0</v>
      </c>
      <c r="AA28" s="13">
        <v>96.0</v>
      </c>
      <c r="AB28" s="13">
        <f t="shared" si="3"/>
        <v>2154</v>
      </c>
    </row>
    <row r="29" ht="12.75" customHeight="1">
      <c r="A29" s="35"/>
      <c r="B29" s="27"/>
      <c r="C29" s="34"/>
      <c r="D29" s="13" t="s">
        <v>13</v>
      </c>
      <c r="E29" s="13">
        <v>114.0</v>
      </c>
      <c r="F29" s="13">
        <v>104.0</v>
      </c>
      <c r="G29" s="13">
        <v>117.0</v>
      </c>
      <c r="H29" s="13">
        <v>98.0</v>
      </c>
      <c r="I29" s="13">
        <v>111.0</v>
      </c>
      <c r="J29" s="13">
        <v>108.0</v>
      </c>
      <c r="K29" s="13">
        <v>120.0</v>
      </c>
      <c r="L29" s="13">
        <v>110.0</v>
      </c>
      <c r="M29" s="13">
        <v>113.0</v>
      </c>
      <c r="N29" s="13">
        <v>111.0</v>
      </c>
      <c r="O29" s="13">
        <v>105.0</v>
      </c>
      <c r="P29" s="13">
        <v>111.0</v>
      </c>
      <c r="Q29" s="13">
        <v>100.0</v>
      </c>
      <c r="R29" s="13">
        <v>84.0</v>
      </c>
      <c r="S29" s="13">
        <v>81.0</v>
      </c>
      <c r="T29" s="13">
        <v>77.0</v>
      </c>
      <c r="U29" s="13">
        <v>107.0</v>
      </c>
      <c r="V29" s="13">
        <v>114.0</v>
      </c>
      <c r="W29" s="13">
        <v>100.0</v>
      </c>
      <c r="X29" s="13">
        <v>104.0</v>
      </c>
      <c r="Y29" s="13">
        <v>93.0</v>
      </c>
      <c r="Z29" s="13">
        <v>101.0</v>
      </c>
      <c r="AA29" s="13">
        <v>94.0</v>
      </c>
      <c r="AB29" s="13">
        <f t="shared" si="3"/>
        <v>2377</v>
      </c>
    </row>
    <row r="30" ht="12.75" customHeight="1">
      <c r="A30" s="35"/>
      <c r="B30" s="28"/>
      <c r="C30" s="36"/>
      <c r="D30" s="13" t="s">
        <v>14</v>
      </c>
      <c r="E30" s="13">
        <f t="shared" ref="E30:AA30" si="4">SUM(E28:E29)</f>
        <v>225</v>
      </c>
      <c r="F30" s="13">
        <f t="shared" si="4"/>
        <v>203</v>
      </c>
      <c r="G30" s="13">
        <f t="shared" si="4"/>
        <v>205</v>
      </c>
      <c r="H30" s="13">
        <f t="shared" si="4"/>
        <v>184</v>
      </c>
      <c r="I30" s="13">
        <f t="shared" si="4"/>
        <v>216</v>
      </c>
      <c r="J30" s="13">
        <f t="shared" si="4"/>
        <v>213</v>
      </c>
      <c r="K30" s="13">
        <f t="shared" si="4"/>
        <v>206</v>
      </c>
      <c r="L30" s="13">
        <f t="shared" si="4"/>
        <v>183</v>
      </c>
      <c r="M30" s="13">
        <f t="shared" si="4"/>
        <v>217</v>
      </c>
      <c r="N30" s="13">
        <f t="shared" si="4"/>
        <v>207</v>
      </c>
      <c r="O30" s="13">
        <f t="shared" si="4"/>
        <v>213</v>
      </c>
      <c r="P30" s="13">
        <f t="shared" si="4"/>
        <v>217</v>
      </c>
      <c r="Q30" s="13">
        <f t="shared" si="4"/>
        <v>197</v>
      </c>
      <c r="R30" s="13">
        <f t="shared" si="4"/>
        <v>154</v>
      </c>
      <c r="S30" s="13">
        <f t="shared" si="4"/>
        <v>145</v>
      </c>
      <c r="T30" s="13">
        <f t="shared" si="4"/>
        <v>138</v>
      </c>
      <c r="U30" s="13">
        <f t="shared" si="4"/>
        <v>199</v>
      </c>
      <c r="V30" s="13">
        <f t="shared" si="4"/>
        <v>211</v>
      </c>
      <c r="W30" s="13">
        <f t="shared" si="4"/>
        <v>201</v>
      </c>
      <c r="X30" s="13">
        <f t="shared" si="4"/>
        <v>202</v>
      </c>
      <c r="Y30" s="13">
        <f t="shared" si="4"/>
        <v>197</v>
      </c>
      <c r="Z30" s="13">
        <f t="shared" si="4"/>
        <v>208</v>
      </c>
      <c r="AA30" s="13">
        <f t="shared" si="4"/>
        <v>190</v>
      </c>
      <c r="AB30" s="13">
        <f t="shared" si="3"/>
        <v>4531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59"/>
    </row>
    <row r="33" ht="12.75" customHeight="1">
      <c r="A33" s="19">
        <v>1.0</v>
      </c>
      <c r="B33" s="20" t="s">
        <v>27</v>
      </c>
      <c r="C33" s="15"/>
      <c r="D33" s="16"/>
      <c r="E33" s="19">
        <v>271.0</v>
      </c>
      <c r="F33" s="19">
        <v>251.0</v>
      </c>
      <c r="G33" s="19">
        <v>255.0</v>
      </c>
      <c r="H33" s="19">
        <v>235.0</v>
      </c>
      <c r="I33" s="19">
        <v>272.0</v>
      </c>
      <c r="J33" s="19">
        <v>285.0</v>
      </c>
      <c r="K33" s="19">
        <v>260.0</v>
      </c>
      <c r="L33" s="19">
        <v>276.0</v>
      </c>
      <c r="M33" s="19">
        <v>281.0</v>
      </c>
      <c r="N33" s="19">
        <v>283.0</v>
      </c>
      <c r="O33" s="19">
        <v>281.0</v>
      </c>
      <c r="P33" s="19">
        <v>260.0</v>
      </c>
      <c r="Q33" s="19">
        <v>272.0</v>
      </c>
      <c r="R33" s="19">
        <v>234.0</v>
      </c>
      <c r="S33" s="19">
        <v>191.0</v>
      </c>
      <c r="T33" s="19">
        <v>194.0</v>
      </c>
      <c r="U33" s="19">
        <v>259.0</v>
      </c>
      <c r="V33" s="19">
        <v>257.0</v>
      </c>
      <c r="W33" s="19">
        <v>266.0</v>
      </c>
      <c r="X33" s="19">
        <v>264.0</v>
      </c>
      <c r="Y33" s="19">
        <v>261.0</v>
      </c>
      <c r="Z33" s="19">
        <v>246.0</v>
      </c>
      <c r="AA33" s="19">
        <v>244.0</v>
      </c>
      <c r="AB33" s="13">
        <f t="shared" ref="AB33:AB36" si="5">SUM(E33:AA33)</f>
        <v>5898</v>
      </c>
    </row>
    <row r="34" ht="12.75" customHeight="1">
      <c r="A34" s="19">
        <v>2.0</v>
      </c>
      <c r="B34" s="20" t="s">
        <v>28</v>
      </c>
      <c r="C34" s="15"/>
      <c r="D34" s="16"/>
      <c r="E34" s="13">
        <v>225.0</v>
      </c>
      <c r="F34" s="13">
        <v>203.0</v>
      </c>
      <c r="G34" s="13">
        <v>205.0</v>
      </c>
      <c r="H34" s="13">
        <v>184.0</v>
      </c>
      <c r="I34" s="13">
        <v>216.0</v>
      </c>
      <c r="J34" s="13">
        <v>213.0</v>
      </c>
      <c r="K34" s="13">
        <v>206.0</v>
      </c>
      <c r="L34" s="13">
        <v>183.0</v>
      </c>
      <c r="M34" s="13">
        <v>217.0</v>
      </c>
      <c r="N34" s="13">
        <v>207.0</v>
      </c>
      <c r="O34" s="13">
        <v>213.0</v>
      </c>
      <c r="P34" s="13">
        <v>217.0</v>
      </c>
      <c r="Q34" s="13">
        <v>197.0</v>
      </c>
      <c r="R34" s="13">
        <v>154.0</v>
      </c>
      <c r="S34" s="13">
        <v>145.0</v>
      </c>
      <c r="T34" s="13">
        <v>138.0</v>
      </c>
      <c r="U34" s="13">
        <v>199.0</v>
      </c>
      <c r="V34" s="13">
        <v>209.0</v>
      </c>
      <c r="W34" s="13">
        <v>201.0</v>
      </c>
      <c r="X34" s="13">
        <v>202.0</v>
      </c>
      <c r="Y34" s="13">
        <v>196.0</v>
      </c>
      <c r="Z34" s="13">
        <v>208.0</v>
      </c>
      <c r="AA34" s="13">
        <v>190.0</v>
      </c>
      <c r="AB34" s="13">
        <f t="shared" si="5"/>
        <v>4528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0.0</v>
      </c>
      <c r="J35" s="19">
        <v>6.0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1.0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3">
        <f t="shared" si="5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v>46.0</v>
      </c>
      <c r="F36" s="13">
        <v>47.0</v>
      </c>
      <c r="G36" s="13">
        <v>50.0</v>
      </c>
      <c r="H36" s="13">
        <v>51.0</v>
      </c>
      <c r="I36" s="13">
        <v>56.0</v>
      </c>
      <c r="J36" s="13">
        <v>66.0</v>
      </c>
      <c r="K36" s="13">
        <v>54.0</v>
      </c>
      <c r="L36" s="13">
        <v>93.0</v>
      </c>
      <c r="M36" s="13">
        <v>64.0</v>
      </c>
      <c r="N36" s="13">
        <v>76.0</v>
      </c>
      <c r="O36" s="13">
        <v>68.0</v>
      </c>
      <c r="P36" s="13">
        <v>42.0</v>
      </c>
      <c r="Q36" s="13">
        <v>75.0</v>
      </c>
      <c r="R36" s="13">
        <v>80.0</v>
      </c>
      <c r="S36" s="13">
        <v>46.0</v>
      </c>
      <c r="T36" s="13">
        <v>56.0</v>
      </c>
      <c r="U36" s="13">
        <v>60.0</v>
      </c>
      <c r="V36" s="13">
        <v>48.0</v>
      </c>
      <c r="W36" s="13">
        <v>65.0</v>
      </c>
      <c r="X36" s="13">
        <v>62.0</v>
      </c>
      <c r="Y36" s="13">
        <v>65.0</v>
      </c>
      <c r="Z36" s="13">
        <v>38.0</v>
      </c>
      <c r="AA36" s="13">
        <v>54.0</v>
      </c>
      <c r="AB36" s="13">
        <f t="shared" si="5"/>
        <v>1362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1.0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1.0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1.0</v>
      </c>
      <c r="AB39" s="13">
        <f t="shared" ref="AB39:AB41" si="6">SUM(E39:AA39)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3.0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2.0</v>
      </c>
      <c r="AB40" s="13">
        <f t="shared" si="6"/>
        <v>6</v>
      </c>
    </row>
    <row r="41" ht="12.75" customHeight="1">
      <c r="A41" s="41"/>
      <c r="B41" s="44"/>
      <c r="C41" s="28"/>
      <c r="D41" s="13" t="s">
        <v>14</v>
      </c>
      <c r="E41" s="13">
        <f t="shared" ref="E41:AA41" si="7">SUM(E39:E40)</f>
        <v>0</v>
      </c>
      <c r="F41" s="13">
        <f t="shared" si="7"/>
        <v>0</v>
      </c>
      <c r="G41" s="13">
        <f t="shared" si="7"/>
        <v>0</v>
      </c>
      <c r="H41" s="13">
        <f t="shared" si="7"/>
        <v>0</v>
      </c>
      <c r="I41" s="13">
        <f t="shared" si="7"/>
        <v>2</v>
      </c>
      <c r="J41" s="13">
        <f t="shared" si="7"/>
        <v>0</v>
      </c>
      <c r="K41" s="13">
        <f t="shared" si="7"/>
        <v>0</v>
      </c>
      <c r="L41" s="13">
        <f t="shared" si="7"/>
        <v>0</v>
      </c>
      <c r="M41" s="13">
        <f t="shared" si="7"/>
        <v>0</v>
      </c>
      <c r="N41" s="13">
        <f t="shared" si="7"/>
        <v>0</v>
      </c>
      <c r="O41" s="13">
        <f t="shared" si="7"/>
        <v>0</v>
      </c>
      <c r="P41" s="13">
        <f t="shared" si="7"/>
        <v>0</v>
      </c>
      <c r="Q41" s="13">
        <f t="shared" si="7"/>
        <v>0</v>
      </c>
      <c r="R41" s="13">
        <f t="shared" si="7"/>
        <v>4</v>
      </c>
      <c r="S41" s="13">
        <f t="shared" si="7"/>
        <v>0</v>
      </c>
      <c r="T41" s="13">
        <f t="shared" si="7"/>
        <v>0</v>
      </c>
      <c r="U41" s="13">
        <f t="shared" si="7"/>
        <v>0</v>
      </c>
      <c r="V41" s="13">
        <f t="shared" si="7"/>
        <v>0</v>
      </c>
      <c r="W41" s="13">
        <f t="shared" si="7"/>
        <v>0</v>
      </c>
      <c r="X41" s="13">
        <f t="shared" si="7"/>
        <v>0</v>
      </c>
      <c r="Y41" s="13">
        <f t="shared" si="7"/>
        <v>0</v>
      </c>
      <c r="Z41" s="13">
        <f t="shared" si="7"/>
        <v>0</v>
      </c>
      <c r="AA41" s="13">
        <f t="shared" si="7"/>
        <v>3</v>
      </c>
      <c r="AB41" s="13">
        <f t="shared" si="6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19"/>
      <c r="Z42" s="58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13"/>
      <c r="Z43" s="60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19"/>
      <c r="Z44" s="58"/>
      <c r="AA44" s="19"/>
      <c r="AB44" s="13"/>
    </row>
    <row r="45" ht="12.75" customHeight="1">
      <c r="A45" s="30"/>
      <c r="B45" s="47" t="s">
        <v>17</v>
      </c>
      <c r="C45" s="62" t="s">
        <v>38</v>
      </c>
      <c r="D45" s="16"/>
      <c r="E45" s="19">
        <v>9.0</v>
      </c>
      <c r="F45" s="19">
        <v>19.0</v>
      </c>
      <c r="G45" s="19">
        <v>10.0</v>
      </c>
      <c r="H45" s="19">
        <v>10.0</v>
      </c>
      <c r="I45" s="19">
        <v>18.0</v>
      </c>
      <c r="J45" s="19">
        <v>17.0</v>
      </c>
      <c r="K45" s="19">
        <v>5.0</v>
      </c>
      <c r="L45" s="19">
        <v>9.0</v>
      </c>
      <c r="M45" s="19">
        <v>22.0</v>
      </c>
      <c r="N45" s="19">
        <v>13.0</v>
      </c>
      <c r="O45" s="19">
        <v>8.0</v>
      </c>
      <c r="P45" s="19">
        <v>27.0</v>
      </c>
      <c r="Q45" s="19">
        <v>25.0</v>
      </c>
      <c r="R45" s="19">
        <v>19.0</v>
      </c>
      <c r="S45" s="19">
        <v>11.0</v>
      </c>
      <c r="T45" s="19">
        <v>20.0</v>
      </c>
      <c r="U45" s="19">
        <v>17.0</v>
      </c>
      <c r="V45" s="19">
        <v>18.0</v>
      </c>
      <c r="W45" s="19">
        <v>18.0</v>
      </c>
      <c r="X45" s="19">
        <v>20.0</v>
      </c>
      <c r="Y45" s="19">
        <v>20.0</v>
      </c>
      <c r="Z45" s="19">
        <v>32.0</v>
      </c>
      <c r="AA45" s="19">
        <v>17.0</v>
      </c>
      <c r="AB45" s="13">
        <f t="shared" ref="AB45:AB57" si="8">SUM(E45:AA45)</f>
        <v>384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34.0</v>
      </c>
      <c r="F46" s="19">
        <v>39.0</v>
      </c>
      <c r="G46" s="19">
        <v>28.0</v>
      </c>
      <c r="H46" s="19">
        <v>37.0</v>
      </c>
      <c r="I46" s="19">
        <v>48.0</v>
      </c>
      <c r="J46" s="19">
        <v>48.0</v>
      </c>
      <c r="K46" s="19">
        <v>47.0</v>
      </c>
      <c r="L46" s="19">
        <v>44.0</v>
      </c>
      <c r="M46" s="19">
        <v>36.0</v>
      </c>
      <c r="N46" s="19">
        <v>49.0</v>
      </c>
      <c r="O46" s="19">
        <v>51.0</v>
      </c>
      <c r="P46" s="19">
        <v>48.0</v>
      </c>
      <c r="Q46" s="19">
        <v>41.0</v>
      </c>
      <c r="R46" s="19">
        <v>29.0</v>
      </c>
      <c r="S46" s="19">
        <v>37.0</v>
      </c>
      <c r="T46" s="19">
        <v>28.0</v>
      </c>
      <c r="U46" s="19">
        <v>53.0</v>
      </c>
      <c r="V46" s="19">
        <v>44.0</v>
      </c>
      <c r="W46" s="19">
        <v>47.0</v>
      </c>
      <c r="X46" s="19">
        <v>53.0</v>
      </c>
      <c r="Y46" s="19">
        <v>35.0</v>
      </c>
      <c r="Z46" s="19">
        <v>65.0</v>
      </c>
      <c r="AA46" s="19">
        <v>28.0</v>
      </c>
      <c r="AB46" s="13">
        <f t="shared" si="8"/>
        <v>969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14.0</v>
      </c>
      <c r="F47" s="19">
        <v>9.0</v>
      </c>
      <c r="G47" s="19">
        <v>11.0</v>
      </c>
      <c r="H47" s="19">
        <v>6.0</v>
      </c>
      <c r="I47" s="19">
        <v>4.0</v>
      </c>
      <c r="J47" s="19">
        <v>12.0</v>
      </c>
      <c r="K47" s="19">
        <v>9.0</v>
      </c>
      <c r="L47" s="19">
        <v>17.0</v>
      </c>
      <c r="M47" s="19">
        <v>9.0</v>
      </c>
      <c r="N47" s="19">
        <v>15.0</v>
      </c>
      <c r="O47" s="19">
        <v>13.0</v>
      </c>
      <c r="P47" s="19">
        <v>15.0</v>
      </c>
      <c r="Q47" s="19">
        <v>13.0</v>
      </c>
      <c r="R47" s="19">
        <v>6.0</v>
      </c>
      <c r="S47" s="19">
        <v>8.0</v>
      </c>
      <c r="T47" s="19">
        <v>3.0</v>
      </c>
      <c r="U47" s="19">
        <v>10.0</v>
      </c>
      <c r="V47" s="19">
        <v>16.0</v>
      </c>
      <c r="W47" s="19">
        <v>12.0</v>
      </c>
      <c r="X47" s="19">
        <v>4.0</v>
      </c>
      <c r="Y47" s="19">
        <v>14.0</v>
      </c>
      <c r="Z47" s="19">
        <v>10.0</v>
      </c>
      <c r="AA47" s="19">
        <v>18.0</v>
      </c>
      <c r="AB47" s="13">
        <f t="shared" si="8"/>
        <v>248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33.0</v>
      </c>
      <c r="F48" s="19">
        <v>27.0</v>
      </c>
      <c r="G48" s="19">
        <v>42.0</v>
      </c>
      <c r="H48" s="19">
        <v>19.0</v>
      </c>
      <c r="I48" s="19">
        <v>15.0</v>
      </c>
      <c r="J48" s="19">
        <v>21.0</v>
      </c>
      <c r="K48" s="19">
        <v>25.0</v>
      </c>
      <c r="L48" s="19">
        <v>34.0</v>
      </c>
      <c r="M48" s="19">
        <v>30.0</v>
      </c>
      <c r="N48" s="19">
        <v>21.0</v>
      </c>
      <c r="O48" s="19">
        <v>55.0</v>
      </c>
      <c r="P48" s="19">
        <v>24.0</v>
      </c>
      <c r="Q48" s="19">
        <v>24.0</v>
      </c>
      <c r="R48" s="19">
        <v>21.0</v>
      </c>
      <c r="S48" s="19">
        <v>11.0</v>
      </c>
      <c r="T48" s="19">
        <v>14.0</v>
      </c>
      <c r="U48" s="19">
        <v>19.0</v>
      </c>
      <c r="V48" s="19">
        <v>19.0</v>
      </c>
      <c r="W48" s="19">
        <v>20.0</v>
      </c>
      <c r="X48" s="19">
        <v>23.0</v>
      </c>
      <c r="Y48" s="19">
        <v>36.0</v>
      </c>
      <c r="Z48" s="19">
        <v>14.0</v>
      </c>
      <c r="AA48" s="19">
        <v>13.0</v>
      </c>
      <c r="AB48" s="13">
        <f t="shared" si="8"/>
        <v>560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12.0</v>
      </c>
      <c r="F49" s="19">
        <v>17.0</v>
      </c>
      <c r="G49" s="19">
        <v>17.0</v>
      </c>
      <c r="H49" s="19">
        <v>14.0</v>
      </c>
      <c r="I49" s="19">
        <v>16.0</v>
      </c>
      <c r="J49" s="19">
        <v>14.0</v>
      </c>
      <c r="K49" s="19">
        <v>8.0</v>
      </c>
      <c r="L49" s="19">
        <v>10.0</v>
      </c>
      <c r="M49" s="19">
        <v>21.0</v>
      </c>
      <c r="N49" s="19">
        <v>16.0</v>
      </c>
      <c r="O49" s="19">
        <v>20.0</v>
      </c>
      <c r="P49" s="19">
        <v>9.0</v>
      </c>
      <c r="Q49" s="19">
        <v>11.0</v>
      </c>
      <c r="R49" s="19">
        <v>9.0</v>
      </c>
      <c r="S49" s="19">
        <v>8.0</v>
      </c>
      <c r="T49" s="19">
        <v>11.0</v>
      </c>
      <c r="U49" s="19">
        <v>12.0</v>
      </c>
      <c r="V49" s="19">
        <v>15.0</v>
      </c>
      <c r="W49" s="19">
        <v>15.0</v>
      </c>
      <c r="X49" s="19">
        <v>7.0</v>
      </c>
      <c r="Y49" s="19">
        <v>15.0</v>
      </c>
      <c r="Z49" s="19">
        <v>8.0</v>
      </c>
      <c r="AA49" s="19">
        <v>6.0</v>
      </c>
      <c r="AB49" s="13">
        <f t="shared" si="8"/>
        <v>291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25.0</v>
      </c>
      <c r="F50" s="19">
        <v>17.0</v>
      </c>
      <c r="G50" s="19">
        <v>17.0</v>
      </c>
      <c r="H50" s="19">
        <v>16.0</v>
      </c>
      <c r="I50" s="19">
        <v>10.0</v>
      </c>
      <c r="J50" s="19">
        <v>14.0</v>
      </c>
      <c r="K50" s="19">
        <v>16.0</v>
      </c>
      <c r="L50" s="19">
        <v>7.0</v>
      </c>
      <c r="M50" s="19">
        <v>14.0</v>
      </c>
      <c r="N50" s="19">
        <v>17.0</v>
      </c>
      <c r="O50" s="19">
        <v>13.0</v>
      </c>
      <c r="P50" s="19">
        <v>16.0</v>
      </c>
      <c r="Q50" s="19">
        <v>16.0</v>
      </c>
      <c r="R50" s="19">
        <v>12.0</v>
      </c>
      <c r="S50" s="19">
        <v>9.0</v>
      </c>
      <c r="T50" s="19">
        <v>8.0</v>
      </c>
      <c r="U50" s="19">
        <v>14.0</v>
      </c>
      <c r="V50" s="19">
        <v>18.0</v>
      </c>
      <c r="W50" s="19">
        <v>16.0</v>
      </c>
      <c r="X50" s="19">
        <v>10.0</v>
      </c>
      <c r="Y50" s="19">
        <v>11.0</v>
      </c>
      <c r="Z50" s="19">
        <v>13.0</v>
      </c>
      <c r="AA50" s="19">
        <v>14.0</v>
      </c>
      <c r="AB50" s="13">
        <f t="shared" si="8"/>
        <v>323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1.0</v>
      </c>
      <c r="F51" s="19">
        <v>2.0</v>
      </c>
      <c r="G51" s="19">
        <v>2.0</v>
      </c>
      <c r="H51" s="19">
        <v>2.0</v>
      </c>
      <c r="I51" s="19">
        <v>1.0</v>
      </c>
      <c r="J51" s="19">
        <v>1.0</v>
      </c>
      <c r="K51" s="19">
        <v>0.0</v>
      </c>
      <c r="L51" s="19">
        <v>1.0</v>
      </c>
      <c r="M51" s="19">
        <v>2.0</v>
      </c>
      <c r="N51" s="19">
        <v>1.0</v>
      </c>
      <c r="O51" s="19">
        <v>0.0</v>
      </c>
      <c r="P51" s="19">
        <v>1.0</v>
      </c>
      <c r="Q51" s="19">
        <v>3.0</v>
      </c>
      <c r="R51" s="19">
        <v>0.0</v>
      </c>
      <c r="S51" s="19">
        <v>2.0</v>
      </c>
      <c r="T51" s="19">
        <v>1.0</v>
      </c>
      <c r="U51" s="19">
        <v>1.0</v>
      </c>
      <c r="V51" s="19">
        <v>3.0</v>
      </c>
      <c r="W51" s="19">
        <v>3.0</v>
      </c>
      <c r="X51" s="19">
        <v>5.0</v>
      </c>
      <c r="Y51" s="19">
        <v>3.0</v>
      </c>
      <c r="Z51" s="19">
        <v>1.0</v>
      </c>
      <c r="AA51" s="19">
        <v>1.0</v>
      </c>
      <c r="AB51" s="13">
        <f t="shared" si="8"/>
        <v>37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1.0</v>
      </c>
      <c r="F52" s="19">
        <v>3.0</v>
      </c>
      <c r="G52" s="19">
        <v>1.0</v>
      </c>
      <c r="H52" s="19">
        <v>0.0</v>
      </c>
      <c r="I52" s="19">
        <v>2.0</v>
      </c>
      <c r="J52" s="19">
        <v>1.0</v>
      </c>
      <c r="K52" s="19">
        <v>1.0</v>
      </c>
      <c r="L52" s="19">
        <v>1.0</v>
      </c>
      <c r="M52" s="19">
        <v>0.0</v>
      </c>
      <c r="N52" s="19">
        <v>1.0</v>
      </c>
      <c r="O52" s="19">
        <v>0.0</v>
      </c>
      <c r="P52" s="19">
        <v>1.0</v>
      </c>
      <c r="Q52" s="19">
        <v>1.0</v>
      </c>
      <c r="R52" s="19">
        <v>1.0</v>
      </c>
      <c r="S52" s="19">
        <v>0.0</v>
      </c>
      <c r="T52" s="19">
        <v>0.0</v>
      </c>
      <c r="U52" s="19">
        <v>5.0</v>
      </c>
      <c r="V52" s="19">
        <v>3.0</v>
      </c>
      <c r="W52" s="19">
        <v>0.0</v>
      </c>
      <c r="X52" s="19">
        <v>3.0</v>
      </c>
      <c r="Y52" s="19">
        <v>3.0</v>
      </c>
      <c r="Z52" s="19">
        <v>2.0</v>
      </c>
      <c r="AA52" s="19">
        <v>4.0</v>
      </c>
      <c r="AB52" s="13">
        <f t="shared" si="8"/>
        <v>34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0.0</v>
      </c>
      <c r="F53" s="19">
        <v>1.0</v>
      </c>
      <c r="G53" s="19">
        <v>2.0</v>
      </c>
      <c r="H53" s="19">
        <v>1.0</v>
      </c>
      <c r="I53" s="19">
        <v>0.0</v>
      </c>
      <c r="J53" s="19">
        <v>0.0</v>
      </c>
      <c r="K53" s="19">
        <v>0.0</v>
      </c>
      <c r="L53" s="19">
        <v>0.0</v>
      </c>
      <c r="M53" s="19">
        <v>1.0</v>
      </c>
      <c r="N53" s="19">
        <v>0.0</v>
      </c>
      <c r="O53" s="19">
        <v>1.0</v>
      </c>
      <c r="P53" s="19">
        <v>0.0</v>
      </c>
      <c r="Q53" s="19">
        <v>1.0</v>
      </c>
      <c r="R53" s="19">
        <v>1.0</v>
      </c>
      <c r="S53" s="19">
        <v>0.0</v>
      </c>
      <c r="T53" s="19">
        <v>1.0</v>
      </c>
      <c r="U53" s="19">
        <v>0.0</v>
      </c>
      <c r="V53" s="19">
        <v>4.0</v>
      </c>
      <c r="W53" s="19">
        <v>1.0</v>
      </c>
      <c r="X53" s="19">
        <v>0.0</v>
      </c>
      <c r="Y53" s="19">
        <v>1.0</v>
      </c>
      <c r="Z53" s="19">
        <v>0.0</v>
      </c>
      <c r="AA53" s="19">
        <v>0.0</v>
      </c>
      <c r="AB53" s="13">
        <f t="shared" si="8"/>
        <v>15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14.0</v>
      </c>
      <c r="F54" s="19">
        <v>12.0</v>
      </c>
      <c r="G54" s="19">
        <v>15.0</v>
      </c>
      <c r="H54" s="19">
        <v>5.0</v>
      </c>
      <c r="I54" s="19">
        <v>12.0</v>
      </c>
      <c r="J54" s="19">
        <v>12.0</v>
      </c>
      <c r="K54" s="19">
        <v>12.0</v>
      </c>
      <c r="L54" s="19">
        <v>12.0</v>
      </c>
      <c r="M54" s="19">
        <v>16.0</v>
      </c>
      <c r="N54" s="19">
        <v>15.0</v>
      </c>
      <c r="O54" s="19">
        <v>7.0</v>
      </c>
      <c r="P54" s="19">
        <v>16.0</v>
      </c>
      <c r="Q54" s="19">
        <v>17.0</v>
      </c>
      <c r="R54" s="19">
        <v>6.0</v>
      </c>
      <c r="S54" s="19">
        <v>6.0</v>
      </c>
      <c r="T54" s="19">
        <v>8.0</v>
      </c>
      <c r="U54" s="19">
        <v>13.0</v>
      </c>
      <c r="V54" s="19">
        <v>19.0</v>
      </c>
      <c r="W54" s="19">
        <v>18.0</v>
      </c>
      <c r="X54" s="19">
        <v>12.0</v>
      </c>
      <c r="Y54" s="19">
        <v>19.0</v>
      </c>
      <c r="Z54" s="19">
        <v>14.0</v>
      </c>
      <c r="AA54" s="19">
        <v>18.0</v>
      </c>
      <c r="AB54" s="13">
        <f t="shared" si="8"/>
        <v>298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0.0</v>
      </c>
      <c r="F55" s="19">
        <v>0.0</v>
      </c>
      <c r="G55" s="19">
        <v>3.0</v>
      </c>
      <c r="H55" s="19">
        <v>0.0</v>
      </c>
      <c r="I55" s="19">
        <v>2.0</v>
      </c>
      <c r="J55" s="19">
        <v>2.0</v>
      </c>
      <c r="K55" s="19">
        <v>0.0</v>
      </c>
      <c r="L55" s="19">
        <v>1.0</v>
      </c>
      <c r="M55" s="19">
        <v>1.0</v>
      </c>
      <c r="N55" s="19">
        <v>1.0</v>
      </c>
      <c r="O55" s="19">
        <v>1.0</v>
      </c>
      <c r="P55" s="19">
        <v>2.0</v>
      </c>
      <c r="Q55" s="19">
        <v>1.0</v>
      </c>
      <c r="R55" s="19">
        <v>0.0</v>
      </c>
      <c r="S55" s="19">
        <v>0.0</v>
      </c>
      <c r="T55" s="19">
        <v>1.0</v>
      </c>
      <c r="U55" s="19">
        <v>3.0</v>
      </c>
      <c r="V55" s="19">
        <v>0.0</v>
      </c>
      <c r="W55" s="19">
        <v>1.0</v>
      </c>
      <c r="X55" s="19">
        <v>0.0</v>
      </c>
      <c r="Y55" s="19">
        <v>0.0</v>
      </c>
      <c r="Z55" s="19">
        <v>1.0</v>
      </c>
      <c r="AA55" s="19">
        <v>1.0</v>
      </c>
      <c r="AB55" s="13">
        <f t="shared" si="8"/>
        <v>21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16.0</v>
      </c>
      <c r="F56" s="19">
        <v>17.0</v>
      </c>
      <c r="G56" s="19">
        <v>15.0</v>
      </c>
      <c r="H56" s="19">
        <v>15.0</v>
      </c>
      <c r="I56" s="19">
        <v>16.0</v>
      </c>
      <c r="J56" s="19">
        <v>25.0</v>
      </c>
      <c r="K56" s="19">
        <v>14.0</v>
      </c>
      <c r="L56" s="19">
        <v>14.0</v>
      </c>
      <c r="M56" s="19">
        <v>15.0</v>
      </c>
      <c r="N56" s="19">
        <v>24.0</v>
      </c>
      <c r="O56" s="19">
        <v>15.0</v>
      </c>
      <c r="P56" s="19">
        <v>20.0</v>
      </c>
      <c r="Q56" s="19">
        <v>9.0</v>
      </c>
      <c r="R56" s="19">
        <v>15.0</v>
      </c>
      <c r="S56" s="19">
        <v>13.0</v>
      </c>
      <c r="T56" s="19">
        <v>17.0</v>
      </c>
      <c r="U56" s="19">
        <v>24.0</v>
      </c>
      <c r="V56" s="19">
        <v>20.0</v>
      </c>
      <c r="W56" s="19">
        <v>19.0</v>
      </c>
      <c r="X56" s="19">
        <v>46.0</v>
      </c>
      <c r="Y56" s="19">
        <v>17.0</v>
      </c>
      <c r="Z56" s="19">
        <v>14.0</v>
      </c>
      <c r="AA56" s="19">
        <v>19.0</v>
      </c>
      <c r="AB56" s="13">
        <f t="shared" si="8"/>
        <v>419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2.0</v>
      </c>
      <c r="F57" s="19">
        <v>4.0</v>
      </c>
      <c r="G57" s="19">
        <v>2.0</v>
      </c>
      <c r="H57" s="19">
        <v>2.0</v>
      </c>
      <c r="I57" s="19">
        <v>1.0</v>
      </c>
      <c r="J57" s="19">
        <v>1.0</v>
      </c>
      <c r="K57" s="19">
        <v>0.0</v>
      </c>
      <c r="L57" s="19">
        <v>4.0</v>
      </c>
      <c r="M57" s="19">
        <v>3.0</v>
      </c>
      <c r="N57" s="19">
        <v>0.0</v>
      </c>
      <c r="O57" s="19">
        <v>1.0</v>
      </c>
      <c r="P57" s="19">
        <v>0.0</v>
      </c>
      <c r="Q57" s="19">
        <v>1.0</v>
      </c>
      <c r="R57" s="19">
        <v>0.0</v>
      </c>
      <c r="S57" s="19">
        <v>0.0</v>
      </c>
      <c r="T57" s="19">
        <v>1.0</v>
      </c>
      <c r="U57" s="19">
        <v>4.0</v>
      </c>
      <c r="V57" s="19">
        <v>1.0</v>
      </c>
      <c r="W57" s="19">
        <v>1.0</v>
      </c>
      <c r="X57" s="19">
        <v>2.0</v>
      </c>
      <c r="Y57" s="19">
        <v>1.0</v>
      </c>
      <c r="Z57" s="19">
        <v>1.0</v>
      </c>
      <c r="AA57" s="19">
        <v>3.0</v>
      </c>
      <c r="AB57" s="13">
        <f t="shared" si="8"/>
        <v>35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A60" si="9">SUM(E45:E57)</f>
        <v>161</v>
      </c>
      <c r="F60" s="19">
        <f t="shared" si="9"/>
        <v>167</v>
      </c>
      <c r="G60" s="19">
        <f t="shared" si="9"/>
        <v>165</v>
      </c>
      <c r="H60" s="19">
        <f t="shared" si="9"/>
        <v>127</v>
      </c>
      <c r="I60" s="19">
        <f t="shared" si="9"/>
        <v>145</v>
      </c>
      <c r="J60" s="19">
        <f t="shared" si="9"/>
        <v>168</v>
      </c>
      <c r="K60" s="19">
        <f t="shared" si="9"/>
        <v>137</v>
      </c>
      <c r="L60" s="19">
        <f t="shared" si="9"/>
        <v>154</v>
      </c>
      <c r="M60" s="19">
        <f t="shared" si="9"/>
        <v>170</v>
      </c>
      <c r="N60" s="19">
        <f t="shared" si="9"/>
        <v>173</v>
      </c>
      <c r="O60" s="19">
        <f t="shared" si="9"/>
        <v>185</v>
      </c>
      <c r="P60" s="19">
        <f t="shared" si="9"/>
        <v>179</v>
      </c>
      <c r="Q60" s="19">
        <f t="shared" si="9"/>
        <v>163</v>
      </c>
      <c r="R60" s="19">
        <f t="shared" si="9"/>
        <v>119</v>
      </c>
      <c r="S60" s="19">
        <f t="shared" si="9"/>
        <v>105</v>
      </c>
      <c r="T60" s="19">
        <f t="shared" si="9"/>
        <v>113</v>
      </c>
      <c r="U60" s="19">
        <f t="shared" si="9"/>
        <v>175</v>
      </c>
      <c r="V60" s="19">
        <f t="shared" si="9"/>
        <v>180</v>
      </c>
      <c r="W60" s="19">
        <f t="shared" si="9"/>
        <v>171</v>
      </c>
      <c r="X60" s="19">
        <f t="shared" si="9"/>
        <v>185</v>
      </c>
      <c r="Y60" s="19">
        <f t="shared" si="9"/>
        <v>175</v>
      </c>
      <c r="Z60" s="19">
        <f t="shared" si="9"/>
        <v>175</v>
      </c>
      <c r="AA60" s="19">
        <f t="shared" si="9"/>
        <v>142</v>
      </c>
      <c r="AB60" s="13">
        <f t="shared" ref="AB60:AB62" si="10">SUM(E60:AA60)</f>
        <v>3634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64.0</v>
      </c>
      <c r="F61" s="19">
        <v>36.0</v>
      </c>
      <c r="G61" s="19">
        <v>40.0</v>
      </c>
      <c r="H61" s="19">
        <v>57.0</v>
      </c>
      <c r="I61" s="19">
        <v>71.0</v>
      </c>
      <c r="J61" s="19">
        <v>45.0</v>
      </c>
      <c r="K61" s="19">
        <v>69.0</v>
      </c>
      <c r="L61" s="19">
        <v>29.0</v>
      </c>
      <c r="M61" s="19">
        <v>47.0</v>
      </c>
      <c r="N61" s="19">
        <v>34.0</v>
      </c>
      <c r="O61" s="19">
        <v>28.0</v>
      </c>
      <c r="P61" s="19">
        <v>38.0</v>
      </c>
      <c r="Q61" s="19">
        <v>34.0</v>
      </c>
      <c r="R61" s="19">
        <v>35.0</v>
      </c>
      <c r="S61" s="19">
        <v>40.0</v>
      </c>
      <c r="T61" s="19">
        <v>25.0</v>
      </c>
      <c r="U61" s="19">
        <v>24.0</v>
      </c>
      <c r="V61" s="19">
        <v>29.0</v>
      </c>
      <c r="W61" s="19">
        <v>30.0</v>
      </c>
      <c r="X61" s="19">
        <v>17.0</v>
      </c>
      <c r="Y61" s="19">
        <v>21.0</v>
      </c>
      <c r="Z61" s="19">
        <v>33.0</v>
      </c>
      <c r="AA61" s="19">
        <v>48.0</v>
      </c>
      <c r="AB61" s="13">
        <f t="shared" si="10"/>
        <v>894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A62" si="11">SUM(E60:E61)</f>
        <v>225</v>
      </c>
      <c r="F62" s="13">
        <f t="shared" si="11"/>
        <v>203</v>
      </c>
      <c r="G62" s="13">
        <f t="shared" si="11"/>
        <v>205</v>
      </c>
      <c r="H62" s="13">
        <f t="shared" si="11"/>
        <v>184</v>
      </c>
      <c r="I62" s="13">
        <f t="shared" si="11"/>
        <v>216</v>
      </c>
      <c r="J62" s="13">
        <f t="shared" si="11"/>
        <v>213</v>
      </c>
      <c r="K62" s="13">
        <f t="shared" si="11"/>
        <v>206</v>
      </c>
      <c r="L62" s="13">
        <f t="shared" si="11"/>
        <v>183</v>
      </c>
      <c r="M62" s="13">
        <f t="shared" si="11"/>
        <v>217</v>
      </c>
      <c r="N62" s="13">
        <f t="shared" si="11"/>
        <v>207</v>
      </c>
      <c r="O62" s="13">
        <f t="shared" si="11"/>
        <v>213</v>
      </c>
      <c r="P62" s="13">
        <f t="shared" si="11"/>
        <v>217</v>
      </c>
      <c r="Q62" s="13">
        <f t="shared" si="11"/>
        <v>197</v>
      </c>
      <c r="R62" s="13">
        <f t="shared" si="11"/>
        <v>154</v>
      </c>
      <c r="S62" s="13">
        <f t="shared" si="11"/>
        <v>145</v>
      </c>
      <c r="T62" s="13">
        <f t="shared" si="11"/>
        <v>138</v>
      </c>
      <c r="U62" s="13">
        <f t="shared" si="11"/>
        <v>199</v>
      </c>
      <c r="V62" s="13">
        <f t="shared" si="11"/>
        <v>209</v>
      </c>
      <c r="W62" s="13">
        <f t="shared" si="11"/>
        <v>201</v>
      </c>
      <c r="X62" s="13">
        <f t="shared" si="11"/>
        <v>202</v>
      </c>
      <c r="Y62" s="13">
        <f t="shared" si="11"/>
        <v>196</v>
      </c>
      <c r="Z62" s="13">
        <f t="shared" si="11"/>
        <v>208</v>
      </c>
      <c r="AA62" s="13">
        <f t="shared" si="11"/>
        <v>190</v>
      </c>
      <c r="AB62" s="13">
        <f t="shared" si="10"/>
        <v>4528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AA15 E45:AA57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E30&lt;&gt;E46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60:AA61">
    <cfRule type="containsBlanks" dxfId="1" priority="10">
      <formula>LEN(TRIM(E60))=0</formula>
    </cfRule>
  </conditionalFormatting>
  <conditionalFormatting sqref="U34:AA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36"/>
    </row>
    <row r="14" ht="12.75" customHeight="1">
      <c r="A14" s="18"/>
      <c r="B14" s="22" t="s">
        <v>11</v>
      </c>
      <c r="C14" s="23"/>
      <c r="D14" s="19" t="s">
        <v>12</v>
      </c>
      <c r="E14" s="19">
        <v>131.0</v>
      </c>
      <c r="F14" s="19">
        <v>147.0</v>
      </c>
      <c r="G14" s="19">
        <v>117.0</v>
      </c>
      <c r="H14" s="19">
        <v>106.0</v>
      </c>
      <c r="I14" s="19">
        <v>134.0</v>
      </c>
      <c r="J14" s="19">
        <v>135.0</v>
      </c>
      <c r="K14" s="19">
        <v>123.0</v>
      </c>
      <c r="L14" s="19">
        <v>110.0</v>
      </c>
      <c r="M14" s="19">
        <v>101.0</v>
      </c>
      <c r="N14" s="19">
        <v>126.0</v>
      </c>
      <c r="O14" s="19">
        <v>86.0</v>
      </c>
      <c r="P14" s="19">
        <v>122.0</v>
      </c>
      <c r="Q14" s="19">
        <v>144.0</v>
      </c>
      <c r="R14" s="19">
        <v>131.0</v>
      </c>
      <c r="S14" s="19">
        <v>112.0</v>
      </c>
      <c r="T14" s="19">
        <v>143.0</v>
      </c>
      <c r="U14" s="13">
        <f t="shared" ref="U14:U16" si="1">SUM(E14:T14)</f>
        <v>1968</v>
      </c>
    </row>
    <row r="15" ht="12.75" customHeight="1">
      <c r="A15" s="18"/>
      <c r="B15" s="26"/>
      <c r="C15" s="27"/>
      <c r="D15" s="19" t="s">
        <v>13</v>
      </c>
      <c r="E15" s="19">
        <v>131.0</v>
      </c>
      <c r="F15" s="19">
        <v>139.0</v>
      </c>
      <c r="G15" s="19">
        <v>132.0</v>
      </c>
      <c r="H15" s="19">
        <v>111.0</v>
      </c>
      <c r="I15" s="19">
        <v>139.0</v>
      </c>
      <c r="J15" s="19">
        <v>140.0</v>
      </c>
      <c r="K15" s="19">
        <v>143.0</v>
      </c>
      <c r="L15" s="19">
        <v>118.0</v>
      </c>
      <c r="M15" s="19">
        <v>116.0</v>
      </c>
      <c r="N15" s="19">
        <v>139.0</v>
      </c>
      <c r="O15" s="19">
        <v>95.0</v>
      </c>
      <c r="P15" s="19">
        <v>114.0</v>
      </c>
      <c r="Q15" s="19">
        <v>144.0</v>
      </c>
      <c r="R15" s="19">
        <v>141.0</v>
      </c>
      <c r="S15" s="19">
        <v>107.0</v>
      </c>
      <c r="T15" s="19">
        <v>145.0</v>
      </c>
      <c r="U15" s="13">
        <f t="shared" si="1"/>
        <v>2054</v>
      </c>
    </row>
    <row r="16" ht="12.75" customHeight="1">
      <c r="A16" s="25"/>
      <c r="B16" s="21"/>
      <c r="C16" s="28"/>
      <c r="D16" s="13" t="s">
        <v>14</v>
      </c>
      <c r="E16" s="13">
        <f t="shared" ref="E16:T16" si="2">SUM(E14:E15)</f>
        <v>262</v>
      </c>
      <c r="F16" s="13">
        <f t="shared" si="2"/>
        <v>286</v>
      </c>
      <c r="G16" s="13">
        <f t="shared" si="2"/>
        <v>249</v>
      </c>
      <c r="H16" s="13">
        <f t="shared" si="2"/>
        <v>217</v>
      </c>
      <c r="I16" s="13">
        <f t="shared" si="2"/>
        <v>273</v>
      </c>
      <c r="J16" s="13">
        <f t="shared" si="2"/>
        <v>275</v>
      </c>
      <c r="K16" s="13">
        <f t="shared" si="2"/>
        <v>266</v>
      </c>
      <c r="L16" s="13">
        <f t="shared" si="2"/>
        <v>228</v>
      </c>
      <c r="M16" s="13">
        <f t="shared" si="2"/>
        <v>217</v>
      </c>
      <c r="N16" s="13">
        <f t="shared" si="2"/>
        <v>265</v>
      </c>
      <c r="O16" s="13">
        <f t="shared" si="2"/>
        <v>181</v>
      </c>
      <c r="P16" s="13">
        <f t="shared" si="2"/>
        <v>236</v>
      </c>
      <c r="Q16" s="13">
        <f t="shared" si="2"/>
        <v>288</v>
      </c>
      <c r="R16" s="13">
        <f t="shared" si="2"/>
        <v>272</v>
      </c>
      <c r="S16" s="13">
        <f t="shared" si="2"/>
        <v>219</v>
      </c>
      <c r="T16" s="13">
        <f t="shared" si="2"/>
        <v>288</v>
      </c>
      <c r="U16" s="13">
        <f t="shared" si="1"/>
        <v>4022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101.0</v>
      </c>
      <c r="F19" s="19">
        <v>117.0</v>
      </c>
      <c r="G19" s="19">
        <v>86.0</v>
      </c>
      <c r="H19" s="19">
        <v>84.0</v>
      </c>
      <c r="I19" s="19">
        <v>107.0</v>
      </c>
      <c r="J19" s="19">
        <v>108.0</v>
      </c>
      <c r="K19" s="19">
        <v>94.0</v>
      </c>
      <c r="L19" s="19">
        <v>77.0</v>
      </c>
      <c r="M19" s="19">
        <v>87.0</v>
      </c>
      <c r="N19" s="19">
        <v>98.0</v>
      </c>
      <c r="O19" s="19">
        <v>62.0</v>
      </c>
      <c r="P19" s="19">
        <v>92.0</v>
      </c>
      <c r="Q19" s="19">
        <v>106.0</v>
      </c>
      <c r="R19" s="19">
        <v>93.0</v>
      </c>
      <c r="S19" s="19">
        <v>84.0</v>
      </c>
      <c r="T19" s="19">
        <v>114.0</v>
      </c>
      <c r="U19" s="13">
        <f t="shared" ref="U19:U30" si="3">SUM(E19:T19)</f>
        <v>1510</v>
      </c>
    </row>
    <row r="20" ht="12.75" customHeight="1">
      <c r="A20" s="33"/>
      <c r="B20" s="27"/>
      <c r="C20" s="34"/>
      <c r="D20" s="19" t="s">
        <v>13</v>
      </c>
      <c r="E20" s="19">
        <v>116.0</v>
      </c>
      <c r="F20" s="19">
        <v>122.0</v>
      </c>
      <c r="G20" s="19">
        <v>109.0</v>
      </c>
      <c r="H20" s="19">
        <v>91.0</v>
      </c>
      <c r="I20" s="19">
        <v>112.0</v>
      </c>
      <c r="J20" s="19">
        <v>110.0</v>
      </c>
      <c r="K20" s="19">
        <v>118.0</v>
      </c>
      <c r="L20" s="19">
        <v>89.0</v>
      </c>
      <c r="M20" s="19">
        <v>99.0</v>
      </c>
      <c r="N20" s="19">
        <v>115.0</v>
      </c>
      <c r="O20" s="19">
        <v>79.0</v>
      </c>
      <c r="P20" s="19">
        <v>102.0</v>
      </c>
      <c r="Q20" s="19">
        <v>108.0</v>
      </c>
      <c r="R20" s="19">
        <v>97.0</v>
      </c>
      <c r="S20" s="19">
        <v>90.0</v>
      </c>
      <c r="T20" s="19">
        <v>125.0</v>
      </c>
      <c r="U20" s="13">
        <f t="shared" si="3"/>
        <v>1682</v>
      </c>
    </row>
    <row r="21" ht="12.75" customHeight="1">
      <c r="A21" s="35"/>
      <c r="B21" s="28"/>
      <c r="C21" s="36"/>
      <c r="D21" s="13" t="s">
        <v>14</v>
      </c>
      <c r="E21" s="13">
        <v>217.0</v>
      </c>
      <c r="F21" s="13">
        <v>239.0</v>
      </c>
      <c r="G21" s="13">
        <v>195.0</v>
      </c>
      <c r="H21" s="13">
        <v>175.0</v>
      </c>
      <c r="I21" s="13">
        <v>219.0</v>
      </c>
      <c r="J21" s="13">
        <v>218.0</v>
      </c>
      <c r="K21" s="13">
        <v>212.0</v>
      </c>
      <c r="L21" s="13">
        <v>166.0</v>
      </c>
      <c r="M21" s="13">
        <v>186.0</v>
      </c>
      <c r="N21" s="13">
        <v>213.0</v>
      </c>
      <c r="O21" s="13">
        <v>141.0</v>
      </c>
      <c r="P21" s="13">
        <v>194.0</v>
      </c>
      <c r="Q21" s="13">
        <v>214.0</v>
      </c>
      <c r="R21" s="13">
        <v>190.0</v>
      </c>
      <c r="S21" s="13">
        <v>174.0</v>
      </c>
      <c r="T21" s="13">
        <f>SUM(T19:T20)</f>
        <v>239</v>
      </c>
      <c r="U21" s="13">
        <f t="shared" si="3"/>
        <v>3192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2.0</v>
      </c>
      <c r="L22" s="19">
        <v>1.0</v>
      </c>
      <c r="M22" s="19">
        <v>2.0</v>
      </c>
      <c r="N22" s="19">
        <v>2.0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3">
        <f t="shared" si="3"/>
        <v>9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1.0</v>
      </c>
      <c r="K23" s="19">
        <v>1.0</v>
      </c>
      <c r="L23" s="19">
        <v>1.0</v>
      </c>
      <c r="M23" s="19">
        <v>4.0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3">
        <f t="shared" si="3"/>
        <v>7</v>
      </c>
    </row>
    <row r="24" ht="12.75" customHeight="1">
      <c r="A24" s="35"/>
      <c r="B24" s="28"/>
      <c r="C24" s="36"/>
      <c r="D24" s="13" t="s">
        <v>14</v>
      </c>
      <c r="E24" s="13">
        <v>1.0</v>
      </c>
      <c r="F24" s="13">
        <v>0.0</v>
      </c>
      <c r="G24" s="13">
        <v>0.0</v>
      </c>
      <c r="H24" s="13">
        <v>0.0</v>
      </c>
      <c r="I24" s="13">
        <v>0.0</v>
      </c>
      <c r="J24" s="13">
        <v>2.0</v>
      </c>
      <c r="K24" s="13">
        <v>3.0</v>
      </c>
      <c r="L24" s="13">
        <v>2.0</v>
      </c>
      <c r="M24" s="13">
        <v>6.0</v>
      </c>
      <c r="N24" s="13">
        <v>2.0</v>
      </c>
      <c r="O24" s="13">
        <v>0.0</v>
      </c>
      <c r="P24" s="13">
        <v>0.0</v>
      </c>
      <c r="Q24" s="13">
        <v>0.0</v>
      </c>
      <c r="R24" s="13">
        <v>0.0</v>
      </c>
      <c r="S24" s="13">
        <v>0.0</v>
      </c>
      <c r="T24" s="13">
        <f>SUM(T22:T23)</f>
        <v>0</v>
      </c>
      <c r="U24" s="13">
        <f t="shared" si="3"/>
        <v>16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1.0</v>
      </c>
      <c r="H25" s="19">
        <v>3.0</v>
      </c>
      <c r="I25" s="19">
        <v>0.0</v>
      </c>
      <c r="J25" s="19">
        <v>0.0</v>
      </c>
      <c r="K25" s="19">
        <v>1.0</v>
      </c>
      <c r="L25" s="19">
        <v>0.0</v>
      </c>
      <c r="M25" s="19">
        <v>0.0</v>
      </c>
      <c r="N25" s="19">
        <v>2.0</v>
      </c>
      <c r="O25" s="19">
        <v>0.0</v>
      </c>
      <c r="P25" s="19">
        <v>1.0</v>
      </c>
      <c r="Q25" s="19">
        <v>1.0</v>
      </c>
      <c r="R25" s="19">
        <v>1.0</v>
      </c>
      <c r="S25" s="19">
        <v>4.0</v>
      </c>
      <c r="T25" s="19">
        <v>0.0</v>
      </c>
      <c r="U25" s="13">
        <f t="shared" si="3"/>
        <v>16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0.0</v>
      </c>
      <c r="H26" s="19">
        <v>1.0</v>
      </c>
      <c r="I26" s="19">
        <v>2.0</v>
      </c>
      <c r="J26" s="19">
        <v>1.0</v>
      </c>
      <c r="K26" s="19">
        <v>1.0</v>
      </c>
      <c r="L26" s="19">
        <v>1.0</v>
      </c>
      <c r="M26" s="19">
        <v>1.0</v>
      </c>
      <c r="N26" s="19">
        <v>2.0</v>
      </c>
      <c r="O26" s="19">
        <v>1.0</v>
      </c>
      <c r="P26" s="19">
        <v>1.0</v>
      </c>
      <c r="Q26" s="19">
        <v>0.0</v>
      </c>
      <c r="R26" s="19">
        <v>1.0</v>
      </c>
      <c r="S26" s="19">
        <v>3.0</v>
      </c>
      <c r="T26" s="19">
        <v>1.0</v>
      </c>
      <c r="U26" s="13">
        <f t="shared" si="3"/>
        <v>19</v>
      </c>
    </row>
    <row r="27" ht="12.75" customHeight="1">
      <c r="A27" s="35"/>
      <c r="B27" s="28"/>
      <c r="C27" s="36"/>
      <c r="D27" s="13" t="s">
        <v>14</v>
      </c>
      <c r="E27" s="13">
        <v>3.0</v>
      </c>
      <c r="F27" s="13">
        <v>2.0</v>
      </c>
      <c r="G27" s="13">
        <v>1.0</v>
      </c>
      <c r="H27" s="13">
        <v>4.0</v>
      </c>
      <c r="I27" s="13">
        <v>2.0</v>
      </c>
      <c r="J27" s="13">
        <v>1.0</v>
      </c>
      <c r="K27" s="13">
        <v>2.0</v>
      </c>
      <c r="L27" s="13">
        <v>1.0</v>
      </c>
      <c r="M27" s="13">
        <v>1.0</v>
      </c>
      <c r="N27" s="13">
        <v>4.0</v>
      </c>
      <c r="O27" s="13">
        <v>1.0</v>
      </c>
      <c r="P27" s="13">
        <v>2.0</v>
      </c>
      <c r="Q27" s="13">
        <v>1.0</v>
      </c>
      <c r="R27" s="13">
        <v>2.0</v>
      </c>
      <c r="S27" s="13">
        <v>7.0</v>
      </c>
      <c r="T27" s="13">
        <f>SUM(T25:T26)</f>
        <v>1</v>
      </c>
      <c r="U27" s="13">
        <f t="shared" si="3"/>
        <v>35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103.0</v>
      </c>
      <c r="F28" s="13">
        <v>118.0</v>
      </c>
      <c r="G28" s="13">
        <v>87.0</v>
      </c>
      <c r="H28" s="13">
        <v>87.0</v>
      </c>
      <c r="I28" s="13">
        <v>107.0</v>
      </c>
      <c r="J28" s="13">
        <v>109.0</v>
      </c>
      <c r="K28" s="13">
        <v>97.0</v>
      </c>
      <c r="L28" s="13">
        <v>78.0</v>
      </c>
      <c r="M28" s="13">
        <v>89.0</v>
      </c>
      <c r="N28" s="13">
        <v>102.0</v>
      </c>
      <c r="O28" s="13">
        <v>62.0</v>
      </c>
      <c r="P28" s="13">
        <v>93.0</v>
      </c>
      <c r="Q28" s="13">
        <v>107.0</v>
      </c>
      <c r="R28" s="13">
        <v>94.0</v>
      </c>
      <c r="S28" s="13">
        <v>88.0</v>
      </c>
      <c r="T28" s="13">
        <f t="shared" ref="T28:T29" si="4">SUM(T19,T22,T25)</f>
        <v>114</v>
      </c>
      <c r="U28" s="13">
        <f t="shared" si="3"/>
        <v>1535</v>
      </c>
    </row>
    <row r="29" ht="12.75" customHeight="1">
      <c r="A29" s="35"/>
      <c r="B29" s="27"/>
      <c r="C29" s="34"/>
      <c r="D29" s="13" t="s">
        <v>13</v>
      </c>
      <c r="E29" s="13">
        <v>118.0</v>
      </c>
      <c r="F29" s="13">
        <v>123.0</v>
      </c>
      <c r="G29" s="13">
        <v>109.0</v>
      </c>
      <c r="H29" s="13">
        <v>92.0</v>
      </c>
      <c r="I29" s="13">
        <v>114.0</v>
      </c>
      <c r="J29" s="13">
        <v>112.0</v>
      </c>
      <c r="K29" s="13">
        <v>120.0</v>
      </c>
      <c r="L29" s="13">
        <v>91.0</v>
      </c>
      <c r="M29" s="13">
        <v>104.0</v>
      </c>
      <c r="N29" s="13">
        <v>117.0</v>
      </c>
      <c r="O29" s="13">
        <v>80.0</v>
      </c>
      <c r="P29" s="13">
        <v>103.0</v>
      </c>
      <c r="Q29" s="13">
        <v>108.0</v>
      </c>
      <c r="R29" s="13">
        <v>98.0</v>
      </c>
      <c r="S29" s="13">
        <v>93.0</v>
      </c>
      <c r="T29" s="13">
        <f t="shared" si="4"/>
        <v>126</v>
      </c>
      <c r="U29" s="13">
        <f t="shared" si="3"/>
        <v>1708</v>
      </c>
    </row>
    <row r="30" ht="12.75" customHeight="1">
      <c r="A30" s="35"/>
      <c r="B30" s="28"/>
      <c r="C30" s="36"/>
      <c r="D30" s="13" t="s">
        <v>14</v>
      </c>
      <c r="E30" s="13">
        <f t="shared" ref="E30:T30" si="5">SUM(E28:E29)</f>
        <v>221</v>
      </c>
      <c r="F30" s="13">
        <f t="shared" si="5"/>
        <v>241</v>
      </c>
      <c r="G30" s="13">
        <f t="shared" si="5"/>
        <v>196</v>
      </c>
      <c r="H30" s="13">
        <f t="shared" si="5"/>
        <v>179</v>
      </c>
      <c r="I30" s="13">
        <f t="shared" si="5"/>
        <v>221</v>
      </c>
      <c r="J30" s="13">
        <f t="shared" si="5"/>
        <v>221</v>
      </c>
      <c r="K30" s="13">
        <f t="shared" si="5"/>
        <v>217</v>
      </c>
      <c r="L30" s="13">
        <f t="shared" si="5"/>
        <v>169</v>
      </c>
      <c r="M30" s="13">
        <f t="shared" si="5"/>
        <v>193</v>
      </c>
      <c r="N30" s="13">
        <f t="shared" si="5"/>
        <v>219</v>
      </c>
      <c r="O30" s="13">
        <f t="shared" si="5"/>
        <v>142</v>
      </c>
      <c r="P30" s="13">
        <f t="shared" si="5"/>
        <v>196</v>
      </c>
      <c r="Q30" s="13">
        <f t="shared" si="5"/>
        <v>215</v>
      </c>
      <c r="R30" s="13">
        <f t="shared" si="5"/>
        <v>192</v>
      </c>
      <c r="S30" s="13">
        <f t="shared" si="5"/>
        <v>181</v>
      </c>
      <c r="T30" s="13">
        <f t="shared" si="5"/>
        <v>240</v>
      </c>
      <c r="U30" s="13">
        <f t="shared" si="3"/>
        <v>3243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59"/>
    </row>
    <row r="33" ht="12.75" customHeight="1">
      <c r="A33" s="19">
        <v>1.0</v>
      </c>
      <c r="B33" s="20" t="s">
        <v>27</v>
      </c>
      <c r="C33" s="15"/>
      <c r="D33" s="16"/>
      <c r="E33" s="19">
        <v>268.0</v>
      </c>
      <c r="F33" s="19">
        <v>292.0</v>
      </c>
      <c r="G33" s="19">
        <v>254.0</v>
      </c>
      <c r="H33" s="19">
        <v>222.0</v>
      </c>
      <c r="I33" s="19">
        <v>279.0</v>
      </c>
      <c r="J33" s="19">
        <v>281.0</v>
      </c>
      <c r="K33" s="19">
        <v>272.0</v>
      </c>
      <c r="L33" s="19">
        <v>233.0</v>
      </c>
      <c r="M33" s="19">
        <v>222.0</v>
      </c>
      <c r="N33" s="19">
        <v>271.0</v>
      </c>
      <c r="O33" s="19">
        <v>186.0</v>
      </c>
      <c r="P33" s="19">
        <v>241.0</v>
      </c>
      <c r="Q33" s="19">
        <v>295.0</v>
      </c>
      <c r="R33" s="19">
        <v>278.0</v>
      </c>
      <c r="S33" s="19">
        <v>224.0</v>
      </c>
      <c r="T33" s="19">
        <v>294.0</v>
      </c>
      <c r="U33" s="13">
        <f t="shared" ref="U33:U36" si="6">SUM(E33:T33)</f>
        <v>4112</v>
      </c>
    </row>
    <row r="34" ht="12.75" customHeight="1">
      <c r="A34" s="19">
        <v>2.0</v>
      </c>
      <c r="B34" s="20" t="s">
        <v>28</v>
      </c>
      <c r="C34" s="15"/>
      <c r="D34" s="16"/>
      <c r="E34" s="13">
        <v>221.0</v>
      </c>
      <c r="F34" s="13">
        <v>241.0</v>
      </c>
      <c r="G34" s="13">
        <v>196.0</v>
      </c>
      <c r="H34" s="13">
        <v>179.0</v>
      </c>
      <c r="I34" s="13">
        <v>221.0</v>
      </c>
      <c r="J34" s="13">
        <v>221.0</v>
      </c>
      <c r="K34" s="13">
        <v>217.0</v>
      </c>
      <c r="L34" s="13">
        <v>169.0</v>
      </c>
      <c r="M34" s="13">
        <v>193.0</v>
      </c>
      <c r="N34" s="13">
        <v>219.0</v>
      </c>
      <c r="O34" s="13">
        <v>142.0</v>
      </c>
      <c r="P34" s="13">
        <v>196.0</v>
      </c>
      <c r="Q34" s="13">
        <v>215.0</v>
      </c>
      <c r="R34" s="13">
        <v>192.0</v>
      </c>
      <c r="S34" s="13">
        <v>181.0</v>
      </c>
      <c r="T34" s="13">
        <v>240.0</v>
      </c>
      <c r="U34" s="13">
        <f t="shared" si="6"/>
        <v>3243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9">
        <v>2.0</v>
      </c>
      <c r="O35" s="19">
        <v>1.0</v>
      </c>
      <c r="P35" s="19">
        <v>1.0</v>
      </c>
      <c r="Q35" s="19">
        <v>0.0</v>
      </c>
      <c r="R35" s="19">
        <v>0.0</v>
      </c>
      <c r="S35" s="19">
        <v>6.0</v>
      </c>
      <c r="T35" s="19">
        <v>0.0</v>
      </c>
      <c r="U35" s="13">
        <f t="shared" si="6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v>46.0</v>
      </c>
      <c r="F36" s="13">
        <v>51.0</v>
      </c>
      <c r="G36" s="13">
        <v>58.0</v>
      </c>
      <c r="H36" s="13">
        <v>43.0</v>
      </c>
      <c r="I36" s="13">
        <v>57.0</v>
      </c>
      <c r="J36" s="13">
        <v>60.0</v>
      </c>
      <c r="K36" s="13">
        <v>55.0</v>
      </c>
      <c r="L36" s="13">
        <v>64.0</v>
      </c>
      <c r="M36" s="13">
        <v>29.0</v>
      </c>
      <c r="N36" s="13">
        <v>50.0</v>
      </c>
      <c r="O36" s="13">
        <v>43.0</v>
      </c>
      <c r="P36" s="13">
        <v>44.0</v>
      </c>
      <c r="Q36" s="13">
        <v>80.0</v>
      </c>
      <c r="R36" s="13">
        <v>86.0</v>
      </c>
      <c r="S36" s="13">
        <v>37.0</v>
      </c>
      <c r="T36" s="13">
        <f>T33-(T34+T35)</f>
        <v>54</v>
      </c>
      <c r="U36" s="13">
        <f t="shared" si="6"/>
        <v>857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2.0</v>
      </c>
      <c r="P39" s="19">
        <v>0.0</v>
      </c>
      <c r="Q39" s="19">
        <v>1.0</v>
      </c>
      <c r="R39" s="19">
        <v>0.0</v>
      </c>
      <c r="S39" s="19">
        <v>0.0</v>
      </c>
      <c r="T39" s="19">
        <v>0.0</v>
      </c>
      <c r="U39" s="13">
        <f t="shared" ref="U39:U41" si="7">SUM(E39:T39)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1.0</v>
      </c>
      <c r="I40" s="19">
        <v>0.0</v>
      </c>
      <c r="J40" s="19">
        <v>0.0</v>
      </c>
      <c r="K40" s="19">
        <v>0.0</v>
      </c>
      <c r="L40" s="19">
        <v>1.0</v>
      </c>
      <c r="M40" s="19">
        <v>1.0</v>
      </c>
      <c r="N40" s="19">
        <v>0.0</v>
      </c>
      <c r="O40" s="19">
        <v>1.0</v>
      </c>
      <c r="P40" s="19">
        <v>0.0</v>
      </c>
      <c r="Q40" s="19">
        <v>1.0</v>
      </c>
      <c r="R40" s="19">
        <v>0.0</v>
      </c>
      <c r="S40" s="19">
        <v>0.0</v>
      </c>
      <c r="T40" s="19">
        <v>0.0</v>
      </c>
      <c r="U40" s="13">
        <f t="shared" si="7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T41" si="8">SUM(E39:E40)</f>
        <v>0</v>
      </c>
      <c r="F41" s="13">
        <f t="shared" si="8"/>
        <v>0</v>
      </c>
      <c r="G41" s="13">
        <f t="shared" si="8"/>
        <v>0</v>
      </c>
      <c r="H41" s="13">
        <f t="shared" si="8"/>
        <v>2</v>
      </c>
      <c r="I41" s="13">
        <f t="shared" si="8"/>
        <v>0</v>
      </c>
      <c r="J41" s="13">
        <f t="shared" si="8"/>
        <v>0</v>
      </c>
      <c r="K41" s="13">
        <f t="shared" si="8"/>
        <v>0</v>
      </c>
      <c r="L41" s="13">
        <f t="shared" si="8"/>
        <v>1</v>
      </c>
      <c r="M41" s="13">
        <f t="shared" si="8"/>
        <v>1</v>
      </c>
      <c r="N41" s="13">
        <f t="shared" si="8"/>
        <v>0</v>
      </c>
      <c r="O41" s="13">
        <f t="shared" si="8"/>
        <v>3</v>
      </c>
      <c r="P41" s="13">
        <f t="shared" si="8"/>
        <v>0</v>
      </c>
      <c r="Q41" s="13">
        <f t="shared" si="8"/>
        <v>2</v>
      </c>
      <c r="R41" s="13">
        <f t="shared" si="8"/>
        <v>0</v>
      </c>
      <c r="S41" s="13">
        <f t="shared" si="8"/>
        <v>0</v>
      </c>
      <c r="T41" s="13">
        <f t="shared" si="8"/>
        <v>0</v>
      </c>
      <c r="U41" s="13">
        <f t="shared" si="7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3"/>
    </row>
    <row r="45" ht="12.75" customHeight="1">
      <c r="A45" s="30"/>
      <c r="B45" s="47" t="s">
        <v>17</v>
      </c>
      <c r="C45" s="62" t="s">
        <v>38</v>
      </c>
      <c r="D45" s="16"/>
      <c r="E45" s="19">
        <v>24.0</v>
      </c>
      <c r="F45" s="19">
        <v>18.0</v>
      </c>
      <c r="G45" s="19">
        <v>16.0</v>
      </c>
      <c r="H45" s="19">
        <v>22.0</v>
      </c>
      <c r="I45" s="19">
        <v>12.0</v>
      </c>
      <c r="J45" s="19">
        <v>14.0</v>
      </c>
      <c r="K45" s="19">
        <v>6.0</v>
      </c>
      <c r="L45" s="19">
        <v>20.0</v>
      </c>
      <c r="M45" s="19">
        <v>14.0</v>
      </c>
      <c r="N45" s="19">
        <v>15.0</v>
      </c>
      <c r="O45" s="19">
        <v>12.0</v>
      </c>
      <c r="P45" s="19">
        <v>23.0</v>
      </c>
      <c r="Q45" s="19">
        <v>18.0</v>
      </c>
      <c r="R45" s="19">
        <v>8.0</v>
      </c>
      <c r="S45" s="19">
        <v>8.0</v>
      </c>
      <c r="T45" s="19">
        <v>4.0</v>
      </c>
      <c r="U45" s="13">
        <f t="shared" ref="U45:U57" si="9">SUM(E45:T45)</f>
        <v>234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31.0</v>
      </c>
      <c r="F46" s="19">
        <v>39.0</v>
      </c>
      <c r="G46" s="19">
        <v>38.0</v>
      </c>
      <c r="H46" s="19">
        <v>30.0</v>
      </c>
      <c r="I46" s="19">
        <v>42.0</v>
      </c>
      <c r="J46" s="19">
        <v>38.0</v>
      </c>
      <c r="K46" s="19">
        <v>23.0</v>
      </c>
      <c r="L46" s="19">
        <v>12.0</v>
      </c>
      <c r="M46" s="19">
        <v>25.0</v>
      </c>
      <c r="N46" s="19">
        <v>32.0</v>
      </c>
      <c r="O46" s="19">
        <v>14.0</v>
      </c>
      <c r="P46" s="19">
        <v>32.0</v>
      </c>
      <c r="Q46" s="19">
        <v>47.0</v>
      </c>
      <c r="R46" s="19">
        <v>26.0</v>
      </c>
      <c r="S46" s="19">
        <v>15.0</v>
      </c>
      <c r="T46" s="19">
        <v>21.0</v>
      </c>
      <c r="U46" s="13">
        <f t="shared" si="9"/>
        <v>465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19.0</v>
      </c>
      <c r="F47" s="19">
        <v>15.0</v>
      </c>
      <c r="G47" s="19">
        <v>12.0</v>
      </c>
      <c r="H47" s="19">
        <v>16.0</v>
      </c>
      <c r="I47" s="19">
        <v>12.0</v>
      </c>
      <c r="J47" s="19">
        <v>16.0</v>
      </c>
      <c r="K47" s="19">
        <v>4.0</v>
      </c>
      <c r="L47" s="19">
        <v>5.0</v>
      </c>
      <c r="M47" s="19">
        <v>5.0</v>
      </c>
      <c r="N47" s="19">
        <v>6.0</v>
      </c>
      <c r="O47" s="19">
        <v>15.0</v>
      </c>
      <c r="P47" s="19">
        <v>13.0</v>
      </c>
      <c r="Q47" s="19">
        <v>14.0</v>
      </c>
      <c r="R47" s="19">
        <v>11.0</v>
      </c>
      <c r="S47" s="19">
        <v>9.0</v>
      </c>
      <c r="T47" s="19">
        <v>7.0</v>
      </c>
      <c r="U47" s="13">
        <f t="shared" si="9"/>
        <v>179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26.0</v>
      </c>
      <c r="F48" s="19">
        <v>31.0</v>
      </c>
      <c r="G48" s="19">
        <v>23.0</v>
      </c>
      <c r="H48" s="19">
        <v>28.0</v>
      </c>
      <c r="I48" s="19">
        <v>22.0</v>
      </c>
      <c r="J48" s="19">
        <v>30.0</v>
      </c>
      <c r="K48" s="19">
        <v>19.0</v>
      </c>
      <c r="L48" s="19">
        <v>37.0</v>
      </c>
      <c r="M48" s="19">
        <v>39.0</v>
      </c>
      <c r="N48" s="19">
        <v>54.0</v>
      </c>
      <c r="O48" s="19">
        <v>19.0</v>
      </c>
      <c r="P48" s="19">
        <v>42.0</v>
      </c>
      <c r="Q48" s="19">
        <v>27.0</v>
      </c>
      <c r="R48" s="19">
        <v>17.0</v>
      </c>
      <c r="S48" s="19">
        <v>25.0</v>
      </c>
      <c r="T48" s="19">
        <v>19.0</v>
      </c>
      <c r="U48" s="13">
        <f t="shared" si="9"/>
        <v>458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15.0</v>
      </c>
      <c r="F49" s="19">
        <v>7.0</v>
      </c>
      <c r="G49" s="19">
        <v>12.0</v>
      </c>
      <c r="H49" s="19">
        <v>8.0</v>
      </c>
      <c r="I49" s="19">
        <v>12.0</v>
      </c>
      <c r="J49" s="19">
        <v>14.0</v>
      </c>
      <c r="K49" s="19">
        <v>8.0</v>
      </c>
      <c r="L49" s="19">
        <v>7.0</v>
      </c>
      <c r="M49" s="19">
        <v>9.0</v>
      </c>
      <c r="N49" s="19">
        <v>15.0</v>
      </c>
      <c r="O49" s="19">
        <v>9.0</v>
      </c>
      <c r="P49" s="19">
        <v>5.0</v>
      </c>
      <c r="Q49" s="19">
        <v>8.0</v>
      </c>
      <c r="R49" s="19">
        <v>9.0</v>
      </c>
      <c r="S49" s="19">
        <v>5.0</v>
      </c>
      <c r="T49" s="19">
        <v>7.0</v>
      </c>
      <c r="U49" s="13">
        <f t="shared" si="9"/>
        <v>150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11.0</v>
      </c>
      <c r="F50" s="19">
        <v>9.0</v>
      </c>
      <c r="G50" s="19">
        <v>10.0</v>
      </c>
      <c r="H50" s="19">
        <v>7.0</v>
      </c>
      <c r="I50" s="19">
        <v>17.0</v>
      </c>
      <c r="J50" s="19">
        <v>12.0</v>
      </c>
      <c r="K50" s="19">
        <v>10.0</v>
      </c>
      <c r="L50" s="19">
        <v>7.0</v>
      </c>
      <c r="M50" s="19">
        <v>10.0</v>
      </c>
      <c r="N50" s="19">
        <v>19.0</v>
      </c>
      <c r="O50" s="19">
        <v>13.0</v>
      </c>
      <c r="P50" s="19">
        <v>9.0</v>
      </c>
      <c r="Q50" s="19">
        <v>12.0</v>
      </c>
      <c r="R50" s="19">
        <v>4.0</v>
      </c>
      <c r="S50" s="19">
        <v>4.0</v>
      </c>
      <c r="T50" s="19">
        <v>12.0</v>
      </c>
      <c r="U50" s="13">
        <f t="shared" si="9"/>
        <v>166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1.0</v>
      </c>
      <c r="F51" s="19">
        <v>2.0</v>
      </c>
      <c r="G51" s="19">
        <v>0.0</v>
      </c>
      <c r="H51" s="19">
        <v>3.0</v>
      </c>
      <c r="I51" s="19">
        <v>4.0</v>
      </c>
      <c r="J51" s="19">
        <v>1.0</v>
      </c>
      <c r="K51" s="19">
        <v>2.0</v>
      </c>
      <c r="L51" s="19">
        <v>2.0</v>
      </c>
      <c r="M51" s="19">
        <v>3.0</v>
      </c>
      <c r="N51" s="19">
        <v>0.0</v>
      </c>
      <c r="O51" s="19">
        <v>0.0</v>
      </c>
      <c r="P51" s="19">
        <v>1.0</v>
      </c>
      <c r="Q51" s="19">
        <v>1.0</v>
      </c>
      <c r="R51" s="19">
        <v>1.0</v>
      </c>
      <c r="S51" s="19">
        <v>1.0</v>
      </c>
      <c r="T51" s="19">
        <v>1.0</v>
      </c>
      <c r="U51" s="13">
        <f t="shared" si="9"/>
        <v>23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0.0</v>
      </c>
      <c r="F52" s="19">
        <v>3.0</v>
      </c>
      <c r="G52" s="19">
        <v>0.0</v>
      </c>
      <c r="H52" s="19">
        <v>1.0</v>
      </c>
      <c r="I52" s="19">
        <v>1.0</v>
      </c>
      <c r="J52" s="19">
        <v>2.0</v>
      </c>
      <c r="K52" s="19">
        <v>3.0</v>
      </c>
      <c r="L52" s="19">
        <v>0.0</v>
      </c>
      <c r="M52" s="19">
        <v>1.0</v>
      </c>
      <c r="N52" s="19">
        <v>0.0</v>
      </c>
      <c r="O52" s="19">
        <v>0.0</v>
      </c>
      <c r="P52" s="19">
        <v>2.0</v>
      </c>
      <c r="Q52" s="19">
        <v>1.0</v>
      </c>
      <c r="R52" s="19">
        <v>1.0</v>
      </c>
      <c r="S52" s="19">
        <v>2.0</v>
      </c>
      <c r="T52" s="19">
        <v>2.0</v>
      </c>
      <c r="U52" s="13">
        <f t="shared" si="9"/>
        <v>19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0.0</v>
      </c>
      <c r="F53" s="19">
        <v>1.0</v>
      </c>
      <c r="G53" s="19">
        <v>1.0</v>
      </c>
      <c r="H53" s="19">
        <v>1.0</v>
      </c>
      <c r="I53" s="19">
        <v>2.0</v>
      </c>
      <c r="J53" s="19">
        <v>0.0</v>
      </c>
      <c r="K53" s="19">
        <v>0.0</v>
      </c>
      <c r="L53" s="19">
        <v>0.0</v>
      </c>
      <c r="M53" s="19">
        <v>1.0</v>
      </c>
      <c r="N53" s="19">
        <v>0.0</v>
      </c>
      <c r="O53" s="19">
        <v>0.0</v>
      </c>
      <c r="P53" s="19">
        <v>0.0</v>
      </c>
      <c r="Q53" s="19">
        <v>0.0</v>
      </c>
      <c r="R53" s="19">
        <v>1.0</v>
      </c>
      <c r="S53" s="19">
        <v>0.0</v>
      </c>
      <c r="T53" s="19">
        <v>0.0</v>
      </c>
      <c r="U53" s="13">
        <f t="shared" si="9"/>
        <v>7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19.0</v>
      </c>
      <c r="F54" s="19">
        <v>15.0</v>
      </c>
      <c r="G54" s="19">
        <v>18.0</v>
      </c>
      <c r="H54" s="19">
        <v>13.0</v>
      </c>
      <c r="I54" s="19">
        <v>10.0</v>
      </c>
      <c r="J54" s="19">
        <v>11.0</v>
      </c>
      <c r="K54" s="19">
        <v>12.0</v>
      </c>
      <c r="L54" s="19">
        <v>6.0</v>
      </c>
      <c r="M54" s="19">
        <v>9.0</v>
      </c>
      <c r="N54" s="19">
        <v>7.0</v>
      </c>
      <c r="O54" s="19">
        <v>9.0</v>
      </c>
      <c r="P54" s="19">
        <v>17.0</v>
      </c>
      <c r="Q54" s="19">
        <v>10.0</v>
      </c>
      <c r="R54" s="19">
        <v>3.0</v>
      </c>
      <c r="S54" s="19">
        <v>12.0</v>
      </c>
      <c r="T54" s="19">
        <v>16.0</v>
      </c>
      <c r="U54" s="13">
        <f t="shared" si="9"/>
        <v>187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3.0</v>
      </c>
      <c r="F55" s="19">
        <v>0.0</v>
      </c>
      <c r="G55" s="19">
        <v>2.0</v>
      </c>
      <c r="H55" s="19">
        <v>1.0</v>
      </c>
      <c r="I55" s="19">
        <v>8.0</v>
      </c>
      <c r="J55" s="19">
        <v>0.0</v>
      </c>
      <c r="K55" s="19">
        <v>1.0</v>
      </c>
      <c r="L55" s="19">
        <v>0.0</v>
      </c>
      <c r="M55" s="19">
        <v>0.0</v>
      </c>
      <c r="N55" s="19">
        <v>0.0</v>
      </c>
      <c r="O55" s="19">
        <v>2.0</v>
      </c>
      <c r="P55" s="19">
        <v>1.0</v>
      </c>
      <c r="Q55" s="19">
        <v>2.0</v>
      </c>
      <c r="R55" s="19">
        <v>0.0</v>
      </c>
      <c r="S55" s="19">
        <v>0.0</v>
      </c>
      <c r="T55" s="19">
        <v>1.0</v>
      </c>
      <c r="U55" s="13">
        <f t="shared" si="9"/>
        <v>21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14.0</v>
      </c>
      <c r="F56" s="19">
        <v>24.0</v>
      </c>
      <c r="G56" s="19">
        <v>16.0</v>
      </c>
      <c r="H56" s="19">
        <v>14.0</v>
      </c>
      <c r="I56" s="19">
        <v>21.0</v>
      </c>
      <c r="J56" s="19">
        <v>16.0</v>
      </c>
      <c r="K56" s="19">
        <v>24.0</v>
      </c>
      <c r="L56" s="19">
        <v>31.0</v>
      </c>
      <c r="M56" s="19">
        <v>13.0</v>
      </c>
      <c r="N56" s="19">
        <v>35.0</v>
      </c>
      <c r="O56" s="19">
        <v>10.0</v>
      </c>
      <c r="P56" s="19">
        <v>16.0</v>
      </c>
      <c r="Q56" s="19">
        <v>17.0</v>
      </c>
      <c r="R56" s="19">
        <v>7.0</v>
      </c>
      <c r="S56" s="19">
        <v>12.0</v>
      </c>
      <c r="T56" s="19">
        <v>11.0</v>
      </c>
      <c r="U56" s="13">
        <f t="shared" si="9"/>
        <v>281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2.0</v>
      </c>
      <c r="F57" s="19">
        <v>2.0</v>
      </c>
      <c r="G57" s="19">
        <v>3.0</v>
      </c>
      <c r="H57" s="19">
        <v>4.0</v>
      </c>
      <c r="I57" s="19">
        <v>3.0</v>
      </c>
      <c r="J57" s="19">
        <v>2.0</v>
      </c>
      <c r="K57" s="19">
        <v>5.0</v>
      </c>
      <c r="L57" s="19">
        <v>3.0</v>
      </c>
      <c r="M57" s="19">
        <v>0.0</v>
      </c>
      <c r="N57" s="19">
        <v>1.0</v>
      </c>
      <c r="O57" s="19">
        <v>3.0</v>
      </c>
      <c r="P57" s="19">
        <v>2.0</v>
      </c>
      <c r="Q57" s="19">
        <v>2.0</v>
      </c>
      <c r="R57" s="19">
        <v>2.0</v>
      </c>
      <c r="S57" s="19">
        <v>1.0</v>
      </c>
      <c r="T57" s="19">
        <v>0.0</v>
      </c>
      <c r="U57" s="13">
        <f t="shared" si="9"/>
        <v>35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T60" si="10">SUM(E45:E57)</f>
        <v>165</v>
      </c>
      <c r="F60" s="19">
        <f t="shared" si="10"/>
        <v>166</v>
      </c>
      <c r="G60" s="19">
        <f t="shared" si="10"/>
        <v>151</v>
      </c>
      <c r="H60" s="19">
        <f t="shared" si="10"/>
        <v>148</v>
      </c>
      <c r="I60" s="19">
        <f t="shared" si="10"/>
        <v>166</v>
      </c>
      <c r="J60" s="19">
        <f t="shared" si="10"/>
        <v>156</v>
      </c>
      <c r="K60" s="19">
        <f t="shared" si="10"/>
        <v>117</v>
      </c>
      <c r="L60" s="19">
        <f t="shared" si="10"/>
        <v>130</v>
      </c>
      <c r="M60" s="19">
        <f t="shared" si="10"/>
        <v>129</v>
      </c>
      <c r="N60" s="19">
        <f t="shared" si="10"/>
        <v>184</v>
      </c>
      <c r="O60" s="19">
        <f t="shared" si="10"/>
        <v>106</v>
      </c>
      <c r="P60" s="19">
        <f t="shared" si="10"/>
        <v>163</v>
      </c>
      <c r="Q60" s="19">
        <f t="shared" si="10"/>
        <v>159</v>
      </c>
      <c r="R60" s="19">
        <f t="shared" si="10"/>
        <v>90</v>
      </c>
      <c r="S60" s="19">
        <f t="shared" si="10"/>
        <v>94</v>
      </c>
      <c r="T60" s="19">
        <f t="shared" si="10"/>
        <v>101</v>
      </c>
      <c r="U60" s="13">
        <f t="shared" ref="U60:U62" si="11">SUM(E60:T60)</f>
        <v>2225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56.0</v>
      </c>
      <c r="F61" s="19">
        <v>75.0</v>
      </c>
      <c r="G61" s="19">
        <v>45.0</v>
      </c>
      <c r="H61" s="19">
        <v>31.0</v>
      </c>
      <c r="I61" s="19">
        <v>55.0</v>
      </c>
      <c r="J61" s="19">
        <v>65.0</v>
      </c>
      <c r="K61" s="19">
        <v>100.0</v>
      </c>
      <c r="L61" s="19">
        <v>39.0</v>
      </c>
      <c r="M61" s="19">
        <v>64.0</v>
      </c>
      <c r="N61" s="19">
        <v>35.0</v>
      </c>
      <c r="O61" s="19">
        <v>36.0</v>
      </c>
      <c r="P61" s="19">
        <v>33.0</v>
      </c>
      <c r="Q61" s="19">
        <v>56.0</v>
      </c>
      <c r="R61" s="19">
        <v>10.0</v>
      </c>
      <c r="S61" s="19">
        <v>87.0</v>
      </c>
      <c r="T61" s="19">
        <v>139.0</v>
      </c>
      <c r="U61" s="13">
        <f t="shared" si="11"/>
        <v>926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T62" si="12">SUM(E60:E61)</f>
        <v>221</v>
      </c>
      <c r="F62" s="13">
        <f t="shared" si="12"/>
        <v>241</v>
      </c>
      <c r="G62" s="13">
        <f t="shared" si="12"/>
        <v>196</v>
      </c>
      <c r="H62" s="13">
        <f t="shared" si="12"/>
        <v>179</v>
      </c>
      <c r="I62" s="13">
        <f t="shared" si="12"/>
        <v>221</v>
      </c>
      <c r="J62" s="13">
        <f t="shared" si="12"/>
        <v>221</v>
      </c>
      <c r="K62" s="13">
        <f t="shared" si="12"/>
        <v>217</v>
      </c>
      <c r="L62" s="13">
        <f t="shared" si="12"/>
        <v>169</v>
      </c>
      <c r="M62" s="13">
        <f t="shared" si="12"/>
        <v>193</v>
      </c>
      <c r="N62" s="13">
        <f t="shared" si="12"/>
        <v>219</v>
      </c>
      <c r="O62" s="13">
        <f t="shared" si="12"/>
        <v>142</v>
      </c>
      <c r="P62" s="13">
        <f t="shared" si="12"/>
        <v>196</v>
      </c>
      <c r="Q62" s="13">
        <f t="shared" si="12"/>
        <v>215</v>
      </c>
      <c r="R62" s="13">
        <f t="shared" si="12"/>
        <v>100</v>
      </c>
      <c r="S62" s="13">
        <f t="shared" si="12"/>
        <v>181</v>
      </c>
      <c r="T62" s="13">
        <f t="shared" si="12"/>
        <v>240</v>
      </c>
      <c r="U62" s="13">
        <f t="shared" si="11"/>
        <v>3151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T15 E45:T57">
    <cfRule type="containsBlanks" dxfId="1" priority="2">
      <formula>LEN(TRIM(E14))=0</formula>
    </cfRule>
  </conditionalFormatting>
  <conditionalFormatting sqref="E19:T20">
    <cfRule type="containsBlanks" dxfId="1" priority="3">
      <formula>LEN(TRIM(E19))=0</formula>
    </cfRule>
  </conditionalFormatting>
  <conditionalFormatting sqref="E22:T23 E25:T26 E33:T33 E35:T35 E39:T40">
    <cfRule type="containsBlanks" dxfId="1" priority="4">
      <formula>LEN(TRIM(E22))=0</formula>
    </cfRule>
  </conditionalFormatting>
  <conditionalFormatting sqref="E30:T30">
    <cfRule type="expression" dxfId="0" priority="5">
      <formula>E30&lt;&gt;E46</formula>
    </cfRule>
  </conditionalFormatting>
  <conditionalFormatting sqref="E30:T30">
    <cfRule type="expression" dxfId="0" priority="6">
      <formula>E30&lt;&gt;E34</formula>
    </cfRule>
  </conditionalFormatting>
  <conditionalFormatting sqref="E34:T34">
    <cfRule type="expression" dxfId="2" priority="7">
      <formula>E30&lt;&gt;E34</formula>
    </cfRule>
  </conditionalFormatting>
  <conditionalFormatting sqref="E34:T34">
    <cfRule type="expression" dxfId="3" priority="8">
      <formula>E30=E34</formula>
    </cfRule>
  </conditionalFormatting>
  <conditionalFormatting sqref="E34:T34">
    <cfRule type="expression" dxfId="0" priority="9">
      <formula>E34&lt;&gt;E30</formula>
    </cfRule>
  </conditionalFormatting>
  <conditionalFormatting sqref="E60:T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93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36"/>
    </row>
    <row r="14" ht="12.75" customHeight="1">
      <c r="A14" s="18"/>
      <c r="B14" s="22" t="s">
        <v>11</v>
      </c>
      <c r="C14" s="23"/>
      <c r="D14" s="19" t="s">
        <v>12</v>
      </c>
      <c r="E14" s="19">
        <v>142.0</v>
      </c>
      <c r="F14" s="19">
        <v>123.0</v>
      </c>
      <c r="G14" s="19">
        <v>144.0</v>
      </c>
      <c r="H14" s="19">
        <v>139.0</v>
      </c>
      <c r="I14" s="19">
        <v>133.0</v>
      </c>
      <c r="J14" s="19">
        <v>151.0</v>
      </c>
      <c r="K14" s="19">
        <v>136.0</v>
      </c>
      <c r="L14" s="19">
        <v>141.0</v>
      </c>
      <c r="M14" s="19">
        <v>150.0</v>
      </c>
      <c r="N14" s="19">
        <v>113.0</v>
      </c>
      <c r="O14" s="19">
        <v>133.0</v>
      </c>
      <c r="P14" s="19">
        <v>121.0</v>
      </c>
      <c r="Q14" s="19">
        <v>121.0</v>
      </c>
      <c r="R14" s="19">
        <v>133.0</v>
      </c>
      <c r="S14" s="19">
        <v>130.0</v>
      </c>
      <c r="T14" s="19">
        <v>121.0</v>
      </c>
      <c r="U14" s="19">
        <v>127.0</v>
      </c>
      <c r="V14" s="19">
        <v>123.0</v>
      </c>
      <c r="W14" s="13">
        <f t="shared" ref="W14:W16" si="1">SUM(E14:V14)</f>
        <v>2381</v>
      </c>
    </row>
    <row r="15" ht="12.75" customHeight="1">
      <c r="A15" s="18"/>
      <c r="B15" s="26"/>
      <c r="C15" s="27"/>
      <c r="D15" s="19" t="s">
        <v>13</v>
      </c>
      <c r="E15" s="19">
        <v>143.0</v>
      </c>
      <c r="F15" s="19">
        <v>143.0</v>
      </c>
      <c r="G15" s="19">
        <v>150.0</v>
      </c>
      <c r="H15" s="19">
        <v>146.0</v>
      </c>
      <c r="I15" s="19">
        <v>133.0</v>
      </c>
      <c r="J15" s="19">
        <v>145.0</v>
      </c>
      <c r="K15" s="19">
        <v>138.0</v>
      </c>
      <c r="L15" s="19">
        <v>156.0</v>
      </c>
      <c r="M15" s="19">
        <v>141.0</v>
      </c>
      <c r="N15" s="19">
        <v>121.0</v>
      </c>
      <c r="O15" s="19">
        <v>140.0</v>
      </c>
      <c r="P15" s="19">
        <v>132.0</v>
      </c>
      <c r="Q15" s="19">
        <v>131.0</v>
      </c>
      <c r="R15" s="19">
        <v>129.0</v>
      </c>
      <c r="S15" s="19">
        <v>136.0</v>
      </c>
      <c r="T15" s="19">
        <v>122.0</v>
      </c>
      <c r="U15" s="19">
        <v>128.0</v>
      </c>
      <c r="V15" s="19">
        <v>119.0</v>
      </c>
      <c r="W15" s="13">
        <f t="shared" si="1"/>
        <v>2453</v>
      </c>
    </row>
    <row r="16" ht="12.75" customHeight="1">
      <c r="A16" s="25"/>
      <c r="B16" s="21"/>
      <c r="C16" s="28"/>
      <c r="D16" s="13" t="s">
        <v>14</v>
      </c>
      <c r="E16" s="13">
        <f t="shared" ref="E16:V16" si="2">SUM(E14:E15)</f>
        <v>285</v>
      </c>
      <c r="F16" s="13">
        <f t="shared" si="2"/>
        <v>266</v>
      </c>
      <c r="G16" s="13">
        <f t="shared" si="2"/>
        <v>294</v>
      </c>
      <c r="H16" s="13">
        <f t="shared" si="2"/>
        <v>285</v>
      </c>
      <c r="I16" s="13">
        <f t="shared" si="2"/>
        <v>266</v>
      </c>
      <c r="J16" s="13">
        <f t="shared" si="2"/>
        <v>296</v>
      </c>
      <c r="K16" s="13">
        <f t="shared" si="2"/>
        <v>274</v>
      </c>
      <c r="L16" s="13">
        <f t="shared" si="2"/>
        <v>297</v>
      </c>
      <c r="M16" s="13">
        <f t="shared" si="2"/>
        <v>291</v>
      </c>
      <c r="N16" s="13">
        <f t="shared" si="2"/>
        <v>234</v>
      </c>
      <c r="O16" s="13">
        <f t="shared" si="2"/>
        <v>273</v>
      </c>
      <c r="P16" s="13">
        <f t="shared" si="2"/>
        <v>253</v>
      </c>
      <c r="Q16" s="13">
        <f t="shared" si="2"/>
        <v>252</v>
      </c>
      <c r="R16" s="13">
        <f t="shared" si="2"/>
        <v>262</v>
      </c>
      <c r="S16" s="13">
        <f t="shared" si="2"/>
        <v>266</v>
      </c>
      <c r="T16" s="13">
        <f t="shared" si="2"/>
        <v>243</v>
      </c>
      <c r="U16" s="13">
        <f t="shared" si="2"/>
        <v>255</v>
      </c>
      <c r="V16" s="13">
        <f t="shared" si="2"/>
        <v>242</v>
      </c>
      <c r="W16" s="13">
        <f t="shared" si="1"/>
        <v>4834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117.0</v>
      </c>
      <c r="F19" s="19">
        <v>88.0</v>
      </c>
      <c r="G19" s="19">
        <v>96.0</v>
      </c>
      <c r="H19" s="19">
        <v>104.0</v>
      </c>
      <c r="I19" s="19">
        <v>96.0</v>
      </c>
      <c r="J19" s="19">
        <v>109.0</v>
      </c>
      <c r="K19" s="19">
        <v>105.0</v>
      </c>
      <c r="L19" s="19">
        <v>105.0</v>
      </c>
      <c r="M19" s="19">
        <v>113.0</v>
      </c>
      <c r="N19" s="19">
        <v>96.0</v>
      </c>
      <c r="O19" s="19">
        <v>102.0</v>
      </c>
      <c r="P19" s="19">
        <v>96.0</v>
      </c>
      <c r="Q19" s="19">
        <v>67.0</v>
      </c>
      <c r="R19" s="19">
        <v>89.0</v>
      </c>
      <c r="S19" s="19">
        <v>95.0</v>
      </c>
      <c r="T19" s="19">
        <v>99.0</v>
      </c>
      <c r="U19" s="19">
        <v>93.0</v>
      </c>
      <c r="V19" s="19">
        <v>83.0</v>
      </c>
      <c r="W19" s="13">
        <f t="shared" ref="W19:W30" si="3">SUM(E19:V19)</f>
        <v>1753</v>
      </c>
    </row>
    <row r="20" ht="12.75" customHeight="1">
      <c r="A20" s="33"/>
      <c r="B20" s="27"/>
      <c r="C20" s="34"/>
      <c r="D20" s="19" t="s">
        <v>13</v>
      </c>
      <c r="E20" s="19">
        <v>122.0</v>
      </c>
      <c r="F20" s="19">
        <v>111.0</v>
      </c>
      <c r="G20" s="19">
        <v>116.0</v>
      </c>
      <c r="H20" s="19">
        <v>118.0</v>
      </c>
      <c r="I20" s="19">
        <v>100.0</v>
      </c>
      <c r="J20" s="19">
        <v>109.0</v>
      </c>
      <c r="K20" s="19">
        <v>112.0</v>
      </c>
      <c r="L20" s="19">
        <v>127.0</v>
      </c>
      <c r="M20" s="19">
        <v>117.0</v>
      </c>
      <c r="N20" s="19">
        <v>99.0</v>
      </c>
      <c r="O20" s="19">
        <v>122.0</v>
      </c>
      <c r="P20" s="19">
        <v>102.0</v>
      </c>
      <c r="Q20" s="19">
        <v>87.0</v>
      </c>
      <c r="R20" s="19">
        <v>92.0</v>
      </c>
      <c r="S20" s="19">
        <v>106.0</v>
      </c>
      <c r="T20" s="19">
        <v>99.0</v>
      </c>
      <c r="U20" s="19">
        <v>109.0</v>
      </c>
      <c r="V20" s="19">
        <v>88.0</v>
      </c>
      <c r="W20" s="13">
        <f t="shared" si="3"/>
        <v>1936</v>
      </c>
    </row>
    <row r="21" ht="12.75" customHeight="1">
      <c r="A21" s="35"/>
      <c r="B21" s="28"/>
      <c r="C21" s="36"/>
      <c r="D21" s="13" t="s">
        <v>14</v>
      </c>
      <c r="E21" s="13">
        <v>239.0</v>
      </c>
      <c r="F21" s="13">
        <v>199.0</v>
      </c>
      <c r="G21" s="13">
        <v>212.0</v>
      </c>
      <c r="H21" s="13">
        <v>222.0</v>
      </c>
      <c r="I21" s="13">
        <v>196.0</v>
      </c>
      <c r="J21" s="13">
        <v>218.0</v>
      </c>
      <c r="K21" s="13">
        <v>217.0</v>
      </c>
      <c r="L21" s="13">
        <v>232.0</v>
      </c>
      <c r="M21" s="13">
        <v>230.0</v>
      </c>
      <c r="N21" s="13">
        <v>195.0</v>
      </c>
      <c r="O21" s="13">
        <v>224.0</v>
      </c>
      <c r="P21" s="13">
        <v>198.0</v>
      </c>
      <c r="Q21" s="13">
        <v>154.0</v>
      </c>
      <c r="R21" s="13">
        <v>181.0</v>
      </c>
      <c r="S21" s="13">
        <v>201.0</v>
      </c>
      <c r="T21" s="13">
        <v>198.0</v>
      </c>
      <c r="U21" s="13">
        <v>202.0</v>
      </c>
      <c r="V21" s="13">
        <v>171.0</v>
      </c>
      <c r="W21" s="13">
        <f t="shared" si="3"/>
        <v>3689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2.0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3.0</v>
      </c>
      <c r="V22" s="19">
        <v>0.0</v>
      </c>
      <c r="W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1.0</v>
      </c>
      <c r="V23" s="19">
        <v>0.0</v>
      </c>
      <c r="W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3">
        <v>2.0</v>
      </c>
      <c r="K24" s="13">
        <v>0.0</v>
      </c>
      <c r="L24" s="13">
        <v>0.0</v>
      </c>
      <c r="M24" s="13">
        <v>0.0</v>
      </c>
      <c r="N24" s="13">
        <v>0.0</v>
      </c>
      <c r="O24" s="13">
        <v>0.0</v>
      </c>
      <c r="P24" s="13">
        <v>0.0</v>
      </c>
      <c r="Q24" s="13">
        <v>0.0</v>
      </c>
      <c r="R24" s="13">
        <v>0.0</v>
      </c>
      <c r="S24" s="13">
        <v>0.0</v>
      </c>
      <c r="T24" s="13">
        <v>1.0</v>
      </c>
      <c r="U24" s="13">
        <v>4.0</v>
      </c>
      <c r="V24" s="13">
        <v>0.0</v>
      </c>
      <c r="W24" s="13">
        <f t="shared" si="3"/>
        <v>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2.0</v>
      </c>
      <c r="H25" s="19">
        <v>0.0</v>
      </c>
      <c r="I25" s="19">
        <v>0.0</v>
      </c>
      <c r="J25" s="19">
        <v>0.0</v>
      </c>
      <c r="K25" s="19">
        <v>0.0</v>
      </c>
      <c r="L25" s="19">
        <v>1.0</v>
      </c>
      <c r="M25" s="19">
        <v>1.0</v>
      </c>
      <c r="N25" s="19">
        <v>0.0</v>
      </c>
      <c r="O25" s="19">
        <v>0.0</v>
      </c>
      <c r="P25" s="19">
        <v>1.0</v>
      </c>
      <c r="Q25" s="19">
        <v>1.0</v>
      </c>
      <c r="R25" s="19">
        <v>0.0</v>
      </c>
      <c r="S25" s="19">
        <v>0.0</v>
      </c>
      <c r="T25" s="19">
        <v>0.0</v>
      </c>
      <c r="U25" s="19">
        <v>1.0</v>
      </c>
      <c r="V25" s="19">
        <v>1.0</v>
      </c>
      <c r="W25" s="13">
        <f t="shared" si="3"/>
        <v>9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1.0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3.0</v>
      </c>
      <c r="N26" s="19">
        <v>0.0</v>
      </c>
      <c r="O26" s="19">
        <v>0.0</v>
      </c>
      <c r="P26" s="19">
        <v>1.0</v>
      </c>
      <c r="Q26" s="19">
        <v>0.0</v>
      </c>
      <c r="R26" s="19">
        <v>0.0</v>
      </c>
      <c r="S26" s="19">
        <v>1.0</v>
      </c>
      <c r="T26" s="19">
        <v>0.0</v>
      </c>
      <c r="U26" s="19">
        <v>0.0</v>
      </c>
      <c r="V26" s="19">
        <v>1.0</v>
      </c>
      <c r="W26" s="13">
        <f t="shared" si="3"/>
        <v>9</v>
      </c>
    </row>
    <row r="27" ht="12.75" customHeight="1">
      <c r="A27" s="35"/>
      <c r="B27" s="28"/>
      <c r="C27" s="36"/>
      <c r="D27" s="13" t="s">
        <v>14</v>
      </c>
      <c r="E27" s="13">
        <v>3.0</v>
      </c>
      <c r="F27" s="13">
        <v>0.0</v>
      </c>
      <c r="G27" s="13">
        <v>3.0</v>
      </c>
      <c r="H27" s="13">
        <v>0.0</v>
      </c>
      <c r="I27" s="13">
        <v>0.0</v>
      </c>
      <c r="J27" s="13">
        <v>0.0</v>
      </c>
      <c r="K27" s="13">
        <v>0.0</v>
      </c>
      <c r="L27" s="13">
        <v>1.0</v>
      </c>
      <c r="M27" s="13">
        <v>4.0</v>
      </c>
      <c r="N27" s="13">
        <v>0.0</v>
      </c>
      <c r="O27" s="13">
        <v>0.0</v>
      </c>
      <c r="P27" s="13">
        <v>2.0</v>
      </c>
      <c r="Q27" s="13">
        <v>1.0</v>
      </c>
      <c r="R27" s="13">
        <v>0.0</v>
      </c>
      <c r="S27" s="13">
        <v>1.0</v>
      </c>
      <c r="T27" s="13">
        <v>0.0</v>
      </c>
      <c r="U27" s="13">
        <v>1.0</v>
      </c>
      <c r="V27" s="13">
        <v>2.0</v>
      </c>
      <c r="W27" s="13">
        <f t="shared" si="3"/>
        <v>18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118.0</v>
      </c>
      <c r="F28" s="13">
        <v>88.0</v>
      </c>
      <c r="G28" s="13">
        <v>98.0</v>
      </c>
      <c r="H28" s="13">
        <v>104.0</v>
      </c>
      <c r="I28" s="13">
        <v>96.0</v>
      </c>
      <c r="J28" s="13">
        <v>111.0</v>
      </c>
      <c r="K28" s="13">
        <v>105.0</v>
      </c>
      <c r="L28" s="13">
        <v>106.0</v>
      </c>
      <c r="M28" s="13">
        <v>114.0</v>
      </c>
      <c r="N28" s="13">
        <v>96.0</v>
      </c>
      <c r="O28" s="13">
        <v>102.0</v>
      </c>
      <c r="P28" s="13">
        <v>97.0</v>
      </c>
      <c r="Q28" s="13">
        <v>68.0</v>
      </c>
      <c r="R28" s="13">
        <v>89.0</v>
      </c>
      <c r="S28" s="13">
        <v>95.0</v>
      </c>
      <c r="T28" s="13">
        <v>100.0</v>
      </c>
      <c r="U28" s="13">
        <v>97.0</v>
      </c>
      <c r="V28" s="13">
        <v>84.0</v>
      </c>
      <c r="W28" s="13">
        <f t="shared" si="3"/>
        <v>1768</v>
      </c>
    </row>
    <row r="29" ht="12.75" customHeight="1">
      <c r="A29" s="35"/>
      <c r="B29" s="27"/>
      <c r="C29" s="34"/>
      <c r="D29" s="13" t="s">
        <v>13</v>
      </c>
      <c r="E29" s="13">
        <v>124.0</v>
      </c>
      <c r="F29" s="13">
        <v>111.0</v>
      </c>
      <c r="G29" s="13">
        <v>117.0</v>
      </c>
      <c r="H29" s="13">
        <v>118.0</v>
      </c>
      <c r="I29" s="13">
        <v>100.0</v>
      </c>
      <c r="J29" s="13">
        <v>109.0</v>
      </c>
      <c r="K29" s="13">
        <v>112.0</v>
      </c>
      <c r="L29" s="13">
        <v>127.0</v>
      </c>
      <c r="M29" s="13">
        <v>120.0</v>
      </c>
      <c r="N29" s="13">
        <v>99.0</v>
      </c>
      <c r="O29" s="13">
        <v>122.0</v>
      </c>
      <c r="P29" s="13">
        <v>103.0</v>
      </c>
      <c r="Q29" s="13">
        <v>87.0</v>
      </c>
      <c r="R29" s="13">
        <v>92.0</v>
      </c>
      <c r="S29" s="13">
        <v>107.0</v>
      </c>
      <c r="T29" s="13">
        <v>99.0</v>
      </c>
      <c r="U29" s="13">
        <v>110.0</v>
      </c>
      <c r="V29" s="13">
        <v>89.0</v>
      </c>
      <c r="W29" s="13">
        <f t="shared" si="3"/>
        <v>1946</v>
      </c>
    </row>
    <row r="30" ht="12.75" customHeight="1">
      <c r="A30" s="35"/>
      <c r="B30" s="28"/>
      <c r="C30" s="36"/>
      <c r="D30" s="13" t="s">
        <v>14</v>
      </c>
      <c r="E30" s="13">
        <f t="shared" ref="E30:S30" si="4">SUM(E28:E29)</f>
        <v>242</v>
      </c>
      <c r="F30" s="13">
        <f t="shared" si="4"/>
        <v>199</v>
      </c>
      <c r="G30" s="13">
        <f t="shared" si="4"/>
        <v>215</v>
      </c>
      <c r="H30" s="13">
        <f t="shared" si="4"/>
        <v>222</v>
      </c>
      <c r="I30" s="13">
        <f t="shared" si="4"/>
        <v>196</v>
      </c>
      <c r="J30" s="13">
        <f t="shared" si="4"/>
        <v>220</v>
      </c>
      <c r="K30" s="13">
        <f t="shared" si="4"/>
        <v>217</v>
      </c>
      <c r="L30" s="13">
        <f t="shared" si="4"/>
        <v>233</v>
      </c>
      <c r="M30" s="13">
        <f t="shared" si="4"/>
        <v>234</v>
      </c>
      <c r="N30" s="13">
        <f t="shared" si="4"/>
        <v>195</v>
      </c>
      <c r="O30" s="13">
        <f t="shared" si="4"/>
        <v>224</v>
      </c>
      <c r="P30" s="13">
        <f t="shared" si="4"/>
        <v>200</v>
      </c>
      <c r="Q30" s="13">
        <f t="shared" si="4"/>
        <v>155</v>
      </c>
      <c r="R30" s="13">
        <f t="shared" si="4"/>
        <v>181</v>
      </c>
      <c r="S30" s="13">
        <f t="shared" si="4"/>
        <v>202</v>
      </c>
      <c r="T30" s="13">
        <v>199.0</v>
      </c>
      <c r="U30" s="13">
        <v>207.0</v>
      </c>
      <c r="V30" s="13">
        <v>173.0</v>
      </c>
      <c r="W30" s="13">
        <f t="shared" si="3"/>
        <v>3714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59"/>
    </row>
    <row r="33" ht="12.75" customHeight="1">
      <c r="A33" s="19">
        <v>1.0</v>
      </c>
      <c r="B33" s="20" t="s">
        <v>27</v>
      </c>
      <c r="C33" s="15"/>
      <c r="D33" s="16"/>
      <c r="E33" s="19">
        <v>291.0</v>
      </c>
      <c r="F33" s="19">
        <v>272.0</v>
      </c>
      <c r="G33" s="19">
        <v>300.0</v>
      </c>
      <c r="H33" s="19">
        <v>291.0</v>
      </c>
      <c r="I33" s="19">
        <v>272.0</v>
      </c>
      <c r="J33" s="19">
        <v>302.0</v>
      </c>
      <c r="K33" s="19">
        <v>280.0</v>
      </c>
      <c r="L33" s="19">
        <v>303.0</v>
      </c>
      <c r="M33" s="19">
        <v>297.0</v>
      </c>
      <c r="N33" s="19">
        <v>239.0</v>
      </c>
      <c r="O33" s="19">
        <v>279.0</v>
      </c>
      <c r="P33" s="19">
        <v>259.0</v>
      </c>
      <c r="Q33" s="19">
        <v>258.0</v>
      </c>
      <c r="R33" s="19">
        <v>268.0</v>
      </c>
      <c r="S33" s="19">
        <v>272.0</v>
      </c>
      <c r="T33" s="19">
        <v>248.0</v>
      </c>
      <c r="U33" s="19">
        <v>261.0</v>
      </c>
      <c r="V33" s="19">
        <v>248.0</v>
      </c>
      <c r="W33" s="13">
        <f t="shared" ref="W33:W36" si="5">SUM(E33:V33)</f>
        <v>4940</v>
      </c>
    </row>
    <row r="34" ht="12.75" customHeight="1">
      <c r="A34" s="19">
        <v>2.0</v>
      </c>
      <c r="B34" s="20" t="s">
        <v>28</v>
      </c>
      <c r="C34" s="15"/>
      <c r="D34" s="16"/>
      <c r="E34" s="13">
        <v>242.0</v>
      </c>
      <c r="F34" s="13">
        <v>199.0</v>
      </c>
      <c r="G34" s="13">
        <v>215.0</v>
      </c>
      <c r="H34" s="13">
        <v>222.0</v>
      </c>
      <c r="I34" s="13">
        <v>196.0</v>
      </c>
      <c r="J34" s="13">
        <v>220.0</v>
      </c>
      <c r="K34" s="13">
        <v>217.0</v>
      </c>
      <c r="L34" s="13">
        <v>233.0</v>
      </c>
      <c r="M34" s="13">
        <v>234.0</v>
      </c>
      <c r="N34" s="13">
        <v>195.0</v>
      </c>
      <c r="O34" s="13">
        <v>224.0</v>
      </c>
      <c r="P34" s="13">
        <v>200.0</v>
      </c>
      <c r="Q34" s="13">
        <v>155.0</v>
      </c>
      <c r="R34" s="13">
        <v>181.0</v>
      </c>
      <c r="S34" s="13">
        <v>202.0</v>
      </c>
      <c r="T34" s="13">
        <v>199.0</v>
      </c>
      <c r="U34" s="13">
        <v>207.0</v>
      </c>
      <c r="V34" s="13">
        <v>173.0</v>
      </c>
      <c r="W34" s="13">
        <f t="shared" si="5"/>
        <v>3714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3">
        <f t="shared" si="5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v>49.0</v>
      </c>
      <c r="F36" s="13">
        <v>73.0</v>
      </c>
      <c r="G36" s="13">
        <v>85.0</v>
      </c>
      <c r="H36" s="13">
        <v>69.0</v>
      </c>
      <c r="I36" s="13">
        <v>76.0</v>
      </c>
      <c r="J36" s="13">
        <v>82.0</v>
      </c>
      <c r="K36" s="13">
        <v>63.0</v>
      </c>
      <c r="L36" s="13">
        <v>70.0</v>
      </c>
      <c r="M36" s="13">
        <v>63.0</v>
      </c>
      <c r="N36" s="13">
        <v>44.0</v>
      </c>
      <c r="O36" s="13">
        <v>55.0</v>
      </c>
      <c r="P36" s="13">
        <v>59.0</v>
      </c>
      <c r="Q36" s="13">
        <v>103.0</v>
      </c>
      <c r="R36" s="13">
        <v>87.0</v>
      </c>
      <c r="S36" s="13">
        <v>70.0</v>
      </c>
      <c r="T36" s="13">
        <f t="shared" ref="T36:V36" si="6">T33-(T34+T35)</f>
        <v>49</v>
      </c>
      <c r="U36" s="13">
        <f t="shared" si="6"/>
        <v>54</v>
      </c>
      <c r="V36" s="13">
        <f t="shared" si="6"/>
        <v>75</v>
      </c>
      <c r="W36" s="13">
        <f t="shared" si="5"/>
        <v>1226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1.0</v>
      </c>
      <c r="P39" s="19">
        <v>1.0</v>
      </c>
      <c r="Q39" s="19">
        <v>0.0</v>
      </c>
      <c r="R39" s="19">
        <v>0.0</v>
      </c>
      <c r="S39" s="19">
        <v>0.0</v>
      </c>
      <c r="T39" s="19">
        <v>1.0</v>
      </c>
      <c r="U39" s="19">
        <v>0.0</v>
      </c>
      <c r="V39" s="19">
        <v>1.0</v>
      </c>
      <c r="W39" s="13">
        <f t="shared" ref="W39:W41" si="7">SUM(E39:V39)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3">
        <f t="shared" si="7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V41" si="8">SUM(E39:E40)</f>
        <v>0</v>
      </c>
      <c r="F41" s="13">
        <f t="shared" si="8"/>
        <v>0</v>
      </c>
      <c r="G41" s="13">
        <f t="shared" si="8"/>
        <v>0</v>
      </c>
      <c r="H41" s="13">
        <f t="shared" si="8"/>
        <v>0</v>
      </c>
      <c r="I41" s="13">
        <f t="shared" si="8"/>
        <v>0</v>
      </c>
      <c r="J41" s="13">
        <f t="shared" si="8"/>
        <v>0</v>
      </c>
      <c r="K41" s="13">
        <f t="shared" si="8"/>
        <v>0</v>
      </c>
      <c r="L41" s="13">
        <f t="shared" si="8"/>
        <v>0</v>
      </c>
      <c r="M41" s="13">
        <f t="shared" si="8"/>
        <v>0</v>
      </c>
      <c r="N41" s="13">
        <f t="shared" si="8"/>
        <v>0</v>
      </c>
      <c r="O41" s="13">
        <f t="shared" si="8"/>
        <v>1</v>
      </c>
      <c r="P41" s="13">
        <f t="shared" si="8"/>
        <v>1</v>
      </c>
      <c r="Q41" s="13">
        <f t="shared" si="8"/>
        <v>0</v>
      </c>
      <c r="R41" s="13">
        <f t="shared" si="8"/>
        <v>0</v>
      </c>
      <c r="S41" s="13">
        <f t="shared" si="8"/>
        <v>0</v>
      </c>
      <c r="T41" s="13">
        <f t="shared" si="8"/>
        <v>1</v>
      </c>
      <c r="U41" s="13">
        <f t="shared" si="8"/>
        <v>0</v>
      </c>
      <c r="V41" s="13">
        <f t="shared" si="8"/>
        <v>1</v>
      </c>
      <c r="W41" s="13">
        <f t="shared" si="7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3"/>
    </row>
    <row r="45" ht="12.75" customHeight="1">
      <c r="A45" s="30"/>
      <c r="B45" s="47" t="s">
        <v>17</v>
      </c>
      <c r="C45" s="62" t="s">
        <v>38</v>
      </c>
      <c r="D45" s="16"/>
      <c r="E45" s="19">
        <v>12.0</v>
      </c>
      <c r="F45" s="19">
        <v>12.0</v>
      </c>
      <c r="G45" s="19">
        <v>13.0</v>
      </c>
      <c r="H45" s="19">
        <v>14.0</v>
      </c>
      <c r="I45" s="19">
        <v>19.0</v>
      </c>
      <c r="J45" s="19">
        <v>3.0</v>
      </c>
      <c r="K45" s="19">
        <v>15.0</v>
      </c>
      <c r="L45" s="19">
        <v>5.0</v>
      </c>
      <c r="M45" s="19">
        <v>1.0</v>
      </c>
      <c r="N45" s="19">
        <v>2.0</v>
      </c>
      <c r="O45" s="19">
        <v>18.0</v>
      </c>
      <c r="P45" s="19">
        <v>6.0</v>
      </c>
      <c r="Q45" s="19">
        <v>9.0</v>
      </c>
      <c r="R45" s="19">
        <v>8.0</v>
      </c>
      <c r="S45" s="19">
        <v>15.0</v>
      </c>
      <c r="T45" s="19">
        <v>3.0</v>
      </c>
      <c r="U45" s="19">
        <v>3.0</v>
      </c>
      <c r="V45" s="19">
        <v>8.0</v>
      </c>
      <c r="W45" s="13">
        <f t="shared" ref="W45:W57" si="9">SUM(E45:V45)</f>
        <v>166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47.0</v>
      </c>
      <c r="F46" s="19">
        <v>36.0</v>
      </c>
      <c r="G46" s="19">
        <v>45.0</v>
      </c>
      <c r="H46" s="19">
        <v>20.0</v>
      </c>
      <c r="I46" s="19">
        <v>29.0</v>
      </c>
      <c r="J46" s="19">
        <v>28.0</v>
      </c>
      <c r="K46" s="19">
        <v>17.0</v>
      </c>
      <c r="L46" s="19">
        <v>26.0</v>
      </c>
      <c r="M46" s="19">
        <v>25.0</v>
      </c>
      <c r="N46" s="19">
        <v>16.0</v>
      </c>
      <c r="O46" s="19">
        <v>25.0</v>
      </c>
      <c r="P46" s="19">
        <v>13.0</v>
      </c>
      <c r="Q46" s="19">
        <v>15.0</v>
      </c>
      <c r="R46" s="19">
        <v>18.0</v>
      </c>
      <c r="S46" s="19">
        <v>34.0</v>
      </c>
      <c r="T46" s="19">
        <v>24.0</v>
      </c>
      <c r="U46" s="19">
        <v>19.0</v>
      </c>
      <c r="V46" s="19">
        <v>10.0</v>
      </c>
      <c r="W46" s="13">
        <f t="shared" si="9"/>
        <v>447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17.0</v>
      </c>
      <c r="F47" s="19">
        <v>7.0</v>
      </c>
      <c r="G47" s="19">
        <v>15.0</v>
      </c>
      <c r="H47" s="19">
        <v>20.0</v>
      </c>
      <c r="I47" s="19">
        <v>19.0</v>
      </c>
      <c r="J47" s="19">
        <v>17.0</v>
      </c>
      <c r="K47" s="19">
        <v>19.0</v>
      </c>
      <c r="L47" s="19">
        <v>12.0</v>
      </c>
      <c r="M47" s="19">
        <v>17.0</v>
      </c>
      <c r="N47" s="19">
        <v>9.0</v>
      </c>
      <c r="O47" s="19">
        <v>11.0</v>
      </c>
      <c r="P47" s="19">
        <v>7.0</v>
      </c>
      <c r="Q47" s="19">
        <v>14.0</v>
      </c>
      <c r="R47" s="19">
        <v>19.0</v>
      </c>
      <c r="S47" s="19">
        <v>21.0</v>
      </c>
      <c r="T47" s="19">
        <v>14.0</v>
      </c>
      <c r="U47" s="19">
        <v>14.0</v>
      </c>
      <c r="V47" s="19">
        <v>11.0</v>
      </c>
      <c r="W47" s="13">
        <f t="shared" si="9"/>
        <v>263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21.0</v>
      </c>
      <c r="F48" s="19">
        <v>16.0</v>
      </c>
      <c r="G48" s="19">
        <v>34.0</v>
      </c>
      <c r="H48" s="19">
        <v>29.0</v>
      </c>
      <c r="I48" s="19">
        <v>25.0</v>
      </c>
      <c r="J48" s="19">
        <v>32.0</v>
      </c>
      <c r="K48" s="19">
        <v>15.0</v>
      </c>
      <c r="L48" s="19">
        <v>27.0</v>
      </c>
      <c r="M48" s="19">
        <v>21.0</v>
      </c>
      <c r="N48" s="19">
        <v>20.0</v>
      </c>
      <c r="O48" s="19">
        <v>21.0</v>
      </c>
      <c r="P48" s="19">
        <v>19.0</v>
      </c>
      <c r="Q48" s="19">
        <v>27.0</v>
      </c>
      <c r="R48" s="19">
        <v>22.0</v>
      </c>
      <c r="S48" s="19">
        <v>22.0</v>
      </c>
      <c r="T48" s="19">
        <v>34.0</v>
      </c>
      <c r="U48" s="19">
        <v>28.0</v>
      </c>
      <c r="V48" s="19">
        <v>24.0</v>
      </c>
      <c r="W48" s="13">
        <f t="shared" si="9"/>
        <v>437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6.0</v>
      </c>
      <c r="F49" s="19">
        <v>14.0</v>
      </c>
      <c r="G49" s="19">
        <v>15.0</v>
      </c>
      <c r="H49" s="19">
        <v>17.0</v>
      </c>
      <c r="I49" s="19">
        <v>21.0</v>
      </c>
      <c r="J49" s="19">
        <v>10.0</v>
      </c>
      <c r="K49" s="19">
        <v>14.0</v>
      </c>
      <c r="L49" s="19">
        <v>14.0</v>
      </c>
      <c r="M49" s="19">
        <v>10.0</v>
      </c>
      <c r="N49" s="19">
        <v>17.0</v>
      </c>
      <c r="O49" s="19">
        <v>13.0</v>
      </c>
      <c r="P49" s="19">
        <v>12.0</v>
      </c>
      <c r="Q49" s="19">
        <v>7.0</v>
      </c>
      <c r="R49" s="19">
        <v>16.0</v>
      </c>
      <c r="S49" s="19">
        <v>8.0</v>
      </c>
      <c r="T49" s="19">
        <v>13.0</v>
      </c>
      <c r="U49" s="19">
        <v>16.0</v>
      </c>
      <c r="V49" s="19">
        <v>4.0</v>
      </c>
      <c r="W49" s="13">
        <f t="shared" si="9"/>
        <v>227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7.0</v>
      </c>
      <c r="F50" s="19">
        <v>5.0</v>
      </c>
      <c r="G50" s="19">
        <v>1.0</v>
      </c>
      <c r="H50" s="19">
        <v>4.0</v>
      </c>
      <c r="I50" s="19">
        <v>15.0</v>
      </c>
      <c r="J50" s="19">
        <v>19.0</v>
      </c>
      <c r="K50" s="19">
        <v>13.0</v>
      </c>
      <c r="L50" s="19">
        <v>9.0</v>
      </c>
      <c r="M50" s="19">
        <v>6.0</v>
      </c>
      <c r="N50" s="19">
        <v>7.0</v>
      </c>
      <c r="O50" s="19">
        <v>6.0</v>
      </c>
      <c r="P50" s="19">
        <v>5.0</v>
      </c>
      <c r="Q50" s="19">
        <v>4.0</v>
      </c>
      <c r="R50" s="19">
        <v>12.0</v>
      </c>
      <c r="S50" s="19">
        <v>5.0</v>
      </c>
      <c r="T50" s="19">
        <v>9.0</v>
      </c>
      <c r="U50" s="19">
        <v>9.0</v>
      </c>
      <c r="V50" s="19">
        <v>7.0</v>
      </c>
      <c r="W50" s="13">
        <f t="shared" si="9"/>
        <v>143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2.0</v>
      </c>
      <c r="F51" s="19">
        <v>0.0</v>
      </c>
      <c r="G51" s="19">
        <v>0.0</v>
      </c>
      <c r="H51" s="19">
        <v>3.0</v>
      </c>
      <c r="I51" s="19">
        <v>5.0</v>
      </c>
      <c r="J51" s="19">
        <v>0.0</v>
      </c>
      <c r="K51" s="19">
        <v>0.0</v>
      </c>
      <c r="L51" s="19">
        <v>4.0</v>
      </c>
      <c r="M51" s="19">
        <v>1.0</v>
      </c>
      <c r="N51" s="19">
        <v>1.0</v>
      </c>
      <c r="O51" s="19">
        <v>4.0</v>
      </c>
      <c r="P51" s="19">
        <v>5.0</v>
      </c>
      <c r="Q51" s="19">
        <v>4.0</v>
      </c>
      <c r="R51" s="19">
        <v>3.0</v>
      </c>
      <c r="S51" s="19">
        <v>2.0</v>
      </c>
      <c r="T51" s="19">
        <v>7.0</v>
      </c>
      <c r="U51" s="19">
        <v>0.0</v>
      </c>
      <c r="V51" s="19">
        <v>6.0</v>
      </c>
      <c r="W51" s="13">
        <f t="shared" si="9"/>
        <v>47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1.0</v>
      </c>
      <c r="F52" s="19">
        <v>2.0</v>
      </c>
      <c r="G52" s="19">
        <v>5.0</v>
      </c>
      <c r="H52" s="19">
        <v>5.0</v>
      </c>
      <c r="I52" s="19">
        <v>5.0</v>
      </c>
      <c r="J52" s="19">
        <v>5.0</v>
      </c>
      <c r="K52" s="19">
        <v>11.0</v>
      </c>
      <c r="L52" s="19">
        <v>2.0</v>
      </c>
      <c r="M52" s="19">
        <v>2.0</v>
      </c>
      <c r="N52" s="19">
        <v>5.0</v>
      </c>
      <c r="O52" s="19">
        <v>1.0</v>
      </c>
      <c r="P52" s="19">
        <v>16.0</v>
      </c>
      <c r="Q52" s="19">
        <v>5.0</v>
      </c>
      <c r="R52" s="19">
        <v>8.0</v>
      </c>
      <c r="S52" s="19">
        <v>4.0</v>
      </c>
      <c r="T52" s="19">
        <v>3.0</v>
      </c>
      <c r="U52" s="19">
        <v>1.0</v>
      </c>
      <c r="V52" s="19">
        <v>12.0</v>
      </c>
      <c r="W52" s="13">
        <f t="shared" si="9"/>
        <v>93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1.0</v>
      </c>
      <c r="F53" s="19">
        <v>1.0</v>
      </c>
      <c r="G53" s="19">
        <v>1.0</v>
      </c>
      <c r="H53" s="19">
        <v>0.0</v>
      </c>
      <c r="I53" s="19">
        <v>1.0</v>
      </c>
      <c r="J53" s="19">
        <v>1.0</v>
      </c>
      <c r="K53" s="19">
        <v>0.0</v>
      </c>
      <c r="L53" s="19">
        <v>0.0</v>
      </c>
      <c r="M53" s="19">
        <v>0.0</v>
      </c>
      <c r="N53" s="19">
        <v>3.0</v>
      </c>
      <c r="O53" s="19">
        <v>1.0</v>
      </c>
      <c r="P53" s="19">
        <v>0.0</v>
      </c>
      <c r="Q53" s="19">
        <v>0.0</v>
      </c>
      <c r="R53" s="19">
        <v>0.0</v>
      </c>
      <c r="S53" s="19">
        <v>1.0</v>
      </c>
      <c r="T53" s="19">
        <v>0.0</v>
      </c>
      <c r="U53" s="19">
        <v>0.0</v>
      </c>
      <c r="V53" s="19">
        <v>1.0</v>
      </c>
      <c r="W53" s="13">
        <f t="shared" si="9"/>
        <v>11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13.0</v>
      </c>
      <c r="F54" s="19">
        <v>12.0</v>
      </c>
      <c r="G54" s="19">
        <v>13.0</v>
      </c>
      <c r="H54" s="19">
        <v>18.0</v>
      </c>
      <c r="I54" s="19">
        <v>11.0</v>
      </c>
      <c r="J54" s="19">
        <v>19.0</v>
      </c>
      <c r="K54" s="19">
        <v>18.0</v>
      </c>
      <c r="L54" s="19">
        <v>17.0</v>
      </c>
      <c r="M54" s="19">
        <v>23.0</v>
      </c>
      <c r="N54" s="19">
        <v>13.0</v>
      </c>
      <c r="O54" s="19">
        <v>25.0</v>
      </c>
      <c r="P54" s="19">
        <v>10.0</v>
      </c>
      <c r="Q54" s="19">
        <v>15.0</v>
      </c>
      <c r="R54" s="19">
        <v>19.0</v>
      </c>
      <c r="S54" s="19">
        <v>20.0</v>
      </c>
      <c r="T54" s="19">
        <v>25.0</v>
      </c>
      <c r="U54" s="19">
        <v>18.0</v>
      </c>
      <c r="V54" s="19">
        <v>17.0</v>
      </c>
      <c r="W54" s="13">
        <f t="shared" si="9"/>
        <v>306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1.0</v>
      </c>
      <c r="F55" s="19">
        <v>1.0</v>
      </c>
      <c r="G55" s="19">
        <v>1.0</v>
      </c>
      <c r="H55" s="19">
        <v>2.0</v>
      </c>
      <c r="I55" s="19">
        <v>3.0</v>
      </c>
      <c r="J55" s="19">
        <v>1.0</v>
      </c>
      <c r="K55" s="19">
        <v>3.0</v>
      </c>
      <c r="L55" s="19">
        <v>0.0</v>
      </c>
      <c r="M55" s="19">
        <v>0.0</v>
      </c>
      <c r="N55" s="19">
        <v>0.0</v>
      </c>
      <c r="O55" s="19">
        <v>0.0</v>
      </c>
      <c r="P55" s="19">
        <v>7.0</v>
      </c>
      <c r="Q55" s="19">
        <v>3.0</v>
      </c>
      <c r="R55" s="19">
        <v>2.0</v>
      </c>
      <c r="S55" s="19">
        <v>1.0</v>
      </c>
      <c r="T55" s="19">
        <v>2.0</v>
      </c>
      <c r="U55" s="19">
        <v>0.0</v>
      </c>
      <c r="V55" s="19">
        <v>5.0</v>
      </c>
      <c r="W55" s="13">
        <f t="shared" si="9"/>
        <v>32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16.0</v>
      </c>
      <c r="F56" s="19">
        <v>18.0</v>
      </c>
      <c r="G56" s="19">
        <v>15.0</v>
      </c>
      <c r="H56" s="19">
        <v>14.0</v>
      </c>
      <c r="I56" s="19">
        <v>15.0</v>
      </c>
      <c r="J56" s="19">
        <v>18.0</v>
      </c>
      <c r="K56" s="19">
        <v>22.0</v>
      </c>
      <c r="L56" s="19">
        <v>25.0</v>
      </c>
      <c r="M56" s="19">
        <v>18.0</v>
      </c>
      <c r="N56" s="19">
        <v>9.0</v>
      </c>
      <c r="O56" s="19">
        <v>24.0</v>
      </c>
      <c r="P56" s="19">
        <v>9.0</v>
      </c>
      <c r="Q56" s="19">
        <v>14.0</v>
      </c>
      <c r="R56" s="19">
        <v>13.0</v>
      </c>
      <c r="S56" s="19">
        <v>15.0</v>
      </c>
      <c r="T56" s="19">
        <v>23.0</v>
      </c>
      <c r="U56" s="19">
        <v>32.0</v>
      </c>
      <c r="V56" s="19">
        <v>11.0</v>
      </c>
      <c r="W56" s="13">
        <f t="shared" si="9"/>
        <v>311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2.0</v>
      </c>
      <c r="F57" s="19">
        <v>2.0</v>
      </c>
      <c r="G57" s="19">
        <v>3.0</v>
      </c>
      <c r="H57" s="19">
        <v>1.0</v>
      </c>
      <c r="I57" s="19">
        <v>3.0</v>
      </c>
      <c r="J57" s="19">
        <v>6.0</v>
      </c>
      <c r="K57" s="19">
        <v>3.0</v>
      </c>
      <c r="L57" s="19">
        <v>3.0</v>
      </c>
      <c r="M57" s="19">
        <v>0.0</v>
      </c>
      <c r="N57" s="19">
        <v>3.0</v>
      </c>
      <c r="O57" s="19">
        <v>4.0</v>
      </c>
      <c r="P57" s="19">
        <v>3.0</v>
      </c>
      <c r="Q57" s="19">
        <v>2.0</v>
      </c>
      <c r="R57" s="19">
        <v>1.0</v>
      </c>
      <c r="S57" s="19">
        <v>1.0</v>
      </c>
      <c r="T57" s="19">
        <v>4.0</v>
      </c>
      <c r="U57" s="19">
        <v>4.0</v>
      </c>
      <c r="V57" s="19">
        <v>4.0</v>
      </c>
      <c r="W57" s="13">
        <f t="shared" si="9"/>
        <v>49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V60" si="10">SUM(E45:E57)</f>
        <v>146</v>
      </c>
      <c r="F60" s="19">
        <f t="shared" si="10"/>
        <v>126</v>
      </c>
      <c r="G60" s="19">
        <f t="shared" si="10"/>
        <v>161</v>
      </c>
      <c r="H60" s="19">
        <f t="shared" si="10"/>
        <v>147</v>
      </c>
      <c r="I60" s="19">
        <f t="shared" si="10"/>
        <v>171</v>
      </c>
      <c r="J60" s="19">
        <f t="shared" si="10"/>
        <v>159</v>
      </c>
      <c r="K60" s="19">
        <f t="shared" si="10"/>
        <v>150</v>
      </c>
      <c r="L60" s="19">
        <f t="shared" si="10"/>
        <v>144</v>
      </c>
      <c r="M60" s="19">
        <f t="shared" si="10"/>
        <v>124</v>
      </c>
      <c r="N60" s="19">
        <f t="shared" si="10"/>
        <v>105</v>
      </c>
      <c r="O60" s="19">
        <f t="shared" si="10"/>
        <v>153</v>
      </c>
      <c r="P60" s="19">
        <f t="shared" si="10"/>
        <v>112</v>
      </c>
      <c r="Q60" s="19">
        <f t="shared" si="10"/>
        <v>119</v>
      </c>
      <c r="R60" s="19">
        <f t="shared" si="10"/>
        <v>141</v>
      </c>
      <c r="S60" s="19">
        <f t="shared" si="10"/>
        <v>149</v>
      </c>
      <c r="T60" s="19">
        <f t="shared" si="10"/>
        <v>161</v>
      </c>
      <c r="U60" s="19">
        <f t="shared" si="10"/>
        <v>144</v>
      </c>
      <c r="V60" s="19">
        <f t="shared" si="10"/>
        <v>120</v>
      </c>
      <c r="W60" s="13">
        <f t="shared" ref="W60:W62" si="11">SUM(E60:V60)</f>
        <v>2532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96.0</v>
      </c>
      <c r="F61" s="19">
        <v>73.0</v>
      </c>
      <c r="G61" s="19">
        <v>54.0</v>
      </c>
      <c r="H61" s="19">
        <v>75.0</v>
      </c>
      <c r="I61" s="19">
        <v>25.0</v>
      </c>
      <c r="J61" s="19">
        <v>61.0</v>
      </c>
      <c r="K61" s="19">
        <v>67.0</v>
      </c>
      <c r="L61" s="19">
        <v>89.0</v>
      </c>
      <c r="M61" s="19">
        <v>110.0</v>
      </c>
      <c r="N61" s="19">
        <v>90.0</v>
      </c>
      <c r="O61" s="19">
        <v>71.0</v>
      </c>
      <c r="P61" s="19">
        <v>88.0</v>
      </c>
      <c r="Q61" s="19">
        <v>36.0</v>
      </c>
      <c r="R61" s="19">
        <v>40.0</v>
      </c>
      <c r="S61" s="19">
        <v>53.0</v>
      </c>
      <c r="T61" s="19">
        <v>38.0</v>
      </c>
      <c r="U61" s="19">
        <v>63.0</v>
      </c>
      <c r="V61" s="19">
        <v>53.0</v>
      </c>
      <c r="W61" s="13">
        <f t="shared" si="11"/>
        <v>1182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V62" si="12">SUM(E60:E61)</f>
        <v>242</v>
      </c>
      <c r="F62" s="13">
        <f t="shared" si="12"/>
        <v>199</v>
      </c>
      <c r="G62" s="13">
        <f t="shared" si="12"/>
        <v>215</v>
      </c>
      <c r="H62" s="13">
        <f t="shared" si="12"/>
        <v>222</v>
      </c>
      <c r="I62" s="13">
        <f t="shared" si="12"/>
        <v>196</v>
      </c>
      <c r="J62" s="13">
        <f t="shared" si="12"/>
        <v>220</v>
      </c>
      <c r="K62" s="13">
        <f t="shared" si="12"/>
        <v>217</v>
      </c>
      <c r="L62" s="13">
        <f t="shared" si="12"/>
        <v>233</v>
      </c>
      <c r="M62" s="13">
        <f t="shared" si="12"/>
        <v>234</v>
      </c>
      <c r="N62" s="13">
        <f t="shared" si="12"/>
        <v>195</v>
      </c>
      <c r="O62" s="13">
        <f t="shared" si="12"/>
        <v>224</v>
      </c>
      <c r="P62" s="13">
        <f t="shared" si="12"/>
        <v>200</v>
      </c>
      <c r="Q62" s="13">
        <f t="shared" si="12"/>
        <v>155</v>
      </c>
      <c r="R62" s="13">
        <f t="shared" si="12"/>
        <v>181</v>
      </c>
      <c r="S62" s="13">
        <f t="shared" si="12"/>
        <v>202</v>
      </c>
      <c r="T62" s="13">
        <f t="shared" si="12"/>
        <v>199</v>
      </c>
      <c r="U62" s="13">
        <f t="shared" si="12"/>
        <v>207</v>
      </c>
      <c r="V62" s="13">
        <f t="shared" si="12"/>
        <v>173</v>
      </c>
      <c r="W62" s="13">
        <f t="shared" si="11"/>
        <v>3714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V15 E45:V57">
    <cfRule type="containsBlanks" dxfId="1" priority="2">
      <formula>LEN(TRIM(E14))=0</formula>
    </cfRule>
  </conditionalFormatting>
  <conditionalFormatting sqref="E19:V20">
    <cfRule type="containsBlanks" dxfId="1" priority="3">
      <formula>LEN(TRIM(E19))=0</formula>
    </cfRule>
  </conditionalFormatting>
  <conditionalFormatting sqref="E22:V23 E25:V26 E33:V33 E35:V35 E39:V40">
    <cfRule type="containsBlanks" dxfId="1" priority="4">
      <formula>LEN(TRIM(E22))=0</formula>
    </cfRule>
  </conditionalFormatting>
  <conditionalFormatting sqref="E30:V30">
    <cfRule type="expression" dxfId="0" priority="5">
      <formula>E30&lt;&gt;E46</formula>
    </cfRule>
  </conditionalFormatting>
  <conditionalFormatting sqref="E30:V30">
    <cfRule type="expression" dxfId="0" priority="6">
      <formula>E30&lt;&gt;E34</formula>
    </cfRule>
  </conditionalFormatting>
  <conditionalFormatting sqref="E34:V34">
    <cfRule type="expression" dxfId="2" priority="7">
      <formula>E30&lt;&gt;E34</formula>
    </cfRule>
  </conditionalFormatting>
  <conditionalFormatting sqref="E34:V34">
    <cfRule type="expression" dxfId="3" priority="8">
      <formula>E30=E34</formula>
    </cfRule>
  </conditionalFormatting>
  <conditionalFormatting sqref="E34:V34">
    <cfRule type="expression" dxfId="0" priority="9">
      <formula>E34&lt;&gt;E30</formula>
    </cfRule>
  </conditionalFormatting>
  <conditionalFormatting sqref="E60:V61">
    <cfRule type="containsBlanks" dxfId="1" priority="10">
      <formula>LEN(TRIM(E60))=0</formula>
    </cfRule>
  </conditionalFormatting>
  <conditionalFormatting sqref="U34:V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5" width="8.71"/>
    <col customWidth="1" min="26" max="26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94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36"/>
    </row>
    <row r="14" ht="12.75" customHeight="1">
      <c r="A14" s="18"/>
      <c r="B14" s="22" t="s">
        <v>11</v>
      </c>
      <c r="C14" s="23"/>
      <c r="D14" s="19" t="s">
        <v>12</v>
      </c>
      <c r="E14" s="19">
        <v>131.0</v>
      </c>
      <c r="F14" s="19">
        <v>144.0</v>
      </c>
      <c r="G14" s="19">
        <v>132.0</v>
      </c>
      <c r="H14" s="19">
        <v>135.0</v>
      </c>
      <c r="I14" s="19">
        <v>130.0</v>
      </c>
      <c r="J14" s="19">
        <v>127.0</v>
      </c>
      <c r="K14" s="19">
        <v>139.0</v>
      </c>
      <c r="L14" s="19">
        <v>150.0</v>
      </c>
      <c r="M14" s="19">
        <v>143.0</v>
      </c>
      <c r="N14" s="19">
        <v>116.0</v>
      </c>
      <c r="O14" s="19">
        <v>128.0</v>
      </c>
      <c r="P14" s="19">
        <v>110.0</v>
      </c>
      <c r="Q14" s="19">
        <v>120.0</v>
      </c>
      <c r="R14" s="19">
        <v>112.0</v>
      </c>
      <c r="S14" s="19">
        <v>110.0</v>
      </c>
      <c r="T14" s="19">
        <v>139.0</v>
      </c>
      <c r="U14" s="19">
        <v>131.0</v>
      </c>
      <c r="V14" s="19">
        <v>125.0</v>
      </c>
      <c r="W14" s="19">
        <v>127.0</v>
      </c>
      <c r="X14" s="19">
        <v>126.0</v>
      </c>
      <c r="Y14" s="19">
        <v>133.0</v>
      </c>
      <c r="Z14" s="13">
        <f t="shared" ref="Z14:Z16" si="1">SUM(E14:Y14)</f>
        <v>2708</v>
      </c>
    </row>
    <row r="15" ht="12.75" customHeight="1">
      <c r="A15" s="18"/>
      <c r="B15" s="26"/>
      <c r="C15" s="27"/>
      <c r="D15" s="19" t="s">
        <v>13</v>
      </c>
      <c r="E15" s="19">
        <v>133.0</v>
      </c>
      <c r="F15" s="19">
        <v>142.0</v>
      </c>
      <c r="G15" s="19">
        <v>152.0</v>
      </c>
      <c r="H15" s="19">
        <v>150.0</v>
      </c>
      <c r="I15" s="19">
        <v>140.0</v>
      </c>
      <c r="J15" s="19">
        <v>133.0</v>
      </c>
      <c r="K15" s="19">
        <v>145.0</v>
      </c>
      <c r="L15" s="19">
        <v>139.0</v>
      </c>
      <c r="M15" s="19">
        <v>141.0</v>
      </c>
      <c r="N15" s="19">
        <v>125.0</v>
      </c>
      <c r="O15" s="19">
        <v>107.0</v>
      </c>
      <c r="P15" s="19">
        <v>133.0</v>
      </c>
      <c r="Q15" s="19">
        <v>124.0</v>
      </c>
      <c r="R15" s="19">
        <v>117.0</v>
      </c>
      <c r="S15" s="19">
        <v>115.0</v>
      </c>
      <c r="T15" s="19">
        <v>138.0</v>
      </c>
      <c r="U15" s="19">
        <v>144.0</v>
      </c>
      <c r="V15" s="19">
        <v>137.0</v>
      </c>
      <c r="W15" s="19">
        <v>140.0</v>
      </c>
      <c r="X15" s="19">
        <v>148.0</v>
      </c>
      <c r="Y15" s="19">
        <v>136.0</v>
      </c>
      <c r="Z15" s="13">
        <f t="shared" si="1"/>
        <v>2839</v>
      </c>
    </row>
    <row r="16" ht="12.75" customHeight="1">
      <c r="A16" s="25"/>
      <c r="B16" s="21"/>
      <c r="C16" s="28"/>
      <c r="D16" s="13" t="s">
        <v>14</v>
      </c>
      <c r="E16" s="13">
        <f t="shared" ref="E16:Y16" si="2">SUM(E14:E15)</f>
        <v>264</v>
      </c>
      <c r="F16" s="13">
        <f t="shared" si="2"/>
        <v>286</v>
      </c>
      <c r="G16" s="13">
        <f t="shared" si="2"/>
        <v>284</v>
      </c>
      <c r="H16" s="13">
        <f t="shared" si="2"/>
        <v>285</v>
      </c>
      <c r="I16" s="13">
        <f t="shared" si="2"/>
        <v>270</v>
      </c>
      <c r="J16" s="13">
        <f t="shared" si="2"/>
        <v>260</v>
      </c>
      <c r="K16" s="13">
        <f t="shared" si="2"/>
        <v>284</v>
      </c>
      <c r="L16" s="13">
        <f t="shared" si="2"/>
        <v>289</v>
      </c>
      <c r="M16" s="13">
        <f t="shared" si="2"/>
        <v>284</v>
      </c>
      <c r="N16" s="13">
        <f t="shared" si="2"/>
        <v>241</v>
      </c>
      <c r="O16" s="13">
        <f t="shared" si="2"/>
        <v>235</v>
      </c>
      <c r="P16" s="13">
        <f t="shared" si="2"/>
        <v>243</v>
      </c>
      <c r="Q16" s="13">
        <f t="shared" si="2"/>
        <v>244</v>
      </c>
      <c r="R16" s="13">
        <f t="shared" si="2"/>
        <v>229</v>
      </c>
      <c r="S16" s="13">
        <f t="shared" si="2"/>
        <v>225</v>
      </c>
      <c r="T16" s="13">
        <f t="shared" si="2"/>
        <v>277</v>
      </c>
      <c r="U16" s="13">
        <f t="shared" si="2"/>
        <v>275</v>
      </c>
      <c r="V16" s="13">
        <f t="shared" si="2"/>
        <v>262</v>
      </c>
      <c r="W16" s="13">
        <f t="shared" si="2"/>
        <v>267</v>
      </c>
      <c r="X16" s="13">
        <f t="shared" si="2"/>
        <v>274</v>
      </c>
      <c r="Y16" s="13">
        <f t="shared" si="2"/>
        <v>269</v>
      </c>
      <c r="Z16" s="13">
        <f t="shared" si="1"/>
        <v>5547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95.0</v>
      </c>
      <c r="F19" s="19">
        <v>101.0</v>
      </c>
      <c r="G19" s="19">
        <v>106.0</v>
      </c>
      <c r="H19" s="19">
        <v>92.0</v>
      </c>
      <c r="I19" s="19">
        <v>99.0</v>
      </c>
      <c r="J19" s="19">
        <v>97.0</v>
      </c>
      <c r="K19" s="19">
        <v>96.0</v>
      </c>
      <c r="L19" s="19">
        <v>125.0</v>
      </c>
      <c r="M19" s="19">
        <v>112.0</v>
      </c>
      <c r="N19" s="19">
        <v>81.0</v>
      </c>
      <c r="O19" s="19">
        <v>88.0</v>
      </c>
      <c r="P19" s="19">
        <v>88.0</v>
      </c>
      <c r="Q19" s="19">
        <v>104.0</v>
      </c>
      <c r="R19" s="19">
        <v>95.0</v>
      </c>
      <c r="S19" s="19">
        <v>86.0</v>
      </c>
      <c r="T19" s="19">
        <v>98.0</v>
      </c>
      <c r="U19" s="19">
        <v>102.0</v>
      </c>
      <c r="V19" s="19">
        <v>100.0</v>
      </c>
      <c r="W19" s="19">
        <v>91.0</v>
      </c>
      <c r="X19" s="19">
        <v>105.0</v>
      </c>
      <c r="Y19" s="19">
        <v>90.0</v>
      </c>
      <c r="Z19" s="13">
        <f t="shared" ref="Z19:Z30" si="3">SUM(E19:Y19)</f>
        <v>2051</v>
      </c>
    </row>
    <row r="20" ht="12.75" customHeight="1">
      <c r="A20" s="33"/>
      <c r="B20" s="27"/>
      <c r="C20" s="34"/>
      <c r="D20" s="19" t="s">
        <v>13</v>
      </c>
      <c r="E20" s="19">
        <v>105.0</v>
      </c>
      <c r="F20" s="19">
        <v>108.0</v>
      </c>
      <c r="G20" s="19">
        <v>128.0</v>
      </c>
      <c r="H20" s="19">
        <v>117.0</v>
      </c>
      <c r="I20" s="19">
        <v>119.0</v>
      </c>
      <c r="J20" s="19">
        <v>110.0</v>
      </c>
      <c r="K20" s="19">
        <v>128.0</v>
      </c>
      <c r="L20" s="19">
        <v>116.0</v>
      </c>
      <c r="M20" s="19">
        <v>122.0</v>
      </c>
      <c r="N20" s="19">
        <v>102.0</v>
      </c>
      <c r="O20" s="19">
        <v>88.0</v>
      </c>
      <c r="P20" s="19">
        <v>111.0</v>
      </c>
      <c r="Q20" s="19">
        <v>106.0</v>
      </c>
      <c r="R20" s="19">
        <v>93.0</v>
      </c>
      <c r="S20" s="19">
        <v>91.0</v>
      </c>
      <c r="T20" s="19">
        <v>113.0</v>
      </c>
      <c r="U20" s="19">
        <v>113.0</v>
      </c>
      <c r="V20" s="19">
        <v>112.0</v>
      </c>
      <c r="W20" s="19">
        <v>105.0</v>
      </c>
      <c r="X20" s="19">
        <v>127.0</v>
      </c>
      <c r="Y20" s="19">
        <v>107.0</v>
      </c>
      <c r="Z20" s="13">
        <f t="shared" si="3"/>
        <v>2321</v>
      </c>
    </row>
    <row r="21" ht="12.75" customHeight="1">
      <c r="A21" s="35"/>
      <c r="B21" s="28"/>
      <c r="C21" s="36"/>
      <c r="D21" s="13" t="s">
        <v>14</v>
      </c>
      <c r="E21" s="13">
        <v>200.0</v>
      </c>
      <c r="F21" s="13">
        <v>209.0</v>
      </c>
      <c r="G21" s="13">
        <v>234.0</v>
      </c>
      <c r="H21" s="13">
        <v>209.0</v>
      </c>
      <c r="I21" s="13">
        <v>218.0</v>
      </c>
      <c r="J21" s="13">
        <v>207.0</v>
      </c>
      <c r="K21" s="13">
        <v>224.0</v>
      </c>
      <c r="L21" s="13">
        <v>241.0</v>
      </c>
      <c r="M21" s="13">
        <v>234.0</v>
      </c>
      <c r="N21" s="13">
        <v>183.0</v>
      </c>
      <c r="O21" s="13">
        <v>176.0</v>
      </c>
      <c r="P21" s="13">
        <v>199.0</v>
      </c>
      <c r="Q21" s="13">
        <v>210.0</v>
      </c>
      <c r="R21" s="13">
        <v>188.0</v>
      </c>
      <c r="S21" s="13">
        <v>177.0</v>
      </c>
      <c r="T21" s="13">
        <v>211.0</v>
      </c>
      <c r="U21" s="13">
        <v>215.0</v>
      </c>
      <c r="V21" s="13">
        <v>212.0</v>
      </c>
      <c r="W21" s="13">
        <v>196.0</v>
      </c>
      <c r="X21" s="13">
        <v>232.0</v>
      </c>
      <c r="Y21" s="13">
        <v>197.0</v>
      </c>
      <c r="Z21" s="13">
        <f t="shared" si="3"/>
        <v>4372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1.0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1.0</v>
      </c>
      <c r="Q23" s="19">
        <v>1.0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1.0</v>
      </c>
      <c r="Z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0.0</v>
      </c>
      <c r="G24" s="13">
        <v>0.0</v>
      </c>
      <c r="H24" s="13">
        <v>0.0</v>
      </c>
      <c r="I24" s="13">
        <v>1.0</v>
      </c>
      <c r="J24" s="13">
        <v>1.0</v>
      </c>
      <c r="K24" s="13">
        <v>0.0</v>
      </c>
      <c r="L24" s="13">
        <v>0.0</v>
      </c>
      <c r="M24" s="13">
        <v>0.0</v>
      </c>
      <c r="N24" s="13">
        <v>0.0</v>
      </c>
      <c r="O24" s="13">
        <v>0.0</v>
      </c>
      <c r="P24" s="13">
        <v>1.0</v>
      </c>
      <c r="Q24" s="13">
        <v>2.0</v>
      </c>
      <c r="R24" s="13">
        <v>0.0</v>
      </c>
      <c r="S24" s="13">
        <v>0.0</v>
      </c>
      <c r="T24" s="13">
        <v>0.0</v>
      </c>
      <c r="U24" s="13">
        <v>0.0</v>
      </c>
      <c r="V24" s="13">
        <v>0.0</v>
      </c>
      <c r="W24" s="13">
        <v>0.0</v>
      </c>
      <c r="X24" s="13">
        <v>0.0</v>
      </c>
      <c r="Y24" s="13">
        <v>1.0</v>
      </c>
      <c r="Z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0.0</v>
      </c>
      <c r="J25" s="19">
        <v>0.0</v>
      </c>
      <c r="K25" s="19">
        <v>1.0</v>
      </c>
      <c r="L25" s="19">
        <v>0.0</v>
      </c>
      <c r="M25" s="19">
        <v>1.0</v>
      </c>
      <c r="N25" s="19">
        <v>0.0</v>
      </c>
      <c r="O25" s="19">
        <v>0.0</v>
      </c>
      <c r="P25" s="19">
        <v>0.0</v>
      </c>
      <c r="Q25" s="19">
        <v>1.0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1.0</v>
      </c>
      <c r="Y25" s="19">
        <v>0.0</v>
      </c>
      <c r="Z25" s="13">
        <f t="shared" si="3"/>
        <v>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1.0</v>
      </c>
      <c r="I26" s="19">
        <v>1.0</v>
      </c>
      <c r="J26" s="19">
        <v>3.0</v>
      </c>
      <c r="K26" s="19">
        <v>2.0</v>
      </c>
      <c r="L26" s="19">
        <v>2.0</v>
      </c>
      <c r="M26" s="19">
        <v>0.0</v>
      </c>
      <c r="N26" s="19">
        <v>0.0</v>
      </c>
      <c r="O26" s="19">
        <v>0.0</v>
      </c>
      <c r="P26" s="19">
        <v>0.0</v>
      </c>
      <c r="Q26" s="19">
        <v>1.0</v>
      </c>
      <c r="R26" s="19">
        <v>0.0</v>
      </c>
      <c r="S26" s="19">
        <v>0.0</v>
      </c>
      <c r="T26" s="19">
        <v>0.0</v>
      </c>
      <c r="U26" s="19">
        <v>0.0</v>
      </c>
      <c r="V26" s="19">
        <v>0.0</v>
      </c>
      <c r="W26" s="19">
        <v>0.0</v>
      </c>
      <c r="X26" s="19">
        <v>0.0</v>
      </c>
      <c r="Y26" s="19">
        <v>0.0</v>
      </c>
      <c r="Z26" s="13">
        <f t="shared" si="3"/>
        <v>10</v>
      </c>
    </row>
    <row r="27" ht="12.75" customHeight="1">
      <c r="A27" s="35"/>
      <c r="B27" s="28"/>
      <c r="C27" s="36"/>
      <c r="D27" s="13" t="s">
        <v>14</v>
      </c>
      <c r="E27" s="13">
        <v>0.0</v>
      </c>
      <c r="F27" s="13">
        <v>1.0</v>
      </c>
      <c r="G27" s="13">
        <v>0.0</v>
      </c>
      <c r="H27" s="13">
        <v>1.0</v>
      </c>
      <c r="I27" s="13">
        <v>1.0</v>
      </c>
      <c r="J27" s="13">
        <v>3.0</v>
      </c>
      <c r="K27" s="13">
        <v>3.0</v>
      </c>
      <c r="L27" s="13">
        <v>2.0</v>
      </c>
      <c r="M27" s="13">
        <v>1.0</v>
      </c>
      <c r="N27" s="13">
        <v>0.0</v>
      </c>
      <c r="O27" s="13">
        <v>0.0</v>
      </c>
      <c r="P27" s="13">
        <v>0.0</v>
      </c>
      <c r="Q27" s="13">
        <v>2.0</v>
      </c>
      <c r="R27" s="13">
        <v>0.0</v>
      </c>
      <c r="S27" s="13">
        <v>0.0</v>
      </c>
      <c r="T27" s="13">
        <v>0.0</v>
      </c>
      <c r="U27" s="13">
        <v>0.0</v>
      </c>
      <c r="V27" s="13">
        <v>0.0</v>
      </c>
      <c r="W27" s="13">
        <v>0.0</v>
      </c>
      <c r="X27" s="13">
        <v>1.0</v>
      </c>
      <c r="Y27" s="13">
        <v>0.0</v>
      </c>
      <c r="Z27" s="13">
        <f t="shared" si="3"/>
        <v>15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95.0</v>
      </c>
      <c r="F28" s="13">
        <v>102.0</v>
      </c>
      <c r="G28" s="13">
        <v>106.0</v>
      </c>
      <c r="H28" s="13">
        <v>92.0</v>
      </c>
      <c r="I28" s="13">
        <v>100.0</v>
      </c>
      <c r="J28" s="13">
        <v>97.0</v>
      </c>
      <c r="K28" s="13">
        <v>97.0</v>
      </c>
      <c r="L28" s="13">
        <v>125.0</v>
      </c>
      <c r="M28" s="13">
        <v>113.0</v>
      </c>
      <c r="N28" s="13">
        <v>81.0</v>
      </c>
      <c r="O28" s="13">
        <v>88.0</v>
      </c>
      <c r="P28" s="13">
        <v>88.0</v>
      </c>
      <c r="Q28" s="13">
        <v>106.0</v>
      </c>
      <c r="R28" s="13">
        <v>95.0</v>
      </c>
      <c r="S28" s="13">
        <v>86.0</v>
      </c>
      <c r="T28" s="13">
        <v>98.0</v>
      </c>
      <c r="U28" s="13">
        <v>102.0</v>
      </c>
      <c r="V28" s="13">
        <v>100.0</v>
      </c>
      <c r="W28" s="13">
        <v>91.0</v>
      </c>
      <c r="X28" s="13">
        <v>106.0</v>
      </c>
      <c r="Y28" s="13">
        <v>90.0</v>
      </c>
      <c r="Z28" s="13">
        <f t="shared" si="3"/>
        <v>2058</v>
      </c>
    </row>
    <row r="29" ht="12.75" customHeight="1">
      <c r="A29" s="35"/>
      <c r="B29" s="27"/>
      <c r="C29" s="34"/>
      <c r="D29" s="13" t="s">
        <v>13</v>
      </c>
      <c r="E29" s="13">
        <v>105.0</v>
      </c>
      <c r="F29" s="13">
        <v>108.0</v>
      </c>
      <c r="G29" s="13">
        <v>128.0</v>
      </c>
      <c r="H29" s="13">
        <v>118.0</v>
      </c>
      <c r="I29" s="13">
        <v>120.0</v>
      </c>
      <c r="J29" s="13">
        <v>114.0</v>
      </c>
      <c r="K29" s="13">
        <v>130.0</v>
      </c>
      <c r="L29" s="13">
        <v>118.0</v>
      </c>
      <c r="M29" s="13">
        <v>122.0</v>
      </c>
      <c r="N29" s="13">
        <v>102.0</v>
      </c>
      <c r="O29" s="13">
        <v>88.0</v>
      </c>
      <c r="P29" s="13">
        <v>112.0</v>
      </c>
      <c r="Q29" s="13">
        <v>108.0</v>
      </c>
      <c r="R29" s="13">
        <v>93.0</v>
      </c>
      <c r="S29" s="13">
        <v>91.0</v>
      </c>
      <c r="T29" s="13">
        <v>113.0</v>
      </c>
      <c r="U29" s="13">
        <v>113.0</v>
      </c>
      <c r="V29" s="13">
        <v>112.0</v>
      </c>
      <c r="W29" s="13">
        <v>105.0</v>
      </c>
      <c r="X29" s="13">
        <v>127.0</v>
      </c>
      <c r="Y29" s="13">
        <v>108.0</v>
      </c>
      <c r="Z29" s="13">
        <f t="shared" si="3"/>
        <v>2335</v>
      </c>
    </row>
    <row r="30" ht="12.75" customHeight="1">
      <c r="A30" s="35"/>
      <c r="B30" s="28"/>
      <c r="C30" s="36"/>
      <c r="D30" s="13" t="s">
        <v>14</v>
      </c>
      <c r="E30" s="13">
        <f t="shared" ref="E30:Y30" si="4">SUM(E28:E29)</f>
        <v>200</v>
      </c>
      <c r="F30" s="13">
        <f t="shared" si="4"/>
        <v>210</v>
      </c>
      <c r="G30" s="13">
        <f t="shared" si="4"/>
        <v>234</v>
      </c>
      <c r="H30" s="13">
        <f t="shared" si="4"/>
        <v>210</v>
      </c>
      <c r="I30" s="13">
        <f t="shared" si="4"/>
        <v>220</v>
      </c>
      <c r="J30" s="13">
        <f t="shared" si="4"/>
        <v>211</v>
      </c>
      <c r="K30" s="13">
        <f t="shared" si="4"/>
        <v>227</v>
      </c>
      <c r="L30" s="13">
        <f t="shared" si="4"/>
        <v>243</v>
      </c>
      <c r="M30" s="13">
        <f t="shared" si="4"/>
        <v>235</v>
      </c>
      <c r="N30" s="13">
        <f t="shared" si="4"/>
        <v>183</v>
      </c>
      <c r="O30" s="13">
        <f t="shared" si="4"/>
        <v>176</v>
      </c>
      <c r="P30" s="13">
        <f t="shared" si="4"/>
        <v>200</v>
      </c>
      <c r="Q30" s="13">
        <f t="shared" si="4"/>
        <v>214</v>
      </c>
      <c r="R30" s="13">
        <f t="shared" si="4"/>
        <v>188</v>
      </c>
      <c r="S30" s="13">
        <f t="shared" si="4"/>
        <v>177</v>
      </c>
      <c r="T30" s="13">
        <f t="shared" si="4"/>
        <v>211</v>
      </c>
      <c r="U30" s="13">
        <f t="shared" si="4"/>
        <v>215</v>
      </c>
      <c r="V30" s="13">
        <f t="shared" si="4"/>
        <v>212</v>
      </c>
      <c r="W30" s="13">
        <f t="shared" si="4"/>
        <v>196</v>
      </c>
      <c r="X30" s="13">
        <f t="shared" si="4"/>
        <v>233</v>
      </c>
      <c r="Y30" s="13">
        <f t="shared" si="4"/>
        <v>198</v>
      </c>
      <c r="Z30" s="13">
        <f t="shared" si="3"/>
        <v>4393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59"/>
    </row>
    <row r="33" ht="12.75" customHeight="1">
      <c r="A33" s="19">
        <v>1.0</v>
      </c>
      <c r="B33" s="20" t="s">
        <v>27</v>
      </c>
      <c r="C33" s="15"/>
      <c r="D33" s="16"/>
      <c r="E33" s="19">
        <v>270.0</v>
      </c>
      <c r="F33" s="19">
        <v>292.0</v>
      </c>
      <c r="G33" s="19">
        <v>290.0</v>
      </c>
      <c r="H33" s="19">
        <v>291.0</v>
      </c>
      <c r="I33" s="19">
        <v>276.0</v>
      </c>
      <c r="J33" s="19">
        <v>266.0</v>
      </c>
      <c r="K33" s="19">
        <v>290.0</v>
      </c>
      <c r="L33" s="19">
        <v>294.0</v>
      </c>
      <c r="M33" s="19">
        <v>290.0</v>
      </c>
      <c r="N33" s="19">
        <v>246.0</v>
      </c>
      <c r="O33" s="19">
        <v>240.0</v>
      </c>
      <c r="P33" s="19">
        <v>248.0</v>
      </c>
      <c r="Q33" s="19">
        <v>249.0</v>
      </c>
      <c r="R33" s="19">
        <v>234.0</v>
      </c>
      <c r="S33" s="19">
        <v>230.0</v>
      </c>
      <c r="T33" s="19">
        <v>283.0</v>
      </c>
      <c r="U33" s="19">
        <v>281.0</v>
      </c>
      <c r="V33" s="19">
        <v>268.0</v>
      </c>
      <c r="W33" s="19">
        <v>273.0</v>
      </c>
      <c r="X33" s="19">
        <v>280.0</v>
      </c>
      <c r="Y33" s="19">
        <v>275.0</v>
      </c>
      <c r="Z33" s="13">
        <f t="shared" ref="Z33:Z36" si="5">SUM(E33:Y33)</f>
        <v>5666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210.0</v>
      </c>
      <c r="G34" s="13">
        <v>234.0</v>
      </c>
      <c r="H34" s="13">
        <v>210.0</v>
      </c>
      <c r="I34" s="13">
        <v>220.0</v>
      </c>
      <c r="J34" s="13">
        <v>211.0</v>
      </c>
      <c r="K34" s="13">
        <v>227.0</v>
      </c>
      <c r="L34" s="13">
        <v>243.0</v>
      </c>
      <c r="M34" s="13">
        <v>235.0</v>
      </c>
      <c r="N34" s="13">
        <v>183.0</v>
      </c>
      <c r="O34" s="13">
        <v>176.0</v>
      </c>
      <c r="P34" s="13">
        <v>200.0</v>
      </c>
      <c r="Q34" s="13">
        <v>214.0</v>
      </c>
      <c r="R34" s="13">
        <v>188.0</v>
      </c>
      <c r="S34" s="13">
        <v>177.0</v>
      </c>
      <c r="T34" s="13">
        <v>211.0</v>
      </c>
      <c r="U34" s="13">
        <v>215.0</v>
      </c>
      <c r="V34" s="13">
        <v>212.0</v>
      </c>
      <c r="W34" s="13">
        <v>196.0</v>
      </c>
      <c r="X34" s="13">
        <v>233.0</v>
      </c>
      <c r="Y34" s="13">
        <v>198.0</v>
      </c>
      <c r="Z34" s="13">
        <f t="shared" si="5"/>
        <v>4393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1.0</v>
      </c>
      <c r="J35" s="19">
        <v>0.0</v>
      </c>
      <c r="K35" s="19">
        <v>2.0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1.0</v>
      </c>
      <c r="W35" s="19">
        <v>0.0</v>
      </c>
      <c r="X35" s="19">
        <v>0.0</v>
      </c>
      <c r="Y35" s="19">
        <v>0.0</v>
      </c>
      <c r="Z35" s="13">
        <f t="shared" si="5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v>70.0</v>
      </c>
      <c r="F36" s="13">
        <v>81.0</v>
      </c>
      <c r="G36" s="13">
        <v>56.0</v>
      </c>
      <c r="H36" s="13">
        <v>81.0</v>
      </c>
      <c r="I36" s="13">
        <v>55.0</v>
      </c>
      <c r="J36" s="13">
        <v>55.0</v>
      </c>
      <c r="K36" s="13">
        <v>61.0</v>
      </c>
      <c r="L36" s="13">
        <v>51.0</v>
      </c>
      <c r="M36" s="13">
        <v>55.0</v>
      </c>
      <c r="N36" s="13">
        <v>63.0</v>
      </c>
      <c r="O36" s="13">
        <v>64.0</v>
      </c>
      <c r="P36" s="13">
        <v>48.0</v>
      </c>
      <c r="Q36" s="13">
        <v>35.0</v>
      </c>
      <c r="R36" s="13">
        <v>46.0</v>
      </c>
      <c r="S36" s="13">
        <v>53.0</v>
      </c>
      <c r="T36" s="13">
        <v>72.0</v>
      </c>
      <c r="U36" s="13">
        <v>66.0</v>
      </c>
      <c r="V36" s="13">
        <v>55.0</v>
      </c>
      <c r="W36" s="13">
        <v>77.0</v>
      </c>
      <c r="X36" s="13">
        <v>47.0</v>
      </c>
      <c r="Y36" s="13">
        <v>77.0</v>
      </c>
      <c r="Z36" s="13">
        <f t="shared" si="5"/>
        <v>1268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2.0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1.0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3">
        <f t="shared" ref="Z39:Z41" si="6">SUM(E39:Y39)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1.0</v>
      </c>
      <c r="G40" s="19">
        <v>0.0</v>
      </c>
      <c r="H40" s="19">
        <v>0.0</v>
      </c>
      <c r="I40" s="19">
        <v>0.0</v>
      </c>
      <c r="J40" s="19">
        <v>0.0</v>
      </c>
      <c r="K40" s="19">
        <v>2.0</v>
      </c>
      <c r="L40" s="19">
        <v>1.0</v>
      </c>
      <c r="M40" s="19">
        <v>0.0</v>
      </c>
      <c r="N40" s="19">
        <v>1.0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1.0</v>
      </c>
      <c r="Y40" s="19">
        <v>0.0</v>
      </c>
      <c r="Z40" s="13">
        <f t="shared" si="6"/>
        <v>6</v>
      </c>
    </row>
    <row r="41" ht="12.75" customHeight="1">
      <c r="A41" s="41"/>
      <c r="B41" s="44"/>
      <c r="C41" s="28"/>
      <c r="D41" s="13" t="s">
        <v>14</v>
      </c>
      <c r="E41" s="13">
        <f t="shared" ref="E41:Y41" si="7">SUM(E39:E40)</f>
        <v>0</v>
      </c>
      <c r="F41" s="13">
        <f t="shared" si="7"/>
        <v>1</v>
      </c>
      <c r="G41" s="13">
        <f t="shared" si="7"/>
        <v>1</v>
      </c>
      <c r="H41" s="13">
        <f t="shared" si="7"/>
        <v>0</v>
      </c>
      <c r="I41" s="13">
        <f t="shared" si="7"/>
        <v>0</v>
      </c>
      <c r="J41" s="13">
        <f t="shared" si="7"/>
        <v>0</v>
      </c>
      <c r="K41" s="13">
        <f t="shared" si="7"/>
        <v>2</v>
      </c>
      <c r="L41" s="13">
        <f t="shared" si="7"/>
        <v>3</v>
      </c>
      <c r="M41" s="13">
        <f t="shared" si="7"/>
        <v>0</v>
      </c>
      <c r="N41" s="13">
        <f t="shared" si="7"/>
        <v>1</v>
      </c>
      <c r="O41" s="13">
        <f t="shared" si="7"/>
        <v>0</v>
      </c>
      <c r="P41" s="13">
        <f t="shared" si="7"/>
        <v>0</v>
      </c>
      <c r="Q41" s="13">
        <f t="shared" si="7"/>
        <v>0</v>
      </c>
      <c r="R41" s="13">
        <f t="shared" si="7"/>
        <v>0</v>
      </c>
      <c r="S41" s="13">
        <f t="shared" si="7"/>
        <v>1</v>
      </c>
      <c r="T41" s="13">
        <f t="shared" si="7"/>
        <v>0</v>
      </c>
      <c r="U41" s="13">
        <f t="shared" si="7"/>
        <v>0</v>
      </c>
      <c r="V41" s="13">
        <f t="shared" si="7"/>
        <v>0</v>
      </c>
      <c r="W41" s="13">
        <f t="shared" si="7"/>
        <v>0</v>
      </c>
      <c r="X41" s="13">
        <f t="shared" si="7"/>
        <v>1</v>
      </c>
      <c r="Y41" s="13">
        <f t="shared" si="7"/>
        <v>0</v>
      </c>
      <c r="Z41" s="13">
        <f t="shared" si="6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19"/>
      <c r="Z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13"/>
      <c r="Z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19"/>
      <c r="Z44" s="13"/>
    </row>
    <row r="45" ht="12.75" customHeight="1">
      <c r="A45" s="30"/>
      <c r="B45" s="47" t="s">
        <v>17</v>
      </c>
      <c r="C45" s="62" t="s">
        <v>38</v>
      </c>
      <c r="D45" s="16"/>
      <c r="E45" s="19">
        <v>10.0</v>
      </c>
      <c r="F45" s="19">
        <v>11.0</v>
      </c>
      <c r="G45" s="19">
        <v>10.0</v>
      </c>
      <c r="H45" s="19">
        <v>15.0</v>
      </c>
      <c r="I45" s="19">
        <v>11.0</v>
      </c>
      <c r="J45" s="19">
        <v>10.0</v>
      </c>
      <c r="K45" s="19">
        <v>16.0</v>
      </c>
      <c r="L45" s="19">
        <v>7.0</v>
      </c>
      <c r="M45" s="19">
        <v>15.0</v>
      </c>
      <c r="N45" s="19">
        <v>14.0</v>
      </c>
      <c r="O45" s="19">
        <v>12.0</v>
      </c>
      <c r="P45" s="19">
        <v>6.0</v>
      </c>
      <c r="Q45" s="19">
        <v>8.0</v>
      </c>
      <c r="R45" s="19">
        <v>15.0</v>
      </c>
      <c r="S45" s="19">
        <v>12.0</v>
      </c>
      <c r="T45" s="19">
        <v>15.0</v>
      </c>
      <c r="U45" s="19">
        <v>15.0</v>
      </c>
      <c r="V45" s="19">
        <v>13.0</v>
      </c>
      <c r="W45" s="19">
        <v>17.0</v>
      </c>
      <c r="X45" s="19">
        <v>17.0</v>
      </c>
      <c r="Y45" s="19">
        <v>16.0</v>
      </c>
      <c r="Z45" s="13">
        <f t="shared" ref="Z45:Z57" si="8">SUM(E45:Y45)</f>
        <v>265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22.0</v>
      </c>
      <c r="F46" s="19">
        <v>36.0</v>
      </c>
      <c r="G46" s="19">
        <v>55.0</v>
      </c>
      <c r="H46" s="19">
        <v>83.0</v>
      </c>
      <c r="I46" s="19">
        <v>78.0</v>
      </c>
      <c r="J46" s="19">
        <v>26.0</v>
      </c>
      <c r="K46" s="19">
        <v>33.0</v>
      </c>
      <c r="L46" s="19">
        <v>45.0</v>
      </c>
      <c r="M46" s="19">
        <v>58.0</v>
      </c>
      <c r="N46" s="19">
        <v>29.0</v>
      </c>
      <c r="O46" s="19">
        <v>22.0</v>
      </c>
      <c r="P46" s="19">
        <v>33.0</v>
      </c>
      <c r="Q46" s="19">
        <v>44.0</v>
      </c>
      <c r="R46" s="19">
        <v>38.0</v>
      </c>
      <c r="S46" s="19">
        <v>30.0</v>
      </c>
      <c r="T46" s="19">
        <v>30.0</v>
      </c>
      <c r="U46" s="19">
        <v>33.0</v>
      </c>
      <c r="V46" s="19">
        <v>29.0</v>
      </c>
      <c r="W46" s="19">
        <v>20.0</v>
      </c>
      <c r="X46" s="19">
        <v>22.0</v>
      </c>
      <c r="Y46" s="19">
        <v>40.0</v>
      </c>
      <c r="Z46" s="13">
        <f t="shared" si="8"/>
        <v>806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12.0</v>
      </c>
      <c r="F47" s="19">
        <v>12.0</v>
      </c>
      <c r="G47" s="19">
        <v>13.0</v>
      </c>
      <c r="H47" s="19">
        <v>10.0</v>
      </c>
      <c r="I47" s="19">
        <v>16.0</v>
      </c>
      <c r="J47" s="19">
        <v>14.0</v>
      </c>
      <c r="K47" s="19">
        <v>11.0</v>
      </c>
      <c r="L47" s="19">
        <v>15.0</v>
      </c>
      <c r="M47" s="19">
        <v>8.0</v>
      </c>
      <c r="N47" s="19">
        <v>11.0</v>
      </c>
      <c r="O47" s="19">
        <v>11.0</v>
      </c>
      <c r="P47" s="19">
        <v>8.0</v>
      </c>
      <c r="Q47" s="19">
        <v>15.0</v>
      </c>
      <c r="R47" s="19">
        <v>15.0</v>
      </c>
      <c r="S47" s="19">
        <v>12.0</v>
      </c>
      <c r="T47" s="19">
        <v>8.0</v>
      </c>
      <c r="U47" s="19">
        <v>22.0</v>
      </c>
      <c r="V47" s="19">
        <v>15.0</v>
      </c>
      <c r="W47" s="19">
        <v>10.0</v>
      </c>
      <c r="X47" s="19">
        <v>15.0</v>
      </c>
      <c r="Y47" s="19">
        <v>9.0</v>
      </c>
      <c r="Z47" s="13">
        <f t="shared" si="8"/>
        <v>262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25.0</v>
      </c>
      <c r="F48" s="19">
        <v>29.0</v>
      </c>
      <c r="G48" s="19">
        <v>16.0</v>
      </c>
      <c r="H48" s="19">
        <v>26.0</v>
      </c>
      <c r="I48" s="19">
        <v>21.0</v>
      </c>
      <c r="J48" s="19">
        <v>30.0</v>
      </c>
      <c r="K48" s="19">
        <v>30.0</v>
      </c>
      <c r="L48" s="19">
        <v>54.0</v>
      </c>
      <c r="M48" s="19">
        <v>33.0</v>
      </c>
      <c r="N48" s="19">
        <v>23.0</v>
      </c>
      <c r="O48" s="19">
        <v>49.0</v>
      </c>
      <c r="P48" s="19">
        <v>64.0</v>
      </c>
      <c r="Q48" s="19">
        <v>26.0</v>
      </c>
      <c r="R48" s="19">
        <v>28.0</v>
      </c>
      <c r="S48" s="19">
        <v>31.0</v>
      </c>
      <c r="T48" s="19">
        <v>32.0</v>
      </c>
      <c r="U48" s="19">
        <v>44.0</v>
      </c>
      <c r="V48" s="19">
        <v>55.0</v>
      </c>
      <c r="W48" s="19">
        <v>51.0</v>
      </c>
      <c r="X48" s="19">
        <v>37.0</v>
      </c>
      <c r="Y48" s="19">
        <v>35.0</v>
      </c>
      <c r="Z48" s="13">
        <f t="shared" si="8"/>
        <v>739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9.0</v>
      </c>
      <c r="F49" s="19">
        <v>12.0</v>
      </c>
      <c r="G49" s="19">
        <v>12.0</v>
      </c>
      <c r="H49" s="19">
        <v>18.0</v>
      </c>
      <c r="I49" s="19">
        <v>15.0</v>
      </c>
      <c r="J49" s="19">
        <v>12.0</v>
      </c>
      <c r="K49" s="19">
        <v>14.0</v>
      </c>
      <c r="L49" s="19">
        <v>18.0</v>
      </c>
      <c r="M49" s="19">
        <v>13.0</v>
      </c>
      <c r="N49" s="19">
        <v>8.0</v>
      </c>
      <c r="O49" s="19">
        <v>9.0</v>
      </c>
      <c r="P49" s="19">
        <v>9.0</v>
      </c>
      <c r="Q49" s="19">
        <v>23.0</v>
      </c>
      <c r="R49" s="19">
        <v>14.0</v>
      </c>
      <c r="S49" s="19">
        <v>10.0</v>
      </c>
      <c r="T49" s="19">
        <v>9.0</v>
      </c>
      <c r="U49" s="19">
        <v>13.0</v>
      </c>
      <c r="V49" s="19">
        <v>16.0</v>
      </c>
      <c r="W49" s="19">
        <v>11.0</v>
      </c>
      <c r="X49" s="19">
        <v>14.0</v>
      </c>
      <c r="Y49" s="19">
        <v>18.0</v>
      </c>
      <c r="Z49" s="13">
        <f t="shared" si="8"/>
        <v>277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14.0</v>
      </c>
      <c r="F50" s="19">
        <v>11.0</v>
      </c>
      <c r="G50" s="19">
        <v>15.0</v>
      </c>
      <c r="H50" s="19">
        <v>10.0</v>
      </c>
      <c r="I50" s="19">
        <v>7.0</v>
      </c>
      <c r="J50" s="19">
        <v>10.0</v>
      </c>
      <c r="K50" s="19">
        <v>9.0</v>
      </c>
      <c r="L50" s="19">
        <v>10.0</v>
      </c>
      <c r="M50" s="19">
        <v>13.0</v>
      </c>
      <c r="N50" s="19">
        <v>13.0</v>
      </c>
      <c r="O50" s="19">
        <v>13.0</v>
      </c>
      <c r="P50" s="19">
        <v>5.0</v>
      </c>
      <c r="Q50" s="19">
        <v>16.0</v>
      </c>
      <c r="R50" s="19">
        <v>12.0</v>
      </c>
      <c r="S50" s="19">
        <v>7.0</v>
      </c>
      <c r="T50" s="19">
        <v>10.0</v>
      </c>
      <c r="U50" s="19">
        <v>12.0</v>
      </c>
      <c r="V50" s="19">
        <v>13.0</v>
      </c>
      <c r="W50" s="19">
        <v>11.0</v>
      </c>
      <c r="X50" s="19">
        <v>26.0</v>
      </c>
      <c r="Y50" s="19">
        <v>14.0</v>
      </c>
      <c r="Z50" s="13">
        <f t="shared" si="8"/>
        <v>251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3.0</v>
      </c>
      <c r="F51" s="19">
        <v>0.0</v>
      </c>
      <c r="G51" s="19">
        <v>1.0</v>
      </c>
      <c r="H51" s="19">
        <v>0.0</v>
      </c>
      <c r="I51" s="19">
        <v>0.0</v>
      </c>
      <c r="J51" s="19">
        <v>3.0</v>
      </c>
      <c r="K51" s="19">
        <v>3.0</v>
      </c>
      <c r="L51" s="19">
        <v>0.0</v>
      </c>
      <c r="M51" s="19">
        <v>4.0</v>
      </c>
      <c r="N51" s="19">
        <v>1.0</v>
      </c>
      <c r="O51" s="19">
        <v>1.0</v>
      </c>
      <c r="P51" s="19">
        <v>0.0</v>
      </c>
      <c r="Q51" s="19">
        <v>1.0</v>
      </c>
      <c r="R51" s="19">
        <v>2.0</v>
      </c>
      <c r="S51" s="19">
        <v>1.0</v>
      </c>
      <c r="T51" s="19">
        <v>8.0</v>
      </c>
      <c r="U51" s="19">
        <v>2.0</v>
      </c>
      <c r="V51" s="19">
        <v>2.0</v>
      </c>
      <c r="W51" s="19">
        <v>1.0</v>
      </c>
      <c r="X51" s="19">
        <v>0.0</v>
      </c>
      <c r="Y51" s="19">
        <v>3.0</v>
      </c>
      <c r="Z51" s="13">
        <f t="shared" si="8"/>
        <v>36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0.0</v>
      </c>
      <c r="F52" s="19">
        <v>3.0</v>
      </c>
      <c r="G52" s="19">
        <v>3.0</v>
      </c>
      <c r="H52" s="19">
        <v>1.0</v>
      </c>
      <c r="I52" s="19">
        <v>2.0</v>
      </c>
      <c r="J52" s="19">
        <v>1.0</v>
      </c>
      <c r="K52" s="19">
        <v>1.0</v>
      </c>
      <c r="L52" s="19">
        <v>5.0</v>
      </c>
      <c r="M52" s="19">
        <v>1.0</v>
      </c>
      <c r="N52" s="19">
        <v>1.0</v>
      </c>
      <c r="O52" s="19">
        <v>2.0</v>
      </c>
      <c r="P52" s="19">
        <v>0.0</v>
      </c>
      <c r="Q52" s="19">
        <v>2.0</v>
      </c>
      <c r="R52" s="19">
        <v>2.0</v>
      </c>
      <c r="S52" s="19">
        <v>1.0</v>
      </c>
      <c r="T52" s="19">
        <v>2.0</v>
      </c>
      <c r="U52" s="19">
        <v>1.0</v>
      </c>
      <c r="V52" s="19">
        <v>2.0</v>
      </c>
      <c r="W52" s="19">
        <v>1.0</v>
      </c>
      <c r="X52" s="19">
        <v>3.0</v>
      </c>
      <c r="Y52" s="19">
        <v>0.0</v>
      </c>
      <c r="Z52" s="13">
        <f t="shared" si="8"/>
        <v>34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2.0</v>
      </c>
      <c r="F53" s="19">
        <v>0.0</v>
      </c>
      <c r="G53" s="19">
        <v>0.0</v>
      </c>
      <c r="H53" s="19">
        <v>0.0</v>
      </c>
      <c r="I53" s="19">
        <v>2.0</v>
      </c>
      <c r="J53" s="19">
        <v>2.0</v>
      </c>
      <c r="K53" s="19">
        <v>0.0</v>
      </c>
      <c r="L53" s="19">
        <v>0.0</v>
      </c>
      <c r="M53" s="19">
        <v>0.0</v>
      </c>
      <c r="N53" s="19">
        <v>0.0</v>
      </c>
      <c r="O53" s="19">
        <v>0.0</v>
      </c>
      <c r="P53" s="19">
        <v>0.0</v>
      </c>
      <c r="Q53" s="19">
        <v>0.0</v>
      </c>
      <c r="R53" s="19">
        <v>0.0</v>
      </c>
      <c r="S53" s="19">
        <v>1.0</v>
      </c>
      <c r="T53" s="19">
        <v>0.0</v>
      </c>
      <c r="U53" s="19">
        <v>1.0</v>
      </c>
      <c r="V53" s="19">
        <v>0.0</v>
      </c>
      <c r="W53" s="19">
        <v>0.0</v>
      </c>
      <c r="X53" s="19">
        <v>1.0</v>
      </c>
      <c r="Y53" s="19">
        <v>1.0</v>
      </c>
      <c r="Z53" s="13">
        <f t="shared" si="8"/>
        <v>10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16.0</v>
      </c>
      <c r="F54" s="19">
        <v>9.0</v>
      </c>
      <c r="G54" s="19">
        <v>12.0</v>
      </c>
      <c r="H54" s="19">
        <v>6.0</v>
      </c>
      <c r="I54" s="19">
        <v>7.0</v>
      </c>
      <c r="J54" s="19">
        <v>15.0</v>
      </c>
      <c r="K54" s="19">
        <v>17.0</v>
      </c>
      <c r="L54" s="19">
        <v>9.0</v>
      </c>
      <c r="M54" s="19">
        <v>21.0</v>
      </c>
      <c r="N54" s="19">
        <v>26.0</v>
      </c>
      <c r="O54" s="19">
        <v>6.0</v>
      </c>
      <c r="P54" s="19">
        <v>14.0</v>
      </c>
      <c r="Q54" s="19">
        <v>21.0</v>
      </c>
      <c r="R54" s="19">
        <v>18.0</v>
      </c>
      <c r="S54" s="19">
        <v>24.0</v>
      </c>
      <c r="T54" s="19">
        <v>15.0</v>
      </c>
      <c r="U54" s="19">
        <v>12.0</v>
      </c>
      <c r="V54" s="19">
        <v>13.0</v>
      </c>
      <c r="W54" s="19">
        <v>16.0</v>
      </c>
      <c r="X54" s="19">
        <v>26.0</v>
      </c>
      <c r="Y54" s="19">
        <v>15.0</v>
      </c>
      <c r="Z54" s="13">
        <f t="shared" si="8"/>
        <v>318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2.0</v>
      </c>
      <c r="F55" s="19">
        <v>0.0</v>
      </c>
      <c r="G55" s="19">
        <v>0.0</v>
      </c>
      <c r="H55" s="19">
        <v>1.0</v>
      </c>
      <c r="I55" s="19">
        <v>1.0</v>
      </c>
      <c r="J55" s="19">
        <v>1.0</v>
      </c>
      <c r="K55" s="19">
        <v>1.0</v>
      </c>
      <c r="L55" s="19">
        <v>0.0</v>
      </c>
      <c r="M55" s="19">
        <v>0.0</v>
      </c>
      <c r="N55" s="19">
        <v>0.0</v>
      </c>
      <c r="O55" s="19">
        <v>0.0</v>
      </c>
      <c r="P55" s="19">
        <v>1.0</v>
      </c>
      <c r="Q55" s="19">
        <v>1.0</v>
      </c>
      <c r="R55" s="19">
        <v>1.0</v>
      </c>
      <c r="S55" s="19">
        <v>0.0</v>
      </c>
      <c r="T55" s="19">
        <v>1.0</v>
      </c>
      <c r="U55" s="19">
        <v>0.0</v>
      </c>
      <c r="V55" s="19">
        <v>0.0</v>
      </c>
      <c r="W55" s="19">
        <v>3.0</v>
      </c>
      <c r="X55" s="19">
        <v>0.0</v>
      </c>
      <c r="Y55" s="19">
        <v>0.0</v>
      </c>
      <c r="Z55" s="13">
        <f t="shared" si="8"/>
        <v>13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23.0</v>
      </c>
      <c r="F56" s="19">
        <v>7.0</v>
      </c>
      <c r="G56" s="19">
        <v>25.0</v>
      </c>
      <c r="H56" s="19">
        <v>9.0</v>
      </c>
      <c r="I56" s="19">
        <v>22.0</v>
      </c>
      <c r="J56" s="19">
        <v>28.0</v>
      </c>
      <c r="K56" s="19">
        <v>16.0</v>
      </c>
      <c r="L56" s="19">
        <v>13.0</v>
      </c>
      <c r="M56" s="19">
        <v>19.0</v>
      </c>
      <c r="N56" s="19">
        <v>13.0</v>
      </c>
      <c r="O56" s="19">
        <v>11.0</v>
      </c>
      <c r="P56" s="19">
        <v>19.0</v>
      </c>
      <c r="Q56" s="19">
        <v>12.0</v>
      </c>
      <c r="R56" s="19">
        <v>11.0</v>
      </c>
      <c r="S56" s="19">
        <v>9.0</v>
      </c>
      <c r="T56" s="19">
        <v>27.0</v>
      </c>
      <c r="U56" s="19">
        <v>34.0</v>
      </c>
      <c r="V56" s="19">
        <v>13.0</v>
      </c>
      <c r="W56" s="19">
        <v>21.0</v>
      </c>
      <c r="X56" s="19">
        <v>28.0</v>
      </c>
      <c r="Y56" s="19">
        <v>20.0</v>
      </c>
      <c r="Z56" s="13">
        <f t="shared" si="8"/>
        <v>380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1.0</v>
      </c>
      <c r="F57" s="19">
        <v>1.0</v>
      </c>
      <c r="G57" s="19">
        <v>2.0</v>
      </c>
      <c r="H57" s="19">
        <v>0.0</v>
      </c>
      <c r="I57" s="19">
        <v>3.0</v>
      </c>
      <c r="J57" s="19">
        <v>3.0</v>
      </c>
      <c r="K57" s="19">
        <v>5.0</v>
      </c>
      <c r="L57" s="19">
        <v>3.0</v>
      </c>
      <c r="M57" s="19">
        <v>2.0</v>
      </c>
      <c r="N57" s="19">
        <v>0.0</v>
      </c>
      <c r="O57" s="19">
        <v>4.0</v>
      </c>
      <c r="P57" s="19">
        <v>2.0</v>
      </c>
      <c r="Q57" s="19">
        <v>2.0</v>
      </c>
      <c r="R57" s="19">
        <v>1.0</v>
      </c>
      <c r="S57" s="19">
        <v>3.0</v>
      </c>
      <c r="T57" s="19">
        <v>1.0</v>
      </c>
      <c r="U57" s="19">
        <v>2.0</v>
      </c>
      <c r="V57" s="19">
        <v>3.0</v>
      </c>
      <c r="W57" s="19">
        <v>2.0</v>
      </c>
      <c r="X57" s="19">
        <v>2.0</v>
      </c>
      <c r="Y57" s="19">
        <v>1.0</v>
      </c>
      <c r="Z57" s="13">
        <f t="shared" si="8"/>
        <v>43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Y60" si="9">SUM(E45:E57)</f>
        <v>139</v>
      </c>
      <c r="F60" s="19">
        <f t="shared" si="9"/>
        <v>131</v>
      </c>
      <c r="G60" s="19">
        <f t="shared" si="9"/>
        <v>164</v>
      </c>
      <c r="H60" s="19">
        <f t="shared" si="9"/>
        <v>179</v>
      </c>
      <c r="I60" s="19">
        <f t="shared" si="9"/>
        <v>185</v>
      </c>
      <c r="J60" s="19">
        <f t="shared" si="9"/>
        <v>155</v>
      </c>
      <c r="K60" s="19">
        <f t="shared" si="9"/>
        <v>156</v>
      </c>
      <c r="L60" s="19">
        <f t="shared" si="9"/>
        <v>179</v>
      </c>
      <c r="M60" s="19">
        <f t="shared" si="9"/>
        <v>187</v>
      </c>
      <c r="N60" s="19">
        <f t="shared" si="9"/>
        <v>139</v>
      </c>
      <c r="O60" s="19">
        <f t="shared" si="9"/>
        <v>140</v>
      </c>
      <c r="P60" s="19">
        <f t="shared" si="9"/>
        <v>161</v>
      </c>
      <c r="Q60" s="19">
        <f t="shared" si="9"/>
        <v>171</v>
      </c>
      <c r="R60" s="19">
        <f t="shared" si="9"/>
        <v>157</v>
      </c>
      <c r="S60" s="19">
        <f t="shared" si="9"/>
        <v>141</v>
      </c>
      <c r="T60" s="19">
        <f t="shared" si="9"/>
        <v>158</v>
      </c>
      <c r="U60" s="19">
        <f t="shared" si="9"/>
        <v>191</v>
      </c>
      <c r="V60" s="19">
        <f t="shared" si="9"/>
        <v>174</v>
      </c>
      <c r="W60" s="19">
        <f t="shared" si="9"/>
        <v>164</v>
      </c>
      <c r="X60" s="19">
        <f t="shared" si="9"/>
        <v>191</v>
      </c>
      <c r="Y60" s="19">
        <f t="shared" si="9"/>
        <v>172</v>
      </c>
      <c r="Z60" s="13">
        <f t="shared" ref="Z60:Z62" si="10">SUM(E60:Y60)</f>
        <v>3434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61.0</v>
      </c>
      <c r="F61" s="19">
        <v>79.0</v>
      </c>
      <c r="G61" s="19">
        <v>70.0</v>
      </c>
      <c r="H61" s="19">
        <v>31.0</v>
      </c>
      <c r="I61" s="19">
        <v>35.0</v>
      </c>
      <c r="J61" s="19">
        <v>56.0</v>
      </c>
      <c r="K61" s="19">
        <v>71.0</v>
      </c>
      <c r="L61" s="19">
        <v>64.0</v>
      </c>
      <c r="M61" s="19">
        <v>48.0</v>
      </c>
      <c r="N61" s="19">
        <v>44.0</v>
      </c>
      <c r="O61" s="19">
        <v>36.0</v>
      </c>
      <c r="P61" s="19">
        <v>39.0</v>
      </c>
      <c r="Q61" s="19">
        <v>43.0</v>
      </c>
      <c r="R61" s="19">
        <v>31.0</v>
      </c>
      <c r="S61" s="19">
        <v>36.0</v>
      </c>
      <c r="T61" s="19">
        <v>53.0</v>
      </c>
      <c r="U61" s="19">
        <v>24.0</v>
      </c>
      <c r="V61" s="19">
        <v>38.0</v>
      </c>
      <c r="W61" s="19">
        <v>32.0</v>
      </c>
      <c r="X61" s="19">
        <v>42.0</v>
      </c>
      <c r="Y61" s="19">
        <v>26.0</v>
      </c>
      <c r="Z61" s="13">
        <f t="shared" si="10"/>
        <v>959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Y62" si="11">SUM(E60:E61)</f>
        <v>200</v>
      </c>
      <c r="F62" s="13">
        <f t="shared" si="11"/>
        <v>210</v>
      </c>
      <c r="G62" s="13">
        <f t="shared" si="11"/>
        <v>234</v>
      </c>
      <c r="H62" s="13">
        <f t="shared" si="11"/>
        <v>210</v>
      </c>
      <c r="I62" s="13">
        <f t="shared" si="11"/>
        <v>220</v>
      </c>
      <c r="J62" s="13">
        <f t="shared" si="11"/>
        <v>211</v>
      </c>
      <c r="K62" s="13">
        <f t="shared" si="11"/>
        <v>227</v>
      </c>
      <c r="L62" s="13">
        <f t="shared" si="11"/>
        <v>243</v>
      </c>
      <c r="M62" s="13">
        <f t="shared" si="11"/>
        <v>235</v>
      </c>
      <c r="N62" s="13">
        <f t="shared" si="11"/>
        <v>183</v>
      </c>
      <c r="O62" s="13">
        <f t="shared" si="11"/>
        <v>176</v>
      </c>
      <c r="P62" s="13">
        <f t="shared" si="11"/>
        <v>200</v>
      </c>
      <c r="Q62" s="13">
        <f t="shared" si="11"/>
        <v>214</v>
      </c>
      <c r="R62" s="13">
        <f t="shared" si="11"/>
        <v>188</v>
      </c>
      <c r="S62" s="13">
        <f t="shared" si="11"/>
        <v>177</v>
      </c>
      <c r="T62" s="13">
        <f t="shared" si="11"/>
        <v>211</v>
      </c>
      <c r="U62" s="13">
        <f t="shared" si="11"/>
        <v>215</v>
      </c>
      <c r="V62" s="13">
        <f t="shared" si="11"/>
        <v>212</v>
      </c>
      <c r="W62" s="13">
        <f t="shared" si="11"/>
        <v>196</v>
      </c>
      <c r="X62" s="13">
        <f t="shared" si="11"/>
        <v>233</v>
      </c>
      <c r="Y62" s="13">
        <f t="shared" si="11"/>
        <v>198</v>
      </c>
      <c r="Z62" s="13">
        <f t="shared" si="10"/>
        <v>4393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Y12"/>
    <mergeCell ref="Z12: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Y15 E45:Y57">
    <cfRule type="containsBlanks" dxfId="1" priority="2">
      <formula>LEN(TRIM(E14))=0</formula>
    </cfRule>
  </conditionalFormatting>
  <conditionalFormatting sqref="E19:Y20">
    <cfRule type="containsBlanks" dxfId="1" priority="3">
      <formula>LEN(TRIM(E19))=0</formula>
    </cfRule>
  </conditionalFormatting>
  <conditionalFormatting sqref="E22:Y23 E25:Y26 E33:Y33 E35:Y35 E39:Y40">
    <cfRule type="containsBlanks" dxfId="1" priority="4">
      <formula>LEN(TRIM(E22))=0</formula>
    </cfRule>
  </conditionalFormatting>
  <conditionalFormatting sqref="E30:Y30">
    <cfRule type="expression" dxfId="0" priority="5">
      <formula>E30&lt;&gt;E46</formula>
    </cfRule>
  </conditionalFormatting>
  <conditionalFormatting sqref="E30:Y30">
    <cfRule type="expression" dxfId="0" priority="6">
      <formula>E30&lt;&gt;E34</formula>
    </cfRule>
  </conditionalFormatting>
  <conditionalFormatting sqref="E34:Y34">
    <cfRule type="expression" dxfId="2" priority="7">
      <formula>E30&lt;&gt;E34</formula>
    </cfRule>
  </conditionalFormatting>
  <conditionalFormatting sqref="E34:Y34">
    <cfRule type="expression" dxfId="3" priority="8">
      <formula>E30=E34</formula>
    </cfRule>
  </conditionalFormatting>
  <conditionalFormatting sqref="E34:Y34">
    <cfRule type="expression" dxfId="0" priority="9">
      <formula>E34&lt;&gt;E30</formula>
    </cfRule>
  </conditionalFormatting>
  <conditionalFormatting sqref="E60:Y61">
    <cfRule type="containsBlanks" dxfId="1" priority="10">
      <formula>LEN(TRIM(E60))=0</formula>
    </cfRule>
  </conditionalFormatting>
  <conditionalFormatting sqref="U34:Y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7" width="8.71"/>
    <col customWidth="1" min="18" max="18" width="13.29"/>
    <col customWidth="1" min="19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95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96</v>
      </c>
      <c r="Q13" s="13" t="s">
        <v>97</v>
      </c>
      <c r="R13" s="36"/>
    </row>
    <row r="14" ht="12.75" customHeight="1">
      <c r="A14" s="18"/>
      <c r="B14" s="22" t="s">
        <v>11</v>
      </c>
      <c r="C14" s="23"/>
      <c r="D14" s="19" t="s">
        <v>12</v>
      </c>
      <c r="E14" s="63">
        <v>116.0</v>
      </c>
      <c r="F14" s="63">
        <v>123.0</v>
      </c>
      <c r="G14" s="63">
        <v>135.0</v>
      </c>
      <c r="H14" s="63">
        <v>136.0</v>
      </c>
      <c r="I14" s="63">
        <v>146.0</v>
      </c>
      <c r="J14" s="63">
        <v>140.0</v>
      </c>
      <c r="K14" s="63">
        <v>127.0</v>
      </c>
      <c r="L14" s="63">
        <v>122.0</v>
      </c>
      <c r="M14" s="63">
        <v>134.0</v>
      </c>
      <c r="N14" s="63">
        <v>143.0</v>
      </c>
      <c r="O14" s="63">
        <v>140.0</v>
      </c>
      <c r="P14" s="63">
        <v>267.0</v>
      </c>
      <c r="Q14" s="63">
        <v>223.0</v>
      </c>
      <c r="R14" s="13">
        <f t="shared" ref="R14:R16" si="1">SUM(E14:Q14)</f>
        <v>1952</v>
      </c>
    </row>
    <row r="15" ht="12.75" customHeight="1">
      <c r="A15" s="18"/>
      <c r="B15" s="26"/>
      <c r="C15" s="27"/>
      <c r="D15" s="19" t="s">
        <v>13</v>
      </c>
      <c r="E15" s="63">
        <v>119.0</v>
      </c>
      <c r="F15" s="63">
        <v>131.0</v>
      </c>
      <c r="G15" s="63">
        <v>117.0</v>
      </c>
      <c r="H15" s="63">
        <v>138.0</v>
      </c>
      <c r="I15" s="63">
        <v>149.0</v>
      </c>
      <c r="J15" s="63">
        <v>135.0</v>
      </c>
      <c r="K15" s="63">
        <v>123.0</v>
      </c>
      <c r="L15" s="63">
        <v>140.0</v>
      </c>
      <c r="M15" s="63">
        <v>148.0</v>
      </c>
      <c r="N15" s="63">
        <v>139.0</v>
      </c>
      <c r="O15" s="63">
        <v>137.0</v>
      </c>
      <c r="P15" s="63">
        <v>0.0</v>
      </c>
      <c r="Q15" s="63">
        <v>0.0</v>
      </c>
      <c r="R15" s="13">
        <f t="shared" si="1"/>
        <v>1476</v>
      </c>
    </row>
    <row r="16" ht="12.75" customHeight="1">
      <c r="A16" s="25"/>
      <c r="B16" s="21"/>
      <c r="C16" s="28"/>
      <c r="D16" s="13" t="s">
        <v>14</v>
      </c>
      <c r="E16" s="64">
        <f t="shared" ref="E16:Q16" si="2">SUM(E14:E15)</f>
        <v>235</v>
      </c>
      <c r="F16" s="64">
        <f t="shared" si="2"/>
        <v>254</v>
      </c>
      <c r="G16" s="64">
        <f t="shared" si="2"/>
        <v>252</v>
      </c>
      <c r="H16" s="64">
        <f t="shared" si="2"/>
        <v>274</v>
      </c>
      <c r="I16" s="64">
        <f t="shared" si="2"/>
        <v>295</v>
      </c>
      <c r="J16" s="64">
        <f t="shared" si="2"/>
        <v>275</v>
      </c>
      <c r="K16" s="64">
        <f t="shared" si="2"/>
        <v>250</v>
      </c>
      <c r="L16" s="64">
        <f t="shared" si="2"/>
        <v>262</v>
      </c>
      <c r="M16" s="64">
        <f t="shared" si="2"/>
        <v>282</v>
      </c>
      <c r="N16" s="64">
        <f t="shared" si="2"/>
        <v>282</v>
      </c>
      <c r="O16" s="64">
        <f t="shared" si="2"/>
        <v>277</v>
      </c>
      <c r="P16" s="64">
        <f t="shared" si="2"/>
        <v>267</v>
      </c>
      <c r="Q16" s="64">
        <f t="shared" si="2"/>
        <v>223</v>
      </c>
      <c r="R16" s="13">
        <f t="shared" si="1"/>
        <v>3428</v>
      </c>
    </row>
    <row r="17" ht="12.75" customHeight="1">
      <c r="A17" s="24"/>
      <c r="B17" s="15"/>
      <c r="C17" s="15"/>
      <c r="D17" s="16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59"/>
    </row>
    <row r="18" ht="12.75" customHeight="1">
      <c r="A18" s="30" t="s">
        <v>15</v>
      </c>
      <c r="B18" s="20" t="s">
        <v>16</v>
      </c>
      <c r="C18" s="15"/>
      <c r="D18" s="16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3">
        <v>83.0</v>
      </c>
      <c r="F19" s="63">
        <v>81.0</v>
      </c>
      <c r="G19" s="63">
        <v>95.0</v>
      </c>
      <c r="H19" s="63">
        <v>103.0</v>
      </c>
      <c r="I19" s="63">
        <v>116.0</v>
      </c>
      <c r="J19" s="63">
        <v>101.0</v>
      </c>
      <c r="K19" s="63">
        <v>85.0</v>
      </c>
      <c r="L19" s="63">
        <v>89.0</v>
      </c>
      <c r="M19" s="63">
        <v>97.0</v>
      </c>
      <c r="N19" s="63">
        <v>113.0</v>
      </c>
      <c r="O19" s="63">
        <v>104.0</v>
      </c>
      <c r="P19" s="63">
        <v>125.0</v>
      </c>
      <c r="Q19" s="63">
        <v>97.0</v>
      </c>
      <c r="R19" s="13">
        <f t="shared" ref="R19:R30" si="3">SUM(E19:Q19)</f>
        <v>1289</v>
      </c>
    </row>
    <row r="20" ht="12.75" customHeight="1">
      <c r="A20" s="33"/>
      <c r="B20" s="27"/>
      <c r="C20" s="34"/>
      <c r="D20" s="19" t="s">
        <v>13</v>
      </c>
      <c r="E20" s="63">
        <v>91.0</v>
      </c>
      <c r="F20" s="63">
        <v>108.0</v>
      </c>
      <c r="G20" s="63">
        <v>95.0</v>
      </c>
      <c r="H20" s="63">
        <v>115.0</v>
      </c>
      <c r="I20" s="63">
        <v>128.0</v>
      </c>
      <c r="J20" s="63">
        <v>114.0</v>
      </c>
      <c r="K20" s="63">
        <v>100.0</v>
      </c>
      <c r="L20" s="63">
        <v>115.0</v>
      </c>
      <c r="M20" s="63">
        <v>128.0</v>
      </c>
      <c r="N20" s="63">
        <v>104.0</v>
      </c>
      <c r="O20" s="63">
        <v>105.0</v>
      </c>
      <c r="P20" s="63">
        <v>0.0</v>
      </c>
      <c r="Q20" s="63">
        <v>0.0</v>
      </c>
      <c r="R20" s="13">
        <f t="shared" si="3"/>
        <v>1203</v>
      </c>
    </row>
    <row r="21" ht="12.75" customHeight="1">
      <c r="A21" s="35"/>
      <c r="B21" s="28"/>
      <c r="C21" s="36"/>
      <c r="D21" s="13" t="s">
        <v>14</v>
      </c>
      <c r="E21" s="64">
        <f t="shared" ref="E21:Q21" si="4">SUM(E19:E20)</f>
        <v>174</v>
      </c>
      <c r="F21" s="64">
        <f t="shared" si="4"/>
        <v>189</v>
      </c>
      <c r="G21" s="64">
        <f t="shared" si="4"/>
        <v>190</v>
      </c>
      <c r="H21" s="64">
        <f t="shared" si="4"/>
        <v>218</v>
      </c>
      <c r="I21" s="64">
        <f t="shared" si="4"/>
        <v>244</v>
      </c>
      <c r="J21" s="64">
        <f t="shared" si="4"/>
        <v>215</v>
      </c>
      <c r="K21" s="64">
        <f t="shared" si="4"/>
        <v>185</v>
      </c>
      <c r="L21" s="64">
        <f t="shared" si="4"/>
        <v>204</v>
      </c>
      <c r="M21" s="64">
        <f t="shared" si="4"/>
        <v>225</v>
      </c>
      <c r="N21" s="64">
        <f t="shared" si="4"/>
        <v>217</v>
      </c>
      <c r="O21" s="64">
        <f t="shared" si="4"/>
        <v>209</v>
      </c>
      <c r="P21" s="64">
        <f t="shared" si="4"/>
        <v>125</v>
      </c>
      <c r="Q21" s="64">
        <f t="shared" si="4"/>
        <v>97</v>
      </c>
      <c r="R21" s="13">
        <f t="shared" si="3"/>
        <v>2492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4.0</v>
      </c>
      <c r="F22" s="19">
        <v>5.0</v>
      </c>
      <c r="G22" s="19">
        <v>1.0</v>
      </c>
      <c r="H22" s="19">
        <v>2.0</v>
      </c>
      <c r="I22" s="19">
        <v>1.0</v>
      </c>
      <c r="J22" s="19">
        <v>1.0</v>
      </c>
      <c r="K22" s="19">
        <v>0.0</v>
      </c>
      <c r="L22" s="19">
        <v>1.0</v>
      </c>
      <c r="M22" s="19">
        <v>4.0</v>
      </c>
      <c r="N22" s="19">
        <v>1.0</v>
      </c>
      <c r="O22" s="19">
        <v>0.0</v>
      </c>
      <c r="P22" s="19">
        <v>9.0</v>
      </c>
      <c r="Q22" s="19">
        <v>32.0</v>
      </c>
      <c r="R22" s="13">
        <f t="shared" si="3"/>
        <v>61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1.0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Q24" si="5">SUM(E22:E23)</f>
        <v>4</v>
      </c>
      <c r="F24" s="13">
        <f t="shared" si="5"/>
        <v>5</v>
      </c>
      <c r="G24" s="13">
        <f t="shared" si="5"/>
        <v>1</v>
      </c>
      <c r="H24" s="13">
        <f t="shared" si="5"/>
        <v>2</v>
      </c>
      <c r="I24" s="13">
        <f t="shared" si="5"/>
        <v>1</v>
      </c>
      <c r="J24" s="13">
        <f t="shared" si="5"/>
        <v>1</v>
      </c>
      <c r="K24" s="13">
        <f t="shared" si="5"/>
        <v>0</v>
      </c>
      <c r="L24" s="13">
        <f t="shared" si="5"/>
        <v>2</v>
      </c>
      <c r="M24" s="13">
        <f t="shared" si="5"/>
        <v>4</v>
      </c>
      <c r="N24" s="13">
        <f t="shared" si="5"/>
        <v>1</v>
      </c>
      <c r="O24" s="13">
        <f t="shared" si="5"/>
        <v>0</v>
      </c>
      <c r="P24" s="13">
        <f t="shared" si="5"/>
        <v>9</v>
      </c>
      <c r="Q24" s="13">
        <f t="shared" si="5"/>
        <v>32</v>
      </c>
      <c r="R24" s="13">
        <f t="shared" si="3"/>
        <v>62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1.0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1.0</v>
      </c>
      <c r="P25" s="19">
        <v>0.0</v>
      </c>
      <c r="Q25" s="19">
        <v>0.0</v>
      </c>
      <c r="R25" s="13">
        <f t="shared" si="3"/>
        <v>2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3.0</v>
      </c>
      <c r="H26" s="19">
        <v>0.0</v>
      </c>
      <c r="I26" s="19">
        <v>0.0</v>
      </c>
      <c r="J26" s="19">
        <v>0.0</v>
      </c>
      <c r="K26" s="19">
        <v>0.0</v>
      </c>
      <c r="L26" s="19">
        <v>2.0</v>
      </c>
      <c r="M26" s="19">
        <v>0.0</v>
      </c>
      <c r="N26" s="19">
        <v>0.0</v>
      </c>
      <c r="O26" s="19">
        <v>2.0</v>
      </c>
      <c r="P26" s="19">
        <v>0.0</v>
      </c>
      <c r="Q26" s="19">
        <v>0.0</v>
      </c>
      <c r="R26" s="13">
        <f t="shared" si="3"/>
        <v>8</v>
      </c>
    </row>
    <row r="27" ht="12.75" customHeight="1">
      <c r="A27" s="35"/>
      <c r="B27" s="28"/>
      <c r="C27" s="36"/>
      <c r="D27" s="13" t="s">
        <v>14</v>
      </c>
      <c r="E27" s="13">
        <f t="shared" ref="E27:Q27" si="6">SUM(E25:E26)</f>
        <v>1</v>
      </c>
      <c r="F27" s="13">
        <f t="shared" si="6"/>
        <v>0</v>
      </c>
      <c r="G27" s="13">
        <f t="shared" si="6"/>
        <v>4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2</v>
      </c>
      <c r="M27" s="13">
        <f t="shared" si="6"/>
        <v>0</v>
      </c>
      <c r="N27" s="13">
        <f t="shared" si="6"/>
        <v>0</v>
      </c>
      <c r="O27" s="13">
        <f t="shared" si="6"/>
        <v>3</v>
      </c>
      <c r="P27" s="13">
        <f t="shared" si="6"/>
        <v>0</v>
      </c>
      <c r="Q27" s="13">
        <f t="shared" si="6"/>
        <v>0</v>
      </c>
      <c r="R27" s="13">
        <f t="shared" si="3"/>
        <v>10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Q28" si="7">SUM(E19,E22,E25)</f>
        <v>87</v>
      </c>
      <c r="F28" s="13">
        <f t="shared" si="7"/>
        <v>86</v>
      </c>
      <c r="G28" s="13">
        <f t="shared" si="7"/>
        <v>97</v>
      </c>
      <c r="H28" s="13">
        <f t="shared" si="7"/>
        <v>105</v>
      </c>
      <c r="I28" s="13">
        <f t="shared" si="7"/>
        <v>117</v>
      </c>
      <c r="J28" s="13">
        <f t="shared" si="7"/>
        <v>102</v>
      </c>
      <c r="K28" s="13">
        <f t="shared" si="7"/>
        <v>85</v>
      </c>
      <c r="L28" s="13">
        <f t="shared" si="7"/>
        <v>90</v>
      </c>
      <c r="M28" s="13">
        <f t="shared" si="7"/>
        <v>101</v>
      </c>
      <c r="N28" s="13">
        <f t="shared" si="7"/>
        <v>114</v>
      </c>
      <c r="O28" s="13">
        <f t="shared" si="7"/>
        <v>105</v>
      </c>
      <c r="P28" s="13">
        <f t="shared" si="7"/>
        <v>134</v>
      </c>
      <c r="Q28" s="13">
        <f t="shared" si="7"/>
        <v>129</v>
      </c>
      <c r="R28" s="13">
        <f t="shared" si="3"/>
        <v>1352</v>
      </c>
    </row>
    <row r="29" ht="12.75" customHeight="1">
      <c r="A29" s="35"/>
      <c r="B29" s="27"/>
      <c r="C29" s="34"/>
      <c r="D29" s="13" t="s">
        <v>13</v>
      </c>
      <c r="E29" s="13">
        <f t="shared" ref="E29:Q29" si="8">SUM(E20,E23,E26)</f>
        <v>92</v>
      </c>
      <c r="F29" s="13">
        <f t="shared" si="8"/>
        <v>108</v>
      </c>
      <c r="G29" s="13">
        <f t="shared" si="8"/>
        <v>98</v>
      </c>
      <c r="H29" s="13">
        <f t="shared" si="8"/>
        <v>115</v>
      </c>
      <c r="I29" s="13">
        <f t="shared" si="8"/>
        <v>128</v>
      </c>
      <c r="J29" s="13">
        <f t="shared" si="8"/>
        <v>114</v>
      </c>
      <c r="K29" s="13">
        <f t="shared" si="8"/>
        <v>100</v>
      </c>
      <c r="L29" s="13">
        <f t="shared" si="8"/>
        <v>118</v>
      </c>
      <c r="M29" s="13">
        <f t="shared" si="8"/>
        <v>128</v>
      </c>
      <c r="N29" s="13">
        <f t="shared" si="8"/>
        <v>104</v>
      </c>
      <c r="O29" s="13">
        <f t="shared" si="8"/>
        <v>107</v>
      </c>
      <c r="P29" s="13">
        <f t="shared" si="8"/>
        <v>0</v>
      </c>
      <c r="Q29" s="13">
        <f t="shared" si="8"/>
        <v>0</v>
      </c>
      <c r="R29" s="13">
        <f t="shared" si="3"/>
        <v>1212</v>
      </c>
    </row>
    <row r="30" ht="12.75" customHeight="1">
      <c r="A30" s="35"/>
      <c r="B30" s="28"/>
      <c r="C30" s="36"/>
      <c r="D30" s="13" t="s">
        <v>14</v>
      </c>
      <c r="E30" s="13">
        <f t="shared" ref="E30:Q30" si="9">SUM(E28:E29)</f>
        <v>179</v>
      </c>
      <c r="F30" s="13">
        <f t="shared" si="9"/>
        <v>194</v>
      </c>
      <c r="G30" s="13">
        <f t="shared" si="9"/>
        <v>195</v>
      </c>
      <c r="H30" s="13">
        <f t="shared" si="9"/>
        <v>220</v>
      </c>
      <c r="I30" s="13">
        <f t="shared" si="9"/>
        <v>245</v>
      </c>
      <c r="J30" s="13">
        <f t="shared" si="9"/>
        <v>216</v>
      </c>
      <c r="K30" s="13">
        <f t="shared" si="9"/>
        <v>185</v>
      </c>
      <c r="L30" s="13">
        <f t="shared" si="9"/>
        <v>208</v>
      </c>
      <c r="M30" s="13">
        <f t="shared" si="9"/>
        <v>229</v>
      </c>
      <c r="N30" s="13">
        <f t="shared" si="9"/>
        <v>218</v>
      </c>
      <c r="O30" s="13">
        <f t="shared" si="9"/>
        <v>212</v>
      </c>
      <c r="P30" s="13">
        <f t="shared" si="9"/>
        <v>134</v>
      </c>
      <c r="Q30" s="13">
        <f t="shared" si="9"/>
        <v>129</v>
      </c>
      <c r="R30" s="13">
        <f t="shared" si="3"/>
        <v>2564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59"/>
    </row>
    <row r="33" ht="12.75" customHeight="1">
      <c r="A33" s="19">
        <v>1.0</v>
      </c>
      <c r="B33" s="20" t="s">
        <v>27</v>
      </c>
      <c r="C33" s="15"/>
      <c r="D33" s="16"/>
      <c r="E33" s="19">
        <v>240.0</v>
      </c>
      <c r="F33" s="19">
        <v>260.0</v>
      </c>
      <c r="G33" s="19">
        <v>259.0</v>
      </c>
      <c r="H33" s="19">
        <v>290.0</v>
      </c>
      <c r="I33" s="19">
        <v>311.0</v>
      </c>
      <c r="J33" s="19">
        <v>283.0</v>
      </c>
      <c r="K33" s="19">
        <v>255.0</v>
      </c>
      <c r="L33" s="19">
        <v>269.0</v>
      </c>
      <c r="M33" s="19">
        <v>288.0</v>
      </c>
      <c r="N33" s="19">
        <v>288.0</v>
      </c>
      <c r="O33" s="19">
        <v>283.0</v>
      </c>
      <c r="P33" s="19">
        <v>273.0</v>
      </c>
      <c r="Q33" s="19">
        <v>229.0</v>
      </c>
      <c r="R33" s="13">
        <f t="shared" ref="R33:R36" si="10">SUM(E33:Q33)</f>
        <v>3528</v>
      </c>
    </row>
    <row r="34" ht="12.75" customHeight="1">
      <c r="A34" s="19">
        <v>2.0</v>
      </c>
      <c r="B34" s="20" t="s">
        <v>28</v>
      </c>
      <c r="C34" s="15"/>
      <c r="D34" s="16"/>
      <c r="E34" s="13">
        <v>179.0</v>
      </c>
      <c r="F34" s="13">
        <v>194.0</v>
      </c>
      <c r="G34" s="13">
        <v>195.0</v>
      </c>
      <c r="H34" s="13">
        <v>220.0</v>
      </c>
      <c r="I34" s="13">
        <v>245.0</v>
      </c>
      <c r="J34" s="13">
        <v>216.0</v>
      </c>
      <c r="K34" s="13">
        <v>185.0</v>
      </c>
      <c r="L34" s="13">
        <v>208.0</v>
      </c>
      <c r="M34" s="13">
        <v>229.0</v>
      </c>
      <c r="N34" s="13">
        <v>218.0</v>
      </c>
      <c r="O34" s="13">
        <v>212.0</v>
      </c>
      <c r="P34" s="13">
        <v>134.0</v>
      </c>
      <c r="Q34" s="13">
        <v>129.0</v>
      </c>
      <c r="R34" s="13">
        <f t="shared" si="10"/>
        <v>2564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0.0</v>
      </c>
      <c r="N35" s="19">
        <v>2.0</v>
      </c>
      <c r="O35" s="19">
        <v>1.0</v>
      </c>
      <c r="P35" s="19">
        <v>0.0</v>
      </c>
      <c r="Q35" s="19">
        <v>0.0</v>
      </c>
      <c r="R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Q36" si="11">E33-(E34+E35)</f>
        <v>61</v>
      </c>
      <c r="F36" s="13">
        <f t="shared" si="11"/>
        <v>66</v>
      </c>
      <c r="G36" s="13">
        <f t="shared" si="11"/>
        <v>64</v>
      </c>
      <c r="H36" s="13">
        <f t="shared" si="11"/>
        <v>70</v>
      </c>
      <c r="I36" s="13">
        <f t="shared" si="11"/>
        <v>66</v>
      </c>
      <c r="J36" s="13">
        <f t="shared" si="11"/>
        <v>66</v>
      </c>
      <c r="K36" s="13">
        <f t="shared" si="11"/>
        <v>70</v>
      </c>
      <c r="L36" s="13">
        <f t="shared" si="11"/>
        <v>61</v>
      </c>
      <c r="M36" s="13">
        <f t="shared" si="11"/>
        <v>59</v>
      </c>
      <c r="N36" s="13">
        <f t="shared" si="11"/>
        <v>68</v>
      </c>
      <c r="O36" s="13">
        <f t="shared" si="11"/>
        <v>70</v>
      </c>
      <c r="P36" s="13">
        <f t="shared" si="11"/>
        <v>139</v>
      </c>
      <c r="Q36" s="13">
        <f t="shared" si="11"/>
        <v>100</v>
      </c>
      <c r="R36" s="13">
        <f t="shared" si="10"/>
        <v>960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3.0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3">
        <f t="shared" ref="R39:R41" si="12">SUM(E39:Q39)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1.0</v>
      </c>
      <c r="P40" s="19">
        <v>0.0</v>
      </c>
      <c r="Q40" s="19">
        <v>0.0</v>
      </c>
      <c r="R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Q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3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3"/>
    </row>
    <row r="45" ht="12.75" customHeight="1">
      <c r="A45" s="30"/>
      <c r="B45" s="47" t="s">
        <v>17</v>
      </c>
      <c r="C45" s="62" t="s">
        <v>38</v>
      </c>
      <c r="D45" s="16"/>
      <c r="E45" s="19">
        <v>17.0</v>
      </c>
      <c r="F45" s="19">
        <v>11.0</v>
      </c>
      <c r="G45" s="19">
        <v>11.0</v>
      </c>
      <c r="H45" s="19">
        <v>10.0</v>
      </c>
      <c r="I45" s="19">
        <v>23.0</v>
      </c>
      <c r="J45" s="19">
        <v>11.0</v>
      </c>
      <c r="K45" s="19">
        <v>21.0</v>
      </c>
      <c r="L45" s="19">
        <v>6.0</v>
      </c>
      <c r="M45" s="19">
        <v>14.0</v>
      </c>
      <c r="N45" s="19">
        <v>15.0</v>
      </c>
      <c r="O45" s="19">
        <v>12.0</v>
      </c>
      <c r="P45" s="19">
        <v>3.0</v>
      </c>
      <c r="Q45" s="19">
        <v>6.0</v>
      </c>
      <c r="R45" s="13">
        <f t="shared" ref="R45:R57" si="14">SUM(E45:Q45)</f>
        <v>160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28.0</v>
      </c>
      <c r="F46" s="19">
        <v>25.0</v>
      </c>
      <c r="G46" s="19">
        <v>19.0</v>
      </c>
      <c r="H46" s="19">
        <v>20.0</v>
      </c>
      <c r="I46" s="19">
        <v>30.0</v>
      </c>
      <c r="J46" s="19">
        <v>23.0</v>
      </c>
      <c r="K46" s="19">
        <v>27.0</v>
      </c>
      <c r="L46" s="19">
        <v>35.0</v>
      </c>
      <c r="M46" s="19">
        <v>34.0</v>
      </c>
      <c r="N46" s="19">
        <v>35.0</v>
      </c>
      <c r="O46" s="19">
        <v>36.0</v>
      </c>
      <c r="P46" s="19">
        <v>1.0</v>
      </c>
      <c r="Q46" s="19">
        <v>6.0</v>
      </c>
      <c r="R46" s="13">
        <f t="shared" si="14"/>
        <v>319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10.0</v>
      </c>
      <c r="F47" s="19">
        <v>12.0</v>
      </c>
      <c r="G47" s="19">
        <v>10.0</v>
      </c>
      <c r="H47" s="19">
        <v>14.0</v>
      </c>
      <c r="I47" s="19">
        <v>15.0</v>
      </c>
      <c r="J47" s="19">
        <v>17.0</v>
      </c>
      <c r="K47" s="19">
        <v>6.0</v>
      </c>
      <c r="L47" s="19">
        <v>9.0</v>
      </c>
      <c r="M47" s="19">
        <v>13.0</v>
      </c>
      <c r="N47" s="19">
        <v>16.0</v>
      </c>
      <c r="O47" s="19">
        <v>13.0</v>
      </c>
      <c r="P47" s="19">
        <v>4.0</v>
      </c>
      <c r="Q47" s="19">
        <v>7.0</v>
      </c>
      <c r="R47" s="13">
        <f t="shared" si="14"/>
        <v>146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17.0</v>
      </c>
      <c r="F48" s="19">
        <v>32.0</v>
      </c>
      <c r="G48" s="19">
        <v>22.0</v>
      </c>
      <c r="H48" s="19">
        <v>30.0</v>
      </c>
      <c r="I48" s="19">
        <v>38.0</v>
      </c>
      <c r="J48" s="19">
        <v>28.0</v>
      </c>
      <c r="K48" s="19">
        <v>28.0</v>
      </c>
      <c r="L48" s="19">
        <v>17.0</v>
      </c>
      <c r="M48" s="19">
        <v>32.0</v>
      </c>
      <c r="N48" s="19">
        <v>29.0</v>
      </c>
      <c r="O48" s="19">
        <v>26.0</v>
      </c>
      <c r="P48" s="19">
        <v>0.0</v>
      </c>
      <c r="Q48" s="19">
        <v>0.0</v>
      </c>
      <c r="R48" s="13">
        <f t="shared" si="14"/>
        <v>299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9.0</v>
      </c>
      <c r="F49" s="19">
        <v>16.0</v>
      </c>
      <c r="G49" s="19">
        <v>20.0</v>
      </c>
      <c r="H49" s="19">
        <v>11.0</v>
      </c>
      <c r="I49" s="19">
        <v>10.0</v>
      </c>
      <c r="J49" s="19">
        <v>14.0</v>
      </c>
      <c r="K49" s="19">
        <v>12.0</v>
      </c>
      <c r="L49" s="19">
        <v>16.0</v>
      </c>
      <c r="M49" s="19">
        <v>12.0</v>
      </c>
      <c r="N49" s="19">
        <v>16.0</v>
      </c>
      <c r="O49" s="19">
        <v>14.0</v>
      </c>
      <c r="P49" s="19">
        <v>8.0</v>
      </c>
      <c r="Q49" s="19">
        <v>17.0</v>
      </c>
      <c r="R49" s="13">
        <f t="shared" si="14"/>
        <v>175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11.0</v>
      </c>
      <c r="F50" s="19">
        <v>9.0</v>
      </c>
      <c r="G50" s="19">
        <v>12.0</v>
      </c>
      <c r="H50" s="19">
        <v>18.0</v>
      </c>
      <c r="I50" s="19">
        <v>11.0</v>
      </c>
      <c r="J50" s="19">
        <v>22.0</v>
      </c>
      <c r="K50" s="19">
        <v>12.0</v>
      </c>
      <c r="L50" s="19">
        <v>11.0</v>
      </c>
      <c r="M50" s="19">
        <v>13.0</v>
      </c>
      <c r="N50" s="19">
        <v>10.0</v>
      </c>
      <c r="O50" s="19">
        <v>13.0</v>
      </c>
      <c r="P50" s="19">
        <v>3.0</v>
      </c>
      <c r="Q50" s="19">
        <v>20.0</v>
      </c>
      <c r="R50" s="13">
        <f t="shared" si="14"/>
        <v>165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0.0</v>
      </c>
      <c r="F51" s="19">
        <v>2.0</v>
      </c>
      <c r="G51" s="19">
        <v>0.0</v>
      </c>
      <c r="H51" s="19">
        <v>0.0</v>
      </c>
      <c r="I51" s="19">
        <v>5.0</v>
      </c>
      <c r="J51" s="19">
        <v>3.0</v>
      </c>
      <c r="K51" s="19">
        <v>4.0</v>
      </c>
      <c r="L51" s="19">
        <v>0.0</v>
      </c>
      <c r="M51" s="19">
        <v>1.0</v>
      </c>
      <c r="N51" s="19">
        <v>2.0</v>
      </c>
      <c r="O51" s="19">
        <v>2.0</v>
      </c>
      <c r="P51" s="19">
        <v>0.0</v>
      </c>
      <c r="Q51" s="19">
        <v>0.0</v>
      </c>
      <c r="R51" s="13">
        <f t="shared" si="14"/>
        <v>19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3.0</v>
      </c>
      <c r="F52" s="19">
        <v>5.0</v>
      </c>
      <c r="G52" s="19">
        <v>2.0</v>
      </c>
      <c r="H52" s="19">
        <v>7.0</v>
      </c>
      <c r="I52" s="19">
        <v>1.0</v>
      </c>
      <c r="J52" s="19">
        <v>1.0</v>
      </c>
      <c r="K52" s="19">
        <v>4.0</v>
      </c>
      <c r="L52" s="19">
        <v>3.0</v>
      </c>
      <c r="M52" s="19">
        <v>3.0</v>
      </c>
      <c r="N52" s="19">
        <v>4.0</v>
      </c>
      <c r="O52" s="19">
        <v>3.0</v>
      </c>
      <c r="P52" s="19">
        <v>0.0</v>
      </c>
      <c r="Q52" s="19">
        <v>2.0</v>
      </c>
      <c r="R52" s="13">
        <f t="shared" si="14"/>
        <v>38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0.0</v>
      </c>
      <c r="F53" s="19">
        <v>1.0</v>
      </c>
      <c r="G53" s="19">
        <v>0.0</v>
      </c>
      <c r="H53" s="19">
        <v>2.0</v>
      </c>
      <c r="I53" s="19">
        <v>0.0</v>
      </c>
      <c r="J53" s="19">
        <v>0.0</v>
      </c>
      <c r="K53" s="19">
        <v>1.0</v>
      </c>
      <c r="L53" s="19">
        <v>4.0</v>
      </c>
      <c r="M53" s="19">
        <v>1.0</v>
      </c>
      <c r="N53" s="19">
        <v>0.0</v>
      </c>
      <c r="O53" s="19">
        <v>0.0</v>
      </c>
      <c r="P53" s="19">
        <v>0.0</v>
      </c>
      <c r="Q53" s="19">
        <v>1.0</v>
      </c>
      <c r="R53" s="13">
        <f t="shared" si="14"/>
        <v>10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12.0</v>
      </c>
      <c r="F54" s="19">
        <v>17.0</v>
      </c>
      <c r="G54" s="19">
        <v>15.0</v>
      </c>
      <c r="H54" s="19">
        <v>16.0</v>
      </c>
      <c r="I54" s="19">
        <v>15.0</v>
      </c>
      <c r="J54" s="19">
        <v>21.0</v>
      </c>
      <c r="K54" s="19">
        <v>10.0</v>
      </c>
      <c r="L54" s="19">
        <v>19.0</v>
      </c>
      <c r="M54" s="19">
        <v>23.0</v>
      </c>
      <c r="N54" s="19">
        <v>22.0</v>
      </c>
      <c r="O54" s="19">
        <v>15.0</v>
      </c>
      <c r="P54" s="19">
        <v>6.0</v>
      </c>
      <c r="Q54" s="19">
        <v>13.0</v>
      </c>
      <c r="R54" s="13">
        <f t="shared" si="14"/>
        <v>204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0.0</v>
      </c>
      <c r="F55" s="19">
        <v>1.0</v>
      </c>
      <c r="G55" s="19">
        <v>0.0</v>
      </c>
      <c r="H55" s="19">
        <v>2.0</v>
      </c>
      <c r="I55" s="19">
        <v>0.0</v>
      </c>
      <c r="J55" s="19">
        <v>1.0</v>
      </c>
      <c r="K55" s="19">
        <v>0.0</v>
      </c>
      <c r="L55" s="19">
        <v>0.0</v>
      </c>
      <c r="M55" s="19">
        <v>1.0</v>
      </c>
      <c r="N55" s="19">
        <v>2.0</v>
      </c>
      <c r="O55" s="19">
        <v>2.0</v>
      </c>
      <c r="P55" s="19">
        <v>1.0</v>
      </c>
      <c r="Q55" s="19">
        <v>0.0</v>
      </c>
      <c r="R55" s="13">
        <f t="shared" si="14"/>
        <v>10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27.0</v>
      </c>
      <c r="F56" s="19">
        <v>22.0</v>
      </c>
      <c r="G56" s="19">
        <v>17.0</v>
      </c>
      <c r="H56" s="19">
        <v>11.0</v>
      </c>
      <c r="I56" s="19">
        <v>40.0</v>
      </c>
      <c r="J56" s="19">
        <v>32.0</v>
      </c>
      <c r="K56" s="19">
        <v>19.0</v>
      </c>
      <c r="L56" s="19">
        <v>20.0</v>
      </c>
      <c r="M56" s="19">
        <v>14.0</v>
      </c>
      <c r="N56" s="19">
        <v>25.0</v>
      </c>
      <c r="O56" s="19">
        <v>30.0</v>
      </c>
      <c r="P56" s="19">
        <v>1.0</v>
      </c>
      <c r="Q56" s="19">
        <v>5.0</v>
      </c>
      <c r="R56" s="13">
        <f t="shared" si="14"/>
        <v>263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1.0</v>
      </c>
      <c r="F57" s="19">
        <v>3.0</v>
      </c>
      <c r="G57" s="19">
        <v>0.0</v>
      </c>
      <c r="H57" s="19">
        <v>1.0</v>
      </c>
      <c r="I57" s="19">
        <v>1.0</v>
      </c>
      <c r="J57" s="19">
        <v>1.0</v>
      </c>
      <c r="K57" s="19">
        <v>2.0</v>
      </c>
      <c r="L57" s="19">
        <v>2.0</v>
      </c>
      <c r="M57" s="19">
        <v>3.0</v>
      </c>
      <c r="N57" s="19">
        <v>1.0</v>
      </c>
      <c r="O57" s="19">
        <v>2.0</v>
      </c>
      <c r="P57" s="19">
        <v>3.0</v>
      </c>
      <c r="Q57" s="19">
        <v>4.0</v>
      </c>
      <c r="R57" s="13">
        <f t="shared" si="14"/>
        <v>24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Q60" si="15">SUM(E45:E57)</f>
        <v>135</v>
      </c>
      <c r="F60" s="19">
        <f t="shared" si="15"/>
        <v>156</v>
      </c>
      <c r="G60" s="19">
        <f t="shared" si="15"/>
        <v>128</v>
      </c>
      <c r="H60" s="19">
        <f t="shared" si="15"/>
        <v>142</v>
      </c>
      <c r="I60" s="19">
        <f t="shared" si="15"/>
        <v>189</v>
      </c>
      <c r="J60" s="19">
        <f t="shared" si="15"/>
        <v>174</v>
      </c>
      <c r="K60" s="19">
        <f t="shared" si="15"/>
        <v>146</v>
      </c>
      <c r="L60" s="19">
        <f t="shared" si="15"/>
        <v>142</v>
      </c>
      <c r="M60" s="19">
        <f t="shared" si="15"/>
        <v>164</v>
      </c>
      <c r="N60" s="19">
        <f t="shared" si="15"/>
        <v>177</v>
      </c>
      <c r="O60" s="19">
        <f t="shared" si="15"/>
        <v>168</v>
      </c>
      <c r="P60" s="19">
        <f t="shared" si="15"/>
        <v>30</v>
      </c>
      <c r="Q60" s="19">
        <f t="shared" si="15"/>
        <v>81</v>
      </c>
      <c r="R60" s="13">
        <f t="shared" ref="R60:R62" si="16">SUM(E60:Q60)</f>
        <v>1832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44.0</v>
      </c>
      <c r="F61" s="19">
        <v>38.0</v>
      </c>
      <c r="G61" s="19">
        <v>67.0</v>
      </c>
      <c r="H61" s="19">
        <v>78.0</v>
      </c>
      <c r="I61" s="19">
        <v>56.0</v>
      </c>
      <c r="J61" s="19">
        <v>42.0</v>
      </c>
      <c r="K61" s="19">
        <v>39.0</v>
      </c>
      <c r="L61" s="19">
        <v>66.0</v>
      </c>
      <c r="M61" s="19">
        <v>65.0</v>
      </c>
      <c r="N61" s="19">
        <v>41.0</v>
      </c>
      <c r="O61" s="19">
        <v>44.0</v>
      </c>
      <c r="P61" s="19">
        <v>6.0</v>
      </c>
      <c r="Q61" s="19">
        <v>7.0</v>
      </c>
      <c r="R61" s="13">
        <f t="shared" si="16"/>
        <v>593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Q62" si="17">SUM(E60:E61)</f>
        <v>179</v>
      </c>
      <c r="F62" s="13">
        <f t="shared" si="17"/>
        <v>194</v>
      </c>
      <c r="G62" s="13">
        <f t="shared" si="17"/>
        <v>195</v>
      </c>
      <c r="H62" s="13">
        <f t="shared" si="17"/>
        <v>220</v>
      </c>
      <c r="I62" s="13">
        <f t="shared" si="17"/>
        <v>245</v>
      </c>
      <c r="J62" s="13">
        <f t="shared" si="17"/>
        <v>216</v>
      </c>
      <c r="K62" s="13">
        <f t="shared" si="17"/>
        <v>185</v>
      </c>
      <c r="L62" s="13">
        <f t="shared" si="17"/>
        <v>208</v>
      </c>
      <c r="M62" s="13">
        <f t="shared" si="17"/>
        <v>229</v>
      </c>
      <c r="N62" s="13">
        <f t="shared" si="17"/>
        <v>218</v>
      </c>
      <c r="O62" s="13">
        <f t="shared" si="17"/>
        <v>212</v>
      </c>
      <c r="P62" s="13">
        <f t="shared" si="17"/>
        <v>36</v>
      </c>
      <c r="Q62" s="13">
        <f t="shared" si="17"/>
        <v>88</v>
      </c>
      <c r="R62" s="13">
        <f t="shared" si="16"/>
        <v>2425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Q12"/>
    <mergeCell ref="R12: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Q34">
    <cfRule type="expression" dxfId="0" priority="1">
      <formula>E34&lt;&gt;#REF!</formula>
    </cfRule>
  </conditionalFormatting>
  <conditionalFormatting sqref="E14:Q15 E45:Q57">
    <cfRule type="containsBlanks" dxfId="1" priority="2">
      <formula>LEN(TRIM(E14))=0</formula>
    </cfRule>
  </conditionalFormatting>
  <conditionalFormatting sqref="E19:Q20">
    <cfRule type="containsBlanks" dxfId="1" priority="3">
      <formula>LEN(TRIM(E19))=0</formula>
    </cfRule>
  </conditionalFormatting>
  <conditionalFormatting sqref="E22:Q23 E25:Q26 E33:Q33 E35:Q35 E39:Q40">
    <cfRule type="containsBlanks" dxfId="1" priority="4">
      <formula>LEN(TRIM(E22))=0</formula>
    </cfRule>
  </conditionalFormatting>
  <conditionalFormatting sqref="E30:Q30">
    <cfRule type="expression" dxfId="0" priority="5">
      <formula>E30&lt;&gt;E46</formula>
    </cfRule>
  </conditionalFormatting>
  <conditionalFormatting sqref="E30:Q30">
    <cfRule type="expression" dxfId="0" priority="6">
      <formula>E30&lt;&gt;E34</formula>
    </cfRule>
  </conditionalFormatting>
  <conditionalFormatting sqref="E34:Q34">
    <cfRule type="expression" dxfId="2" priority="7">
      <formula>E30&lt;&gt;E34</formula>
    </cfRule>
  </conditionalFormatting>
  <conditionalFormatting sqref="E34:Q34">
    <cfRule type="expression" dxfId="3" priority="8">
      <formula>E30=E34</formula>
    </cfRule>
  </conditionalFormatting>
  <conditionalFormatting sqref="E34:Q34">
    <cfRule type="expression" dxfId="0" priority="9">
      <formula>E34&lt;&gt;E30</formula>
    </cfRule>
  </conditionalFormatting>
  <conditionalFormatting sqref="E60:Q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98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36"/>
    </row>
    <row r="14" ht="12.75" customHeight="1">
      <c r="A14" s="18"/>
      <c r="B14" s="22" t="s">
        <v>11</v>
      </c>
      <c r="C14" s="23"/>
      <c r="D14" s="19" t="s">
        <v>12</v>
      </c>
      <c r="E14" s="63">
        <v>143.0</v>
      </c>
      <c r="F14" s="63">
        <v>142.0</v>
      </c>
      <c r="G14" s="63">
        <v>147.0</v>
      </c>
      <c r="H14" s="63">
        <v>115.0</v>
      </c>
      <c r="I14" s="63">
        <v>127.0</v>
      </c>
      <c r="J14" s="63">
        <v>132.0</v>
      </c>
      <c r="K14" s="63">
        <v>135.0</v>
      </c>
      <c r="L14" s="63">
        <v>139.0</v>
      </c>
      <c r="M14" s="13">
        <f t="shared" ref="M14:M16" si="1">SUM(E14:L14)</f>
        <v>1080</v>
      </c>
    </row>
    <row r="15" ht="12.75" customHeight="1">
      <c r="A15" s="18"/>
      <c r="B15" s="26"/>
      <c r="C15" s="27"/>
      <c r="D15" s="19" t="s">
        <v>13</v>
      </c>
      <c r="E15" s="63">
        <v>147.0</v>
      </c>
      <c r="F15" s="63">
        <v>139.0</v>
      </c>
      <c r="G15" s="63">
        <v>121.0</v>
      </c>
      <c r="H15" s="63">
        <v>123.0</v>
      </c>
      <c r="I15" s="63">
        <v>130.0</v>
      </c>
      <c r="J15" s="63">
        <v>136.0</v>
      </c>
      <c r="K15" s="63">
        <v>141.0</v>
      </c>
      <c r="L15" s="63">
        <v>148.0</v>
      </c>
      <c r="M15" s="13">
        <f t="shared" si="1"/>
        <v>1085</v>
      </c>
    </row>
    <row r="16" ht="12.75" customHeight="1">
      <c r="A16" s="25"/>
      <c r="B16" s="21"/>
      <c r="C16" s="28"/>
      <c r="D16" s="13" t="s">
        <v>14</v>
      </c>
      <c r="E16" s="64">
        <f t="shared" ref="E16:L16" si="2">SUM(E14:E15)</f>
        <v>290</v>
      </c>
      <c r="F16" s="64">
        <f t="shared" si="2"/>
        <v>281</v>
      </c>
      <c r="G16" s="64">
        <f t="shared" si="2"/>
        <v>268</v>
      </c>
      <c r="H16" s="64">
        <f t="shared" si="2"/>
        <v>238</v>
      </c>
      <c r="I16" s="64">
        <f t="shared" si="2"/>
        <v>257</v>
      </c>
      <c r="J16" s="64">
        <f t="shared" si="2"/>
        <v>268</v>
      </c>
      <c r="K16" s="64">
        <f t="shared" si="2"/>
        <v>276</v>
      </c>
      <c r="L16" s="64">
        <f t="shared" si="2"/>
        <v>287</v>
      </c>
      <c r="M16" s="13">
        <f t="shared" si="1"/>
        <v>2165</v>
      </c>
    </row>
    <row r="17" ht="12.75" customHeight="1">
      <c r="A17" s="24"/>
      <c r="B17" s="15"/>
      <c r="C17" s="15"/>
      <c r="D17" s="16"/>
      <c r="E17" s="65"/>
      <c r="F17" s="65"/>
      <c r="G17" s="65"/>
      <c r="H17" s="65"/>
      <c r="I17" s="65"/>
      <c r="J17" s="65"/>
      <c r="K17" s="65"/>
      <c r="L17" s="65"/>
      <c r="M17" s="59"/>
    </row>
    <row r="18" ht="12.75" customHeight="1">
      <c r="A18" s="30" t="s">
        <v>15</v>
      </c>
      <c r="B18" s="20" t="s">
        <v>16</v>
      </c>
      <c r="C18" s="15"/>
      <c r="D18" s="16"/>
      <c r="E18" s="65"/>
      <c r="F18" s="65"/>
      <c r="G18" s="65"/>
      <c r="H18" s="65"/>
      <c r="I18" s="65"/>
      <c r="J18" s="65"/>
      <c r="K18" s="65"/>
      <c r="L18" s="65"/>
      <c r="M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3">
        <v>117.0</v>
      </c>
      <c r="F19" s="63">
        <v>103.0</v>
      </c>
      <c r="G19" s="63">
        <v>125.0</v>
      </c>
      <c r="H19" s="63">
        <v>102.0</v>
      </c>
      <c r="I19" s="63">
        <v>110.0</v>
      </c>
      <c r="J19" s="63">
        <v>119.0</v>
      </c>
      <c r="K19" s="63">
        <v>109.0</v>
      </c>
      <c r="L19" s="63">
        <v>115.0</v>
      </c>
      <c r="M19" s="13">
        <f t="shared" ref="M19:M30" si="3">SUM(E19:L19)</f>
        <v>900</v>
      </c>
    </row>
    <row r="20" ht="12.75" customHeight="1">
      <c r="A20" s="33"/>
      <c r="B20" s="27"/>
      <c r="C20" s="34"/>
      <c r="D20" s="19" t="s">
        <v>13</v>
      </c>
      <c r="E20" s="63">
        <v>123.0</v>
      </c>
      <c r="F20" s="63">
        <v>111.0</v>
      </c>
      <c r="G20" s="63">
        <v>108.0</v>
      </c>
      <c r="H20" s="63">
        <v>102.0</v>
      </c>
      <c r="I20" s="63">
        <v>117.0</v>
      </c>
      <c r="J20" s="63">
        <v>99.0</v>
      </c>
      <c r="K20" s="63">
        <v>119.0</v>
      </c>
      <c r="L20" s="63">
        <v>127.0</v>
      </c>
      <c r="M20" s="13">
        <f t="shared" si="3"/>
        <v>906</v>
      </c>
    </row>
    <row r="21" ht="12.75" customHeight="1">
      <c r="A21" s="35"/>
      <c r="B21" s="28"/>
      <c r="C21" s="36"/>
      <c r="D21" s="13" t="s">
        <v>14</v>
      </c>
      <c r="E21" s="64">
        <f t="shared" ref="E21:L21" si="4">SUM(E19:E20)</f>
        <v>240</v>
      </c>
      <c r="F21" s="64">
        <f t="shared" si="4"/>
        <v>214</v>
      </c>
      <c r="G21" s="64">
        <f t="shared" si="4"/>
        <v>233</v>
      </c>
      <c r="H21" s="64">
        <f t="shared" si="4"/>
        <v>204</v>
      </c>
      <c r="I21" s="64">
        <f t="shared" si="4"/>
        <v>227</v>
      </c>
      <c r="J21" s="64">
        <f t="shared" si="4"/>
        <v>218</v>
      </c>
      <c r="K21" s="64">
        <f t="shared" si="4"/>
        <v>228</v>
      </c>
      <c r="L21" s="64">
        <f t="shared" si="4"/>
        <v>242</v>
      </c>
      <c r="M21" s="13">
        <f t="shared" si="3"/>
        <v>1806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3">
        <v>0.0</v>
      </c>
      <c r="F22" s="63">
        <v>1.0</v>
      </c>
      <c r="G22" s="63">
        <v>0.0</v>
      </c>
      <c r="H22" s="63">
        <v>0.0</v>
      </c>
      <c r="I22" s="63">
        <v>0.0</v>
      </c>
      <c r="J22" s="63">
        <v>1.0</v>
      </c>
      <c r="K22" s="63">
        <v>1.0</v>
      </c>
      <c r="L22" s="63">
        <v>2.0</v>
      </c>
      <c r="M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63">
        <v>0.0</v>
      </c>
      <c r="F23" s="63">
        <v>1.0</v>
      </c>
      <c r="G23" s="63">
        <v>1.0</v>
      </c>
      <c r="H23" s="63">
        <v>0.0</v>
      </c>
      <c r="I23" s="63">
        <v>0.0</v>
      </c>
      <c r="J23" s="63">
        <v>0.0</v>
      </c>
      <c r="K23" s="63">
        <v>1.0</v>
      </c>
      <c r="L23" s="63">
        <v>1.0</v>
      </c>
      <c r="M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64">
        <f t="shared" ref="E24:L24" si="5">SUM(E22:E23)</f>
        <v>0</v>
      </c>
      <c r="F24" s="64">
        <f t="shared" si="5"/>
        <v>2</v>
      </c>
      <c r="G24" s="64">
        <f t="shared" si="5"/>
        <v>1</v>
      </c>
      <c r="H24" s="64">
        <f t="shared" si="5"/>
        <v>0</v>
      </c>
      <c r="I24" s="64">
        <f t="shared" si="5"/>
        <v>0</v>
      </c>
      <c r="J24" s="64">
        <f t="shared" si="5"/>
        <v>1</v>
      </c>
      <c r="K24" s="64">
        <f t="shared" si="5"/>
        <v>2</v>
      </c>
      <c r="L24" s="64">
        <f t="shared" si="5"/>
        <v>3</v>
      </c>
      <c r="M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3">
        <v>0.0</v>
      </c>
      <c r="F25" s="63">
        <v>1.0</v>
      </c>
      <c r="G25" s="63">
        <v>0.0</v>
      </c>
      <c r="H25" s="63">
        <v>0.0</v>
      </c>
      <c r="I25" s="63">
        <v>0.0</v>
      </c>
      <c r="J25" s="63">
        <v>0.0</v>
      </c>
      <c r="K25" s="63">
        <v>0.0</v>
      </c>
      <c r="L25" s="63">
        <v>0.0</v>
      </c>
      <c r="M25" s="13">
        <f t="shared" si="3"/>
        <v>1</v>
      </c>
    </row>
    <row r="26" ht="12.75" customHeight="1">
      <c r="A26" s="33"/>
      <c r="B26" s="27"/>
      <c r="C26" s="34"/>
      <c r="D26" s="19" t="s">
        <v>13</v>
      </c>
      <c r="E26" s="63">
        <v>0.0</v>
      </c>
      <c r="F26" s="63">
        <v>2.0</v>
      </c>
      <c r="G26" s="63">
        <v>0.0</v>
      </c>
      <c r="H26" s="63">
        <v>0.0</v>
      </c>
      <c r="I26" s="63">
        <v>0.0</v>
      </c>
      <c r="J26" s="63">
        <v>2.0</v>
      </c>
      <c r="K26" s="63">
        <v>0.0</v>
      </c>
      <c r="L26" s="63">
        <v>0.0</v>
      </c>
      <c r="M26" s="13">
        <f t="shared" si="3"/>
        <v>4</v>
      </c>
    </row>
    <row r="27" ht="12.75" customHeight="1">
      <c r="A27" s="35"/>
      <c r="B27" s="28"/>
      <c r="C27" s="36"/>
      <c r="D27" s="13" t="s">
        <v>14</v>
      </c>
      <c r="E27" s="64">
        <f t="shared" ref="E27:L27" si="6">SUM(E25:E26)</f>
        <v>0</v>
      </c>
      <c r="F27" s="64">
        <f t="shared" si="6"/>
        <v>3</v>
      </c>
      <c r="G27" s="64">
        <f t="shared" si="6"/>
        <v>0</v>
      </c>
      <c r="H27" s="64">
        <f t="shared" si="6"/>
        <v>0</v>
      </c>
      <c r="I27" s="64">
        <f t="shared" si="6"/>
        <v>0</v>
      </c>
      <c r="J27" s="64">
        <f t="shared" si="6"/>
        <v>2</v>
      </c>
      <c r="K27" s="64">
        <f t="shared" si="6"/>
        <v>0</v>
      </c>
      <c r="L27" s="64">
        <f t="shared" si="6"/>
        <v>0</v>
      </c>
      <c r="M27" s="13">
        <f t="shared" si="3"/>
        <v>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64">
        <f t="shared" ref="E28:L28" si="7">SUM(E19,E22,E25)</f>
        <v>117</v>
      </c>
      <c r="F28" s="64">
        <f t="shared" si="7"/>
        <v>105</v>
      </c>
      <c r="G28" s="64">
        <f t="shared" si="7"/>
        <v>125</v>
      </c>
      <c r="H28" s="64">
        <f t="shared" si="7"/>
        <v>102</v>
      </c>
      <c r="I28" s="64">
        <f t="shared" si="7"/>
        <v>110</v>
      </c>
      <c r="J28" s="64">
        <f t="shared" si="7"/>
        <v>120</v>
      </c>
      <c r="K28" s="64">
        <f t="shared" si="7"/>
        <v>110</v>
      </c>
      <c r="L28" s="64">
        <f t="shared" si="7"/>
        <v>117</v>
      </c>
      <c r="M28" s="13">
        <f t="shared" si="3"/>
        <v>906</v>
      </c>
    </row>
    <row r="29" ht="12.75" customHeight="1">
      <c r="A29" s="35"/>
      <c r="B29" s="27"/>
      <c r="C29" s="34"/>
      <c r="D29" s="13" t="s">
        <v>13</v>
      </c>
      <c r="E29" s="64">
        <f t="shared" ref="E29:L29" si="8">SUM(E20,E23,E26)</f>
        <v>123</v>
      </c>
      <c r="F29" s="64">
        <f t="shared" si="8"/>
        <v>114</v>
      </c>
      <c r="G29" s="64">
        <f t="shared" si="8"/>
        <v>109</v>
      </c>
      <c r="H29" s="64">
        <f t="shared" si="8"/>
        <v>102</v>
      </c>
      <c r="I29" s="64">
        <f t="shared" si="8"/>
        <v>117</v>
      </c>
      <c r="J29" s="64">
        <f t="shared" si="8"/>
        <v>101</v>
      </c>
      <c r="K29" s="64">
        <f t="shared" si="8"/>
        <v>120</v>
      </c>
      <c r="L29" s="64">
        <f t="shared" si="8"/>
        <v>128</v>
      </c>
      <c r="M29" s="13">
        <f t="shared" si="3"/>
        <v>914</v>
      </c>
    </row>
    <row r="30" ht="12.75" customHeight="1">
      <c r="A30" s="35"/>
      <c r="B30" s="28"/>
      <c r="C30" s="36"/>
      <c r="D30" s="13" t="s">
        <v>14</v>
      </c>
      <c r="E30" s="66">
        <f t="shared" ref="E30:L30" si="9">SUM(E28:E29)</f>
        <v>240</v>
      </c>
      <c r="F30" s="66">
        <f t="shared" si="9"/>
        <v>219</v>
      </c>
      <c r="G30" s="66">
        <f t="shared" si="9"/>
        <v>234</v>
      </c>
      <c r="H30" s="66">
        <f t="shared" si="9"/>
        <v>204</v>
      </c>
      <c r="I30" s="66">
        <f t="shared" si="9"/>
        <v>227</v>
      </c>
      <c r="J30" s="66">
        <f t="shared" si="9"/>
        <v>221</v>
      </c>
      <c r="K30" s="66">
        <f t="shared" si="9"/>
        <v>230</v>
      </c>
      <c r="L30" s="66">
        <f t="shared" si="9"/>
        <v>245</v>
      </c>
      <c r="M30" s="13">
        <f t="shared" si="3"/>
        <v>1820</v>
      </c>
    </row>
    <row r="31" ht="12.75" customHeight="1">
      <c r="A31" s="24"/>
      <c r="B31" s="15"/>
      <c r="C31" s="15"/>
      <c r="D31" s="16"/>
      <c r="E31" s="65"/>
      <c r="F31" s="65"/>
      <c r="G31" s="65"/>
      <c r="H31" s="65"/>
      <c r="I31" s="65"/>
      <c r="J31" s="65"/>
      <c r="K31" s="65"/>
      <c r="L31" s="65"/>
      <c r="M31" s="59"/>
    </row>
    <row r="32" ht="12.75" customHeight="1">
      <c r="A32" s="41" t="s">
        <v>25</v>
      </c>
      <c r="B32" s="14" t="s">
        <v>26</v>
      </c>
      <c r="C32" s="15"/>
      <c r="D32" s="16"/>
      <c r="E32" s="65"/>
      <c r="F32" s="65"/>
      <c r="G32" s="65"/>
      <c r="H32" s="65"/>
      <c r="I32" s="65"/>
      <c r="J32" s="65"/>
      <c r="K32" s="65"/>
      <c r="L32" s="65"/>
      <c r="M32" s="59"/>
    </row>
    <row r="33" ht="12.75" customHeight="1">
      <c r="A33" s="19">
        <v>1.0</v>
      </c>
      <c r="B33" s="20" t="s">
        <v>27</v>
      </c>
      <c r="C33" s="15"/>
      <c r="D33" s="16"/>
      <c r="E33" s="63">
        <v>296.0</v>
      </c>
      <c r="F33" s="63">
        <v>287.0</v>
      </c>
      <c r="G33" s="63">
        <v>274.0</v>
      </c>
      <c r="H33" s="63">
        <v>243.0</v>
      </c>
      <c r="I33" s="63">
        <v>263.0</v>
      </c>
      <c r="J33" s="63">
        <v>274.0</v>
      </c>
      <c r="K33" s="63">
        <v>282.0</v>
      </c>
      <c r="L33" s="63">
        <v>293.0</v>
      </c>
      <c r="M33" s="13">
        <f t="shared" ref="M33:M36" si="10">SUM(E33:L33)</f>
        <v>2212</v>
      </c>
    </row>
    <row r="34" ht="12.75" customHeight="1">
      <c r="A34" s="19">
        <v>2.0</v>
      </c>
      <c r="B34" s="20" t="s">
        <v>28</v>
      </c>
      <c r="C34" s="15"/>
      <c r="D34" s="16"/>
      <c r="E34" s="67">
        <v>240.0</v>
      </c>
      <c r="F34" s="67">
        <v>219.0</v>
      </c>
      <c r="G34" s="67">
        <v>234.0</v>
      </c>
      <c r="H34" s="67">
        <v>204.0</v>
      </c>
      <c r="I34" s="67">
        <v>227.0</v>
      </c>
      <c r="J34" s="67">
        <v>221.0</v>
      </c>
      <c r="K34" s="67">
        <v>230.0</v>
      </c>
      <c r="L34" s="67">
        <v>245.0</v>
      </c>
      <c r="M34" s="13">
        <f t="shared" si="10"/>
        <v>1820</v>
      </c>
    </row>
    <row r="35" ht="12.75" customHeight="1">
      <c r="A35" s="19">
        <v>3.0</v>
      </c>
      <c r="B35" s="20" t="s">
        <v>29</v>
      </c>
      <c r="C35" s="15"/>
      <c r="D35" s="16"/>
      <c r="E35" s="63">
        <v>1.0</v>
      </c>
      <c r="F35" s="63">
        <v>1.0</v>
      </c>
      <c r="G35" s="63">
        <v>2.0</v>
      </c>
      <c r="H35" s="63">
        <v>0.0</v>
      </c>
      <c r="I35" s="63">
        <v>0.0</v>
      </c>
      <c r="J35" s="63">
        <v>1.0</v>
      </c>
      <c r="K35" s="63">
        <v>0.0</v>
      </c>
      <c r="L35" s="63">
        <v>0.0</v>
      </c>
      <c r="M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64">
        <f t="shared" ref="E36:L36" si="11">E33-(E34+E35)</f>
        <v>55</v>
      </c>
      <c r="F36" s="64">
        <f t="shared" si="11"/>
        <v>67</v>
      </c>
      <c r="G36" s="64">
        <f t="shared" si="11"/>
        <v>38</v>
      </c>
      <c r="H36" s="64">
        <f t="shared" si="11"/>
        <v>39</v>
      </c>
      <c r="I36" s="64">
        <f t="shared" si="11"/>
        <v>36</v>
      </c>
      <c r="J36" s="64">
        <f t="shared" si="11"/>
        <v>52</v>
      </c>
      <c r="K36" s="64">
        <f t="shared" si="11"/>
        <v>52</v>
      </c>
      <c r="L36" s="64">
        <f t="shared" si="11"/>
        <v>48</v>
      </c>
      <c r="M36" s="13">
        <f t="shared" si="10"/>
        <v>387</v>
      </c>
    </row>
    <row r="37" ht="12.75" customHeight="1">
      <c r="A37" s="24"/>
      <c r="B37" s="15"/>
      <c r="C37" s="15"/>
      <c r="D37" s="15"/>
      <c r="E37" s="68"/>
      <c r="F37" s="15"/>
      <c r="G37" s="15"/>
      <c r="H37" s="15"/>
      <c r="I37" s="16"/>
      <c r="J37" s="65"/>
      <c r="K37" s="65"/>
      <c r="L37" s="65"/>
      <c r="M37" s="59"/>
    </row>
    <row r="38" ht="12.75" customHeight="1">
      <c r="A38" s="42" t="s">
        <v>31</v>
      </c>
      <c r="B38" s="14" t="s">
        <v>32</v>
      </c>
      <c r="C38" s="15"/>
      <c r="D38" s="16"/>
      <c r="E38" s="65"/>
      <c r="F38" s="65"/>
      <c r="G38" s="65"/>
      <c r="H38" s="65"/>
      <c r="I38" s="65"/>
      <c r="J38" s="65"/>
      <c r="K38" s="65"/>
      <c r="L38" s="65"/>
      <c r="M38" s="59"/>
    </row>
    <row r="39" ht="12.75" customHeight="1">
      <c r="A39" s="30"/>
      <c r="B39" s="43" t="s">
        <v>33</v>
      </c>
      <c r="C39" s="23"/>
      <c r="D39" s="19" t="s">
        <v>12</v>
      </c>
      <c r="E39" s="63">
        <v>1.0</v>
      </c>
      <c r="F39" s="63">
        <v>0.0</v>
      </c>
      <c r="G39" s="63">
        <v>0.0</v>
      </c>
      <c r="H39" s="63">
        <v>1.0</v>
      </c>
      <c r="I39" s="63">
        <v>0.0</v>
      </c>
      <c r="J39" s="63">
        <v>0.0</v>
      </c>
      <c r="K39" s="63">
        <v>0.0</v>
      </c>
      <c r="L39" s="63">
        <v>1.0</v>
      </c>
      <c r="M39" s="13">
        <f t="shared" ref="M39:M41" si="12">SUM(E39:L39)</f>
        <v>3</v>
      </c>
    </row>
    <row r="40" ht="12.75" customHeight="1">
      <c r="A40" s="33"/>
      <c r="C40" s="27"/>
      <c r="D40" s="19" t="s">
        <v>13</v>
      </c>
      <c r="E40" s="63">
        <v>0.0</v>
      </c>
      <c r="F40" s="63">
        <v>0.0</v>
      </c>
      <c r="G40" s="63">
        <v>0.0</v>
      </c>
      <c r="H40" s="63">
        <v>3.0</v>
      </c>
      <c r="I40" s="63">
        <v>0.0</v>
      </c>
      <c r="J40" s="63">
        <v>2.0</v>
      </c>
      <c r="K40" s="63">
        <v>1.0</v>
      </c>
      <c r="L40" s="63">
        <v>4.0</v>
      </c>
      <c r="M40" s="13">
        <f t="shared" si="12"/>
        <v>10</v>
      </c>
    </row>
    <row r="41" ht="12.75" customHeight="1">
      <c r="A41" s="41"/>
      <c r="B41" s="44"/>
      <c r="C41" s="28"/>
      <c r="D41" s="13" t="s">
        <v>14</v>
      </c>
      <c r="E41" s="13">
        <f t="shared" ref="E41:L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4</v>
      </c>
      <c r="I41" s="13">
        <f t="shared" si="13"/>
        <v>0</v>
      </c>
      <c r="J41" s="13">
        <f t="shared" si="13"/>
        <v>2</v>
      </c>
      <c r="K41" s="13">
        <f t="shared" si="13"/>
        <v>1</v>
      </c>
      <c r="L41" s="13">
        <f t="shared" si="13"/>
        <v>5</v>
      </c>
      <c r="M41" s="13">
        <f t="shared" si="12"/>
        <v>13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30"/>
      <c r="B45" s="47" t="s">
        <v>17</v>
      </c>
      <c r="C45" s="62" t="s">
        <v>38</v>
      </c>
      <c r="D45" s="16"/>
      <c r="E45" s="19">
        <v>10.0</v>
      </c>
      <c r="F45" s="19">
        <v>17.0</v>
      </c>
      <c r="G45" s="19">
        <v>14.0</v>
      </c>
      <c r="H45" s="19">
        <v>13.0</v>
      </c>
      <c r="I45" s="19">
        <v>12.0</v>
      </c>
      <c r="J45" s="19">
        <v>15.0</v>
      </c>
      <c r="K45" s="19">
        <v>13.0</v>
      </c>
      <c r="L45" s="19">
        <v>11.0</v>
      </c>
      <c r="M45" s="13">
        <f t="shared" ref="M45:M57" si="14">SUM(E45:L45)</f>
        <v>105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35.0</v>
      </c>
      <c r="F46" s="19">
        <v>29.0</v>
      </c>
      <c r="G46" s="19">
        <v>39.0</v>
      </c>
      <c r="H46" s="19">
        <v>33.0</v>
      </c>
      <c r="I46" s="19">
        <v>17.0</v>
      </c>
      <c r="J46" s="19">
        <v>25.0</v>
      </c>
      <c r="K46" s="19">
        <v>25.0</v>
      </c>
      <c r="L46" s="19">
        <v>39.0</v>
      </c>
      <c r="M46" s="13">
        <f t="shared" si="14"/>
        <v>242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12.0</v>
      </c>
      <c r="F47" s="19">
        <v>15.0</v>
      </c>
      <c r="G47" s="19">
        <v>13.0</v>
      </c>
      <c r="H47" s="19">
        <v>11.0</v>
      </c>
      <c r="I47" s="19">
        <v>15.0</v>
      </c>
      <c r="J47" s="19">
        <v>16.0</v>
      </c>
      <c r="K47" s="19">
        <v>21.0</v>
      </c>
      <c r="L47" s="19">
        <v>21.0</v>
      </c>
      <c r="M47" s="13">
        <f t="shared" si="14"/>
        <v>124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45.0</v>
      </c>
      <c r="F48" s="19">
        <v>34.0</v>
      </c>
      <c r="G48" s="19">
        <v>29.0</v>
      </c>
      <c r="H48" s="19">
        <v>38.0</v>
      </c>
      <c r="I48" s="19">
        <v>42.0</v>
      </c>
      <c r="J48" s="19">
        <v>32.0</v>
      </c>
      <c r="K48" s="19">
        <v>26.0</v>
      </c>
      <c r="L48" s="19">
        <v>26.0</v>
      </c>
      <c r="M48" s="13">
        <f t="shared" si="14"/>
        <v>272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21.0</v>
      </c>
      <c r="F49" s="19">
        <v>13.0</v>
      </c>
      <c r="G49" s="19">
        <v>21.0</v>
      </c>
      <c r="H49" s="19">
        <v>15.0</v>
      </c>
      <c r="I49" s="19">
        <v>24.0</v>
      </c>
      <c r="J49" s="19">
        <v>19.0</v>
      </c>
      <c r="K49" s="19">
        <v>20.0</v>
      </c>
      <c r="L49" s="19">
        <v>12.0</v>
      </c>
      <c r="M49" s="13">
        <f t="shared" si="14"/>
        <v>145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17.0</v>
      </c>
      <c r="F50" s="19">
        <v>14.0</v>
      </c>
      <c r="G50" s="19">
        <v>7.0</v>
      </c>
      <c r="H50" s="19">
        <v>6.0</v>
      </c>
      <c r="I50" s="19">
        <v>10.0</v>
      </c>
      <c r="J50" s="19">
        <v>16.0</v>
      </c>
      <c r="K50" s="19">
        <v>12.0</v>
      </c>
      <c r="L50" s="19">
        <v>12.0</v>
      </c>
      <c r="M50" s="13">
        <f t="shared" si="14"/>
        <v>94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1.0</v>
      </c>
      <c r="F51" s="19">
        <v>3.0</v>
      </c>
      <c r="G51" s="19">
        <v>0.0</v>
      </c>
      <c r="H51" s="19">
        <v>1.0</v>
      </c>
      <c r="I51" s="19">
        <v>2.0</v>
      </c>
      <c r="J51" s="19">
        <v>0.0</v>
      </c>
      <c r="K51" s="19">
        <v>3.0</v>
      </c>
      <c r="L51" s="19">
        <v>1.0</v>
      </c>
      <c r="M51" s="13">
        <f t="shared" si="14"/>
        <v>11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6.0</v>
      </c>
      <c r="F52" s="19">
        <v>4.0</v>
      </c>
      <c r="G52" s="19">
        <v>0.0</v>
      </c>
      <c r="H52" s="19">
        <v>0.0</v>
      </c>
      <c r="I52" s="19">
        <v>3.0</v>
      </c>
      <c r="J52" s="19">
        <v>2.0</v>
      </c>
      <c r="K52" s="19">
        <v>4.0</v>
      </c>
      <c r="L52" s="19">
        <v>4.0</v>
      </c>
      <c r="M52" s="13">
        <f t="shared" si="14"/>
        <v>23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2.0</v>
      </c>
      <c r="F53" s="19">
        <v>1.0</v>
      </c>
      <c r="G53" s="19">
        <v>1.0</v>
      </c>
      <c r="H53" s="19">
        <v>2.0</v>
      </c>
      <c r="I53" s="19">
        <v>1.0</v>
      </c>
      <c r="J53" s="19">
        <v>1.0</v>
      </c>
      <c r="K53" s="19">
        <v>1.0</v>
      </c>
      <c r="L53" s="19">
        <v>5.0</v>
      </c>
      <c r="M53" s="13">
        <f t="shared" si="14"/>
        <v>14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15.0</v>
      </c>
      <c r="F54" s="19">
        <v>29.0</v>
      </c>
      <c r="G54" s="19">
        <v>25.0</v>
      </c>
      <c r="H54" s="19">
        <v>32.0</v>
      </c>
      <c r="I54" s="19">
        <v>25.0</v>
      </c>
      <c r="J54" s="19">
        <v>22.0</v>
      </c>
      <c r="K54" s="19">
        <v>19.0</v>
      </c>
      <c r="L54" s="19">
        <v>24.0</v>
      </c>
      <c r="M54" s="13">
        <f t="shared" si="14"/>
        <v>191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1.0</v>
      </c>
      <c r="F55" s="19">
        <v>3.0</v>
      </c>
      <c r="G55" s="19">
        <v>1.0</v>
      </c>
      <c r="H55" s="19">
        <v>1.0</v>
      </c>
      <c r="I55" s="19">
        <v>1.0</v>
      </c>
      <c r="J55" s="19">
        <v>2.0</v>
      </c>
      <c r="K55" s="19">
        <v>0.0</v>
      </c>
      <c r="L55" s="19">
        <v>2.0</v>
      </c>
      <c r="M55" s="13">
        <f t="shared" si="14"/>
        <v>11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21.0</v>
      </c>
      <c r="F56" s="19">
        <v>20.0</v>
      </c>
      <c r="G56" s="19">
        <v>24.0</v>
      </c>
      <c r="H56" s="19">
        <v>20.0</v>
      </c>
      <c r="I56" s="19">
        <v>10.0</v>
      </c>
      <c r="J56" s="19">
        <v>22.0</v>
      </c>
      <c r="K56" s="19">
        <v>18.0</v>
      </c>
      <c r="L56" s="19">
        <v>22.0</v>
      </c>
      <c r="M56" s="13">
        <f t="shared" si="14"/>
        <v>157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6.0</v>
      </c>
      <c r="F57" s="19">
        <v>3.0</v>
      </c>
      <c r="G57" s="19">
        <v>3.0</v>
      </c>
      <c r="H57" s="19">
        <v>1.0</v>
      </c>
      <c r="I57" s="19">
        <v>1.0</v>
      </c>
      <c r="J57" s="19">
        <v>0.0</v>
      </c>
      <c r="K57" s="19">
        <v>2.0</v>
      </c>
      <c r="L57" s="19">
        <v>3.0</v>
      </c>
      <c r="M57" s="13">
        <f t="shared" si="14"/>
        <v>19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L60" si="15">SUM(E45:E57)</f>
        <v>192</v>
      </c>
      <c r="F60" s="19">
        <f t="shared" si="15"/>
        <v>185</v>
      </c>
      <c r="G60" s="19">
        <f t="shared" si="15"/>
        <v>177</v>
      </c>
      <c r="H60" s="19">
        <f t="shared" si="15"/>
        <v>173</v>
      </c>
      <c r="I60" s="19">
        <f t="shared" si="15"/>
        <v>163</v>
      </c>
      <c r="J60" s="19">
        <f t="shared" si="15"/>
        <v>172</v>
      </c>
      <c r="K60" s="19">
        <f t="shared" si="15"/>
        <v>164</v>
      </c>
      <c r="L60" s="19">
        <f t="shared" si="15"/>
        <v>182</v>
      </c>
      <c r="M60" s="13">
        <f t="shared" ref="M60:M62" si="16">SUM(E60:L60)</f>
        <v>1408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48.0</v>
      </c>
      <c r="F61" s="19">
        <v>34.0</v>
      </c>
      <c r="G61" s="19">
        <v>57.0</v>
      </c>
      <c r="H61" s="19">
        <v>31.0</v>
      </c>
      <c r="I61" s="19">
        <v>64.0</v>
      </c>
      <c r="J61" s="19">
        <v>48.0</v>
      </c>
      <c r="K61" s="19">
        <v>66.0</v>
      </c>
      <c r="L61" s="19">
        <v>60.0</v>
      </c>
      <c r="M61" s="13">
        <f t="shared" si="16"/>
        <v>408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L62" si="17">SUM(E60:E61)</f>
        <v>240</v>
      </c>
      <c r="F62" s="13">
        <f t="shared" si="17"/>
        <v>219</v>
      </c>
      <c r="G62" s="13">
        <f t="shared" si="17"/>
        <v>234</v>
      </c>
      <c r="H62" s="13">
        <f t="shared" si="17"/>
        <v>204</v>
      </c>
      <c r="I62" s="13">
        <f t="shared" si="17"/>
        <v>227</v>
      </c>
      <c r="J62" s="13">
        <f t="shared" si="17"/>
        <v>220</v>
      </c>
      <c r="K62" s="13">
        <f t="shared" si="17"/>
        <v>230</v>
      </c>
      <c r="L62" s="13">
        <f t="shared" si="17"/>
        <v>242</v>
      </c>
      <c r="M62" s="13">
        <f t="shared" si="16"/>
        <v>1816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L34">
    <cfRule type="expression" dxfId="0" priority="1">
      <formula>E34&lt;&gt;#REF!</formula>
    </cfRule>
  </conditionalFormatting>
  <conditionalFormatting sqref="E14:L15 E45:L57">
    <cfRule type="containsBlanks" dxfId="1" priority="2">
      <formula>LEN(TRIM(E14))=0</formula>
    </cfRule>
  </conditionalFormatting>
  <conditionalFormatting sqref="E19:L20">
    <cfRule type="containsBlanks" dxfId="1" priority="3">
      <formula>LEN(TRIM(E19))=0</formula>
    </cfRule>
  </conditionalFormatting>
  <conditionalFormatting sqref="E22:L23 E25:L26 E33:L33 E35:L35 E39:L40">
    <cfRule type="containsBlanks" dxfId="1" priority="4">
      <formula>LEN(TRIM(E22))=0</formula>
    </cfRule>
  </conditionalFormatting>
  <conditionalFormatting sqref="E30:L30">
    <cfRule type="expression" dxfId="0" priority="5">
      <formula>E30&lt;&gt;E46</formula>
    </cfRule>
  </conditionalFormatting>
  <conditionalFormatting sqref="E30:L30">
    <cfRule type="expression" dxfId="0" priority="6">
      <formula>E30&lt;&gt;E34</formula>
    </cfRule>
  </conditionalFormatting>
  <conditionalFormatting sqref="E34:L34">
    <cfRule type="expression" dxfId="2" priority="7">
      <formula>E30&lt;&gt;E34</formula>
    </cfRule>
  </conditionalFormatting>
  <conditionalFormatting sqref="E34:L34">
    <cfRule type="expression" dxfId="3" priority="8">
      <formula>E30=E34</formula>
    </cfRule>
  </conditionalFormatting>
  <conditionalFormatting sqref="E34:L34">
    <cfRule type="expression" dxfId="0" priority="9">
      <formula>E34&lt;&gt;E30</formula>
    </cfRule>
  </conditionalFormatting>
  <conditionalFormatting sqref="E60:L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  <col customWidth="1" min="17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36"/>
    </row>
    <row r="14" ht="12.75" customHeight="1">
      <c r="A14" s="18"/>
      <c r="B14" s="22" t="s">
        <v>11</v>
      </c>
      <c r="C14" s="23"/>
      <c r="D14" s="19" t="s">
        <v>12</v>
      </c>
      <c r="E14" s="63">
        <v>116.0</v>
      </c>
      <c r="F14" s="63">
        <v>118.0</v>
      </c>
      <c r="G14" s="63">
        <v>141.0</v>
      </c>
      <c r="H14" s="63">
        <v>136.0</v>
      </c>
      <c r="I14" s="63">
        <v>143.0</v>
      </c>
      <c r="J14" s="63">
        <v>130.0</v>
      </c>
      <c r="K14" s="63">
        <v>131.0</v>
      </c>
      <c r="L14" s="63">
        <v>127.0</v>
      </c>
      <c r="M14" s="63">
        <v>127.0</v>
      </c>
      <c r="N14" s="63">
        <v>121.0</v>
      </c>
      <c r="O14" s="63">
        <v>116.0</v>
      </c>
      <c r="P14" s="13">
        <f t="shared" ref="P14:P16" si="1">SUM(E14:O14)</f>
        <v>1406</v>
      </c>
    </row>
    <row r="15" ht="12.75" customHeight="1">
      <c r="A15" s="18"/>
      <c r="B15" s="26"/>
      <c r="C15" s="27"/>
      <c r="D15" s="19" t="s">
        <v>13</v>
      </c>
      <c r="E15" s="63">
        <v>112.0</v>
      </c>
      <c r="F15" s="63">
        <v>113.0</v>
      </c>
      <c r="G15" s="63">
        <v>122.0</v>
      </c>
      <c r="H15" s="63">
        <v>150.0</v>
      </c>
      <c r="I15" s="63">
        <v>134.0</v>
      </c>
      <c r="J15" s="63">
        <v>139.0</v>
      </c>
      <c r="K15" s="63">
        <v>128.0</v>
      </c>
      <c r="L15" s="63">
        <v>133.0</v>
      </c>
      <c r="M15" s="63">
        <v>124.0</v>
      </c>
      <c r="N15" s="63">
        <v>131.0</v>
      </c>
      <c r="O15" s="63">
        <v>126.0</v>
      </c>
      <c r="P15" s="13">
        <f t="shared" si="1"/>
        <v>1412</v>
      </c>
    </row>
    <row r="16" ht="12.75" customHeight="1">
      <c r="A16" s="25"/>
      <c r="B16" s="21"/>
      <c r="C16" s="28"/>
      <c r="D16" s="13" t="s">
        <v>14</v>
      </c>
      <c r="E16" s="64">
        <f t="shared" ref="E16:O16" si="2">SUM(E14:E15)</f>
        <v>228</v>
      </c>
      <c r="F16" s="64">
        <f t="shared" si="2"/>
        <v>231</v>
      </c>
      <c r="G16" s="64">
        <f t="shared" si="2"/>
        <v>263</v>
      </c>
      <c r="H16" s="64">
        <f t="shared" si="2"/>
        <v>286</v>
      </c>
      <c r="I16" s="64">
        <f t="shared" si="2"/>
        <v>277</v>
      </c>
      <c r="J16" s="64">
        <f t="shared" si="2"/>
        <v>269</v>
      </c>
      <c r="K16" s="64">
        <f t="shared" si="2"/>
        <v>259</v>
      </c>
      <c r="L16" s="64">
        <f t="shared" si="2"/>
        <v>260</v>
      </c>
      <c r="M16" s="64">
        <f t="shared" si="2"/>
        <v>251</v>
      </c>
      <c r="N16" s="64">
        <f t="shared" si="2"/>
        <v>252</v>
      </c>
      <c r="O16" s="64">
        <f t="shared" si="2"/>
        <v>242</v>
      </c>
      <c r="P16" s="13">
        <f t="shared" si="1"/>
        <v>2818</v>
      </c>
    </row>
    <row r="17" ht="12.75" customHeight="1">
      <c r="A17" s="24"/>
      <c r="B17" s="15"/>
      <c r="C17" s="15"/>
      <c r="D17" s="16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59"/>
    </row>
    <row r="18" ht="12.75" customHeight="1">
      <c r="A18" s="30" t="s">
        <v>15</v>
      </c>
      <c r="B18" s="20" t="s">
        <v>16</v>
      </c>
      <c r="C18" s="15"/>
      <c r="D18" s="16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3">
        <v>79.0</v>
      </c>
      <c r="F19" s="63">
        <v>73.0</v>
      </c>
      <c r="G19" s="63">
        <v>108.0</v>
      </c>
      <c r="H19" s="63">
        <v>104.0</v>
      </c>
      <c r="I19" s="63">
        <v>113.0</v>
      </c>
      <c r="J19" s="63">
        <v>99.0</v>
      </c>
      <c r="K19" s="63">
        <v>100.0</v>
      </c>
      <c r="L19" s="63">
        <v>103.0</v>
      </c>
      <c r="M19" s="63">
        <v>85.0</v>
      </c>
      <c r="N19" s="63">
        <v>79.0</v>
      </c>
      <c r="O19" s="63">
        <v>81.0</v>
      </c>
      <c r="P19" s="13">
        <f t="shared" ref="P19:P30" si="3">SUM(E19:O19)</f>
        <v>1024</v>
      </c>
    </row>
    <row r="20" ht="12.75" customHeight="1">
      <c r="A20" s="33"/>
      <c r="B20" s="27"/>
      <c r="C20" s="34"/>
      <c r="D20" s="19" t="s">
        <v>13</v>
      </c>
      <c r="E20" s="63">
        <v>85.0</v>
      </c>
      <c r="F20" s="63">
        <v>88.0</v>
      </c>
      <c r="G20" s="63">
        <v>105.0</v>
      </c>
      <c r="H20" s="63">
        <v>120.0</v>
      </c>
      <c r="I20" s="63">
        <v>114.0</v>
      </c>
      <c r="J20" s="63">
        <v>112.0</v>
      </c>
      <c r="K20" s="63">
        <v>101.0</v>
      </c>
      <c r="L20" s="63">
        <v>116.0</v>
      </c>
      <c r="M20" s="63">
        <v>101.0</v>
      </c>
      <c r="N20" s="63">
        <v>94.0</v>
      </c>
      <c r="O20" s="63">
        <v>97.0</v>
      </c>
      <c r="P20" s="13">
        <f t="shared" si="3"/>
        <v>1133</v>
      </c>
    </row>
    <row r="21" ht="12.75" customHeight="1">
      <c r="A21" s="35"/>
      <c r="B21" s="28"/>
      <c r="C21" s="36"/>
      <c r="D21" s="13" t="s">
        <v>14</v>
      </c>
      <c r="E21" s="64">
        <f t="shared" ref="E21:O21" si="4">SUM(E19:E20)</f>
        <v>164</v>
      </c>
      <c r="F21" s="64">
        <f t="shared" si="4"/>
        <v>161</v>
      </c>
      <c r="G21" s="64">
        <f t="shared" si="4"/>
        <v>213</v>
      </c>
      <c r="H21" s="64">
        <f t="shared" si="4"/>
        <v>224</v>
      </c>
      <c r="I21" s="64">
        <f t="shared" si="4"/>
        <v>227</v>
      </c>
      <c r="J21" s="64">
        <f t="shared" si="4"/>
        <v>211</v>
      </c>
      <c r="K21" s="64">
        <f t="shared" si="4"/>
        <v>201</v>
      </c>
      <c r="L21" s="64">
        <f t="shared" si="4"/>
        <v>219</v>
      </c>
      <c r="M21" s="64">
        <f t="shared" si="4"/>
        <v>186</v>
      </c>
      <c r="N21" s="64">
        <f t="shared" si="4"/>
        <v>173</v>
      </c>
      <c r="O21" s="64">
        <f t="shared" si="4"/>
        <v>178</v>
      </c>
      <c r="P21" s="13">
        <f t="shared" si="3"/>
        <v>2157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3">
        <v>0.0</v>
      </c>
      <c r="F22" s="63">
        <v>6.0</v>
      </c>
      <c r="G22" s="63">
        <v>0.0</v>
      </c>
      <c r="H22" s="63">
        <v>2.0</v>
      </c>
      <c r="I22" s="63">
        <v>0.0</v>
      </c>
      <c r="J22" s="63">
        <v>0.0</v>
      </c>
      <c r="K22" s="63">
        <v>0.0</v>
      </c>
      <c r="L22" s="63">
        <v>0.0</v>
      </c>
      <c r="M22" s="63">
        <v>1.0</v>
      </c>
      <c r="N22" s="63">
        <v>0.0</v>
      </c>
      <c r="O22" s="63">
        <v>0.0</v>
      </c>
      <c r="P22" s="13">
        <f t="shared" si="3"/>
        <v>9</v>
      </c>
    </row>
    <row r="23" ht="12.75" customHeight="1">
      <c r="A23" s="33"/>
      <c r="B23" s="27"/>
      <c r="C23" s="34"/>
      <c r="D23" s="19" t="s">
        <v>13</v>
      </c>
      <c r="E23" s="63">
        <v>0.0</v>
      </c>
      <c r="F23" s="63">
        <v>0.0</v>
      </c>
      <c r="G23" s="63">
        <v>1.0</v>
      </c>
      <c r="H23" s="63">
        <v>1.0</v>
      </c>
      <c r="I23" s="63">
        <v>0.0</v>
      </c>
      <c r="J23" s="63">
        <v>0.0</v>
      </c>
      <c r="K23" s="63">
        <v>0.0</v>
      </c>
      <c r="L23" s="63">
        <v>0.0</v>
      </c>
      <c r="M23" s="63">
        <v>0.0</v>
      </c>
      <c r="N23" s="63">
        <v>0.0</v>
      </c>
      <c r="O23" s="63">
        <v>1.0</v>
      </c>
      <c r="P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64">
        <f t="shared" ref="E24:O24" si="5">SUM(E22:E23)</f>
        <v>0</v>
      </c>
      <c r="F24" s="64">
        <f t="shared" si="5"/>
        <v>6</v>
      </c>
      <c r="G24" s="64">
        <f t="shared" si="5"/>
        <v>1</v>
      </c>
      <c r="H24" s="64">
        <f t="shared" si="5"/>
        <v>3</v>
      </c>
      <c r="I24" s="64">
        <f t="shared" si="5"/>
        <v>0</v>
      </c>
      <c r="J24" s="64">
        <f t="shared" si="5"/>
        <v>0</v>
      </c>
      <c r="K24" s="64">
        <f t="shared" si="5"/>
        <v>0</v>
      </c>
      <c r="L24" s="64">
        <f t="shared" si="5"/>
        <v>0</v>
      </c>
      <c r="M24" s="64">
        <f t="shared" si="5"/>
        <v>1</v>
      </c>
      <c r="N24" s="64">
        <f t="shared" si="5"/>
        <v>0</v>
      </c>
      <c r="O24" s="64">
        <f t="shared" si="5"/>
        <v>1</v>
      </c>
      <c r="P24" s="13">
        <f t="shared" si="3"/>
        <v>12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3">
        <v>0.0</v>
      </c>
      <c r="F25" s="63">
        <v>0.0</v>
      </c>
      <c r="G25" s="63">
        <v>0.0</v>
      </c>
      <c r="H25" s="63">
        <v>1.0</v>
      </c>
      <c r="I25" s="63">
        <v>0.0</v>
      </c>
      <c r="J25" s="63">
        <v>0.0</v>
      </c>
      <c r="K25" s="63">
        <v>1.0</v>
      </c>
      <c r="L25" s="63">
        <v>1.0</v>
      </c>
      <c r="M25" s="63">
        <v>0.0</v>
      </c>
      <c r="N25" s="63">
        <v>0.0</v>
      </c>
      <c r="O25" s="63">
        <v>0.0</v>
      </c>
      <c r="P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63">
        <v>0.0</v>
      </c>
      <c r="F26" s="63">
        <v>0.0</v>
      </c>
      <c r="G26" s="63">
        <v>1.0</v>
      </c>
      <c r="H26" s="63">
        <v>1.0</v>
      </c>
      <c r="I26" s="63">
        <v>0.0</v>
      </c>
      <c r="J26" s="63">
        <v>0.0</v>
      </c>
      <c r="K26" s="63">
        <v>1.0</v>
      </c>
      <c r="L26" s="63">
        <v>2.0</v>
      </c>
      <c r="M26" s="63">
        <v>0.0</v>
      </c>
      <c r="N26" s="63">
        <v>1.0</v>
      </c>
      <c r="O26" s="63">
        <v>1.0</v>
      </c>
      <c r="P26" s="13">
        <f t="shared" si="3"/>
        <v>7</v>
      </c>
    </row>
    <row r="27" ht="12.75" customHeight="1">
      <c r="A27" s="35"/>
      <c r="B27" s="28"/>
      <c r="C27" s="36"/>
      <c r="D27" s="13" t="s">
        <v>14</v>
      </c>
      <c r="E27" s="64">
        <f t="shared" ref="E27:O27" si="6">SUM(E25:E26)</f>
        <v>0</v>
      </c>
      <c r="F27" s="64">
        <f t="shared" si="6"/>
        <v>0</v>
      </c>
      <c r="G27" s="64">
        <f t="shared" si="6"/>
        <v>1</v>
      </c>
      <c r="H27" s="64">
        <f t="shared" si="6"/>
        <v>2</v>
      </c>
      <c r="I27" s="64">
        <f t="shared" si="6"/>
        <v>0</v>
      </c>
      <c r="J27" s="64">
        <f t="shared" si="6"/>
        <v>0</v>
      </c>
      <c r="K27" s="64">
        <f t="shared" si="6"/>
        <v>2</v>
      </c>
      <c r="L27" s="64">
        <f t="shared" si="6"/>
        <v>3</v>
      </c>
      <c r="M27" s="64">
        <f t="shared" si="6"/>
        <v>0</v>
      </c>
      <c r="N27" s="64">
        <f t="shared" si="6"/>
        <v>1</v>
      </c>
      <c r="O27" s="64">
        <f t="shared" si="6"/>
        <v>1</v>
      </c>
      <c r="P27" s="13">
        <f t="shared" si="3"/>
        <v>10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64">
        <f t="shared" ref="E28:O28" si="7">SUM(E19,E22,E25)</f>
        <v>79</v>
      </c>
      <c r="F28" s="64">
        <f t="shared" si="7"/>
        <v>79</v>
      </c>
      <c r="G28" s="64">
        <f t="shared" si="7"/>
        <v>108</v>
      </c>
      <c r="H28" s="64">
        <f t="shared" si="7"/>
        <v>107</v>
      </c>
      <c r="I28" s="64">
        <f t="shared" si="7"/>
        <v>113</v>
      </c>
      <c r="J28" s="64">
        <f t="shared" si="7"/>
        <v>99</v>
      </c>
      <c r="K28" s="64">
        <f t="shared" si="7"/>
        <v>101</v>
      </c>
      <c r="L28" s="64">
        <f t="shared" si="7"/>
        <v>104</v>
      </c>
      <c r="M28" s="64">
        <f t="shared" si="7"/>
        <v>86</v>
      </c>
      <c r="N28" s="64">
        <f t="shared" si="7"/>
        <v>79</v>
      </c>
      <c r="O28" s="64">
        <f t="shared" si="7"/>
        <v>81</v>
      </c>
      <c r="P28" s="13">
        <f t="shared" si="3"/>
        <v>1036</v>
      </c>
    </row>
    <row r="29" ht="12.75" customHeight="1">
      <c r="A29" s="35"/>
      <c r="B29" s="27"/>
      <c r="C29" s="34"/>
      <c r="D29" s="13" t="s">
        <v>13</v>
      </c>
      <c r="E29" s="64">
        <f t="shared" ref="E29:O29" si="8">SUM(E20,E23,E26)</f>
        <v>85</v>
      </c>
      <c r="F29" s="64">
        <f t="shared" si="8"/>
        <v>88</v>
      </c>
      <c r="G29" s="64">
        <f t="shared" si="8"/>
        <v>107</v>
      </c>
      <c r="H29" s="64">
        <f t="shared" si="8"/>
        <v>122</v>
      </c>
      <c r="I29" s="64">
        <f t="shared" si="8"/>
        <v>114</v>
      </c>
      <c r="J29" s="64">
        <f t="shared" si="8"/>
        <v>112</v>
      </c>
      <c r="K29" s="64">
        <f t="shared" si="8"/>
        <v>102</v>
      </c>
      <c r="L29" s="64">
        <f t="shared" si="8"/>
        <v>118</v>
      </c>
      <c r="M29" s="64">
        <f t="shared" si="8"/>
        <v>101</v>
      </c>
      <c r="N29" s="64">
        <f t="shared" si="8"/>
        <v>95</v>
      </c>
      <c r="O29" s="64">
        <f t="shared" si="8"/>
        <v>99</v>
      </c>
      <c r="P29" s="13">
        <f t="shared" si="3"/>
        <v>1143</v>
      </c>
    </row>
    <row r="30" ht="12.75" customHeight="1">
      <c r="A30" s="35"/>
      <c r="B30" s="28"/>
      <c r="C30" s="36"/>
      <c r="D30" s="13" t="s">
        <v>14</v>
      </c>
      <c r="E30" s="66">
        <f t="shared" ref="E30:O30" si="9">SUM(E28:E29)</f>
        <v>164</v>
      </c>
      <c r="F30" s="66">
        <f t="shared" si="9"/>
        <v>167</v>
      </c>
      <c r="G30" s="66">
        <f t="shared" si="9"/>
        <v>215</v>
      </c>
      <c r="H30" s="66">
        <f t="shared" si="9"/>
        <v>229</v>
      </c>
      <c r="I30" s="66">
        <f t="shared" si="9"/>
        <v>227</v>
      </c>
      <c r="J30" s="66">
        <f t="shared" si="9"/>
        <v>211</v>
      </c>
      <c r="K30" s="66">
        <f t="shared" si="9"/>
        <v>203</v>
      </c>
      <c r="L30" s="66">
        <f t="shared" si="9"/>
        <v>222</v>
      </c>
      <c r="M30" s="66">
        <f t="shared" si="9"/>
        <v>187</v>
      </c>
      <c r="N30" s="66">
        <f t="shared" si="9"/>
        <v>174</v>
      </c>
      <c r="O30" s="66">
        <f t="shared" si="9"/>
        <v>180</v>
      </c>
      <c r="P30" s="13">
        <f t="shared" si="3"/>
        <v>2179</v>
      </c>
    </row>
    <row r="31" ht="12.75" customHeight="1">
      <c r="A31" s="24"/>
      <c r="B31" s="15"/>
      <c r="C31" s="15"/>
      <c r="D31" s="16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59"/>
    </row>
    <row r="32" ht="12.75" customHeight="1">
      <c r="A32" s="41" t="s">
        <v>25</v>
      </c>
      <c r="B32" s="14" t="s">
        <v>26</v>
      </c>
      <c r="C32" s="15"/>
      <c r="D32" s="16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59"/>
    </row>
    <row r="33" ht="12.75" customHeight="1">
      <c r="A33" s="19">
        <v>1.0</v>
      </c>
      <c r="B33" s="20" t="s">
        <v>27</v>
      </c>
      <c r="C33" s="15"/>
      <c r="D33" s="16"/>
      <c r="E33" s="63">
        <v>233.0</v>
      </c>
      <c r="F33" s="63">
        <v>236.0</v>
      </c>
      <c r="G33" s="63">
        <v>269.0</v>
      </c>
      <c r="H33" s="63">
        <v>293.0</v>
      </c>
      <c r="I33" s="63">
        <v>283.0</v>
      </c>
      <c r="J33" s="63">
        <v>275.0</v>
      </c>
      <c r="K33" s="63">
        <v>265.0</v>
      </c>
      <c r="L33" s="63">
        <v>266.0</v>
      </c>
      <c r="M33" s="63">
        <v>257.0</v>
      </c>
      <c r="N33" s="63">
        <v>258.0</v>
      </c>
      <c r="O33" s="63">
        <v>247.0</v>
      </c>
      <c r="P33" s="13">
        <f t="shared" ref="P33:P36" si="10">SUM(E33:O33)</f>
        <v>2882</v>
      </c>
    </row>
    <row r="34" ht="12.75" customHeight="1">
      <c r="A34" s="19">
        <v>2.0</v>
      </c>
      <c r="B34" s="20" t="s">
        <v>28</v>
      </c>
      <c r="C34" s="15"/>
      <c r="D34" s="16"/>
      <c r="E34" s="67">
        <v>164.0</v>
      </c>
      <c r="F34" s="67">
        <v>167.0</v>
      </c>
      <c r="G34" s="67">
        <v>215.0</v>
      </c>
      <c r="H34" s="67">
        <v>229.0</v>
      </c>
      <c r="I34" s="67">
        <v>227.0</v>
      </c>
      <c r="J34" s="67">
        <v>211.0</v>
      </c>
      <c r="K34" s="67">
        <v>203.0</v>
      </c>
      <c r="L34" s="67">
        <v>222.0</v>
      </c>
      <c r="M34" s="67">
        <v>187.0</v>
      </c>
      <c r="N34" s="67">
        <v>174.0</v>
      </c>
      <c r="O34" s="67">
        <v>180.0</v>
      </c>
      <c r="P34" s="13">
        <f t="shared" si="10"/>
        <v>2179</v>
      </c>
    </row>
    <row r="35" ht="12.75" customHeight="1">
      <c r="A35" s="19">
        <v>3.0</v>
      </c>
      <c r="B35" s="20" t="s">
        <v>29</v>
      </c>
      <c r="C35" s="15"/>
      <c r="D35" s="16"/>
      <c r="E35" s="63">
        <v>16.0</v>
      </c>
      <c r="F35" s="63">
        <v>0.0</v>
      </c>
      <c r="G35" s="63">
        <v>0.0</v>
      </c>
      <c r="H35" s="63">
        <v>39.0</v>
      </c>
      <c r="I35" s="63">
        <v>0.0</v>
      </c>
      <c r="J35" s="63">
        <v>19.0</v>
      </c>
      <c r="K35" s="63">
        <v>1.0</v>
      </c>
      <c r="L35" s="63">
        <v>2.0</v>
      </c>
      <c r="M35" s="63">
        <v>3.0</v>
      </c>
      <c r="N35" s="63">
        <v>1.0</v>
      </c>
      <c r="O35" s="63">
        <v>0.0</v>
      </c>
      <c r="P35" s="13">
        <f t="shared" si="10"/>
        <v>81</v>
      </c>
    </row>
    <row r="36" ht="12.75" customHeight="1">
      <c r="A36" s="19">
        <v>4.0</v>
      </c>
      <c r="B36" s="20" t="s">
        <v>30</v>
      </c>
      <c r="C36" s="15"/>
      <c r="D36" s="16"/>
      <c r="E36" s="64">
        <f t="shared" ref="E36:O36" si="11">E33-(E34+E35)</f>
        <v>53</v>
      </c>
      <c r="F36" s="64">
        <f t="shared" si="11"/>
        <v>69</v>
      </c>
      <c r="G36" s="64">
        <f t="shared" si="11"/>
        <v>54</v>
      </c>
      <c r="H36" s="64">
        <f t="shared" si="11"/>
        <v>25</v>
      </c>
      <c r="I36" s="64">
        <f t="shared" si="11"/>
        <v>56</v>
      </c>
      <c r="J36" s="64">
        <f t="shared" si="11"/>
        <v>45</v>
      </c>
      <c r="K36" s="64">
        <f t="shared" si="11"/>
        <v>61</v>
      </c>
      <c r="L36" s="64">
        <f t="shared" si="11"/>
        <v>42</v>
      </c>
      <c r="M36" s="64">
        <f t="shared" si="11"/>
        <v>67</v>
      </c>
      <c r="N36" s="64">
        <f t="shared" si="11"/>
        <v>83</v>
      </c>
      <c r="O36" s="64">
        <f t="shared" si="11"/>
        <v>67</v>
      </c>
      <c r="P36" s="13">
        <f t="shared" si="10"/>
        <v>622</v>
      </c>
    </row>
    <row r="37" ht="12.75" customHeight="1">
      <c r="A37" s="24"/>
      <c r="B37" s="15"/>
      <c r="C37" s="15"/>
      <c r="D37" s="15"/>
      <c r="E37" s="68"/>
      <c r="F37" s="15"/>
      <c r="G37" s="15"/>
      <c r="H37" s="15"/>
      <c r="I37" s="16"/>
      <c r="J37" s="65"/>
      <c r="K37" s="65"/>
      <c r="L37" s="65"/>
      <c r="M37" s="65"/>
      <c r="N37" s="65"/>
      <c r="O37" s="68"/>
      <c r="P37" s="59"/>
    </row>
    <row r="38" ht="12.75" customHeight="1">
      <c r="A38" s="42" t="s">
        <v>31</v>
      </c>
      <c r="B38" s="14" t="s">
        <v>32</v>
      </c>
      <c r="C38" s="15"/>
      <c r="D38" s="16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59"/>
    </row>
    <row r="39" ht="12.75" customHeight="1">
      <c r="A39" s="30"/>
      <c r="B39" s="43" t="s">
        <v>33</v>
      </c>
      <c r="C39" s="23"/>
      <c r="D39" s="19" t="s">
        <v>12</v>
      </c>
      <c r="E39" s="63">
        <v>0.0</v>
      </c>
      <c r="F39" s="63">
        <v>1.0</v>
      </c>
      <c r="G39" s="63">
        <v>1.0</v>
      </c>
      <c r="H39" s="63">
        <v>3.0</v>
      </c>
      <c r="I39" s="63">
        <v>0.0</v>
      </c>
      <c r="J39" s="63">
        <v>0.0</v>
      </c>
      <c r="K39" s="63">
        <v>1.0</v>
      </c>
      <c r="L39" s="63">
        <v>1.0</v>
      </c>
      <c r="M39" s="63">
        <v>0.0</v>
      </c>
      <c r="N39" s="63">
        <v>0.0</v>
      </c>
      <c r="O39" s="63">
        <v>0.0</v>
      </c>
      <c r="P39" s="13">
        <f t="shared" ref="P39:P41" si="12">SUM(E39:O39)</f>
        <v>7</v>
      </c>
    </row>
    <row r="40" ht="12.75" customHeight="1">
      <c r="A40" s="33"/>
      <c r="C40" s="27"/>
      <c r="D40" s="19" t="s">
        <v>13</v>
      </c>
      <c r="E40" s="63">
        <v>1.0</v>
      </c>
      <c r="F40" s="63">
        <v>1.0</v>
      </c>
      <c r="G40" s="63">
        <v>0.0</v>
      </c>
      <c r="H40" s="63">
        <v>1.0</v>
      </c>
      <c r="I40" s="63">
        <v>0.0</v>
      </c>
      <c r="J40" s="63">
        <v>0.0</v>
      </c>
      <c r="K40" s="63">
        <v>1.0</v>
      </c>
      <c r="L40" s="63">
        <v>1.0</v>
      </c>
      <c r="M40" s="63">
        <v>0.0</v>
      </c>
      <c r="N40" s="63">
        <v>0.0</v>
      </c>
      <c r="O40" s="63">
        <v>0.0</v>
      </c>
      <c r="P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64">
        <f t="shared" ref="E41:O41" si="13">SUM(E39:E40)</f>
        <v>1</v>
      </c>
      <c r="F41" s="64">
        <f t="shared" si="13"/>
        <v>2</v>
      </c>
      <c r="G41" s="64">
        <f t="shared" si="13"/>
        <v>1</v>
      </c>
      <c r="H41" s="64">
        <f t="shared" si="13"/>
        <v>4</v>
      </c>
      <c r="I41" s="64">
        <f t="shared" si="13"/>
        <v>0</v>
      </c>
      <c r="J41" s="64">
        <f t="shared" si="13"/>
        <v>0</v>
      </c>
      <c r="K41" s="64">
        <f t="shared" si="13"/>
        <v>2</v>
      </c>
      <c r="L41" s="64">
        <f t="shared" si="13"/>
        <v>2</v>
      </c>
      <c r="M41" s="64">
        <f t="shared" si="13"/>
        <v>0</v>
      </c>
      <c r="N41" s="64">
        <f t="shared" si="13"/>
        <v>0</v>
      </c>
      <c r="O41" s="64">
        <f t="shared" si="13"/>
        <v>0</v>
      </c>
      <c r="P41" s="13">
        <f t="shared" si="12"/>
        <v>12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3"/>
    </row>
    <row r="45" ht="12.75" customHeight="1">
      <c r="A45" s="30"/>
      <c r="B45" s="47" t="s">
        <v>17</v>
      </c>
      <c r="C45" s="62" t="s">
        <v>38</v>
      </c>
      <c r="D45" s="16"/>
      <c r="E45" s="19">
        <v>25.0</v>
      </c>
      <c r="F45" s="19">
        <v>13.0</v>
      </c>
      <c r="G45" s="19">
        <v>17.0</v>
      </c>
      <c r="H45" s="19">
        <v>8.0</v>
      </c>
      <c r="I45" s="19">
        <v>17.0</v>
      </c>
      <c r="J45" s="19">
        <v>15.0</v>
      </c>
      <c r="K45" s="19">
        <v>9.0</v>
      </c>
      <c r="L45" s="19">
        <v>19.0</v>
      </c>
      <c r="M45" s="19">
        <v>7.0</v>
      </c>
      <c r="N45" s="19">
        <v>14.0</v>
      </c>
      <c r="O45" s="19">
        <v>12.0</v>
      </c>
      <c r="P45" s="13">
        <f t="shared" ref="P45:P57" si="14">SUM(E45:O45)</f>
        <v>156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27.0</v>
      </c>
      <c r="F46" s="19">
        <v>26.0</v>
      </c>
      <c r="G46" s="19">
        <v>19.0</v>
      </c>
      <c r="H46" s="19">
        <v>38.0</v>
      </c>
      <c r="I46" s="19">
        <v>20.0</v>
      </c>
      <c r="J46" s="19">
        <v>22.0</v>
      </c>
      <c r="K46" s="19">
        <v>28.0</v>
      </c>
      <c r="L46" s="19">
        <v>43.0</v>
      </c>
      <c r="M46" s="19">
        <v>30.0</v>
      </c>
      <c r="N46" s="19">
        <v>36.0</v>
      </c>
      <c r="O46" s="19">
        <v>37.0</v>
      </c>
      <c r="P46" s="13">
        <f t="shared" si="14"/>
        <v>326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12.0</v>
      </c>
      <c r="F47" s="19">
        <v>12.0</v>
      </c>
      <c r="G47" s="19">
        <v>20.0</v>
      </c>
      <c r="H47" s="19">
        <v>21.0</v>
      </c>
      <c r="I47" s="19">
        <v>9.0</v>
      </c>
      <c r="J47" s="19">
        <v>17.0</v>
      </c>
      <c r="K47" s="19">
        <v>15.0</v>
      </c>
      <c r="L47" s="19">
        <v>14.0</v>
      </c>
      <c r="M47" s="19">
        <v>8.0</v>
      </c>
      <c r="N47" s="19">
        <v>19.0</v>
      </c>
      <c r="O47" s="19">
        <v>13.0</v>
      </c>
      <c r="P47" s="13">
        <f t="shared" si="14"/>
        <v>160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14.0</v>
      </c>
      <c r="F48" s="19">
        <v>25.0</v>
      </c>
      <c r="G48" s="19">
        <v>28.0</v>
      </c>
      <c r="H48" s="19">
        <v>20.0</v>
      </c>
      <c r="I48" s="19">
        <v>26.0</v>
      </c>
      <c r="J48" s="19">
        <v>20.0</v>
      </c>
      <c r="K48" s="19">
        <v>18.0</v>
      </c>
      <c r="L48" s="19">
        <v>21.0</v>
      </c>
      <c r="M48" s="19">
        <v>17.0</v>
      </c>
      <c r="N48" s="19">
        <v>21.0</v>
      </c>
      <c r="O48" s="19">
        <v>24.0</v>
      </c>
      <c r="P48" s="13">
        <f t="shared" si="14"/>
        <v>234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13.0</v>
      </c>
      <c r="F49" s="19">
        <v>10.0</v>
      </c>
      <c r="G49" s="19">
        <v>15.0</v>
      </c>
      <c r="H49" s="19">
        <v>15.0</v>
      </c>
      <c r="I49" s="19">
        <v>25.0</v>
      </c>
      <c r="J49" s="19">
        <v>15.0</v>
      </c>
      <c r="K49" s="19">
        <v>14.0</v>
      </c>
      <c r="L49" s="19">
        <v>11.0</v>
      </c>
      <c r="M49" s="19">
        <v>18.0</v>
      </c>
      <c r="N49" s="19">
        <v>11.0</v>
      </c>
      <c r="O49" s="19">
        <v>13.0</v>
      </c>
      <c r="P49" s="13">
        <f t="shared" si="14"/>
        <v>160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11.0</v>
      </c>
      <c r="F50" s="19">
        <v>13.0</v>
      </c>
      <c r="G50" s="19">
        <v>15.0</v>
      </c>
      <c r="H50" s="19">
        <v>10.0</v>
      </c>
      <c r="I50" s="19">
        <v>9.0</v>
      </c>
      <c r="J50" s="19">
        <v>9.0</v>
      </c>
      <c r="K50" s="19">
        <v>7.0</v>
      </c>
      <c r="L50" s="19">
        <v>27.0</v>
      </c>
      <c r="M50" s="19">
        <v>9.0</v>
      </c>
      <c r="N50" s="19">
        <v>9.0</v>
      </c>
      <c r="O50" s="19">
        <v>11.0</v>
      </c>
      <c r="P50" s="13">
        <f t="shared" si="14"/>
        <v>130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2.0</v>
      </c>
      <c r="F51" s="19">
        <v>2.0</v>
      </c>
      <c r="G51" s="19">
        <v>3.0</v>
      </c>
      <c r="H51" s="19">
        <v>1.0</v>
      </c>
      <c r="I51" s="19">
        <v>2.0</v>
      </c>
      <c r="J51" s="19">
        <v>4.0</v>
      </c>
      <c r="K51" s="19">
        <v>4.0</v>
      </c>
      <c r="L51" s="19">
        <v>1.0</v>
      </c>
      <c r="M51" s="19">
        <v>1.0</v>
      </c>
      <c r="N51" s="19">
        <v>3.0</v>
      </c>
      <c r="O51" s="19">
        <v>1.0</v>
      </c>
      <c r="P51" s="13">
        <f t="shared" si="14"/>
        <v>24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1.0</v>
      </c>
      <c r="F52" s="19">
        <v>1.0</v>
      </c>
      <c r="G52" s="19">
        <v>4.0</v>
      </c>
      <c r="H52" s="19">
        <v>7.0</v>
      </c>
      <c r="I52" s="19">
        <v>1.0</v>
      </c>
      <c r="J52" s="19">
        <v>3.0</v>
      </c>
      <c r="K52" s="19">
        <v>6.0</v>
      </c>
      <c r="L52" s="19">
        <v>1.0</v>
      </c>
      <c r="M52" s="19">
        <v>3.0</v>
      </c>
      <c r="N52" s="19">
        <v>3.0</v>
      </c>
      <c r="O52" s="19">
        <v>1.0</v>
      </c>
      <c r="P52" s="13">
        <f t="shared" si="14"/>
        <v>31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1.0</v>
      </c>
      <c r="F53" s="19">
        <v>0.0</v>
      </c>
      <c r="G53" s="19">
        <v>1.0</v>
      </c>
      <c r="H53" s="19">
        <v>0.0</v>
      </c>
      <c r="I53" s="19">
        <v>1.0</v>
      </c>
      <c r="J53" s="19">
        <v>0.0</v>
      </c>
      <c r="K53" s="19">
        <v>0.0</v>
      </c>
      <c r="L53" s="19">
        <v>0.0</v>
      </c>
      <c r="M53" s="19">
        <v>0.0</v>
      </c>
      <c r="N53" s="19">
        <v>1.0</v>
      </c>
      <c r="O53" s="19">
        <v>0.0</v>
      </c>
      <c r="P53" s="13">
        <f t="shared" si="14"/>
        <v>4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14.0</v>
      </c>
      <c r="F54" s="19">
        <v>20.0</v>
      </c>
      <c r="G54" s="19">
        <v>18.0</v>
      </c>
      <c r="H54" s="19">
        <v>34.0</v>
      </c>
      <c r="I54" s="19">
        <v>14.0</v>
      </c>
      <c r="J54" s="19">
        <v>8.0</v>
      </c>
      <c r="K54" s="19">
        <v>20.0</v>
      </c>
      <c r="L54" s="19">
        <v>10.0</v>
      </c>
      <c r="M54" s="19">
        <v>14.0</v>
      </c>
      <c r="N54" s="19">
        <v>10.0</v>
      </c>
      <c r="O54" s="19">
        <v>14.0</v>
      </c>
      <c r="P54" s="13">
        <f t="shared" si="14"/>
        <v>176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1.0</v>
      </c>
      <c r="F55" s="19">
        <v>2.0</v>
      </c>
      <c r="G55" s="19">
        <v>1.0</v>
      </c>
      <c r="H55" s="19">
        <v>0.0</v>
      </c>
      <c r="I55" s="19">
        <v>2.0</v>
      </c>
      <c r="J55" s="19">
        <v>1.0</v>
      </c>
      <c r="K55" s="19">
        <v>1.0</v>
      </c>
      <c r="L55" s="19">
        <v>0.0</v>
      </c>
      <c r="M55" s="19">
        <v>0.0</v>
      </c>
      <c r="N55" s="19">
        <v>2.0</v>
      </c>
      <c r="O55" s="19">
        <v>2.0</v>
      </c>
      <c r="P55" s="13">
        <f t="shared" si="14"/>
        <v>12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22.0</v>
      </c>
      <c r="F56" s="19">
        <v>15.0</v>
      </c>
      <c r="G56" s="19">
        <v>17.0</v>
      </c>
      <c r="H56" s="19">
        <v>35.0</v>
      </c>
      <c r="I56" s="19">
        <v>18.0</v>
      </c>
      <c r="J56" s="19">
        <v>21.0</v>
      </c>
      <c r="K56" s="19">
        <v>15.0</v>
      </c>
      <c r="L56" s="19">
        <v>26.0</v>
      </c>
      <c r="M56" s="19">
        <v>14.0</v>
      </c>
      <c r="N56" s="19">
        <v>13.0</v>
      </c>
      <c r="O56" s="19">
        <v>14.0</v>
      </c>
      <c r="P56" s="13">
        <f t="shared" si="14"/>
        <v>210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0.0</v>
      </c>
      <c r="F57" s="19">
        <v>1.0</v>
      </c>
      <c r="G57" s="19">
        <v>3.0</v>
      </c>
      <c r="H57" s="19">
        <v>2.0</v>
      </c>
      <c r="I57" s="19">
        <v>0.0</v>
      </c>
      <c r="J57" s="19">
        <v>1.0</v>
      </c>
      <c r="K57" s="19">
        <v>3.0</v>
      </c>
      <c r="L57" s="19">
        <v>2.0</v>
      </c>
      <c r="M57" s="19">
        <v>1.0</v>
      </c>
      <c r="N57" s="19">
        <v>1.0</v>
      </c>
      <c r="O57" s="19">
        <v>0.0</v>
      </c>
      <c r="P57" s="13">
        <f t="shared" si="14"/>
        <v>14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O60" si="15">SUM(E45:E57)</f>
        <v>143</v>
      </c>
      <c r="F60" s="19">
        <f t="shared" si="15"/>
        <v>140</v>
      </c>
      <c r="G60" s="19">
        <f t="shared" si="15"/>
        <v>161</v>
      </c>
      <c r="H60" s="19">
        <f t="shared" si="15"/>
        <v>191</v>
      </c>
      <c r="I60" s="19">
        <f t="shared" si="15"/>
        <v>144</v>
      </c>
      <c r="J60" s="19">
        <f t="shared" si="15"/>
        <v>136</v>
      </c>
      <c r="K60" s="19">
        <f t="shared" si="15"/>
        <v>140</v>
      </c>
      <c r="L60" s="19">
        <f t="shared" si="15"/>
        <v>175</v>
      </c>
      <c r="M60" s="19">
        <f t="shared" si="15"/>
        <v>122</v>
      </c>
      <c r="N60" s="19">
        <f t="shared" si="15"/>
        <v>143</v>
      </c>
      <c r="O60" s="19">
        <f t="shared" si="15"/>
        <v>142</v>
      </c>
      <c r="P60" s="13">
        <f t="shared" ref="P60:P62" si="16">SUM(E60:O60)</f>
        <v>1637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21.0</v>
      </c>
      <c r="F61" s="19">
        <v>27.0</v>
      </c>
      <c r="G61" s="19">
        <v>54.0</v>
      </c>
      <c r="H61" s="19">
        <v>38.0</v>
      </c>
      <c r="I61" s="19">
        <v>83.0</v>
      </c>
      <c r="J61" s="19">
        <v>75.0</v>
      </c>
      <c r="K61" s="19">
        <v>63.0</v>
      </c>
      <c r="L61" s="19">
        <v>47.0</v>
      </c>
      <c r="M61" s="19">
        <v>65.0</v>
      </c>
      <c r="N61" s="19">
        <v>31.0</v>
      </c>
      <c r="O61" s="19">
        <v>38.0</v>
      </c>
      <c r="P61" s="13">
        <f t="shared" si="16"/>
        <v>542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O62" si="17">SUM(E60:E61)</f>
        <v>164</v>
      </c>
      <c r="F62" s="13">
        <f t="shared" si="17"/>
        <v>167</v>
      </c>
      <c r="G62" s="13">
        <f t="shared" si="17"/>
        <v>215</v>
      </c>
      <c r="H62" s="13">
        <f t="shared" si="17"/>
        <v>229</v>
      </c>
      <c r="I62" s="13">
        <f t="shared" si="17"/>
        <v>227</v>
      </c>
      <c r="J62" s="13">
        <f t="shared" si="17"/>
        <v>211</v>
      </c>
      <c r="K62" s="13">
        <f t="shared" si="17"/>
        <v>203</v>
      </c>
      <c r="L62" s="13">
        <f t="shared" si="17"/>
        <v>222</v>
      </c>
      <c r="M62" s="13">
        <f t="shared" si="17"/>
        <v>187</v>
      </c>
      <c r="N62" s="13">
        <f t="shared" si="17"/>
        <v>174</v>
      </c>
      <c r="O62" s="13">
        <f t="shared" si="17"/>
        <v>180</v>
      </c>
      <c r="P62" s="13">
        <f t="shared" si="16"/>
        <v>2179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O34">
    <cfRule type="expression" dxfId="0" priority="1">
      <formula>E34&lt;&gt;#REF!</formula>
    </cfRule>
  </conditionalFormatting>
  <conditionalFormatting sqref="E14:O15 E45:O57">
    <cfRule type="containsBlanks" dxfId="1" priority="2">
      <formula>LEN(TRIM(E14))=0</formula>
    </cfRule>
  </conditionalFormatting>
  <conditionalFormatting sqref="E19:O20">
    <cfRule type="containsBlanks" dxfId="1" priority="3">
      <formula>LEN(TRIM(E19))=0</formula>
    </cfRule>
  </conditionalFormatting>
  <conditionalFormatting sqref="E22:O23 E25:O26 E33:O33 E35:O35 E39:O40">
    <cfRule type="containsBlanks" dxfId="1" priority="4">
      <formula>LEN(TRIM(E22))=0</formula>
    </cfRule>
  </conditionalFormatting>
  <conditionalFormatting sqref="E30:O30">
    <cfRule type="expression" dxfId="0" priority="5">
      <formula>E30&lt;&gt;E46</formula>
    </cfRule>
  </conditionalFormatting>
  <conditionalFormatting sqref="E30:O30">
    <cfRule type="expression" dxfId="0" priority="6">
      <formula>E30&lt;&gt;E34</formula>
    </cfRule>
  </conditionalFormatting>
  <conditionalFormatting sqref="E34:O34">
    <cfRule type="expression" dxfId="2" priority="7">
      <formula>E30&lt;&gt;E34</formula>
    </cfRule>
  </conditionalFormatting>
  <conditionalFormatting sqref="E34:O34">
    <cfRule type="expression" dxfId="3" priority="8">
      <formula>E30=E34</formula>
    </cfRule>
  </conditionalFormatting>
  <conditionalFormatting sqref="E34:O34">
    <cfRule type="expression" dxfId="0" priority="9">
      <formula>E34&lt;&gt;E30</formula>
    </cfRule>
  </conditionalFormatting>
  <conditionalFormatting sqref="E60:O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100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63">
        <v>128.0</v>
      </c>
      <c r="F14" s="63">
        <v>137.0</v>
      </c>
      <c r="G14" s="63">
        <v>126.0</v>
      </c>
      <c r="H14" s="63">
        <v>121.0</v>
      </c>
      <c r="I14" s="63">
        <v>118.0</v>
      </c>
      <c r="J14" s="63">
        <v>134.0</v>
      </c>
      <c r="K14" s="63">
        <v>114.0</v>
      </c>
      <c r="L14" s="63">
        <v>126.0</v>
      </c>
      <c r="M14" s="63">
        <v>150.0</v>
      </c>
      <c r="N14" s="63">
        <v>147.0</v>
      </c>
      <c r="O14" s="63">
        <v>145.0</v>
      </c>
      <c r="P14" s="63">
        <v>123.0</v>
      </c>
      <c r="Q14" s="63">
        <v>137.0</v>
      </c>
      <c r="R14" s="63">
        <v>138.0</v>
      </c>
      <c r="S14" s="63">
        <v>144.0</v>
      </c>
      <c r="T14" s="13">
        <f t="shared" ref="T14:T16" si="1">SUM(E14:S14)</f>
        <v>1988</v>
      </c>
    </row>
    <row r="15" ht="12.75" customHeight="1">
      <c r="A15" s="18"/>
      <c r="B15" s="26"/>
      <c r="C15" s="27"/>
      <c r="D15" s="19" t="s">
        <v>13</v>
      </c>
      <c r="E15" s="63">
        <v>161.0</v>
      </c>
      <c r="F15" s="63">
        <v>147.0</v>
      </c>
      <c r="G15" s="63">
        <v>125.0</v>
      </c>
      <c r="H15" s="63">
        <v>118.0</v>
      </c>
      <c r="I15" s="63">
        <v>123.0</v>
      </c>
      <c r="J15" s="63">
        <v>133.0</v>
      </c>
      <c r="K15" s="63">
        <v>137.0</v>
      </c>
      <c r="L15" s="63">
        <v>132.0</v>
      </c>
      <c r="M15" s="63">
        <v>138.0</v>
      </c>
      <c r="N15" s="63">
        <v>147.0</v>
      </c>
      <c r="O15" s="63">
        <v>136.0</v>
      </c>
      <c r="P15" s="63">
        <v>125.0</v>
      </c>
      <c r="Q15" s="63">
        <v>147.0</v>
      </c>
      <c r="R15" s="63">
        <v>146.0</v>
      </c>
      <c r="S15" s="63">
        <v>147.0</v>
      </c>
      <c r="T15" s="13">
        <f t="shared" si="1"/>
        <v>2062</v>
      </c>
    </row>
    <row r="16" ht="12.75" customHeight="1">
      <c r="A16" s="25"/>
      <c r="B16" s="21"/>
      <c r="C16" s="28"/>
      <c r="D16" s="13" t="s">
        <v>14</v>
      </c>
      <c r="E16" s="64">
        <f t="shared" ref="E16:S16" si="2">SUM(E14:E15)</f>
        <v>289</v>
      </c>
      <c r="F16" s="64">
        <f t="shared" si="2"/>
        <v>284</v>
      </c>
      <c r="G16" s="64">
        <f t="shared" si="2"/>
        <v>251</v>
      </c>
      <c r="H16" s="64">
        <f t="shared" si="2"/>
        <v>239</v>
      </c>
      <c r="I16" s="64">
        <f t="shared" si="2"/>
        <v>241</v>
      </c>
      <c r="J16" s="64">
        <f t="shared" si="2"/>
        <v>267</v>
      </c>
      <c r="K16" s="64">
        <f t="shared" si="2"/>
        <v>251</v>
      </c>
      <c r="L16" s="64">
        <f t="shared" si="2"/>
        <v>258</v>
      </c>
      <c r="M16" s="64">
        <f t="shared" si="2"/>
        <v>288</v>
      </c>
      <c r="N16" s="64">
        <f t="shared" si="2"/>
        <v>294</v>
      </c>
      <c r="O16" s="64">
        <f t="shared" si="2"/>
        <v>281</v>
      </c>
      <c r="P16" s="64">
        <f t="shared" si="2"/>
        <v>248</v>
      </c>
      <c r="Q16" s="64">
        <f t="shared" si="2"/>
        <v>284</v>
      </c>
      <c r="R16" s="64">
        <f t="shared" si="2"/>
        <v>284</v>
      </c>
      <c r="S16" s="64">
        <f t="shared" si="2"/>
        <v>291</v>
      </c>
      <c r="T16" s="13">
        <f t="shared" si="1"/>
        <v>4050</v>
      </c>
    </row>
    <row r="17" ht="12.75" customHeight="1">
      <c r="A17" s="24"/>
      <c r="B17" s="15"/>
      <c r="C17" s="15"/>
      <c r="D17" s="16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59"/>
    </row>
    <row r="18" ht="12.75" customHeight="1">
      <c r="A18" s="30" t="s">
        <v>15</v>
      </c>
      <c r="B18" s="20" t="s">
        <v>16</v>
      </c>
      <c r="C18" s="15"/>
      <c r="D18" s="16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3">
        <v>109.0</v>
      </c>
      <c r="F19" s="63">
        <v>111.0</v>
      </c>
      <c r="G19" s="63">
        <v>98.0</v>
      </c>
      <c r="H19" s="63">
        <v>109.0</v>
      </c>
      <c r="I19" s="63">
        <v>97.0</v>
      </c>
      <c r="J19" s="63">
        <v>95.0</v>
      </c>
      <c r="K19" s="63">
        <v>91.0</v>
      </c>
      <c r="L19" s="63">
        <v>94.0</v>
      </c>
      <c r="M19" s="63">
        <v>120.0</v>
      </c>
      <c r="N19" s="63">
        <v>111.0</v>
      </c>
      <c r="O19" s="63">
        <v>112.0</v>
      </c>
      <c r="P19" s="63">
        <v>92.0</v>
      </c>
      <c r="Q19" s="63">
        <v>107.0</v>
      </c>
      <c r="R19" s="63">
        <v>106.0</v>
      </c>
      <c r="S19" s="63">
        <v>107.0</v>
      </c>
      <c r="T19" s="13">
        <f t="shared" ref="T19:T30" si="3">SUM(E19:S19)</f>
        <v>1559</v>
      </c>
    </row>
    <row r="20" ht="12.75" customHeight="1">
      <c r="A20" s="33"/>
      <c r="B20" s="27"/>
      <c r="C20" s="34"/>
      <c r="D20" s="19" t="s">
        <v>13</v>
      </c>
      <c r="E20" s="63">
        <v>146.0</v>
      </c>
      <c r="F20" s="63">
        <v>120.0</v>
      </c>
      <c r="G20" s="63">
        <v>101.0</v>
      </c>
      <c r="H20" s="63">
        <v>104.0</v>
      </c>
      <c r="I20" s="63">
        <v>107.0</v>
      </c>
      <c r="J20" s="63">
        <v>110.0</v>
      </c>
      <c r="K20" s="63">
        <v>109.0</v>
      </c>
      <c r="L20" s="63">
        <v>105.0</v>
      </c>
      <c r="M20" s="63">
        <v>116.0</v>
      </c>
      <c r="N20" s="63">
        <v>118.0</v>
      </c>
      <c r="O20" s="63">
        <v>113.0</v>
      </c>
      <c r="P20" s="63">
        <v>98.0</v>
      </c>
      <c r="Q20" s="63">
        <v>121.0</v>
      </c>
      <c r="R20" s="63">
        <v>116.0</v>
      </c>
      <c r="S20" s="63">
        <v>109.0</v>
      </c>
      <c r="T20" s="13">
        <f t="shared" si="3"/>
        <v>1693</v>
      </c>
    </row>
    <row r="21" ht="12.75" customHeight="1">
      <c r="A21" s="35"/>
      <c r="B21" s="28"/>
      <c r="C21" s="36"/>
      <c r="D21" s="13" t="s">
        <v>14</v>
      </c>
      <c r="E21" s="64">
        <f t="shared" ref="E21:S21" si="4">SUM(E19:E20)</f>
        <v>255</v>
      </c>
      <c r="F21" s="64">
        <f t="shared" si="4"/>
        <v>231</v>
      </c>
      <c r="G21" s="64">
        <f t="shared" si="4"/>
        <v>199</v>
      </c>
      <c r="H21" s="64">
        <f t="shared" si="4"/>
        <v>213</v>
      </c>
      <c r="I21" s="64">
        <f t="shared" si="4"/>
        <v>204</v>
      </c>
      <c r="J21" s="64">
        <f t="shared" si="4"/>
        <v>205</v>
      </c>
      <c r="K21" s="64">
        <f t="shared" si="4"/>
        <v>200</v>
      </c>
      <c r="L21" s="64">
        <f t="shared" si="4"/>
        <v>199</v>
      </c>
      <c r="M21" s="64">
        <f t="shared" si="4"/>
        <v>236</v>
      </c>
      <c r="N21" s="64">
        <f t="shared" si="4"/>
        <v>229</v>
      </c>
      <c r="O21" s="64">
        <f t="shared" si="4"/>
        <v>225</v>
      </c>
      <c r="P21" s="64">
        <f t="shared" si="4"/>
        <v>190</v>
      </c>
      <c r="Q21" s="64">
        <f t="shared" si="4"/>
        <v>228</v>
      </c>
      <c r="R21" s="64">
        <f t="shared" si="4"/>
        <v>222</v>
      </c>
      <c r="S21" s="64">
        <f t="shared" si="4"/>
        <v>216</v>
      </c>
      <c r="T21" s="13">
        <f t="shared" si="3"/>
        <v>3252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3">
        <v>0.0</v>
      </c>
      <c r="F22" s="63">
        <v>0.0</v>
      </c>
      <c r="G22" s="63">
        <v>1.0</v>
      </c>
      <c r="H22" s="63">
        <v>2.0</v>
      </c>
      <c r="I22" s="63">
        <v>1.0</v>
      </c>
      <c r="J22" s="63">
        <v>0.0</v>
      </c>
      <c r="K22" s="63">
        <v>0.0</v>
      </c>
      <c r="L22" s="63">
        <v>0.0</v>
      </c>
      <c r="M22" s="63">
        <v>0.0</v>
      </c>
      <c r="N22" s="63">
        <v>0.0</v>
      </c>
      <c r="O22" s="63">
        <v>0.0</v>
      </c>
      <c r="P22" s="63">
        <v>0.0</v>
      </c>
      <c r="Q22" s="63">
        <v>0.0</v>
      </c>
      <c r="R22" s="63">
        <v>0.0</v>
      </c>
      <c r="S22" s="63">
        <v>1.0</v>
      </c>
      <c r="T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63">
        <v>0.0</v>
      </c>
      <c r="F23" s="63">
        <v>0.0</v>
      </c>
      <c r="G23" s="63">
        <v>0.0</v>
      </c>
      <c r="H23" s="63">
        <v>1.0</v>
      </c>
      <c r="I23" s="63">
        <v>0.0</v>
      </c>
      <c r="J23" s="63">
        <v>0.0</v>
      </c>
      <c r="K23" s="63">
        <v>0.0</v>
      </c>
      <c r="L23" s="63">
        <v>0.0</v>
      </c>
      <c r="M23" s="63">
        <v>0.0</v>
      </c>
      <c r="N23" s="63">
        <v>0.0</v>
      </c>
      <c r="O23" s="63">
        <v>0.0</v>
      </c>
      <c r="P23" s="63">
        <v>0.0</v>
      </c>
      <c r="Q23" s="63">
        <v>0.0</v>
      </c>
      <c r="R23" s="63">
        <v>0.0</v>
      </c>
      <c r="S23" s="63">
        <v>3.0</v>
      </c>
      <c r="T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64">
        <v>0.0</v>
      </c>
      <c r="F24" s="64">
        <f t="shared" ref="F24:S24" si="5">SUM(F22:F23)</f>
        <v>0</v>
      </c>
      <c r="G24" s="64">
        <f t="shared" si="5"/>
        <v>1</v>
      </c>
      <c r="H24" s="64">
        <f t="shared" si="5"/>
        <v>3</v>
      </c>
      <c r="I24" s="64">
        <f t="shared" si="5"/>
        <v>1</v>
      </c>
      <c r="J24" s="64">
        <f t="shared" si="5"/>
        <v>0</v>
      </c>
      <c r="K24" s="64">
        <f t="shared" si="5"/>
        <v>0</v>
      </c>
      <c r="L24" s="64">
        <f t="shared" si="5"/>
        <v>0</v>
      </c>
      <c r="M24" s="64">
        <f t="shared" si="5"/>
        <v>0</v>
      </c>
      <c r="N24" s="64">
        <f t="shared" si="5"/>
        <v>0</v>
      </c>
      <c r="O24" s="64">
        <f t="shared" si="5"/>
        <v>0</v>
      </c>
      <c r="P24" s="64">
        <f t="shared" si="5"/>
        <v>0</v>
      </c>
      <c r="Q24" s="64">
        <f t="shared" si="5"/>
        <v>0</v>
      </c>
      <c r="R24" s="64">
        <f t="shared" si="5"/>
        <v>0</v>
      </c>
      <c r="S24" s="64">
        <f t="shared" si="5"/>
        <v>4</v>
      </c>
      <c r="T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3">
        <v>0.0</v>
      </c>
      <c r="F25" s="63">
        <v>2.0</v>
      </c>
      <c r="G25" s="63">
        <v>1.0</v>
      </c>
      <c r="H25" s="63">
        <v>0.0</v>
      </c>
      <c r="I25" s="63">
        <v>0.0</v>
      </c>
      <c r="J25" s="63">
        <v>0.0</v>
      </c>
      <c r="K25" s="63">
        <v>0.0</v>
      </c>
      <c r="L25" s="63">
        <v>0.0</v>
      </c>
      <c r="M25" s="63">
        <v>1.0</v>
      </c>
      <c r="N25" s="63">
        <v>1.0</v>
      </c>
      <c r="O25" s="63">
        <v>0.0</v>
      </c>
      <c r="P25" s="63">
        <v>0.0</v>
      </c>
      <c r="Q25" s="63">
        <v>1.0</v>
      </c>
      <c r="R25" s="63">
        <v>0.0</v>
      </c>
      <c r="S25" s="63">
        <v>0.0</v>
      </c>
      <c r="T25" s="13">
        <f t="shared" si="3"/>
        <v>6</v>
      </c>
    </row>
    <row r="26" ht="12.75" customHeight="1">
      <c r="A26" s="33"/>
      <c r="B26" s="27"/>
      <c r="C26" s="34"/>
      <c r="D26" s="19" t="s">
        <v>13</v>
      </c>
      <c r="E26" s="63">
        <v>0.0</v>
      </c>
      <c r="F26" s="63">
        <v>4.0</v>
      </c>
      <c r="G26" s="63">
        <v>1.0</v>
      </c>
      <c r="H26" s="63">
        <v>0.0</v>
      </c>
      <c r="I26" s="63">
        <v>0.0</v>
      </c>
      <c r="J26" s="63">
        <v>1.0</v>
      </c>
      <c r="K26" s="63">
        <v>0.0</v>
      </c>
      <c r="L26" s="63">
        <v>0.0</v>
      </c>
      <c r="M26" s="63">
        <v>1.0</v>
      </c>
      <c r="N26" s="63">
        <v>2.0</v>
      </c>
      <c r="O26" s="63">
        <v>0.0</v>
      </c>
      <c r="P26" s="63">
        <v>0.0</v>
      </c>
      <c r="Q26" s="63">
        <v>2.0</v>
      </c>
      <c r="R26" s="63">
        <v>0.0</v>
      </c>
      <c r="S26" s="63">
        <v>0.0</v>
      </c>
      <c r="T26" s="13">
        <f t="shared" si="3"/>
        <v>11</v>
      </c>
    </row>
    <row r="27" ht="12.75" customHeight="1">
      <c r="A27" s="35"/>
      <c r="B27" s="28"/>
      <c r="C27" s="36"/>
      <c r="D27" s="13" t="s">
        <v>14</v>
      </c>
      <c r="E27" s="64">
        <f t="shared" ref="E27:S27" si="6">SUM(E25:E26)</f>
        <v>0</v>
      </c>
      <c r="F27" s="64">
        <f t="shared" si="6"/>
        <v>6</v>
      </c>
      <c r="G27" s="64">
        <f t="shared" si="6"/>
        <v>2</v>
      </c>
      <c r="H27" s="64">
        <f t="shared" si="6"/>
        <v>0</v>
      </c>
      <c r="I27" s="64">
        <f t="shared" si="6"/>
        <v>0</v>
      </c>
      <c r="J27" s="64">
        <f t="shared" si="6"/>
        <v>1</v>
      </c>
      <c r="K27" s="64">
        <f t="shared" si="6"/>
        <v>0</v>
      </c>
      <c r="L27" s="64">
        <f t="shared" si="6"/>
        <v>0</v>
      </c>
      <c r="M27" s="64">
        <f t="shared" si="6"/>
        <v>2</v>
      </c>
      <c r="N27" s="64">
        <f t="shared" si="6"/>
        <v>3</v>
      </c>
      <c r="O27" s="64">
        <f t="shared" si="6"/>
        <v>0</v>
      </c>
      <c r="P27" s="64">
        <f t="shared" si="6"/>
        <v>0</v>
      </c>
      <c r="Q27" s="64">
        <f t="shared" si="6"/>
        <v>3</v>
      </c>
      <c r="R27" s="64">
        <f t="shared" si="6"/>
        <v>0</v>
      </c>
      <c r="S27" s="64">
        <f t="shared" si="6"/>
        <v>0</v>
      </c>
      <c r="T27" s="13">
        <f t="shared" si="3"/>
        <v>17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64">
        <f t="shared" ref="E28:S28" si="7">SUM(E19,E22,E25)</f>
        <v>109</v>
      </c>
      <c r="F28" s="64">
        <f t="shared" si="7"/>
        <v>113</v>
      </c>
      <c r="G28" s="64">
        <f t="shared" si="7"/>
        <v>100</v>
      </c>
      <c r="H28" s="64">
        <f t="shared" si="7"/>
        <v>111</v>
      </c>
      <c r="I28" s="64">
        <f t="shared" si="7"/>
        <v>98</v>
      </c>
      <c r="J28" s="64">
        <f t="shared" si="7"/>
        <v>95</v>
      </c>
      <c r="K28" s="64">
        <f t="shared" si="7"/>
        <v>91</v>
      </c>
      <c r="L28" s="64">
        <f t="shared" si="7"/>
        <v>94</v>
      </c>
      <c r="M28" s="64">
        <f t="shared" si="7"/>
        <v>121</v>
      </c>
      <c r="N28" s="64">
        <f t="shared" si="7"/>
        <v>112</v>
      </c>
      <c r="O28" s="64">
        <f t="shared" si="7"/>
        <v>112</v>
      </c>
      <c r="P28" s="64">
        <f t="shared" si="7"/>
        <v>92</v>
      </c>
      <c r="Q28" s="64">
        <f t="shared" si="7"/>
        <v>108</v>
      </c>
      <c r="R28" s="64">
        <f t="shared" si="7"/>
        <v>106</v>
      </c>
      <c r="S28" s="64">
        <f t="shared" si="7"/>
        <v>108</v>
      </c>
      <c r="T28" s="13">
        <f t="shared" si="3"/>
        <v>1570</v>
      </c>
    </row>
    <row r="29" ht="12.75" customHeight="1">
      <c r="A29" s="35"/>
      <c r="B29" s="27"/>
      <c r="C29" s="34"/>
      <c r="D29" s="13" t="s">
        <v>13</v>
      </c>
      <c r="E29" s="64">
        <f t="shared" ref="E29:S29" si="8">SUM(E20,E23,E26)</f>
        <v>146</v>
      </c>
      <c r="F29" s="64">
        <f t="shared" si="8"/>
        <v>124</v>
      </c>
      <c r="G29" s="64">
        <f t="shared" si="8"/>
        <v>102</v>
      </c>
      <c r="H29" s="64">
        <f t="shared" si="8"/>
        <v>105</v>
      </c>
      <c r="I29" s="64">
        <f t="shared" si="8"/>
        <v>107</v>
      </c>
      <c r="J29" s="64">
        <f t="shared" si="8"/>
        <v>111</v>
      </c>
      <c r="K29" s="64">
        <f t="shared" si="8"/>
        <v>109</v>
      </c>
      <c r="L29" s="64">
        <f t="shared" si="8"/>
        <v>105</v>
      </c>
      <c r="M29" s="64">
        <f t="shared" si="8"/>
        <v>117</v>
      </c>
      <c r="N29" s="64">
        <f t="shared" si="8"/>
        <v>120</v>
      </c>
      <c r="O29" s="64">
        <f t="shared" si="8"/>
        <v>113</v>
      </c>
      <c r="P29" s="64">
        <f t="shared" si="8"/>
        <v>98</v>
      </c>
      <c r="Q29" s="64">
        <f t="shared" si="8"/>
        <v>123</v>
      </c>
      <c r="R29" s="64">
        <f t="shared" si="8"/>
        <v>116</v>
      </c>
      <c r="S29" s="64">
        <f t="shared" si="8"/>
        <v>112</v>
      </c>
      <c r="T29" s="13">
        <f t="shared" si="3"/>
        <v>1708</v>
      </c>
    </row>
    <row r="30" ht="12.75" customHeight="1">
      <c r="A30" s="35"/>
      <c r="B30" s="28"/>
      <c r="C30" s="36"/>
      <c r="D30" s="13" t="s">
        <v>14</v>
      </c>
      <c r="E30" s="66">
        <f t="shared" ref="E30:S30" si="9">SUM(E28:E29)</f>
        <v>255</v>
      </c>
      <c r="F30" s="66">
        <f t="shared" si="9"/>
        <v>237</v>
      </c>
      <c r="G30" s="66">
        <f t="shared" si="9"/>
        <v>202</v>
      </c>
      <c r="H30" s="66">
        <f t="shared" si="9"/>
        <v>216</v>
      </c>
      <c r="I30" s="66">
        <f t="shared" si="9"/>
        <v>205</v>
      </c>
      <c r="J30" s="66">
        <f t="shared" si="9"/>
        <v>206</v>
      </c>
      <c r="K30" s="66">
        <f t="shared" si="9"/>
        <v>200</v>
      </c>
      <c r="L30" s="66">
        <f t="shared" si="9"/>
        <v>199</v>
      </c>
      <c r="M30" s="66">
        <f t="shared" si="9"/>
        <v>238</v>
      </c>
      <c r="N30" s="66">
        <f t="shared" si="9"/>
        <v>232</v>
      </c>
      <c r="O30" s="66">
        <f t="shared" si="9"/>
        <v>225</v>
      </c>
      <c r="P30" s="66">
        <f t="shared" si="9"/>
        <v>190</v>
      </c>
      <c r="Q30" s="66">
        <f t="shared" si="9"/>
        <v>231</v>
      </c>
      <c r="R30" s="66">
        <f t="shared" si="9"/>
        <v>222</v>
      </c>
      <c r="S30" s="66">
        <f t="shared" si="9"/>
        <v>220</v>
      </c>
      <c r="T30" s="13">
        <f t="shared" si="3"/>
        <v>3278</v>
      </c>
    </row>
    <row r="31" ht="12.75" customHeight="1">
      <c r="A31" s="24"/>
      <c r="B31" s="15"/>
      <c r="C31" s="15"/>
      <c r="D31" s="16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59"/>
    </row>
    <row r="32" ht="12.75" customHeight="1">
      <c r="A32" s="41" t="s">
        <v>25</v>
      </c>
      <c r="B32" s="14" t="s">
        <v>26</v>
      </c>
      <c r="C32" s="15"/>
      <c r="D32" s="16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59"/>
    </row>
    <row r="33" ht="12.75" customHeight="1">
      <c r="A33" s="19">
        <v>1.0</v>
      </c>
      <c r="B33" s="20" t="s">
        <v>27</v>
      </c>
      <c r="C33" s="15"/>
      <c r="D33" s="16"/>
      <c r="E33" s="63">
        <v>295.0</v>
      </c>
      <c r="F33" s="63">
        <v>290.0</v>
      </c>
      <c r="G33" s="63">
        <v>257.0</v>
      </c>
      <c r="H33" s="63">
        <v>244.0</v>
      </c>
      <c r="I33" s="63">
        <v>246.0</v>
      </c>
      <c r="J33" s="63">
        <v>273.0</v>
      </c>
      <c r="K33" s="63">
        <v>257.0</v>
      </c>
      <c r="L33" s="63">
        <v>264.0</v>
      </c>
      <c r="M33" s="63">
        <v>294.0</v>
      </c>
      <c r="N33" s="63">
        <v>300.0</v>
      </c>
      <c r="O33" s="63">
        <v>287.0</v>
      </c>
      <c r="P33" s="63">
        <v>253.0</v>
      </c>
      <c r="Q33" s="63">
        <v>290.0</v>
      </c>
      <c r="R33" s="63">
        <v>290.0</v>
      </c>
      <c r="S33" s="63">
        <v>297.0</v>
      </c>
      <c r="T33" s="13">
        <f t="shared" ref="T33:T36" si="10">SUM(E33:S33)</f>
        <v>4137</v>
      </c>
    </row>
    <row r="34" ht="12.75" customHeight="1">
      <c r="A34" s="19">
        <v>2.0</v>
      </c>
      <c r="B34" s="20" t="s">
        <v>28</v>
      </c>
      <c r="C34" s="15"/>
      <c r="D34" s="16"/>
      <c r="E34" s="67">
        <v>255.0</v>
      </c>
      <c r="F34" s="67">
        <v>237.0</v>
      </c>
      <c r="G34" s="67">
        <v>202.0</v>
      </c>
      <c r="H34" s="67">
        <v>216.0</v>
      </c>
      <c r="I34" s="67">
        <v>205.0</v>
      </c>
      <c r="J34" s="67">
        <v>206.0</v>
      </c>
      <c r="K34" s="67">
        <v>200.0</v>
      </c>
      <c r="L34" s="67">
        <v>199.0</v>
      </c>
      <c r="M34" s="67">
        <v>238.0</v>
      </c>
      <c r="N34" s="67">
        <v>232.0</v>
      </c>
      <c r="O34" s="67">
        <v>225.0</v>
      </c>
      <c r="P34" s="67">
        <v>190.0</v>
      </c>
      <c r="Q34" s="67">
        <v>231.0</v>
      </c>
      <c r="R34" s="67">
        <v>222.0</v>
      </c>
      <c r="S34" s="67">
        <v>220.0</v>
      </c>
      <c r="T34" s="13">
        <f t="shared" si="10"/>
        <v>3278</v>
      </c>
    </row>
    <row r="35" ht="12.75" customHeight="1">
      <c r="A35" s="19">
        <v>3.0</v>
      </c>
      <c r="B35" s="20" t="s">
        <v>29</v>
      </c>
      <c r="C35" s="15"/>
      <c r="D35" s="16"/>
      <c r="E35" s="63">
        <v>0.0</v>
      </c>
      <c r="F35" s="63">
        <v>1.0</v>
      </c>
      <c r="G35" s="63">
        <v>0.0</v>
      </c>
      <c r="H35" s="63">
        <v>0.0</v>
      </c>
      <c r="I35" s="63">
        <v>0.0</v>
      </c>
      <c r="J35" s="63">
        <v>0.0</v>
      </c>
      <c r="K35" s="63">
        <v>0.0</v>
      </c>
      <c r="L35" s="63">
        <v>0.0</v>
      </c>
      <c r="M35" s="63">
        <v>0.0</v>
      </c>
      <c r="N35" s="63">
        <v>0.0</v>
      </c>
      <c r="O35" s="63">
        <v>2.0</v>
      </c>
      <c r="P35" s="63">
        <v>0.0</v>
      </c>
      <c r="Q35" s="63">
        <v>1.0</v>
      </c>
      <c r="R35" s="63">
        <v>0.0</v>
      </c>
      <c r="S35" s="63">
        <v>0.0</v>
      </c>
      <c r="T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64">
        <f t="shared" ref="E36:S36" si="11">E33-(E34+E35)</f>
        <v>40</v>
      </c>
      <c r="F36" s="64">
        <f t="shared" si="11"/>
        <v>52</v>
      </c>
      <c r="G36" s="64">
        <f t="shared" si="11"/>
        <v>55</v>
      </c>
      <c r="H36" s="64">
        <f t="shared" si="11"/>
        <v>28</v>
      </c>
      <c r="I36" s="64">
        <f t="shared" si="11"/>
        <v>41</v>
      </c>
      <c r="J36" s="64">
        <f t="shared" si="11"/>
        <v>67</v>
      </c>
      <c r="K36" s="64">
        <f t="shared" si="11"/>
        <v>57</v>
      </c>
      <c r="L36" s="64">
        <f t="shared" si="11"/>
        <v>65</v>
      </c>
      <c r="M36" s="64">
        <f t="shared" si="11"/>
        <v>56</v>
      </c>
      <c r="N36" s="64">
        <f t="shared" si="11"/>
        <v>68</v>
      </c>
      <c r="O36" s="64">
        <f t="shared" si="11"/>
        <v>60</v>
      </c>
      <c r="P36" s="64">
        <f t="shared" si="11"/>
        <v>63</v>
      </c>
      <c r="Q36" s="64">
        <f t="shared" si="11"/>
        <v>58</v>
      </c>
      <c r="R36" s="64">
        <f t="shared" si="11"/>
        <v>68</v>
      </c>
      <c r="S36" s="64">
        <f t="shared" si="11"/>
        <v>77</v>
      </c>
      <c r="T36" s="13">
        <f t="shared" si="10"/>
        <v>855</v>
      </c>
    </row>
    <row r="37" ht="12.75" customHeight="1">
      <c r="A37" s="24"/>
      <c r="B37" s="15"/>
      <c r="C37" s="15"/>
      <c r="D37" s="15"/>
      <c r="E37" s="68"/>
      <c r="F37" s="15"/>
      <c r="G37" s="15"/>
      <c r="H37" s="15"/>
      <c r="I37" s="16"/>
      <c r="J37" s="65"/>
      <c r="K37" s="65"/>
      <c r="L37" s="65"/>
      <c r="M37" s="65"/>
      <c r="N37" s="65"/>
      <c r="O37" s="65"/>
      <c r="P37" s="65"/>
      <c r="Q37" s="65"/>
      <c r="R37" s="65"/>
      <c r="S37" s="68"/>
      <c r="T37" s="59"/>
    </row>
    <row r="38" ht="12.75" customHeight="1">
      <c r="A38" s="42" t="s">
        <v>31</v>
      </c>
      <c r="B38" s="14" t="s">
        <v>32</v>
      </c>
      <c r="C38" s="15"/>
      <c r="D38" s="16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59"/>
    </row>
    <row r="39" ht="12.75" customHeight="1">
      <c r="A39" s="30"/>
      <c r="B39" s="43" t="s">
        <v>33</v>
      </c>
      <c r="C39" s="23"/>
      <c r="D39" s="19" t="s">
        <v>12</v>
      </c>
      <c r="E39" s="63">
        <v>0.0</v>
      </c>
      <c r="F39" s="63">
        <v>0.0</v>
      </c>
      <c r="G39" s="63">
        <v>0.0</v>
      </c>
      <c r="H39" s="63">
        <v>0.0</v>
      </c>
      <c r="I39" s="63">
        <v>1.0</v>
      </c>
      <c r="J39" s="63">
        <v>0.0</v>
      </c>
      <c r="K39" s="63">
        <v>0.0</v>
      </c>
      <c r="L39" s="63">
        <v>0.0</v>
      </c>
      <c r="M39" s="63">
        <v>0.0</v>
      </c>
      <c r="N39" s="63">
        <v>0.0</v>
      </c>
      <c r="O39" s="63">
        <v>0.0</v>
      </c>
      <c r="P39" s="63">
        <v>0.0</v>
      </c>
      <c r="Q39" s="63">
        <v>0.0</v>
      </c>
      <c r="R39" s="63">
        <v>0.0</v>
      </c>
      <c r="S39" s="63">
        <v>0.0</v>
      </c>
      <c r="T39" s="13">
        <f t="shared" ref="T39:T41" si="12">SUM(E39:S39)</f>
        <v>1</v>
      </c>
    </row>
    <row r="40" ht="12.75" customHeight="1">
      <c r="A40" s="33"/>
      <c r="C40" s="27"/>
      <c r="D40" s="19" t="s">
        <v>13</v>
      </c>
      <c r="E40" s="63">
        <v>0.0</v>
      </c>
      <c r="F40" s="63">
        <v>0.0</v>
      </c>
      <c r="G40" s="63">
        <v>0.0</v>
      </c>
      <c r="H40" s="63">
        <v>0.0</v>
      </c>
      <c r="I40" s="63">
        <v>3.0</v>
      </c>
      <c r="J40" s="63">
        <v>0.0</v>
      </c>
      <c r="K40" s="63">
        <v>0.0</v>
      </c>
      <c r="L40" s="63">
        <v>0.0</v>
      </c>
      <c r="M40" s="63">
        <v>0.0</v>
      </c>
      <c r="N40" s="63">
        <v>0.0</v>
      </c>
      <c r="O40" s="63">
        <v>0.0</v>
      </c>
      <c r="P40" s="63">
        <v>0.0</v>
      </c>
      <c r="Q40" s="63">
        <v>0.0</v>
      </c>
      <c r="R40" s="63">
        <v>0.0</v>
      </c>
      <c r="S40" s="63">
        <v>0.0</v>
      </c>
      <c r="T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64">
        <f t="shared" ref="E41:S41" si="13">SUM(E39:E40)</f>
        <v>0</v>
      </c>
      <c r="F41" s="64">
        <f t="shared" si="13"/>
        <v>0</v>
      </c>
      <c r="G41" s="64">
        <f t="shared" si="13"/>
        <v>0</v>
      </c>
      <c r="H41" s="64">
        <f t="shared" si="13"/>
        <v>0</v>
      </c>
      <c r="I41" s="64">
        <f t="shared" si="13"/>
        <v>4</v>
      </c>
      <c r="J41" s="64">
        <f t="shared" si="13"/>
        <v>0</v>
      </c>
      <c r="K41" s="64">
        <f t="shared" si="13"/>
        <v>0</v>
      </c>
      <c r="L41" s="64">
        <f t="shared" si="13"/>
        <v>0</v>
      </c>
      <c r="M41" s="64">
        <f t="shared" si="13"/>
        <v>0</v>
      </c>
      <c r="N41" s="64">
        <f t="shared" si="13"/>
        <v>0</v>
      </c>
      <c r="O41" s="64">
        <f t="shared" si="13"/>
        <v>0</v>
      </c>
      <c r="P41" s="64">
        <f t="shared" si="13"/>
        <v>0</v>
      </c>
      <c r="Q41" s="64">
        <f t="shared" si="13"/>
        <v>0</v>
      </c>
      <c r="R41" s="64">
        <f t="shared" si="13"/>
        <v>0</v>
      </c>
      <c r="S41" s="64">
        <f t="shared" si="13"/>
        <v>0</v>
      </c>
      <c r="T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58"/>
      <c r="S42" s="19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60"/>
      <c r="S43" s="13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58"/>
      <c r="S44" s="19"/>
      <c r="T44" s="13"/>
    </row>
    <row r="45" ht="12.75" customHeight="1">
      <c r="A45" s="30"/>
      <c r="B45" s="47" t="s">
        <v>17</v>
      </c>
      <c r="C45" s="62" t="s">
        <v>38</v>
      </c>
      <c r="D45" s="16"/>
      <c r="E45" s="19">
        <v>14.0</v>
      </c>
      <c r="F45" s="19">
        <v>19.0</v>
      </c>
      <c r="G45" s="19">
        <v>10.0</v>
      </c>
      <c r="H45" s="19">
        <v>10.0</v>
      </c>
      <c r="I45" s="19">
        <v>3.0</v>
      </c>
      <c r="J45" s="19">
        <v>17.0</v>
      </c>
      <c r="K45" s="19">
        <v>14.0</v>
      </c>
      <c r="L45" s="19">
        <v>13.0</v>
      </c>
      <c r="M45" s="19">
        <v>22.0</v>
      </c>
      <c r="N45" s="19">
        <v>14.0</v>
      </c>
      <c r="O45" s="19">
        <v>9.0</v>
      </c>
      <c r="P45" s="19">
        <v>8.0</v>
      </c>
      <c r="Q45" s="19">
        <v>9.0</v>
      </c>
      <c r="R45" s="19">
        <v>15.0</v>
      </c>
      <c r="S45" s="19">
        <v>12.0</v>
      </c>
      <c r="T45" s="13">
        <f t="shared" ref="T45:T57" si="14">SUM(E45:S45)</f>
        <v>189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29.0</v>
      </c>
      <c r="F46" s="19">
        <v>22.0</v>
      </c>
      <c r="G46" s="19">
        <v>33.0</v>
      </c>
      <c r="H46" s="19">
        <v>46.0</v>
      </c>
      <c r="I46" s="19">
        <v>41.0</v>
      </c>
      <c r="J46" s="19">
        <v>33.0</v>
      </c>
      <c r="K46" s="19">
        <v>42.0</v>
      </c>
      <c r="L46" s="19">
        <v>24.0</v>
      </c>
      <c r="M46" s="19">
        <v>20.0</v>
      </c>
      <c r="N46" s="19">
        <v>28.0</v>
      </c>
      <c r="O46" s="19">
        <v>11.0</v>
      </c>
      <c r="P46" s="19">
        <v>6.0</v>
      </c>
      <c r="Q46" s="19">
        <v>28.0</v>
      </c>
      <c r="R46" s="19">
        <v>36.0</v>
      </c>
      <c r="S46" s="19">
        <v>30.0</v>
      </c>
      <c r="T46" s="13">
        <f t="shared" si="14"/>
        <v>429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16.0</v>
      </c>
      <c r="F47" s="19">
        <v>22.0</v>
      </c>
      <c r="G47" s="19">
        <v>16.0</v>
      </c>
      <c r="H47" s="19">
        <v>12.0</v>
      </c>
      <c r="I47" s="19">
        <v>10.0</v>
      </c>
      <c r="J47" s="19">
        <v>16.0</v>
      </c>
      <c r="K47" s="19">
        <v>25.0</v>
      </c>
      <c r="L47" s="19">
        <v>17.0</v>
      </c>
      <c r="M47" s="19">
        <v>9.0</v>
      </c>
      <c r="N47" s="19">
        <v>19.0</v>
      </c>
      <c r="O47" s="19">
        <v>12.0</v>
      </c>
      <c r="P47" s="19">
        <v>13.0</v>
      </c>
      <c r="Q47" s="19">
        <v>11.0</v>
      </c>
      <c r="R47" s="19">
        <v>12.0</v>
      </c>
      <c r="S47" s="19">
        <v>18.0</v>
      </c>
      <c r="T47" s="13">
        <f t="shared" si="14"/>
        <v>228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35.0</v>
      </c>
      <c r="F48" s="19">
        <v>27.0</v>
      </c>
      <c r="G48" s="19">
        <v>36.0</v>
      </c>
      <c r="H48" s="19">
        <v>37.0</v>
      </c>
      <c r="I48" s="19">
        <v>33.0</v>
      </c>
      <c r="J48" s="19">
        <v>38.0</v>
      </c>
      <c r="K48" s="19">
        <v>29.0</v>
      </c>
      <c r="L48" s="19">
        <v>44.0</v>
      </c>
      <c r="M48" s="19">
        <v>27.0</v>
      </c>
      <c r="N48" s="19">
        <v>37.0</v>
      </c>
      <c r="O48" s="19">
        <v>17.0</v>
      </c>
      <c r="P48" s="19">
        <v>9.0</v>
      </c>
      <c r="Q48" s="19">
        <v>36.0</v>
      </c>
      <c r="R48" s="19">
        <v>34.0</v>
      </c>
      <c r="S48" s="19">
        <v>17.0</v>
      </c>
      <c r="T48" s="13">
        <f t="shared" si="14"/>
        <v>456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20.0</v>
      </c>
      <c r="F49" s="19">
        <v>16.0</v>
      </c>
      <c r="G49" s="19">
        <v>12.0</v>
      </c>
      <c r="H49" s="19">
        <v>16.0</v>
      </c>
      <c r="I49" s="19">
        <v>8.0</v>
      </c>
      <c r="J49" s="19">
        <v>10.0</v>
      </c>
      <c r="K49" s="19">
        <v>9.0</v>
      </c>
      <c r="L49" s="19">
        <v>11.0</v>
      </c>
      <c r="M49" s="19">
        <v>11.0</v>
      </c>
      <c r="N49" s="19">
        <v>17.0</v>
      </c>
      <c r="O49" s="19">
        <v>9.0</v>
      </c>
      <c r="P49" s="19">
        <v>7.0</v>
      </c>
      <c r="Q49" s="19">
        <v>21.0</v>
      </c>
      <c r="R49" s="19">
        <v>8.0</v>
      </c>
      <c r="S49" s="19">
        <v>15.0</v>
      </c>
      <c r="T49" s="13">
        <f t="shared" si="14"/>
        <v>190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17.0</v>
      </c>
      <c r="F50" s="19">
        <v>20.0</v>
      </c>
      <c r="G50" s="19">
        <v>9.0</v>
      </c>
      <c r="H50" s="19">
        <v>12.0</v>
      </c>
      <c r="I50" s="19">
        <v>19.0</v>
      </c>
      <c r="J50" s="19">
        <v>13.0</v>
      </c>
      <c r="K50" s="19">
        <v>17.0</v>
      </c>
      <c r="L50" s="19">
        <v>13.0</v>
      </c>
      <c r="M50" s="19">
        <v>18.0</v>
      </c>
      <c r="N50" s="19">
        <v>12.0</v>
      </c>
      <c r="O50" s="19">
        <v>3.0</v>
      </c>
      <c r="P50" s="19">
        <v>2.0</v>
      </c>
      <c r="Q50" s="19">
        <v>16.0</v>
      </c>
      <c r="R50" s="19">
        <v>9.0</v>
      </c>
      <c r="S50" s="19">
        <v>29.0</v>
      </c>
      <c r="T50" s="13">
        <f t="shared" si="14"/>
        <v>209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11.0</v>
      </c>
      <c r="F51" s="19">
        <v>3.0</v>
      </c>
      <c r="G51" s="19">
        <v>2.0</v>
      </c>
      <c r="H51" s="19">
        <v>0.0</v>
      </c>
      <c r="I51" s="19">
        <v>4.0</v>
      </c>
      <c r="J51" s="19">
        <v>5.0</v>
      </c>
      <c r="K51" s="19">
        <v>0.0</v>
      </c>
      <c r="L51" s="19">
        <v>3.0</v>
      </c>
      <c r="M51" s="19">
        <v>3.0</v>
      </c>
      <c r="N51" s="19">
        <v>4.0</v>
      </c>
      <c r="O51" s="19">
        <v>7.0</v>
      </c>
      <c r="P51" s="19">
        <v>11.0</v>
      </c>
      <c r="Q51" s="19">
        <v>1.0</v>
      </c>
      <c r="R51" s="19">
        <v>4.0</v>
      </c>
      <c r="S51" s="19">
        <v>1.0</v>
      </c>
      <c r="T51" s="13">
        <f t="shared" si="14"/>
        <v>59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0.0</v>
      </c>
      <c r="F52" s="19">
        <v>1.0</v>
      </c>
      <c r="G52" s="19">
        <v>2.0</v>
      </c>
      <c r="H52" s="19">
        <v>0.0</v>
      </c>
      <c r="I52" s="19">
        <v>0.0</v>
      </c>
      <c r="J52" s="19">
        <v>3.0</v>
      </c>
      <c r="K52" s="19">
        <v>1.0</v>
      </c>
      <c r="L52" s="19">
        <v>1.0</v>
      </c>
      <c r="M52" s="19">
        <v>3.0</v>
      </c>
      <c r="N52" s="19">
        <v>4.0</v>
      </c>
      <c r="O52" s="19">
        <v>43.0</v>
      </c>
      <c r="P52" s="19">
        <v>29.0</v>
      </c>
      <c r="Q52" s="19">
        <v>5.0</v>
      </c>
      <c r="R52" s="19">
        <v>13.0</v>
      </c>
      <c r="S52" s="19">
        <v>1.0</v>
      </c>
      <c r="T52" s="13">
        <f t="shared" si="14"/>
        <v>106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1.0</v>
      </c>
      <c r="F53" s="19">
        <v>0.0</v>
      </c>
      <c r="G53" s="19">
        <v>1.0</v>
      </c>
      <c r="H53" s="19">
        <v>1.0</v>
      </c>
      <c r="I53" s="19">
        <v>0.0</v>
      </c>
      <c r="J53" s="19">
        <v>1.0</v>
      </c>
      <c r="K53" s="19">
        <v>2.0</v>
      </c>
      <c r="L53" s="19">
        <v>2.0</v>
      </c>
      <c r="M53" s="19">
        <v>0.0</v>
      </c>
      <c r="N53" s="19">
        <v>1.0</v>
      </c>
      <c r="O53" s="19">
        <v>1.0</v>
      </c>
      <c r="P53" s="19">
        <v>1.0</v>
      </c>
      <c r="Q53" s="19">
        <v>0.0</v>
      </c>
      <c r="R53" s="19">
        <v>0.0</v>
      </c>
      <c r="S53" s="19">
        <v>2.0</v>
      </c>
      <c r="T53" s="13">
        <f t="shared" si="14"/>
        <v>13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31.0</v>
      </c>
      <c r="F54" s="19">
        <v>24.0</v>
      </c>
      <c r="G54" s="19">
        <v>26.0</v>
      </c>
      <c r="H54" s="19">
        <v>22.0</v>
      </c>
      <c r="I54" s="19">
        <v>12.0</v>
      </c>
      <c r="J54" s="19">
        <v>11.0</v>
      </c>
      <c r="K54" s="19">
        <v>13.0</v>
      </c>
      <c r="L54" s="19">
        <v>13.0</v>
      </c>
      <c r="M54" s="19">
        <v>18.0</v>
      </c>
      <c r="N54" s="19">
        <v>18.0</v>
      </c>
      <c r="O54" s="19">
        <v>14.0</v>
      </c>
      <c r="P54" s="19">
        <v>9.0</v>
      </c>
      <c r="Q54" s="19">
        <v>17.0</v>
      </c>
      <c r="R54" s="19">
        <v>6.0</v>
      </c>
      <c r="S54" s="19">
        <v>15.0</v>
      </c>
      <c r="T54" s="13">
        <f t="shared" si="14"/>
        <v>249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3.0</v>
      </c>
      <c r="F55" s="19">
        <v>1.0</v>
      </c>
      <c r="G55" s="19">
        <v>1.0</v>
      </c>
      <c r="H55" s="19">
        <v>0.0</v>
      </c>
      <c r="I55" s="19">
        <v>0.0</v>
      </c>
      <c r="J55" s="19">
        <v>1.0</v>
      </c>
      <c r="K55" s="19">
        <v>0.0</v>
      </c>
      <c r="L55" s="19">
        <v>0.0</v>
      </c>
      <c r="M55" s="19">
        <v>1.0</v>
      </c>
      <c r="N55" s="19">
        <v>1.0</v>
      </c>
      <c r="O55" s="19">
        <v>15.0</v>
      </c>
      <c r="P55" s="19">
        <v>10.0</v>
      </c>
      <c r="Q55" s="19">
        <v>3.0</v>
      </c>
      <c r="R55" s="19">
        <v>3.0</v>
      </c>
      <c r="S55" s="19">
        <v>0.0</v>
      </c>
      <c r="T55" s="13">
        <f t="shared" si="14"/>
        <v>39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33.0</v>
      </c>
      <c r="F56" s="19">
        <v>21.0</v>
      </c>
      <c r="G56" s="19">
        <v>23.0</v>
      </c>
      <c r="H56" s="19">
        <v>21.0</v>
      </c>
      <c r="I56" s="19">
        <v>26.0</v>
      </c>
      <c r="J56" s="19">
        <v>17.0</v>
      </c>
      <c r="K56" s="19">
        <v>16.0</v>
      </c>
      <c r="L56" s="19">
        <v>24.0</v>
      </c>
      <c r="M56" s="19">
        <v>7.0</v>
      </c>
      <c r="N56" s="19">
        <v>22.0</v>
      </c>
      <c r="O56" s="19">
        <v>4.0</v>
      </c>
      <c r="P56" s="19">
        <v>3.0</v>
      </c>
      <c r="Q56" s="19">
        <v>24.0</v>
      </c>
      <c r="R56" s="19">
        <v>13.0</v>
      </c>
      <c r="S56" s="19">
        <v>10.0</v>
      </c>
      <c r="T56" s="13">
        <f t="shared" si="14"/>
        <v>264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3.0</v>
      </c>
      <c r="F57" s="19">
        <v>3.0</v>
      </c>
      <c r="G57" s="19">
        <v>5.0</v>
      </c>
      <c r="H57" s="19">
        <v>3.0</v>
      </c>
      <c r="I57" s="19">
        <v>3.0</v>
      </c>
      <c r="J57" s="19">
        <v>0.0</v>
      </c>
      <c r="K57" s="19">
        <v>1.0</v>
      </c>
      <c r="L57" s="19">
        <v>0.0</v>
      </c>
      <c r="M57" s="19">
        <v>1.0</v>
      </c>
      <c r="N57" s="19">
        <v>2.0</v>
      </c>
      <c r="O57" s="19">
        <v>3.0</v>
      </c>
      <c r="P57" s="19">
        <v>0.0</v>
      </c>
      <c r="Q57" s="19">
        <v>3.0</v>
      </c>
      <c r="R57" s="19">
        <v>2.0</v>
      </c>
      <c r="S57" s="19">
        <v>0.0</v>
      </c>
      <c r="T57" s="13">
        <f t="shared" si="14"/>
        <v>29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60"/>
      <c r="S59" s="60"/>
      <c r="T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S60" si="15">SUM(E45:E57)</f>
        <v>213</v>
      </c>
      <c r="F60" s="19">
        <f t="shared" si="15"/>
        <v>179</v>
      </c>
      <c r="G60" s="19">
        <f t="shared" si="15"/>
        <v>176</v>
      </c>
      <c r="H60" s="19">
        <f t="shared" si="15"/>
        <v>180</v>
      </c>
      <c r="I60" s="19">
        <f t="shared" si="15"/>
        <v>159</v>
      </c>
      <c r="J60" s="19">
        <f t="shared" si="15"/>
        <v>165</v>
      </c>
      <c r="K60" s="19">
        <f t="shared" si="15"/>
        <v>169</v>
      </c>
      <c r="L60" s="19">
        <f t="shared" si="15"/>
        <v>165</v>
      </c>
      <c r="M60" s="19">
        <f t="shared" si="15"/>
        <v>140</v>
      </c>
      <c r="N60" s="19">
        <f t="shared" si="15"/>
        <v>179</v>
      </c>
      <c r="O60" s="19">
        <f t="shared" si="15"/>
        <v>148</v>
      </c>
      <c r="P60" s="19">
        <f t="shared" si="15"/>
        <v>108</v>
      </c>
      <c r="Q60" s="19">
        <f t="shared" si="15"/>
        <v>174</v>
      </c>
      <c r="R60" s="19">
        <f t="shared" si="15"/>
        <v>155</v>
      </c>
      <c r="S60" s="19">
        <f t="shared" si="15"/>
        <v>150</v>
      </c>
      <c r="T60" s="13">
        <f t="shared" ref="T60:T62" si="16">SUM(E60:S60)</f>
        <v>2460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42.0</v>
      </c>
      <c r="F61" s="19">
        <v>58.0</v>
      </c>
      <c r="G61" s="19">
        <v>26.0</v>
      </c>
      <c r="H61" s="19">
        <v>36.0</v>
      </c>
      <c r="I61" s="19">
        <v>46.0</v>
      </c>
      <c r="J61" s="19">
        <v>41.0</v>
      </c>
      <c r="K61" s="19">
        <v>31.0</v>
      </c>
      <c r="L61" s="19">
        <v>34.0</v>
      </c>
      <c r="M61" s="19">
        <v>98.0</v>
      </c>
      <c r="N61" s="19">
        <v>53.0</v>
      </c>
      <c r="O61" s="19">
        <v>77.0</v>
      </c>
      <c r="P61" s="19">
        <v>82.0</v>
      </c>
      <c r="Q61" s="19">
        <v>57.0</v>
      </c>
      <c r="R61" s="19">
        <v>67.0</v>
      </c>
      <c r="S61" s="19">
        <v>70.0</v>
      </c>
      <c r="T61" s="13">
        <f t="shared" si="16"/>
        <v>818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S62" si="17">SUM(E60:E61)</f>
        <v>255</v>
      </c>
      <c r="F62" s="13">
        <f t="shared" si="17"/>
        <v>237</v>
      </c>
      <c r="G62" s="13">
        <f t="shared" si="17"/>
        <v>202</v>
      </c>
      <c r="H62" s="13">
        <f t="shared" si="17"/>
        <v>216</v>
      </c>
      <c r="I62" s="13">
        <f t="shared" si="17"/>
        <v>205</v>
      </c>
      <c r="J62" s="13">
        <f t="shared" si="17"/>
        <v>206</v>
      </c>
      <c r="K62" s="13">
        <f t="shared" si="17"/>
        <v>200</v>
      </c>
      <c r="L62" s="13">
        <f t="shared" si="17"/>
        <v>199</v>
      </c>
      <c r="M62" s="13">
        <f t="shared" si="17"/>
        <v>238</v>
      </c>
      <c r="N62" s="13">
        <f t="shared" si="17"/>
        <v>232</v>
      </c>
      <c r="O62" s="13">
        <f t="shared" si="17"/>
        <v>225</v>
      </c>
      <c r="P62" s="13">
        <f t="shared" si="17"/>
        <v>190</v>
      </c>
      <c r="Q62" s="13">
        <f t="shared" si="17"/>
        <v>231</v>
      </c>
      <c r="R62" s="13">
        <f t="shared" si="17"/>
        <v>222</v>
      </c>
      <c r="S62" s="13">
        <f t="shared" si="17"/>
        <v>220</v>
      </c>
      <c r="T62" s="13">
        <f t="shared" si="16"/>
        <v>3278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S34">
    <cfRule type="expression" dxfId="0" priority="1">
      <formula>E34&lt;&gt;#REF!</formula>
    </cfRule>
  </conditionalFormatting>
  <conditionalFormatting sqref="E14:S15 E45:S57">
    <cfRule type="containsBlanks" dxfId="1" priority="2">
      <formula>LEN(TRIM(E14))=0</formula>
    </cfRule>
  </conditionalFormatting>
  <conditionalFormatting sqref="E19:S20">
    <cfRule type="containsBlanks" dxfId="1" priority="3">
      <formula>LEN(TRIM(E19))=0</formula>
    </cfRule>
  </conditionalFormatting>
  <conditionalFormatting sqref="E22:S23 E25:S26 E33:S33 E35:S35 E39:S40">
    <cfRule type="containsBlanks" dxfId="1" priority="4">
      <formula>LEN(TRIM(E22))=0</formula>
    </cfRule>
  </conditionalFormatting>
  <conditionalFormatting sqref="E30:S30">
    <cfRule type="expression" dxfId="0" priority="5">
      <formula>E30&lt;&gt;E46</formula>
    </cfRule>
  </conditionalFormatting>
  <conditionalFormatting sqref="E30:S30">
    <cfRule type="expression" dxfId="0" priority="6">
      <formula>E30&lt;&gt;E34</formula>
    </cfRule>
  </conditionalFormatting>
  <conditionalFormatting sqref="E34:S34">
    <cfRule type="expression" dxfId="2" priority="7">
      <formula>E30&lt;&gt;E34</formula>
    </cfRule>
  </conditionalFormatting>
  <conditionalFormatting sqref="E34:S34">
    <cfRule type="expression" dxfId="3" priority="8">
      <formula>E30=E34</formula>
    </cfRule>
  </conditionalFormatting>
  <conditionalFormatting sqref="E34:S34">
    <cfRule type="expression" dxfId="0" priority="9">
      <formula>E34&lt;&gt;E30</formula>
    </cfRule>
  </conditionalFormatting>
  <conditionalFormatting sqref="E60:S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  <col customWidth="1" min="17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101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36"/>
    </row>
    <row r="14" ht="12.75" customHeight="1">
      <c r="A14" s="18"/>
      <c r="B14" s="22" t="s">
        <v>11</v>
      </c>
      <c r="C14" s="23"/>
      <c r="D14" s="19" t="s">
        <v>12</v>
      </c>
      <c r="E14" s="63">
        <v>144.0</v>
      </c>
      <c r="F14" s="63">
        <v>103.0</v>
      </c>
      <c r="G14" s="63">
        <v>108.0</v>
      </c>
      <c r="H14" s="63">
        <v>112.0</v>
      </c>
      <c r="I14" s="63">
        <v>127.0</v>
      </c>
      <c r="J14" s="63">
        <v>153.0</v>
      </c>
      <c r="K14" s="63">
        <v>123.0</v>
      </c>
      <c r="L14" s="63">
        <v>145.0</v>
      </c>
      <c r="M14" s="63">
        <v>135.0</v>
      </c>
      <c r="N14" s="63">
        <v>118.0</v>
      </c>
      <c r="O14" s="63">
        <v>109.0</v>
      </c>
      <c r="P14" s="13">
        <f t="shared" ref="P14:P16" si="1">SUM(E14:O14)</f>
        <v>1377</v>
      </c>
    </row>
    <row r="15" ht="12.75" customHeight="1">
      <c r="A15" s="18"/>
      <c r="B15" s="26"/>
      <c r="C15" s="27"/>
      <c r="D15" s="19" t="s">
        <v>13</v>
      </c>
      <c r="E15" s="63">
        <v>130.0</v>
      </c>
      <c r="F15" s="63">
        <v>96.0</v>
      </c>
      <c r="G15" s="63">
        <v>103.0</v>
      </c>
      <c r="H15" s="63">
        <v>110.0</v>
      </c>
      <c r="I15" s="63">
        <v>120.0</v>
      </c>
      <c r="J15" s="63">
        <v>143.0</v>
      </c>
      <c r="K15" s="63">
        <v>123.0</v>
      </c>
      <c r="L15" s="63">
        <v>144.0</v>
      </c>
      <c r="M15" s="63">
        <v>137.0</v>
      </c>
      <c r="N15" s="63">
        <v>111.0</v>
      </c>
      <c r="O15" s="63">
        <v>116.0</v>
      </c>
      <c r="P15" s="13">
        <f t="shared" si="1"/>
        <v>1333</v>
      </c>
    </row>
    <row r="16" ht="12.75" customHeight="1">
      <c r="A16" s="25"/>
      <c r="B16" s="21"/>
      <c r="C16" s="28"/>
      <c r="D16" s="13" t="s">
        <v>14</v>
      </c>
      <c r="E16" s="64">
        <f t="shared" ref="E16:O16" si="2">SUM(E14:E15)</f>
        <v>274</v>
      </c>
      <c r="F16" s="64">
        <f t="shared" si="2"/>
        <v>199</v>
      </c>
      <c r="G16" s="64">
        <f t="shared" si="2"/>
        <v>211</v>
      </c>
      <c r="H16" s="64">
        <f t="shared" si="2"/>
        <v>222</v>
      </c>
      <c r="I16" s="64">
        <f t="shared" si="2"/>
        <v>247</v>
      </c>
      <c r="J16" s="64">
        <f t="shared" si="2"/>
        <v>296</v>
      </c>
      <c r="K16" s="64">
        <f t="shared" si="2"/>
        <v>246</v>
      </c>
      <c r="L16" s="64">
        <f t="shared" si="2"/>
        <v>289</v>
      </c>
      <c r="M16" s="64">
        <f t="shared" si="2"/>
        <v>272</v>
      </c>
      <c r="N16" s="64">
        <f t="shared" si="2"/>
        <v>229</v>
      </c>
      <c r="O16" s="64">
        <f t="shared" si="2"/>
        <v>225</v>
      </c>
      <c r="P16" s="13">
        <f t="shared" si="1"/>
        <v>2710</v>
      </c>
    </row>
    <row r="17" ht="12.75" customHeight="1">
      <c r="A17" s="24"/>
      <c r="B17" s="15"/>
      <c r="C17" s="15"/>
      <c r="D17" s="16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59"/>
    </row>
    <row r="18" ht="12.75" customHeight="1">
      <c r="A18" s="30" t="s">
        <v>15</v>
      </c>
      <c r="B18" s="20" t="s">
        <v>16</v>
      </c>
      <c r="C18" s="15"/>
      <c r="D18" s="16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3">
        <v>117.0</v>
      </c>
      <c r="F19" s="63">
        <v>75.0</v>
      </c>
      <c r="G19" s="63">
        <v>75.0</v>
      </c>
      <c r="H19" s="63">
        <v>85.0</v>
      </c>
      <c r="I19" s="63">
        <v>98.0</v>
      </c>
      <c r="J19" s="63">
        <v>115.0</v>
      </c>
      <c r="K19" s="63">
        <v>92.0</v>
      </c>
      <c r="L19" s="63">
        <v>101.0</v>
      </c>
      <c r="M19" s="63">
        <v>89.0</v>
      </c>
      <c r="N19" s="63">
        <v>95.0</v>
      </c>
      <c r="O19" s="63">
        <v>81.0</v>
      </c>
      <c r="P19" s="13">
        <f t="shared" ref="P19:P30" si="3">SUM(E19:O19)</f>
        <v>1023</v>
      </c>
    </row>
    <row r="20" ht="12.75" customHeight="1">
      <c r="A20" s="33"/>
      <c r="B20" s="27"/>
      <c r="C20" s="34"/>
      <c r="D20" s="19" t="s">
        <v>13</v>
      </c>
      <c r="E20" s="63">
        <v>112.0</v>
      </c>
      <c r="F20" s="63">
        <v>79.0</v>
      </c>
      <c r="G20" s="63">
        <v>89.0</v>
      </c>
      <c r="H20" s="63">
        <v>92.0</v>
      </c>
      <c r="I20" s="63">
        <v>99.0</v>
      </c>
      <c r="J20" s="63">
        <v>118.0</v>
      </c>
      <c r="K20" s="63">
        <v>103.0</v>
      </c>
      <c r="L20" s="63">
        <v>120.0</v>
      </c>
      <c r="M20" s="63">
        <v>110.0</v>
      </c>
      <c r="N20" s="63">
        <v>93.0</v>
      </c>
      <c r="O20" s="63">
        <v>104.0</v>
      </c>
      <c r="P20" s="13">
        <f t="shared" si="3"/>
        <v>1119</v>
      </c>
    </row>
    <row r="21" ht="12.75" customHeight="1">
      <c r="A21" s="35"/>
      <c r="B21" s="28"/>
      <c r="C21" s="36"/>
      <c r="D21" s="13" t="s">
        <v>14</v>
      </c>
      <c r="E21" s="64">
        <f t="shared" ref="E21:O21" si="4">SUM(E19:E20)</f>
        <v>229</v>
      </c>
      <c r="F21" s="64">
        <f t="shared" si="4"/>
        <v>154</v>
      </c>
      <c r="G21" s="64">
        <f t="shared" si="4"/>
        <v>164</v>
      </c>
      <c r="H21" s="64">
        <f t="shared" si="4"/>
        <v>177</v>
      </c>
      <c r="I21" s="64">
        <f t="shared" si="4"/>
        <v>197</v>
      </c>
      <c r="J21" s="64">
        <f t="shared" si="4"/>
        <v>233</v>
      </c>
      <c r="K21" s="64">
        <f t="shared" si="4"/>
        <v>195</v>
      </c>
      <c r="L21" s="64">
        <f t="shared" si="4"/>
        <v>221</v>
      </c>
      <c r="M21" s="64">
        <f t="shared" si="4"/>
        <v>199</v>
      </c>
      <c r="N21" s="64">
        <f t="shared" si="4"/>
        <v>188</v>
      </c>
      <c r="O21" s="64">
        <f t="shared" si="4"/>
        <v>185</v>
      </c>
      <c r="P21" s="13">
        <f t="shared" si="3"/>
        <v>2142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3">
        <v>1.0</v>
      </c>
      <c r="F22" s="63">
        <v>1.0</v>
      </c>
      <c r="G22" s="63">
        <v>0.0</v>
      </c>
      <c r="H22" s="63">
        <v>1.0</v>
      </c>
      <c r="I22" s="63">
        <v>0.0</v>
      </c>
      <c r="J22" s="63">
        <v>0.0</v>
      </c>
      <c r="K22" s="63">
        <v>0.0</v>
      </c>
      <c r="L22" s="63">
        <v>0.0</v>
      </c>
      <c r="M22" s="63">
        <v>0.0</v>
      </c>
      <c r="N22" s="63">
        <v>0.0</v>
      </c>
      <c r="O22" s="63">
        <v>0.0</v>
      </c>
      <c r="P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63">
        <v>0.0</v>
      </c>
      <c r="F23" s="63">
        <v>1.0</v>
      </c>
      <c r="G23" s="63">
        <v>0.0</v>
      </c>
      <c r="H23" s="63">
        <v>0.0</v>
      </c>
      <c r="I23" s="63">
        <v>0.0</v>
      </c>
      <c r="J23" s="63">
        <v>1.0</v>
      </c>
      <c r="K23" s="63">
        <v>0.0</v>
      </c>
      <c r="L23" s="63">
        <v>0.0</v>
      </c>
      <c r="M23" s="63">
        <v>0.0</v>
      </c>
      <c r="N23" s="63">
        <v>0.0</v>
      </c>
      <c r="O23" s="63">
        <v>0.0</v>
      </c>
      <c r="P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64">
        <f t="shared" ref="E24:O24" si="5">SUM(E22:E23)</f>
        <v>1</v>
      </c>
      <c r="F24" s="64">
        <f t="shared" si="5"/>
        <v>2</v>
      </c>
      <c r="G24" s="64">
        <f t="shared" si="5"/>
        <v>0</v>
      </c>
      <c r="H24" s="64">
        <f t="shared" si="5"/>
        <v>1</v>
      </c>
      <c r="I24" s="64">
        <f t="shared" si="5"/>
        <v>0</v>
      </c>
      <c r="J24" s="64">
        <f t="shared" si="5"/>
        <v>1</v>
      </c>
      <c r="K24" s="64">
        <f t="shared" si="5"/>
        <v>0</v>
      </c>
      <c r="L24" s="64">
        <f t="shared" si="5"/>
        <v>0</v>
      </c>
      <c r="M24" s="64">
        <f t="shared" si="5"/>
        <v>0</v>
      </c>
      <c r="N24" s="64">
        <f t="shared" si="5"/>
        <v>0</v>
      </c>
      <c r="O24" s="64">
        <f t="shared" si="5"/>
        <v>0</v>
      </c>
      <c r="P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3">
        <v>0.0</v>
      </c>
      <c r="F25" s="63">
        <v>0.0</v>
      </c>
      <c r="G25" s="63">
        <v>0.0</v>
      </c>
      <c r="H25" s="63">
        <v>1.0</v>
      </c>
      <c r="I25" s="63">
        <v>0.0</v>
      </c>
      <c r="J25" s="63">
        <v>1.0</v>
      </c>
      <c r="K25" s="63">
        <v>0.0</v>
      </c>
      <c r="L25" s="63">
        <v>0.0</v>
      </c>
      <c r="M25" s="63">
        <v>0.0</v>
      </c>
      <c r="N25" s="63">
        <v>0.0</v>
      </c>
      <c r="O25" s="63">
        <v>0.0</v>
      </c>
      <c r="P25" s="13">
        <f t="shared" si="3"/>
        <v>2</v>
      </c>
    </row>
    <row r="26" ht="12.75" customHeight="1">
      <c r="A26" s="33"/>
      <c r="B26" s="27"/>
      <c r="C26" s="34"/>
      <c r="D26" s="19" t="s">
        <v>13</v>
      </c>
      <c r="E26" s="63">
        <v>0.0</v>
      </c>
      <c r="F26" s="63">
        <v>0.0</v>
      </c>
      <c r="G26" s="63">
        <v>1.0</v>
      </c>
      <c r="H26" s="63">
        <v>0.0</v>
      </c>
      <c r="I26" s="63">
        <v>1.0</v>
      </c>
      <c r="J26" s="63">
        <v>1.0</v>
      </c>
      <c r="K26" s="63">
        <v>0.0</v>
      </c>
      <c r="L26" s="63">
        <v>0.0</v>
      </c>
      <c r="M26" s="63">
        <v>1.0</v>
      </c>
      <c r="N26" s="63">
        <v>2.0</v>
      </c>
      <c r="O26" s="63">
        <v>0.0</v>
      </c>
      <c r="P26" s="13">
        <f t="shared" si="3"/>
        <v>6</v>
      </c>
    </row>
    <row r="27" ht="12.75" customHeight="1">
      <c r="A27" s="35"/>
      <c r="B27" s="28"/>
      <c r="C27" s="36"/>
      <c r="D27" s="13" t="s">
        <v>14</v>
      </c>
      <c r="E27" s="64">
        <f t="shared" ref="E27:O27" si="6">SUM(E25:E26)</f>
        <v>0</v>
      </c>
      <c r="F27" s="64">
        <f t="shared" si="6"/>
        <v>0</v>
      </c>
      <c r="G27" s="64">
        <f t="shared" si="6"/>
        <v>1</v>
      </c>
      <c r="H27" s="64">
        <f t="shared" si="6"/>
        <v>1</v>
      </c>
      <c r="I27" s="64">
        <f t="shared" si="6"/>
        <v>1</v>
      </c>
      <c r="J27" s="64">
        <f t="shared" si="6"/>
        <v>2</v>
      </c>
      <c r="K27" s="64">
        <f t="shared" si="6"/>
        <v>0</v>
      </c>
      <c r="L27" s="64">
        <f t="shared" si="6"/>
        <v>0</v>
      </c>
      <c r="M27" s="64">
        <f t="shared" si="6"/>
        <v>1</v>
      </c>
      <c r="N27" s="64">
        <f t="shared" si="6"/>
        <v>2</v>
      </c>
      <c r="O27" s="64">
        <f t="shared" si="6"/>
        <v>0</v>
      </c>
      <c r="P27" s="13">
        <f t="shared" si="3"/>
        <v>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64">
        <f t="shared" ref="E28:O28" si="7">SUM(E19,E22,E25)</f>
        <v>118</v>
      </c>
      <c r="F28" s="64">
        <f t="shared" si="7"/>
        <v>76</v>
      </c>
      <c r="G28" s="64">
        <f t="shared" si="7"/>
        <v>75</v>
      </c>
      <c r="H28" s="64">
        <f t="shared" si="7"/>
        <v>87</v>
      </c>
      <c r="I28" s="64">
        <f t="shared" si="7"/>
        <v>98</v>
      </c>
      <c r="J28" s="64">
        <f t="shared" si="7"/>
        <v>116</v>
      </c>
      <c r="K28" s="64">
        <f t="shared" si="7"/>
        <v>92</v>
      </c>
      <c r="L28" s="64">
        <f t="shared" si="7"/>
        <v>101</v>
      </c>
      <c r="M28" s="64">
        <f t="shared" si="7"/>
        <v>89</v>
      </c>
      <c r="N28" s="64">
        <f t="shared" si="7"/>
        <v>95</v>
      </c>
      <c r="O28" s="64">
        <f t="shared" si="7"/>
        <v>81</v>
      </c>
      <c r="P28" s="13">
        <f t="shared" si="3"/>
        <v>1028</v>
      </c>
    </row>
    <row r="29" ht="12.75" customHeight="1">
      <c r="A29" s="35"/>
      <c r="B29" s="27"/>
      <c r="C29" s="34"/>
      <c r="D29" s="13" t="s">
        <v>13</v>
      </c>
      <c r="E29" s="64">
        <f t="shared" ref="E29:O29" si="8">SUM(E20,E23,E26)</f>
        <v>112</v>
      </c>
      <c r="F29" s="64">
        <f t="shared" si="8"/>
        <v>80</v>
      </c>
      <c r="G29" s="64">
        <f t="shared" si="8"/>
        <v>90</v>
      </c>
      <c r="H29" s="64">
        <f t="shared" si="8"/>
        <v>92</v>
      </c>
      <c r="I29" s="64">
        <f t="shared" si="8"/>
        <v>100</v>
      </c>
      <c r="J29" s="64">
        <f t="shared" si="8"/>
        <v>120</v>
      </c>
      <c r="K29" s="64">
        <f t="shared" si="8"/>
        <v>103</v>
      </c>
      <c r="L29" s="64">
        <f t="shared" si="8"/>
        <v>120</v>
      </c>
      <c r="M29" s="64">
        <f t="shared" si="8"/>
        <v>111</v>
      </c>
      <c r="N29" s="64">
        <f t="shared" si="8"/>
        <v>95</v>
      </c>
      <c r="O29" s="64">
        <f t="shared" si="8"/>
        <v>104</v>
      </c>
      <c r="P29" s="13">
        <f t="shared" si="3"/>
        <v>1127</v>
      </c>
    </row>
    <row r="30" ht="12.75" customHeight="1">
      <c r="A30" s="35"/>
      <c r="B30" s="28"/>
      <c r="C30" s="36"/>
      <c r="D30" s="13" t="s">
        <v>14</v>
      </c>
      <c r="E30" s="66">
        <f t="shared" ref="E30:O30" si="9">SUM(E28:E29)</f>
        <v>230</v>
      </c>
      <c r="F30" s="66">
        <f t="shared" si="9"/>
        <v>156</v>
      </c>
      <c r="G30" s="66">
        <f t="shared" si="9"/>
        <v>165</v>
      </c>
      <c r="H30" s="66">
        <f t="shared" si="9"/>
        <v>179</v>
      </c>
      <c r="I30" s="66">
        <f t="shared" si="9"/>
        <v>198</v>
      </c>
      <c r="J30" s="66">
        <f t="shared" si="9"/>
        <v>236</v>
      </c>
      <c r="K30" s="66">
        <f t="shared" si="9"/>
        <v>195</v>
      </c>
      <c r="L30" s="66">
        <f t="shared" si="9"/>
        <v>221</v>
      </c>
      <c r="M30" s="66">
        <f t="shared" si="9"/>
        <v>200</v>
      </c>
      <c r="N30" s="66">
        <f t="shared" si="9"/>
        <v>190</v>
      </c>
      <c r="O30" s="66">
        <f t="shared" si="9"/>
        <v>185</v>
      </c>
      <c r="P30" s="13">
        <f t="shared" si="3"/>
        <v>2155</v>
      </c>
    </row>
    <row r="31" ht="12.75" customHeight="1">
      <c r="A31" s="24"/>
      <c r="B31" s="15"/>
      <c r="C31" s="15"/>
      <c r="D31" s="16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59"/>
    </row>
    <row r="32" ht="12.75" customHeight="1">
      <c r="A32" s="41" t="s">
        <v>25</v>
      </c>
      <c r="B32" s="14" t="s">
        <v>26</v>
      </c>
      <c r="C32" s="15"/>
      <c r="D32" s="16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59"/>
    </row>
    <row r="33" ht="12.75" customHeight="1">
      <c r="A33" s="19">
        <v>1.0</v>
      </c>
      <c r="B33" s="20" t="s">
        <v>27</v>
      </c>
      <c r="C33" s="15"/>
      <c r="D33" s="16"/>
      <c r="E33" s="63">
        <v>280.0</v>
      </c>
      <c r="F33" s="63">
        <v>203.0</v>
      </c>
      <c r="G33" s="63">
        <v>216.0</v>
      </c>
      <c r="H33" s="63">
        <v>227.0</v>
      </c>
      <c r="I33" s="63">
        <v>252.0</v>
      </c>
      <c r="J33" s="63">
        <v>302.0</v>
      </c>
      <c r="K33" s="63">
        <v>251.0</v>
      </c>
      <c r="L33" s="63">
        <v>295.0</v>
      </c>
      <c r="M33" s="63">
        <v>279.0</v>
      </c>
      <c r="N33" s="63">
        <v>234.0</v>
      </c>
      <c r="O33" s="63">
        <v>230.0</v>
      </c>
      <c r="P33" s="13">
        <f t="shared" ref="P33:P36" si="10">SUM(E33:O33)</f>
        <v>2769</v>
      </c>
    </row>
    <row r="34" ht="12.75" customHeight="1">
      <c r="A34" s="19">
        <v>2.0</v>
      </c>
      <c r="B34" s="20" t="s">
        <v>28</v>
      </c>
      <c r="C34" s="15"/>
      <c r="D34" s="16"/>
      <c r="E34" s="67">
        <v>230.0</v>
      </c>
      <c r="F34" s="67">
        <v>156.0</v>
      </c>
      <c r="G34" s="67">
        <v>165.0</v>
      </c>
      <c r="H34" s="67">
        <v>179.0</v>
      </c>
      <c r="I34" s="67">
        <v>198.0</v>
      </c>
      <c r="J34" s="67">
        <v>236.0</v>
      </c>
      <c r="K34" s="67">
        <v>195.0</v>
      </c>
      <c r="L34" s="67">
        <v>221.0</v>
      </c>
      <c r="M34" s="67">
        <v>200.0</v>
      </c>
      <c r="N34" s="67">
        <v>190.0</v>
      </c>
      <c r="O34" s="67">
        <v>185.0</v>
      </c>
      <c r="P34" s="13">
        <f t="shared" si="10"/>
        <v>2155</v>
      </c>
    </row>
    <row r="35" ht="12.75" customHeight="1">
      <c r="A35" s="19">
        <v>3.0</v>
      </c>
      <c r="B35" s="20" t="s">
        <v>29</v>
      </c>
      <c r="C35" s="15"/>
      <c r="D35" s="16"/>
      <c r="E35" s="63">
        <v>1.0</v>
      </c>
      <c r="F35" s="63">
        <v>1.0</v>
      </c>
      <c r="G35" s="63">
        <v>0.0</v>
      </c>
      <c r="H35" s="63">
        <v>0.0</v>
      </c>
      <c r="I35" s="63">
        <v>0.0</v>
      </c>
      <c r="J35" s="63">
        <v>0.0</v>
      </c>
      <c r="K35" s="63">
        <v>0.0</v>
      </c>
      <c r="L35" s="63">
        <v>2.0</v>
      </c>
      <c r="M35" s="63">
        <v>0.0</v>
      </c>
      <c r="N35" s="63">
        <v>0.0</v>
      </c>
      <c r="O35" s="63">
        <v>0.0</v>
      </c>
      <c r="P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64">
        <f t="shared" ref="E36:O36" si="11">E33-(E34+E35)</f>
        <v>49</v>
      </c>
      <c r="F36" s="64">
        <f t="shared" si="11"/>
        <v>46</v>
      </c>
      <c r="G36" s="64">
        <f t="shared" si="11"/>
        <v>51</v>
      </c>
      <c r="H36" s="64">
        <f t="shared" si="11"/>
        <v>48</v>
      </c>
      <c r="I36" s="64">
        <f t="shared" si="11"/>
        <v>54</v>
      </c>
      <c r="J36" s="64">
        <f t="shared" si="11"/>
        <v>66</v>
      </c>
      <c r="K36" s="64">
        <f t="shared" si="11"/>
        <v>56</v>
      </c>
      <c r="L36" s="64">
        <f t="shared" si="11"/>
        <v>72</v>
      </c>
      <c r="M36" s="64">
        <f t="shared" si="11"/>
        <v>79</v>
      </c>
      <c r="N36" s="64">
        <f t="shared" si="11"/>
        <v>44</v>
      </c>
      <c r="O36" s="64">
        <f t="shared" si="11"/>
        <v>45</v>
      </c>
      <c r="P36" s="13">
        <f t="shared" si="10"/>
        <v>610</v>
      </c>
    </row>
    <row r="37" ht="12.75" customHeight="1">
      <c r="A37" s="24"/>
      <c r="B37" s="15"/>
      <c r="C37" s="15"/>
      <c r="D37" s="15"/>
      <c r="E37" s="68"/>
      <c r="F37" s="15"/>
      <c r="G37" s="15"/>
      <c r="H37" s="15"/>
      <c r="I37" s="16"/>
      <c r="J37" s="65"/>
      <c r="K37" s="65"/>
      <c r="L37" s="65"/>
      <c r="M37" s="65"/>
      <c r="N37" s="65"/>
      <c r="O37" s="65"/>
      <c r="P37" s="59"/>
    </row>
    <row r="38" ht="12.75" customHeight="1">
      <c r="A38" s="42" t="s">
        <v>31</v>
      </c>
      <c r="B38" s="14" t="s">
        <v>32</v>
      </c>
      <c r="C38" s="15"/>
      <c r="D38" s="16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59"/>
    </row>
    <row r="39" ht="12.75" customHeight="1">
      <c r="A39" s="30"/>
      <c r="B39" s="43" t="s">
        <v>33</v>
      </c>
      <c r="C39" s="23"/>
      <c r="D39" s="19" t="s">
        <v>12</v>
      </c>
      <c r="E39" s="63">
        <v>0.0</v>
      </c>
      <c r="F39" s="63">
        <v>0.0</v>
      </c>
      <c r="G39" s="63">
        <v>0.0</v>
      </c>
      <c r="H39" s="63">
        <v>0.0</v>
      </c>
      <c r="I39" s="63">
        <v>1.0</v>
      </c>
      <c r="J39" s="63">
        <v>0.0</v>
      </c>
      <c r="K39" s="63">
        <v>0.0</v>
      </c>
      <c r="L39" s="63">
        <v>0.0</v>
      </c>
      <c r="M39" s="63">
        <v>0.0</v>
      </c>
      <c r="N39" s="63">
        <v>1.0</v>
      </c>
      <c r="O39" s="63">
        <v>1.0</v>
      </c>
      <c r="P39" s="13">
        <f t="shared" ref="P39:P41" si="12">SUM(E39:O39)</f>
        <v>3</v>
      </c>
    </row>
    <row r="40" ht="12.75" customHeight="1">
      <c r="A40" s="33"/>
      <c r="C40" s="27"/>
      <c r="D40" s="19" t="s">
        <v>13</v>
      </c>
      <c r="E40" s="63">
        <v>1.0</v>
      </c>
      <c r="F40" s="63">
        <v>0.0</v>
      </c>
      <c r="G40" s="63">
        <v>0.0</v>
      </c>
      <c r="H40" s="63">
        <v>0.0</v>
      </c>
      <c r="I40" s="63">
        <v>0.0</v>
      </c>
      <c r="J40" s="63">
        <v>0.0</v>
      </c>
      <c r="K40" s="63">
        <v>0.0</v>
      </c>
      <c r="L40" s="63">
        <v>0.0</v>
      </c>
      <c r="M40" s="63">
        <v>0.0</v>
      </c>
      <c r="N40" s="63">
        <v>0.0</v>
      </c>
      <c r="O40" s="63">
        <v>1.0</v>
      </c>
      <c r="P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64">
        <f t="shared" ref="E41:O41" si="13">SUM(E39:E40)</f>
        <v>1</v>
      </c>
      <c r="F41" s="64">
        <f t="shared" si="13"/>
        <v>0</v>
      </c>
      <c r="G41" s="64">
        <f t="shared" si="13"/>
        <v>0</v>
      </c>
      <c r="H41" s="64">
        <f t="shared" si="13"/>
        <v>0</v>
      </c>
      <c r="I41" s="64">
        <f t="shared" si="13"/>
        <v>1</v>
      </c>
      <c r="J41" s="64">
        <f t="shared" si="13"/>
        <v>0</v>
      </c>
      <c r="K41" s="64">
        <f t="shared" si="13"/>
        <v>0</v>
      </c>
      <c r="L41" s="64">
        <f t="shared" si="13"/>
        <v>0</v>
      </c>
      <c r="M41" s="64">
        <f t="shared" si="13"/>
        <v>0</v>
      </c>
      <c r="N41" s="64">
        <f t="shared" si="13"/>
        <v>1</v>
      </c>
      <c r="O41" s="64">
        <f t="shared" si="13"/>
        <v>2</v>
      </c>
      <c r="P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3"/>
    </row>
    <row r="45" ht="12.75" customHeight="1">
      <c r="A45" s="30"/>
      <c r="B45" s="47" t="s">
        <v>17</v>
      </c>
      <c r="C45" s="62" t="s">
        <v>38</v>
      </c>
      <c r="D45" s="16"/>
      <c r="E45" s="19">
        <v>41.0</v>
      </c>
      <c r="F45" s="19">
        <v>13.0</v>
      </c>
      <c r="G45" s="19">
        <v>12.0</v>
      </c>
      <c r="H45" s="19">
        <v>17.0</v>
      </c>
      <c r="I45" s="19">
        <v>22.0</v>
      </c>
      <c r="J45" s="19">
        <v>16.0</v>
      </c>
      <c r="K45" s="19">
        <v>22.0</v>
      </c>
      <c r="L45" s="19">
        <v>19.0</v>
      </c>
      <c r="M45" s="19">
        <v>17.0</v>
      </c>
      <c r="N45" s="19">
        <v>21.0</v>
      </c>
      <c r="O45" s="19">
        <v>16.0</v>
      </c>
      <c r="P45" s="13">
        <f t="shared" ref="P45:P57" si="14">SUM(E45:O45)</f>
        <v>216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50.0</v>
      </c>
      <c r="F46" s="19">
        <v>42.0</v>
      </c>
      <c r="G46" s="19">
        <v>37.0</v>
      </c>
      <c r="H46" s="19">
        <v>47.0</v>
      </c>
      <c r="I46" s="19">
        <v>34.0</v>
      </c>
      <c r="J46" s="19">
        <v>46.0</v>
      </c>
      <c r="K46" s="19">
        <v>52.0</v>
      </c>
      <c r="L46" s="19">
        <v>54.0</v>
      </c>
      <c r="M46" s="19">
        <v>50.0</v>
      </c>
      <c r="N46" s="19">
        <v>90.0</v>
      </c>
      <c r="O46" s="19">
        <v>54.0</v>
      </c>
      <c r="P46" s="13">
        <f t="shared" si="14"/>
        <v>556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6.0</v>
      </c>
      <c r="F47" s="19">
        <v>13.0</v>
      </c>
      <c r="G47" s="19">
        <v>10.0</v>
      </c>
      <c r="H47" s="19">
        <v>15.0</v>
      </c>
      <c r="I47" s="19">
        <v>16.0</v>
      </c>
      <c r="J47" s="19">
        <v>19.0</v>
      </c>
      <c r="K47" s="19">
        <v>17.0</v>
      </c>
      <c r="L47" s="19">
        <v>13.0</v>
      </c>
      <c r="M47" s="19">
        <v>14.0</v>
      </c>
      <c r="N47" s="19">
        <v>10.0</v>
      </c>
      <c r="O47" s="19">
        <v>12.0</v>
      </c>
      <c r="P47" s="13">
        <f t="shared" si="14"/>
        <v>145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21.0</v>
      </c>
      <c r="F48" s="19">
        <v>11.0</v>
      </c>
      <c r="G48" s="19">
        <v>15.0</v>
      </c>
      <c r="H48" s="19">
        <v>16.0</v>
      </c>
      <c r="I48" s="19">
        <v>19.0</v>
      </c>
      <c r="J48" s="19">
        <v>24.0</v>
      </c>
      <c r="K48" s="19">
        <v>15.0</v>
      </c>
      <c r="L48" s="19">
        <v>21.0</v>
      </c>
      <c r="M48" s="19">
        <v>16.0</v>
      </c>
      <c r="N48" s="19">
        <v>10.0</v>
      </c>
      <c r="O48" s="19">
        <v>16.0</v>
      </c>
      <c r="P48" s="13">
        <f t="shared" si="14"/>
        <v>184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13.0</v>
      </c>
      <c r="F49" s="19">
        <v>7.0</v>
      </c>
      <c r="G49" s="19">
        <v>13.0</v>
      </c>
      <c r="H49" s="19">
        <v>9.0</v>
      </c>
      <c r="I49" s="19">
        <v>11.0</v>
      </c>
      <c r="J49" s="19">
        <v>12.0</v>
      </c>
      <c r="K49" s="19">
        <v>19.0</v>
      </c>
      <c r="L49" s="19">
        <v>15.0</v>
      </c>
      <c r="M49" s="19">
        <v>9.0</v>
      </c>
      <c r="N49" s="19">
        <v>7.0</v>
      </c>
      <c r="O49" s="19">
        <v>8.0</v>
      </c>
      <c r="P49" s="13">
        <f t="shared" si="14"/>
        <v>123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11.0</v>
      </c>
      <c r="F50" s="19">
        <v>5.0</v>
      </c>
      <c r="G50" s="19">
        <v>18.0</v>
      </c>
      <c r="H50" s="19">
        <v>10.0</v>
      </c>
      <c r="I50" s="19">
        <v>15.0</v>
      </c>
      <c r="J50" s="19">
        <v>14.0</v>
      </c>
      <c r="K50" s="19">
        <v>9.0</v>
      </c>
      <c r="L50" s="19">
        <v>8.0</v>
      </c>
      <c r="M50" s="19">
        <v>7.0</v>
      </c>
      <c r="N50" s="19">
        <v>7.0</v>
      </c>
      <c r="O50" s="19">
        <v>11.0</v>
      </c>
      <c r="P50" s="13">
        <f t="shared" si="14"/>
        <v>115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2.0</v>
      </c>
      <c r="F51" s="19">
        <v>2.0</v>
      </c>
      <c r="G51" s="19">
        <v>0.0</v>
      </c>
      <c r="H51" s="19">
        <v>1.0</v>
      </c>
      <c r="I51" s="19">
        <v>1.0</v>
      </c>
      <c r="J51" s="19">
        <v>1.0</v>
      </c>
      <c r="K51" s="19">
        <v>0.0</v>
      </c>
      <c r="L51" s="19">
        <v>1.0</v>
      </c>
      <c r="M51" s="19">
        <v>2.0</v>
      </c>
      <c r="N51" s="19">
        <v>0.0</v>
      </c>
      <c r="O51" s="19">
        <v>0.0</v>
      </c>
      <c r="P51" s="13">
        <f t="shared" si="14"/>
        <v>10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1.0</v>
      </c>
      <c r="F52" s="19">
        <v>1.0</v>
      </c>
      <c r="G52" s="19">
        <v>0.0</v>
      </c>
      <c r="H52" s="19">
        <v>0.0</v>
      </c>
      <c r="I52" s="19">
        <v>1.0</v>
      </c>
      <c r="J52" s="19">
        <v>1.0</v>
      </c>
      <c r="K52" s="19">
        <v>0.0</v>
      </c>
      <c r="L52" s="19">
        <v>2.0</v>
      </c>
      <c r="M52" s="19">
        <v>3.0</v>
      </c>
      <c r="N52" s="19">
        <v>0.0</v>
      </c>
      <c r="O52" s="19">
        <v>0.0</v>
      </c>
      <c r="P52" s="13">
        <f t="shared" si="14"/>
        <v>9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1.0</v>
      </c>
      <c r="F53" s="19">
        <v>1.0</v>
      </c>
      <c r="G53" s="19">
        <v>0.0</v>
      </c>
      <c r="H53" s="19">
        <v>2.0</v>
      </c>
      <c r="I53" s="19">
        <v>0.0</v>
      </c>
      <c r="J53" s="19">
        <v>0.0</v>
      </c>
      <c r="K53" s="19">
        <v>0.0</v>
      </c>
      <c r="L53" s="19">
        <v>0.0</v>
      </c>
      <c r="M53" s="19">
        <v>2.0</v>
      </c>
      <c r="N53" s="19">
        <v>0.0</v>
      </c>
      <c r="O53" s="19">
        <v>7.0</v>
      </c>
      <c r="P53" s="13">
        <f t="shared" si="14"/>
        <v>13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10.0</v>
      </c>
      <c r="F54" s="19">
        <v>17.0</v>
      </c>
      <c r="G54" s="19">
        <v>16.0</v>
      </c>
      <c r="H54" s="19">
        <v>20.0</v>
      </c>
      <c r="I54" s="19">
        <v>15.0</v>
      </c>
      <c r="J54" s="19">
        <v>18.0</v>
      </c>
      <c r="K54" s="19">
        <v>11.0</v>
      </c>
      <c r="L54" s="19">
        <v>15.0</v>
      </c>
      <c r="M54" s="19">
        <v>24.0</v>
      </c>
      <c r="N54" s="19">
        <v>12.0</v>
      </c>
      <c r="O54" s="19">
        <v>10.0</v>
      </c>
      <c r="P54" s="13">
        <f t="shared" si="14"/>
        <v>168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1.0</v>
      </c>
      <c r="F55" s="19">
        <v>2.0</v>
      </c>
      <c r="G55" s="19">
        <v>2.0</v>
      </c>
      <c r="H55" s="19">
        <v>0.0</v>
      </c>
      <c r="I55" s="19">
        <v>0.0</v>
      </c>
      <c r="J55" s="19">
        <v>3.0</v>
      </c>
      <c r="K55" s="19">
        <v>2.0</v>
      </c>
      <c r="L55" s="19">
        <v>0.0</v>
      </c>
      <c r="M55" s="19">
        <v>0.0</v>
      </c>
      <c r="N55" s="19">
        <v>0.0</v>
      </c>
      <c r="O55" s="19">
        <v>0.0</v>
      </c>
      <c r="P55" s="13">
        <f t="shared" si="14"/>
        <v>10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18.0</v>
      </c>
      <c r="F56" s="19">
        <v>13.0</v>
      </c>
      <c r="G56" s="19">
        <v>15.0</v>
      </c>
      <c r="H56" s="19">
        <v>13.0</v>
      </c>
      <c r="I56" s="19">
        <v>24.0</v>
      </c>
      <c r="J56" s="19">
        <v>23.0</v>
      </c>
      <c r="K56" s="19">
        <v>20.0</v>
      </c>
      <c r="L56" s="19">
        <v>23.0</v>
      </c>
      <c r="M56" s="19">
        <v>20.0</v>
      </c>
      <c r="N56" s="19">
        <v>20.0</v>
      </c>
      <c r="O56" s="19">
        <v>25.0</v>
      </c>
      <c r="P56" s="13">
        <f t="shared" si="14"/>
        <v>214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0.0</v>
      </c>
      <c r="F57" s="19">
        <v>4.0</v>
      </c>
      <c r="G57" s="19">
        <v>1.0</v>
      </c>
      <c r="H57" s="19">
        <v>1.0</v>
      </c>
      <c r="I57" s="19">
        <v>2.0</v>
      </c>
      <c r="J57" s="19">
        <v>0.0</v>
      </c>
      <c r="K57" s="19">
        <v>1.0</v>
      </c>
      <c r="L57" s="19">
        <v>4.0</v>
      </c>
      <c r="M57" s="19">
        <v>3.0</v>
      </c>
      <c r="N57" s="19">
        <v>0.0</v>
      </c>
      <c r="O57" s="19">
        <v>4.0</v>
      </c>
      <c r="P57" s="13">
        <f t="shared" si="14"/>
        <v>20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O60" si="15">SUM(E45:E57)</f>
        <v>175</v>
      </c>
      <c r="F60" s="19">
        <f t="shared" si="15"/>
        <v>131</v>
      </c>
      <c r="G60" s="19">
        <f t="shared" si="15"/>
        <v>139</v>
      </c>
      <c r="H60" s="19">
        <f t="shared" si="15"/>
        <v>151</v>
      </c>
      <c r="I60" s="19">
        <f t="shared" si="15"/>
        <v>160</v>
      </c>
      <c r="J60" s="19">
        <f t="shared" si="15"/>
        <v>177</v>
      </c>
      <c r="K60" s="19">
        <f t="shared" si="15"/>
        <v>168</v>
      </c>
      <c r="L60" s="19">
        <f t="shared" si="15"/>
        <v>175</v>
      </c>
      <c r="M60" s="19">
        <f t="shared" si="15"/>
        <v>167</v>
      </c>
      <c r="N60" s="19">
        <f t="shared" si="15"/>
        <v>177</v>
      </c>
      <c r="O60" s="19">
        <f t="shared" si="15"/>
        <v>163</v>
      </c>
      <c r="P60" s="13">
        <f t="shared" ref="P60:P62" si="16">SUM(E60:O60)</f>
        <v>1783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55.0</v>
      </c>
      <c r="F61" s="19">
        <v>25.0</v>
      </c>
      <c r="G61" s="19">
        <v>26.0</v>
      </c>
      <c r="H61" s="19">
        <v>28.0</v>
      </c>
      <c r="I61" s="19">
        <v>38.0</v>
      </c>
      <c r="J61" s="19">
        <v>59.0</v>
      </c>
      <c r="K61" s="19">
        <v>27.0</v>
      </c>
      <c r="L61" s="19">
        <v>46.0</v>
      </c>
      <c r="M61" s="19">
        <v>33.0</v>
      </c>
      <c r="N61" s="19">
        <v>13.0</v>
      </c>
      <c r="O61" s="19">
        <v>22.0</v>
      </c>
      <c r="P61" s="13">
        <f t="shared" si="16"/>
        <v>372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O62" si="17">SUM(E60:E61)</f>
        <v>230</v>
      </c>
      <c r="F62" s="13">
        <f t="shared" si="17"/>
        <v>156</v>
      </c>
      <c r="G62" s="13">
        <f t="shared" si="17"/>
        <v>165</v>
      </c>
      <c r="H62" s="13">
        <f t="shared" si="17"/>
        <v>179</v>
      </c>
      <c r="I62" s="13">
        <f t="shared" si="17"/>
        <v>198</v>
      </c>
      <c r="J62" s="13">
        <f t="shared" si="17"/>
        <v>236</v>
      </c>
      <c r="K62" s="13">
        <f t="shared" si="17"/>
        <v>195</v>
      </c>
      <c r="L62" s="13">
        <f t="shared" si="17"/>
        <v>221</v>
      </c>
      <c r="M62" s="13">
        <f t="shared" si="17"/>
        <v>200</v>
      </c>
      <c r="N62" s="13">
        <f t="shared" si="17"/>
        <v>190</v>
      </c>
      <c r="O62" s="13">
        <f t="shared" si="17"/>
        <v>185</v>
      </c>
      <c r="P62" s="13">
        <f t="shared" si="16"/>
        <v>2155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O34">
    <cfRule type="expression" dxfId="0" priority="1">
      <formula>E34&lt;&gt;#REF!</formula>
    </cfRule>
  </conditionalFormatting>
  <conditionalFormatting sqref="E14:O15 E45:O57">
    <cfRule type="containsBlanks" dxfId="1" priority="2">
      <formula>LEN(TRIM(E14))=0</formula>
    </cfRule>
  </conditionalFormatting>
  <conditionalFormatting sqref="E19:O20">
    <cfRule type="containsBlanks" dxfId="1" priority="3">
      <formula>LEN(TRIM(E19))=0</formula>
    </cfRule>
  </conditionalFormatting>
  <conditionalFormatting sqref="E22:O23 E25:O26 E33:O33 E35:O35 E39:O40">
    <cfRule type="containsBlanks" dxfId="1" priority="4">
      <formula>LEN(TRIM(E22))=0</formula>
    </cfRule>
  </conditionalFormatting>
  <conditionalFormatting sqref="E30:O30">
    <cfRule type="expression" dxfId="0" priority="5">
      <formula>E30&lt;&gt;E46</formula>
    </cfRule>
  </conditionalFormatting>
  <conditionalFormatting sqref="E30:O30">
    <cfRule type="expression" dxfId="0" priority="6">
      <formula>E30&lt;&gt;E34</formula>
    </cfRule>
  </conditionalFormatting>
  <conditionalFormatting sqref="E34:O34">
    <cfRule type="expression" dxfId="2" priority="7">
      <formula>E30&lt;&gt;E34</formula>
    </cfRule>
  </conditionalFormatting>
  <conditionalFormatting sqref="E34:O34">
    <cfRule type="expression" dxfId="3" priority="8">
      <formula>E30=E34</formula>
    </cfRule>
  </conditionalFormatting>
  <conditionalFormatting sqref="E34:O34">
    <cfRule type="expression" dxfId="0" priority="9">
      <formula>E34&lt;&gt;E30</formula>
    </cfRule>
  </conditionalFormatting>
  <conditionalFormatting sqref="E60:O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6" width="8.71"/>
    <col customWidth="1" min="37" max="3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102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  <c r="Y11" s="2"/>
      <c r="Z11" s="1"/>
      <c r="AA11" s="1"/>
      <c r="AB11" s="2"/>
      <c r="AC11" s="1"/>
      <c r="AD11" s="1"/>
      <c r="AE11" s="1"/>
      <c r="AF11" s="1"/>
      <c r="AG11" s="1"/>
      <c r="AH11" s="1"/>
      <c r="AI11" s="2"/>
      <c r="AJ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103</v>
      </c>
      <c r="AC13" s="13" t="s">
        <v>104</v>
      </c>
      <c r="AD13" s="13" t="s">
        <v>105</v>
      </c>
      <c r="AE13" s="13" t="s">
        <v>106</v>
      </c>
      <c r="AF13" s="13" t="s">
        <v>107</v>
      </c>
      <c r="AG13" s="13" t="s">
        <v>108</v>
      </c>
      <c r="AH13" s="13" t="s">
        <v>109</v>
      </c>
      <c r="AI13" s="13" t="s">
        <v>110</v>
      </c>
      <c r="AJ13" s="13" t="s">
        <v>111</v>
      </c>
      <c r="AK13" s="36"/>
    </row>
    <row r="14" ht="12.75" customHeight="1">
      <c r="A14" s="18"/>
      <c r="B14" s="22" t="s">
        <v>11</v>
      </c>
      <c r="C14" s="23"/>
      <c r="D14" s="19" t="s">
        <v>12</v>
      </c>
      <c r="E14" s="63">
        <v>138.0</v>
      </c>
      <c r="F14" s="63">
        <v>123.0</v>
      </c>
      <c r="G14" s="63">
        <v>119.0</v>
      </c>
      <c r="H14" s="63">
        <v>144.0</v>
      </c>
      <c r="I14" s="63">
        <v>128.0</v>
      </c>
      <c r="J14" s="63">
        <v>138.0</v>
      </c>
      <c r="K14" s="63">
        <v>117.0</v>
      </c>
      <c r="L14" s="63">
        <v>143.0</v>
      </c>
      <c r="M14" s="63">
        <v>141.0</v>
      </c>
      <c r="N14" s="63">
        <v>141.0</v>
      </c>
      <c r="O14" s="63">
        <v>116.0</v>
      </c>
      <c r="P14" s="63">
        <v>135.0</v>
      </c>
      <c r="Q14" s="63">
        <v>122.0</v>
      </c>
      <c r="R14" s="63">
        <v>117.0</v>
      </c>
      <c r="S14" s="63">
        <v>136.0</v>
      </c>
      <c r="T14" s="63">
        <v>147.0</v>
      </c>
      <c r="U14" s="63">
        <v>112.0</v>
      </c>
      <c r="V14" s="63">
        <v>95.0</v>
      </c>
      <c r="W14" s="63">
        <v>116.0</v>
      </c>
      <c r="X14" s="63">
        <v>146.0</v>
      </c>
      <c r="Y14" s="63">
        <v>132.0</v>
      </c>
      <c r="Z14" s="63">
        <v>129.0</v>
      </c>
      <c r="AA14" s="63">
        <v>144.0</v>
      </c>
      <c r="AB14" s="63">
        <v>151.0</v>
      </c>
      <c r="AC14" s="63">
        <v>117.0</v>
      </c>
      <c r="AD14" s="63">
        <v>109.0</v>
      </c>
      <c r="AE14" s="63">
        <v>149.0</v>
      </c>
      <c r="AF14" s="63">
        <v>131.0</v>
      </c>
      <c r="AG14" s="63">
        <v>147.0</v>
      </c>
      <c r="AH14" s="63">
        <v>118.0</v>
      </c>
      <c r="AI14" s="63">
        <v>127.0</v>
      </c>
      <c r="AJ14" s="63">
        <v>108.0</v>
      </c>
      <c r="AK14" s="13">
        <f t="shared" ref="AK14:AK16" si="1">SUM(E14:AJ14)</f>
        <v>4136</v>
      </c>
    </row>
    <row r="15" ht="12.75" customHeight="1">
      <c r="A15" s="18"/>
      <c r="B15" s="26"/>
      <c r="C15" s="27"/>
      <c r="D15" s="19" t="s">
        <v>13</v>
      </c>
      <c r="E15" s="63">
        <v>139.0</v>
      </c>
      <c r="F15" s="63">
        <v>128.0</v>
      </c>
      <c r="G15" s="63">
        <v>134.0</v>
      </c>
      <c r="H15" s="63">
        <v>150.0</v>
      </c>
      <c r="I15" s="63">
        <v>132.0</v>
      </c>
      <c r="J15" s="63">
        <v>141.0</v>
      </c>
      <c r="K15" s="63">
        <v>132.0</v>
      </c>
      <c r="L15" s="63">
        <v>150.0</v>
      </c>
      <c r="M15" s="63">
        <v>151.0</v>
      </c>
      <c r="N15" s="63">
        <v>153.0</v>
      </c>
      <c r="O15" s="63">
        <v>117.0</v>
      </c>
      <c r="P15" s="63">
        <v>138.0</v>
      </c>
      <c r="Q15" s="63">
        <v>146.0</v>
      </c>
      <c r="R15" s="63">
        <v>148.0</v>
      </c>
      <c r="S15" s="63">
        <v>137.0</v>
      </c>
      <c r="T15" s="63">
        <v>143.0</v>
      </c>
      <c r="U15" s="63">
        <v>103.0</v>
      </c>
      <c r="V15" s="63">
        <v>90.0</v>
      </c>
      <c r="W15" s="63">
        <v>116.0</v>
      </c>
      <c r="X15" s="63">
        <v>141.0</v>
      </c>
      <c r="Y15" s="63">
        <v>134.0</v>
      </c>
      <c r="Z15" s="63">
        <v>138.0</v>
      </c>
      <c r="AA15" s="63">
        <v>144.0</v>
      </c>
      <c r="AB15" s="63">
        <v>137.0</v>
      </c>
      <c r="AC15" s="63">
        <v>112.0</v>
      </c>
      <c r="AD15" s="63">
        <v>136.0</v>
      </c>
      <c r="AE15" s="63">
        <v>140.0</v>
      </c>
      <c r="AF15" s="63">
        <v>130.0</v>
      </c>
      <c r="AG15" s="63">
        <v>149.0</v>
      </c>
      <c r="AH15" s="63">
        <v>128.0</v>
      </c>
      <c r="AI15" s="63">
        <v>124.0</v>
      </c>
      <c r="AJ15" s="63">
        <v>115.0</v>
      </c>
      <c r="AK15" s="13">
        <f t="shared" si="1"/>
        <v>4276</v>
      </c>
    </row>
    <row r="16" ht="12.75" customHeight="1">
      <c r="A16" s="25"/>
      <c r="B16" s="21"/>
      <c r="C16" s="28"/>
      <c r="D16" s="13" t="s">
        <v>14</v>
      </c>
      <c r="E16" s="64">
        <f t="shared" ref="E16:AJ16" si="2">SUM(E14:E15)</f>
        <v>277</v>
      </c>
      <c r="F16" s="64">
        <f t="shared" si="2"/>
        <v>251</v>
      </c>
      <c r="G16" s="64">
        <f t="shared" si="2"/>
        <v>253</v>
      </c>
      <c r="H16" s="64">
        <f t="shared" si="2"/>
        <v>294</v>
      </c>
      <c r="I16" s="64">
        <f t="shared" si="2"/>
        <v>260</v>
      </c>
      <c r="J16" s="64">
        <f t="shared" si="2"/>
        <v>279</v>
      </c>
      <c r="K16" s="64">
        <f t="shared" si="2"/>
        <v>249</v>
      </c>
      <c r="L16" s="64">
        <f t="shared" si="2"/>
        <v>293</v>
      </c>
      <c r="M16" s="64">
        <f t="shared" si="2"/>
        <v>292</v>
      </c>
      <c r="N16" s="64">
        <f t="shared" si="2"/>
        <v>294</v>
      </c>
      <c r="O16" s="64">
        <f t="shared" si="2"/>
        <v>233</v>
      </c>
      <c r="P16" s="64">
        <f t="shared" si="2"/>
        <v>273</v>
      </c>
      <c r="Q16" s="64">
        <f t="shared" si="2"/>
        <v>268</v>
      </c>
      <c r="R16" s="64">
        <f t="shared" si="2"/>
        <v>265</v>
      </c>
      <c r="S16" s="64">
        <f t="shared" si="2"/>
        <v>273</v>
      </c>
      <c r="T16" s="64">
        <f t="shared" si="2"/>
        <v>290</v>
      </c>
      <c r="U16" s="64">
        <f t="shared" si="2"/>
        <v>215</v>
      </c>
      <c r="V16" s="64">
        <f t="shared" si="2"/>
        <v>185</v>
      </c>
      <c r="W16" s="64">
        <f t="shared" si="2"/>
        <v>232</v>
      </c>
      <c r="X16" s="64">
        <f t="shared" si="2"/>
        <v>287</v>
      </c>
      <c r="Y16" s="64">
        <f t="shared" si="2"/>
        <v>266</v>
      </c>
      <c r="Z16" s="64">
        <f t="shared" si="2"/>
        <v>267</v>
      </c>
      <c r="AA16" s="64">
        <f t="shared" si="2"/>
        <v>288</v>
      </c>
      <c r="AB16" s="64">
        <f t="shared" si="2"/>
        <v>288</v>
      </c>
      <c r="AC16" s="64">
        <f t="shared" si="2"/>
        <v>229</v>
      </c>
      <c r="AD16" s="64">
        <f t="shared" si="2"/>
        <v>245</v>
      </c>
      <c r="AE16" s="64">
        <f t="shared" si="2"/>
        <v>289</v>
      </c>
      <c r="AF16" s="64">
        <f t="shared" si="2"/>
        <v>261</v>
      </c>
      <c r="AG16" s="64">
        <f t="shared" si="2"/>
        <v>296</v>
      </c>
      <c r="AH16" s="64">
        <f t="shared" si="2"/>
        <v>246</v>
      </c>
      <c r="AI16" s="64">
        <f t="shared" si="2"/>
        <v>251</v>
      </c>
      <c r="AJ16" s="64">
        <f t="shared" si="2"/>
        <v>223</v>
      </c>
      <c r="AK16" s="13">
        <f t="shared" si="1"/>
        <v>8412</v>
      </c>
    </row>
    <row r="17" ht="12.75" customHeight="1">
      <c r="A17" s="24"/>
      <c r="B17" s="15"/>
      <c r="C17" s="15"/>
      <c r="D17" s="16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59"/>
    </row>
    <row r="18" ht="12.75" customHeight="1">
      <c r="A18" s="30" t="s">
        <v>15</v>
      </c>
      <c r="B18" s="20" t="s">
        <v>16</v>
      </c>
      <c r="C18" s="15"/>
      <c r="D18" s="16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3">
        <v>117.0</v>
      </c>
      <c r="F19" s="63">
        <v>103.0</v>
      </c>
      <c r="G19" s="63">
        <v>100.0</v>
      </c>
      <c r="H19" s="63">
        <v>113.0</v>
      </c>
      <c r="I19" s="63">
        <v>109.0</v>
      </c>
      <c r="J19" s="63">
        <v>112.0</v>
      </c>
      <c r="K19" s="63">
        <v>90.0</v>
      </c>
      <c r="L19" s="63">
        <v>101.0</v>
      </c>
      <c r="M19" s="63">
        <v>114.0</v>
      </c>
      <c r="N19" s="63">
        <v>110.0</v>
      </c>
      <c r="O19" s="63">
        <v>82.0</v>
      </c>
      <c r="P19" s="63">
        <v>100.0</v>
      </c>
      <c r="Q19" s="63">
        <v>84.0</v>
      </c>
      <c r="R19" s="63">
        <v>85.0</v>
      </c>
      <c r="S19" s="63">
        <v>101.0</v>
      </c>
      <c r="T19" s="63">
        <v>106.0</v>
      </c>
      <c r="U19" s="63">
        <v>81.0</v>
      </c>
      <c r="V19" s="63">
        <v>76.0</v>
      </c>
      <c r="W19" s="63">
        <v>85.0</v>
      </c>
      <c r="X19" s="63">
        <v>115.0</v>
      </c>
      <c r="Y19" s="63">
        <v>90.0</v>
      </c>
      <c r="Z19" s="63">
        <v>101.0</v>
      </c>
      <c r="AA19" s="63">
        <v>115.0</v>
      </c>
      <c r="AB19" s="63">
        <v>125.0</v>
      </c>
      <c r="AC19" s="63">
        <v>86.0</v>
      </c>
      <c r="AD19" s="63">
        <v>93.0</v>
      </c>
      <c r="AE19" s="63">
        <v>108.0</v>
      </c>
      <c r="AF19" s="63">
        <v>93.0</v>
      </c>
      <c r="AG19" s="63">
        <v>120.0</v>
      </c>
      <c r="AH19" s="63">
        <v>94.0</v>
      </c>
      <c r="AI19" s="63">
        <v>96.0</v>
      </c>
      <c r="AJ19" s="63">
        <v>90.0</v>
      </c>
      <c r="AK19" s="13">
        <f t="shared" ref="AK19:AK30" si="3">SUM(E19:AJ19)</f>
        <v>3195</v>
      </c>
    </row>
    <row r="20" ht="12.75" customHeight="1">
      <c r="A20" s="33"/>
      <c r="B20" s="27"/>
      <c r="C20" s="34"/>
      <c r="D20" s="19" t="s">
        <v>13</v>
      </c>
      <c r="E20" s="63">
        <v>111.0</v>
      </c>
      <c r="F20" s="63">
        <v>106.0</v>
      </c>
      <c r="G20" s="63">
        <v>110.0</v>
      </c>
      <c r="H20" s="63">
        <v>126.0</v>
      </c>
      <c r="I20" s="63">
        <v>115.0</v>
      </c>
      <c r="J20" s="63">
        <v>116.0</v>
      </c>
      <c r="K20" s="63">
        <v>107.0</v>
      </c>
      <c r="L20" s="63">
        <v>120.0</v>
      </c>
      <c r="M20" s="63">
        <v>129.0</v>
      </c>
      <c r="N20" s="63">
        <v>132.0</v>
      </c>
      <c r="O20" s="63">
        <v>95.0</v>
      </c>
      <c r="P20" s="63">
        <v>117.0</v>
      </c>
      <c r="Q20" s="63">
        <v>109.0</v>
      </c>
      <c r="R20" s="63">
        <v>129.0</v>
      </c>
      <c r="S20" s="63">
        <v>124.0</v>
      </c>
      <c r="T20" s="63">
        <v>115.0</v>
      </c>
      <c r="U20" s="63">
        <v>74.0</v>
      </c>
      <c r="V20" s="63">
        <v>65.0</v>
      </c>
      <c r="W20" s="63">
        <v>85.0</v>
      </c>
      <c r="X20" s="63">
        <v>108.0</v>
      </c>
      <c r="Y20" s="63">
        <v>99.0</v>
      </c>
      <c r="Z20" s="63">
        <v>111.0</v>
      </c>
      <c r="AA20" s="63">
        <v>104.0</v>
      </c>
      <c r="AB20" s="63">
        <v>115.0</v>
      </c>
      <c r="AC20" s="63">
        <v>89.0</v>
      </c>
      <c r="AD20" s="63">
        <v>118.0</v>
      </c>
      <c r="AE20" s="63">
        <v>118.0</v>
      </c>
      <c r="AF20" s="63">
        <v>113.0</v>
      </c>
      <c r="AG20" s="63">
        <v>128.0</v>
      </c>
      <c r="AH20" s="63">
        <v>112.0</v>
      </c>
      <c r="AI20" s="63">
        <v>110.0</v>
      </c>
      <c r="AJ20" s="63">
        <v>95.0</v>
      </c>
      <c r="AK20" s="13">
        <f t="shared" si="3"/>
        <v>3505</v>
      </c>
    </row>
    <row r="21" ht="12.75" customHeight="1">
      <c r="A21" s="35"/>
      <c r="B21" s="28"/>
      <c r="C21" s="36"/>
      <c r="D21" s="13" t="s">
        <v>14</v>
      </c>
      <c r="E21" s="64">
        <f t="shared" ref="E21:AJ21" si="4">SUM(E19:E20)</f>
        <v>228</v>
      </c>
      <c r="F21" s="64">
        <f t="shared" si="4"/>
        <v>209</v>
      </c>
      <c r="G21" s="64">
        <f t="shared" si="4"/>
        <v>210</v>
      </c>
      <c r="H21" s="64">
        <f t="shared" si="4"/>
        <v>239</v>
      </c>
      <c r="I21" s="64">
        <f t="shared" si="4"/>
        <v>224</v>
      </c>
      <c r="J21" s="64">
        <f t="shared" si="4"/>
        <v>228</v>
      </c>
      <c r="K21" s="64">
        <f t="shared" si="4"/>
        <v>197</v>
      </c>
      <c r="L21" s="64">
        <f t="shared" si="4"/>
        <v>221</v>
      </c>
      <c r="M21" s="64">
        <f t="shared" si="4"/>
        <v>243</v>
      </c>
      <c r="N21" s="64">
        <f t="shared" si="4"/>
        <v>242</v>
      </c>
      <c r="O21" s="64">
        <f t="shared" si="4"/>
        <v>177</v>
      </c>
      <c r="P21" s="64">
        <f t="shared" si="4"/>
        <v>217</v>
      </c>
      <c r="Q21" s="64">
        <f t="shared" si="4"/>
        <v>193</v>
      </c>
      <c r="R21" s="64">
        <f t="shared" si="4"/>
        <v>214</v>
      </c>
      <c r="S21" s="64">
        <f t="shared" si="4"/>
        <v>225</v>
      </c>
      <c r="T21" s="64">
        <f t="shared" si="4"/>
        <v>221</v>
      </c>
      <c r="U21" s="64">
        <f t="shared" si="4"/>
        <v>155</v>
      </c>
      <c r="V21" s="64">
        <f t="shared" si="4"/>
        <v>141</v>
      </c>
      <c r="W21" s="64">
        <f t="shared" si="4"/>
        <v>170</v>
      </c>
      <c r="X21" s="64">
        <f t="shared" si="4"/>
        <v>223</v>
      </c>
      <c r="Y21" s="64">
        <f t="shared" si="4"/>
        <v>189</v>
      </c>
      <c r="Z21" s="64">
        <f t="shared" si="4"/>
        <v>212</v>
      </c>
      <c r="AA21" s="64">
        <f t="shared" si="4"/>
        <v>219</v>
      </c>
      <c r="AB21" s="64">
        <f t="shared" si="4"/>
        <v>240</v>
      </c>
      <c r="AC21" s="64">
        <f t="shared" si="4"/>
        <v>175</v>
      </c>
      <c r="AD21" s="64">
        <f t="shared" si="4"/>
        <v>211</v>
      </c>
      <c r="AE21" s="64">
        <f t="shared" si="4"/>
        <v>226</v>
      </c>
      <c r="AF21" s="64">
        <f t="shared" si="4"/>
        <v>206</v>
      </c>
      <c r="AG21" s="64">
        <f t="shared" si="4"/>
        <v>248</v>
      </c>
      <c r="AH21" s="64">
        <f t="shared" si="4"/>
        <v>206</v>
      </c>
      <c r="AI21" s="64">
        <f t="shared" si="4"/>
        <v>206</v>
      </c>
      <c r="AJ21" s="64">
        <f t="shared" si="4"/>
        <v>185</v>
      </c>
      <c r="AK21" s="13">
        <f t="shared" si="3"/>
        <v>6700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3">
        <v>0.0</v>
      </c>
      <c r="F22" s="63">
        <v>0.0</v>
      </c>
      <c r="G22" s="63">
        <v>0.0</v>
      </c>
      <c r="H22" s="63">
        <v>0.0</v>
      </c>
      <c r="I22" s="63">
        <v>0.0</v>
      </c>
      <c r="J22" s="63">
        <v>0.0</v>
      </c>
      <c r="K22" s="63">
        <v>0.0</v>
      </c>
      <c r="L22" s="63">
        <v>0.0</v>
      </c>
      <c r="M22" s="63">
        <v>0.0</v>
      </c>
      <c r="N22" s="63">
        <v>0.0</v>
      </c>
      <c r="O22" s="63">
        <v>0.0</v>
      </c>
      <c r="P22" s="63">
        <v>0.0</v>
      </c>
      <c r="Q22" s="63">
        <v>0.0</v>
      </c>
      <c r="R22" s="63">
        <v>0.0</v>
      </c>
      <c r="S22" s="63">
        <v>0.0</v>
      </c>
      <c r="T22" s="63">
        <v>0.0</v>
      </c>
      <c r="U22" s="63">
        <v>0.0</v>
      </c>
      <c r="V22" s="63">
        <v>0.0</v>
      </c>
      <c r="W22" s="63">
        <v>0.0</v>
      </c>
      <c r="X22" s="63">
        <v>0.0</v>
      </c>
      <c r="Y22" s="63">
        <v>0.0</v>
      </c>
      <c r="Z22" s="63">
        <v>0.0</v>
      </c>
      <c r="AA22" s="63">
        <v>0.0</v>
      </c>
      <c r="AB22" s="63">
        <v>0.0</v>
      </c>
      <c r="AC22" s="63">
        <v>0.0</v>
      </c>
      <c r="AD22" s="63">
        <v>0.0</v>
      </c>
      <c r="AE22" s="63">
        <v>0.0</v>
      </c>
      <c r="AF22" s="63">
        <v>0.0</v>
      </c>
      <c r="AG22" s="63">
        <v>0.0</v>
      </c>
      <c r="AH22" s="63">
        <v>0.0</v>
      </c>
      <c r="AI22" s="63">
        <v>0.0</v>
      </c>
      <c r="AJ22" s="63">
        <v>0.0</v>
      </c>
      <c r="AK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63">
        <v>0.0</v>
      </c>
      <c r="F23" s="63">
        <v>0.0</v>
      </c>
      <c r="G23" s="63">
        <v>0.0</v>
      </c>
      <c r="H23" s="63">
        <v>0.0</v>
      </c>
      <c r="I23" s="63">
        <v>1.0</v>
      </c>
      <c r="J23" s="63">
        <v>0.0</v>
      </c>
      <c r="K23" s="63">
        <v>0.0</v>
      </c>
      <c r="L23" s="63">
        <v>0.0</v>
      </c>
      <c r="M23" s="63">
        <v>0.0</v>
      </c>
      <c r="N23" s="63">
        <v>0.0</v>
      </c>
      <c r="O23" s="63">
        <v>0.0</v>
      </c>
      <c r="P23" s="63">
        <v>0.0</v>
      </c>
      <c r="Q23" s="63">
        <v>0.0</v>
      </c>
      <c r="R23" s="63">
        <v>0.0</v>
      </c>
      <c r="S23" s="63">
        <v>0.0</v>
      </c>
      <c r="T23" s="63">
        <v>0.0</v>
      </c>
      <c r="U23" s="63">
        <v>0.0</v>
      </c>
      <c r="V23" s="63">
        <v>0.0</v>
      </c>
      <c r="W23" s="63">
        <v>0.0</v>
      </c>
      <c r="X23" s="63">
        <v>0.0</v>
      </c>
      <c r="Y23" s="63">
        <v>0.0</v>
      </c>
      <c r="Z23" s="63">
        <v>0.0</v>
      </c>
      <c r="AA23" s="63">
        <v>0.0</v>
      </c>
      <c r="AB23" s="63">
        <v>0.0</v>
      </c>
      <c r="AC23" s="63">
        <v>0.0</v>
      </c>
      <c r="AD23" s="63">
        <v>0.0</v>
      </c>
      <c r="AE23" s="63">
        <v>0.0</v>
      </c>
      <c r="AF23" s="63">
        <v>0.0</v>
      </c>
      <c r="AG23" s="63">
        <v>0.0</v>
      </c>
      <c r="AH23" s="63">
        <v>0.0</v>
      </c>
      <c r="AI23" s="63">
        <v>0.0</v>
      </c>
      <c r="AJ23" s="63">
        <v>0.0</v>
      </c>
      <c r="AK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64">
        <f t="shared" ref="E24:AJ24" si="5">SUM(E22:E23)</f>
        <v>0</v>
      </c>
      <c r="F24" s="64">
        <f t="shared" si="5"/>
        <v>0</v>
      </c>
      <c r="G24" s="64">
        <f t="shared" si="5"/>
        <v>0</v>
      </c>
      <c r="H24" s="64">
        <f t="shared" si="5"/>
        <v>0</v>
      </c>
      <c r="I24" s="64">
        <f t="shared" si="5"/>
        <v>1</v>
      </c>
      <c r="J24" s="64">
        <f t="shared" si="5"/>
        <v>0</v>
      </c>
      <c r="K24" s="64">
        <f t="shared" si="5"/>
        <v>0</v>
      </c>
      <c r="L24" s="64">
        <f t="shared" si="5"/>
        <v>0</v>
      </c>
      <c r="M24" s="64">
        <f t="shared" si="5"/>
        <v>0</v>
      </c>
      <c r="N24" s="64">
        <f t="shared" si="5"/>
        <v>0</v>
      </c>
      <c r="O24" s="64">
        <f t="shared" si="5"/>
        <v>0</v>
      </c>
      <c r="P24" s="64">
        <f t="shared" si="5"/>
        <v>0</v>
      </c>
      <c r="Q24" s="64">
        <f t="shared" si="5"/>
        <v>0</v>
      </c>
      <c r="R24" s="64">
        <f t="shared" si="5"/>
        <v>0</v>
      </c>
      <c r="S24" s="64">
        <f t="shared" si="5"/>
        <v>0</v>
      </c>
      <c r="T24" s="64">
        <f t="shared" si="5"/>
        <v>0</v>
      </c>
      <c r="U24" s="64">
        <f t="shared" si="5"/>
        <v>0</v>
      </c>
      <c r="V24" s="64">
        <f t="shared" si="5"/>
        <v>0</v>
      </c>
      <c r="W24" s="64">
        <f t="shared" si="5"/>
        <v>0</v>
      </c>
      <c r="X24" s="64">
        <f t="shared" si="5"/>
        <v>0</v>
      </c>
      <c r="Y24" s="64">
        <f t="shared" si="5"/>
        <v>0</v>
      </c>
      <c r="Z24" s="64">
        <f t="shared" si="5"/>
        <v>0</v>
      </c>
      <c r="AA24" s="64">
        <f t="shared" si="5"/>
        <v>0</v>
      </c>
      <c r="AB24" s="64">
        <f t="shared" si="5"/>
        <v>0</v>
      </c>
      <c r="AC24" s="64">
        <f t="shared" si="5"/>
        <v>0</v>
      </c>
      <c r="AD24" s="64">
        <f t="shared" si="5"/>
        <v>0</v>
      </c>
      <c r="AE24" s="64">
        <f t="shared" si="5"/>
        <v>0</v>
      </c>
      <c r="AF24" s="64">
        <f t="shared" si="5"/>
        <v>0</v>
      </c>
      <c r="AG24" s="64">
        <f t="shared" si="5"/>
        <v>0</v>
      </c>
      <c r="AH24" s="64">
        <f t="shared" si="5"/>
        <v>0</v>
      </c>
      <c r="AI24" s="64">
        <f t="shared" si="5"/>
        <v>0</v>
      </c>
      <c r="AJ24" s="64">
        <f t="shared" si="5"/>
        <v>0</v>
      </c>
      <c r="AK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3">
        <v>0.0</v>
      </c>
      <c r="F25" s="63">
        <v>0.0</v>
      </c>
      <c r="G25" s="63">
        <v>0.0</v>
      </c>
      <c r="H25" s="63">
        <v>0.0</v>
      </c>
      <c r="I25" s="63">
        <v>0.0</v>
      </c>
      <c r="J25" s="63">
        <v>0.0</v>
      </c>
      <c r="K25" s="63">
        <v>3.0</v>
      </c>
      <c r="L25" s="63">
        <v>0.0</v>
      </c>
      <c r="M25" s="63">
        <v>0.0</v>
      </c>
      <c r="N25" s="63">
        <v>0.0</v>
      </c>
      <c r="O25" s="63">
        <v>0.0</v>
      </c>
      <c r="P25" s="63">
        <v>0.0</v>
      </c>
      <c r="Q25" s="63">
        <v>0.0</v>
      </c>
      <c r="R25" s="63">
        <v>0.0</v>
      </c>
      <c r="S25" s="63">
        <v>0.0</v>
      </c>
      <c r="T25" s="63">
        <v>0.0</v>
      </c>
      <c r="U25" s="63">
        <v>1.0</v>
      </c>
      <c r="V25" s="63">
        <v>0.0</v>
      </c>
      <c r="W25" s="63">
        <v>1.0</v>
      </c>
      <c r="X25" s="63">
        <v>2.0</v>
      </c>
      <c r="Y25" s="63">
        <v>1.0</v>
      </c>
      <c r="Z25" s="63">
        <v>2.0</v>
      </c>
      <c r="AA25" s="63">
        <v>0.0</v>
      </c>
      <c r="AB25" s="63">
        <v>0.0</v>
      </c>
      <c r="AC25" s="63">
        <v>1.0</v>
      </c>
      <c r="AD25" s="63">
        <v>0.0</v>
      </c>
      <c r="AE25" s="63">
        <v>1.0</v>
      </c>
      <c r="AF25" s="63">
        <v>1.0</v>
      </c>
      <c r="AG25" s="63">
        <v>1.0</v>
      </c>
      <c r="AH25" s="63">
        <v>1.0</v>
      </c>
      <c r="AI25" s="63">
        <v>0.0</v>
      </c>
      <c r="AJ25" s="63">
        <v>0.0</v>
      </c>
      <c r="AK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63">
        <v>0.0</v>
      </c>
      <c r="F26" s="63">
        <v>1.0</v>
      </c>
      <c r="G26" s="63">
        <v>0.0</v>
      </c>
      <c r="H26" s="63">
        <v>1.0</v>
      </c>
      <c r="I26" s="63">
        <v>0.0</v>
      </c>
      <c r="J26" s="63">
        <v>0.0</v>
      </c>
      <c r="K26" s="63">
        <v>0.0</v>
      </c>
      <c r="L26" s="63">
        <v>0.0</v>
      </c>
      <c r="M26" s="63">
        <v>0.0</v>
      </c>
      <c r="N26" s="63">
        <v>0.0</v>
      </c>
      <c r="O26" s="63">
        <v>1.0</v>
      </c>
      <c r="P26" s="63">
        <v>1.0</v>
      </c>
      <c r="Q26" s="63">
        <v>0.0</v>
      </c>
      <c r="R26" s="63">
        <v>0.0</v>
      </c>
      <c r="S26" s="63">
        <v>2.0</v>
      </c>
      <c r="T26" s="63">
        <v>1.0</v>
      </c>
      <c r="U26" s="63">
        <v>0.0</v>
      </c>
      <c r="V26" s="63">
        <v>0.0</v>
      </c>
      <c r="W26" s="63">
        <v>1.0</v>
      </c>
      <c r="X26" s="63">
        <v>7.0</v>
      </c>
      <c r="Y26" s="63">
        <v>2.0</v>
      </c>
      <c r="Z26" s="63">
        <v>4.0</v>
      </c>
      <c r="AA26" s="63">
        <v>0.0</v>
      </c>
      <c r="AB26" s="63">
        <v>0.0</v>
      </c>
      <c r="AC26" s="63">
        <v>2.0</v>
      </c>
      <c r="AD26" s="63">
        <v>0.0</v>
      </c>
      <c r="AE26" s="63">
        <v>2.0</v>
      </c>
      <c r="AF26" s="63">
        <v>0.0</v>
      </c>
      <c r="AG26" s="63">
        <v>1.0</v>
      </c>
      <c r="AH26" s="63">
        <v>0.0</v>
      </c>
      <c r="AI26" s="63">
        <v>0.0</v>
      </c>
      <c r="AJ26" s="63">
        <v>0.0</v>
      </c>
      <c r="AK26" s="13">
        <f t="shared" si="3"/>
        <v>26</v>
      </c>
    </row>
    <row r="27" ht="12.75" customHeight="1">
      <c r="A27" s="35"/>
      <c r="B27" s="28"/>
      <c r="C27" s="36"/>
      <c r="D27" s="13" t="s">
        <v>14</v>
      </c>
      <c r="E27" s="64">
        <f t="shared" ref="E27:AJ27" si="6">SUM(E25:E26)</f>
        <v>0</v>
      </c>
      <c r="F27" s="64">
        <f t="shared" si="6"/>
        <v>1</v>
      </c>
      <c r="G27" s="64">
        <f t="shared" si="6"/>
        <v>0</v>
      </c>
      <c r="H27" s="64">
        <f t="shared" si="6"/>
        <v>1</v>
      </c>
      <c r="I27" s="64">
        <f t="shared" si="6"/>
        <v>0</v>
      </c>
      <c r="J27" s="64">
        <f t="shared" si="6"/>
        <v>0</v>
      </c>
      <c r="K27" s="64">
        <f t="shared" si="6"/>
        <v>3</v>
      </c>
      <c r="L27" s="64">
        <f t="shared" si="6"/>
        <v>0</v>
      </c>
      <c r="M27" s="64">
        <f t="shared" si="6"/>
        <v>0</v>
      </c>
      <c r="N27" s="64">
        <f t="shared" si="6"/>
        <v>0</v>
      </c>
      <c r="O27" s="64">
        <f t="shared" si="6"/>
        <v>1</v>
      </c>
      <c r="P27" s="64">
        <f t="shared" si="6"/>
        <v>1</v>
      </c>
      <c r="Q27" s="64">
        <f t="shared" si="6"/>
        <v>0</v>
      </c>
      <c r="R27" s="64">
        <f t="shared" si="6"/>
        <v>0</v>
      </c>
      <c r="S27" s="64">
        <f t="shared" si="6"/>
        <v>2</v>
      </c>
      <c r="T27" s="64">
        <f t="shared" si="6"/>
        <v>1</v>
      </c>
      <c r="U27" s="64">
        <f t="shared" si="6"/>
        <v>1</v>
      </c>
      <c r="V27" s="64">
        <f t="shared" si="6"/>
        <v>0</v>
      </c>
      <c r="W27" s="64">
        <f t="shared" si="6"/>
        <v>2</v>
      </c>
      <c r="X27" s="64">
        <f t="shared" si="6"/>
        <v>9</v>
      </c>
      <c r="Y27" s="64">
        <f t="shared" si="6"/>
        <v>3</v>
      </c>
      <c r="Z27" s="64">
        <f t="shared" si="6"/>
        <v>6</v>
      </c>
      <c r="AA27" s="64">
        <f t="shared" si="6"/>
        <v>0</v>
      </c>
      <c r="AB27" s="64">
        <f t="shared" si="6"/>
        <v>0</v>
      </c>
      <c r="AC27" s="64">
        <f t="shared" si="6"/>
        <v>3</v>
      </c>
      <c r="AD27" s="64">
        <f t="shared" si="6"/>
        <v>0</v>
      </c>
      <c r="AE27" s="64">
        <f t="shared" si="6"/>
        <v>3</v>
      </c>
      <c r="AF27" s="64">
        <f t="shared" si="6"/>
        <v>1</v>
      </c>
      <c r="AG27" s="64">
        <f t="shared" si="6"/>
        <v>2</v>
      </c>
      <c r="AH27" s="64">
        <f t="shared" si="6"/>
        <v>1</v>
      </c>
      <c r="AI27" s="64">
        <f t="shared" si="6"/>
        <v>0</v>
      </c>
      <c r="AJ27" s="64">
        <f t="shared" si="6"/>
        <v>0</v>
      </c>
      <c r="AK27" s="13">
        <f t="shared" si="3"/>
        <v>41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64">
        <f t="shared" ref="E28:AJ28" si="7">SUM(E19,E22,E25)</f>
        <v>117</v>
      </c>
      <c r="F28" s="64">
        <f t="shared" si="7"/>
        <v>103</v>
      </c>
      <c r="G28" s="64">
        <f t="shared" si="7"/>
        <v>100</v>
      </c>
      <c r="H28" s="64">
        <f t="shared" si="7"/>
        <v>113</v>
      </c>
      <c r="I28" s="64">
        <f t="shared" si="7"/>
        <v>109</v>
      </c>
      <c r="J28" s="64">
        <f t="shared" si="7"/>
        <v>112</v>
      </c>
      <c r="K28" s="64">
        <f t="shared" si="7"/>
        <v>93</v>
      </c>
      <c r="L28" s="64">
        <f t="shared" si="7"/>
        <v>101</v>
      </c>
      <c r="M28" s="64">
        <f t="shared" si="7"/>
        <v>114</v>
      </c>
      <c r="N28" s="64">
        <f t="shared" si="7"/>
        <v>110</v>
      </c>
      <c r="O28" s="64">
        <f t="shared" si="7"/>
        <v>82</v>
      </c>
      <c r="P28" s="64">
        <f t="shared" si="7"/>
        <v>100</v>
      </c>
      <c r="Q28" s="64">
        <f t="shared" si="7"/>
        <v>84</v>
      </c>
      <c r="R28" s="64">
        <f t="shared" si="7"/>
        <v>85</v>
      </c>
      <c r="S28" s="64">
        <f t="shared" si="7"/>
        <v>101</v>
      </c>
      <c r="T28" s="64">
        <f t="shared" si="7"/>
        <v>106</v>
      </c>
      <c r="U28" s="64">
        <f t="shared" si="7"/>
        <v>82</v>
      </c>
      <c r="V28" s="64">
        <f t="shared" si="7"/>
        <v>76</v>
      </c>
      <c r="W28" s="64">
        <f t="shared" si="7"/>
        <v>86</v>
      </c>
      <c r="X28" s="64">
        <f t="shared" si="7"/>
        <v>117</v>
      </c>
      <c r="Y28" s="64">
        <f t="shared" si="7"/>
        <v>91</v>
      </c>
      <c r="Z28" s="64">
        <f t="shared" si="7"/>
        <v>103</v>
      </c>
      <c r="AA28" s="64">
        <f t="shared" si="7"/>
        <v>115</v>
      </c>
      <c r="AB28" s="64">
        <f t="shared" si="7"/>
        <v>125</v>
      </c>
      <c r="AC28" s="64">
        <f t="shared" si="7"/>
        <v>87</v>
      </c>
      <c r="AD28" s="64">
        <f t="shared" si="7"/>
        <v>93</v>
      </c>
      <c r="AE28" s="64">
        <f t="shared" si="7"/>
        <v>109</v>
      </c>
      <c r="AF28" s="64">
        <f t="shared" si="7"/>
        <v>94</v>
      </c>
      <c r="AG28" s="64">
        <f t="shared" si="7"/>
        <v>121</v>
      </c>
      <c r="AH28" s="64">
        <f t="shared" si="7"/>
        <v>95</v>
      </c>
      <c r="AI28" s="64">
        <f t="shared" si="7"/>
        <v>96</v>
      </c>
      <c r="AJ28" s="64">
        <f t="shared" si="7"/>
        <v>90</v>
      </c>
      <c r="AK28" s="13">
        <f t="shared" si="3"/>
        <v>3210</v>
      </c>
    </row>
    <row r="29" ht="12.75" customHeight="1">
      <c r="A29" s="35"/>
      <c r="B29" s="27"/>
      <c r="C29" s="34"/>
      <c r="D29" s="13" t="s">
        <v>13</v>
      </c>
      <c r="E29" s="64">
        <f t="shared" ref="E29:AJ29" si="8">SUM(E20,E23,E26)</f>
        <v>111</v>
      </c>
      <c r="F29" s="64">
        <f t="shared" si="8"/>
        <v>107</v>
      </c>
      <c r="G29" s="64">
        <f t="shared" si="8"/>
        <v>110</v>
      </c>
      <c r="H29" s="64">
        <f t="shared" si="8"/>
        <v>127</v>
      </c>
      <c r="I29" s="64">
        <f t="shared" si="8"/>
        <v>116</v>
      </c>
      <c r="J29" s="64">
        <f t="shared" si="8"/>
        <v>116</v>
      </c>
      <c r="K29" s="64">
        <f t="shared" si="8"/>
        <v>107</v>
      </c>
      <c r="L29" s="64">
        <f t="shared" si="8"/>
        <v>120</v>
      </c>
      <c r="M29" s="64">
        <f t="shared" si="8"/>
        <v>129</v>
      </c>
      <c r="N29" s="64">
        <f t="shared" si="8"/>
        <v>132</v>
      </c>
      <c r="O29" s="64">
        <f t="shared" si="8"/>
        <v>96</v>
      </c>
      <c r="P29" s="64">
        <f t="shared" si="8"/>
        <v>118</v>
      </c>
      <c r="Q29" s="64">
        <f t="shared" si="8"/>
        <v>109</v>
      </c>
      <c r="R29" s="64">
        <f t="shared" si="8"/>
        <v>129</v>
      </c>
      <c r="S29" s="64">
        <f t="shared" si="8"/>
        <v>126</v>
      </c>
      <c r="T29" s="64">
        <f t="shared" si="8"/>
        <v>116</v>
      </c>
      <c r="U29" s="64">
        <f t="shared" si="8"/>
        <v>74</v>
      </c>
      <c r="V29" s="64">
        <f t="shared" si="8"/>
        <v>65</v>
      </c>
      <c r="W29" s="64">
        <f t="shared" si="8"/>
        <v>86</v>
      </c>
      <c r="X29" s="64">
        <f t="shared" si="8"/>
        <v>115</v>
      </c>
      <c r="Y29" s="64">
        <f t="shared" si="8"/>
        <v>101</v>
      </c>
      <c r="Z29" s="64">
        <f t="shared" si="8"/>
        <v>115</v>
      </c>
      <c r="AA29" s="64">
        <f t="shared" si="8"/>
        <v>104</v>
      </c>
      <c r="AB29" s="64">
        <f t="shared" si="8"/>
        <v>115</v>
      </c>
      <c r="AC29" s="64">
        <f t="shared" si="8"/>
        <v>91</v>
      </c>
      <c r="AD29" s="64">
        <f t="shared" si="8"/>
        <v>118</v>
      </c>
      <c r="AE29" s="64">
        <f t="shared" si="8"/>
        <v>120</v>
      </c>
      <c r="AF29" s="64">
        <f t="shared" si="8"/>
        <v>113</v>
      </c>
      <c r="AG29" s="64">
        <f t="shared" si="8"/>
        <v>129</v>
      </c>
      <c r="AH29" s="64">
        <f t="shared" si="8"/>
        <v>112</v>
      </c>
      <c r="AI29" s="64">
        <f t="shared" si="8"/>
        <v>110</v>
      </c>
      <c r="AJ29" s="64">
        <f t="shared" si="8"/>
        <v>95</v>
      </c>
      <c r="AK29" s="13">
        <f t="shared" si="3"/>
        <v>3532</v>
      </c>
    </row>
    <row r="30" ht="12.75" customHeight="1">
      <c r="A30" s="35"/>
      <c r="B30" s="28"/>
      <c r="C30" s="36"/>
      <c r="D30" s="13" t="s">
        <v>14</v>
      </c>
      <c r="E30" s="66">
        <f t="shared" ref="E30:AJ30" si="9">SUM(E28:E29)</f>
        <v>228</v>
      </c>
      <c r="F30" s="66">
        <f t="shared" si="9"/>
        <v>210</v>
      </c>
      <c r="G30" s="66">
        <f t="shared" si="9"/>
        <v>210</v>
      </c>
      <c r="H30" s="66">
        <f t="shared" si="9"/>
        <v>240</v>
      </c>
      <c r="I30" s="66">
        <f t="shared" si="9"/>
        <v>225</v>
      </c>
      <c r="J30" s="66">
        <f t="shared" si="9"/>
        <v>228</v>
      </c>
      <c r="K30" s="66">
        <f t="shared" si="9"/>
        <v>200</v>
      </c>
      <c r="L30" s="66">
        <f t="shared" si="9"/>
        <v>221</v>
      </c>
      <c r="M30" s="66">
        <f t="shared" si="9"/>
        <v>243</v>
      </c>
      <c r="N30" s="66">
        <f t="shared" si="9"/>
        <v>242</v>
      </c>
      <c r="O30" s="66">
        <f t="shared" si="9"/>
        <v>178</v>
      </c>
      <c r="P30" s="66">
        <f t="shared" si="9"/>
        <v>218</v>
      </c>
      <c r="Q30" s="66">
        <f t="shared" si="9"/>
        <v>193</v>
      </c>
      <c r="R30" s="66">
        <f t="shared" si="9"/>
        <v>214</v>
      </c>
      <c r="S30" s="66">
        <f t="shared" si="9"/>
        <v>227</v>
      </c>
      <c r="T30" s="66">
        <f t="shared" si="9"/>
        <v>222</v>
      </c>
      <c r="U30" s="66">
        <f t="shared" si="9"/>
        <v>156</v>
      </c>
      <c r="V30" s="66">
        <f t="shared" si="9"/>
        <v>141</v>
      </c>
      <c r="W30" s="66">
        <f t="shared" si="9"/>
        <v>172</v>
      </c>
      <c r="X30" s="66">
        <f t="shared" si="9"/>
        <v>232</v>
      </c>
      <c r="Y30" s="66">
        <f t="shared" si="9"/>
        <v>192</v>
      </c>
      <c r="Z30" s="66">
        <f t="shared" si="9"/>
        <v>218</v>
      </c>
      <c r="AA30" s="66">
        <f t="shared" si="9"/>
        <v>219</v>
      </c>
      <c r="AB30" s="66">
        <f t="shared" si="9"/>
        <v>240</v>
      </c>
      <c r="AC30" s="66">
        <f t="shared" si="9"/>
        <v>178</v>
      </c>
      <c r="AD30" s="66">
        <f t="shared" si="9"/>
        <v>211</v>
      </c>
      <c r="AE30" s="66">
        <f t="shared" si="9"/>
        <v>229</v>
      </c>
      <c r="AF30" s="66">
        <f t="shared" si="9"/>
        <v>207</v>
      </c>
      <c r="AG30" s="66">
        <f t="shared" si="9"/>
        <v>250</v>
      </c>
      <c r="AH30" s="66">
        <f t="shared" si="9"/>
        <v>207</v>
      </c>
      <c r="AI30" s="66">
        <f t="shared" si="9"/>
        <v>206</v>
      </c>
      <c r="AJ30" s="66">
        <f t="shared" si="9"/>
        <v>185</v>
      </c>
      <c r="AK30" s="13">
        <f t="shared" si="3"/>
        <v>6742</v>
      </c>
    </row>
    <row r="31" ht="12.75" customHeight="1">
      <c r="A31" s="24"/>
      <c r="B31" s="15"/>
      <c r="C31" s="15"/>
      <c r="D31" s="16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59"/>
    </row>
    <row r="32" ht="12.75" customHeight="1">
      <c r="A32" s="41" t="s">
        <v>25</v>
      </c>
      <c r="B32" s="14" t="s">
        <v>26</v>
      </c>
      <c r="C32" s="15"/>
      <c r="D32" s="16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59"/>
    </row>
    <row r="33" ht="12.75" customHeight="1">
      <c r="A33" s="19">
        <v>1.0</v>
      </c>
      <c r="B33" s="20" t="s">
        <v>27</v>
      </c>
      <c r="C33" s="15"/>
      <c r="D33" s="16"/>
      <c r="E33" s="63">
        <v>283.0</v>
      </c>
      <c r="F33" s="63">
        <v>257.0</v>
      </c>
      <c r="G33" s="63">
        <v>259.0</v>
      </c>
      <c r="H33" s="63">
        <v>300.0</v>
      </c>
      <c r="I33" s="63">
        <v>266.0</v>
      </c>
      <c r="J33" s="63">
        <v>285.0</v>
      </c>
      <c r="K33" s="63">
        <v>254.0</v>
      </c>
      <c r="L33" s="63">
        <v>299.0</v>
      </c>
      <c r="M33" s="63">
        <v>298.0</v>
      </c>
      <c r="N33" s="63">
        <v>300.0</v>
      </c>
      <c r="O33" s="63">
        <v>238.0</v>
      </c>
      <c r="P33" s="63">
        <v>279.0</v>
      </c>
      <c r="Q33" s="63">
        <v>275.0</v>
      </c>
      <c r="R33" s="63">
        <v>271.0</v>
      </c>
      <c r="S33" s="63">
        <v>279.0</v>
      </c>
      <c r="T33" s="63">
        <v>296.0</v>
      </c>
      <c r="U33" s="63">
        <v>220.0</v>
      </c>
      <c r="V33" s="63">
        <v>189.0</v>
      </c>
      <c r="W33" s="63">
        <v>237.0</v>
      </c>
      <c r="X33" s="63">
        <v>293.0</v>
      </c>
      <c r="Y33" s="63">
        <v>272.0</v>
      </c>
      <c r="Z33" s="63">
        <v>273.0</v>
      </c>
      <c r="AA33" s="63">
        <v>294.0</v>
      </c>
      <c r="AB33" s="63">
        <v>294.0</v>
      </c>
      <c r="AC33" s="63">
        <v>234.0</v>
      </c>
      <c r="AD33" s="63">
        <v>250.0</v>
      </c>
      <c r="AE33" s="63">
        <v>295.0</v>
      </c>
      <c r="AF33" s="63">
        <v>267.0</v>
      </c>
      <c r="AG33" s="63">
        <v>302.0</v>
      </c>
      <c r="AH33" s="63">
        <v>251.0</v>
      </c>
      <c r="AI33" s="63">
        <v>257.0</v>
      </c>
      <c r="AJ33" s="63">
        <v>228.0</v>
      </c>
      <c r="AK33" s="13">
        <f t="shared" ref="AK33:AK36" si="10">SUM(E33:AJ33)</f>
        <v>8595</v>
      </c>
    </row>
    <row r="34" ht="12.75" customHeight="1">
      <c r="A34" s="19">
        <v>2.0</v>
      </c>
      <c r="B34" s="20" t="s">
        <v>28</v>
      </c>
      <c r="C34" s="15"/>
      <c r="D34" s="16"/>
      <c r="E34" s="67">
        <v>228.0</v>
      </c>
      <c r="F34" s="67">
        <v>210.0</v>
      </c>
      <c r="G34" s="67">
        <v>210.0</v>
      </c>
      <c r="H34" s="67">
        <v>240.0</v>
      </c>
      <c r="I34" s="67">
        <v>225.0</v>
      </c>
      <c r="J34" s="67">
        <v>228.0</v>
      </c>
      <c r="K34" s="67">
        <v>200.0</v>
      </c>
      <c r="L34" s="67">
        <v>221.0</v>
      </c>
      <c r="M34" s="67">
        <v>243.0</v>
      </c>
      <c r="N34" s="67">
        <v>242.0</v>
      </c>
      <c r="O34" s="67">
        <v>178.0</v>
      </c>
      <c r="P34" s="67">
        <v>218.0</v>
      </c>
      <c r="Q34" s="67">
        <v>193.0</v>
      </c>
      <c r="R34" s="67">
        <v>214.0</v>
      </c>
      <c r="S34" s="67">
        <v>227.0</v>
      </c>
      <c r="T34" s="67">
        <v>222.0</v>
      </c>
      <c r="U34" s="67">
        <v>156.0</v>
      </c>
      <c r="V34" s="67">
        <v>141.0</v>
      </c>
      <c r="W34" s="67">
        <v>172.0</v>
      </c>
      <c r="X34" s="67">
        <v>232.0</v>
      </c>
      <c r="Y34" s="67">
        <v>192.0</v>
      </c>
      <c r="Z34" s="67">
        <v>218.0</v>
      </c>
      <c r="AA34" s="67">
        <v>219.0</v>
      </c>
      <c r="AB34" s="67">
        <v>240.0</v>
      </c>
      <c r="AC34" s="67">
        <v>178.0</v>
      </c>
      <c r="AD34" s="67">
        <v>211.0</v>
      </c>
      <c r="AE34" s="67">
        <v>229.0</v>
      </c>
      <c r="AF34" s="67">
        <v>207.0</v>
      </c>
      <c r="AG34" s="67">
        <v>250.0</v>
      </c>
      <c r="AH34" s="67">
        <v>207.0</v>
      </c>
      <c r="AI34" s="67">
        <v>206.0</v>
      </c>
      <c r="AJ34" s="67">
        <v>185.0</v>
      </c>
      <c r="AK34" s="13">
        <f t="shared" si="10"/>
        <v>6742</v>
      </c>
    </row>
    <row r="35" ht="12.75" customHeight="1">
      <c r="A35" s="19">
        <v>3.0</v>
      </c>
      <c r="B35" s="20" t="s">
        <v>29</v>
      </c>
      <c r="C35" s="15"/>
      <c r="D35" s="16"/>
      <c r="E35" s="63">
        <v>0.0</v>
      </c>
      <c r="F35" s="63">
        <v>0.0</v>
      </c>
      <c r="G35" s="63">
        <v>0.0</v>
      </c>
      <c r="H35" s="63">
        <v>0.0</v>
      </c>
      <c r="I35" s="63">
        <v>0.0</v>
      </c>
      <c r="J35" s="63">
        <v>0.0</v>
      </c>
      <c r="K35" s="63">
        <v>1.0</v>
      </c>
      <c r="L35" s="63">
        <v>0.0</v>
      </c>
      <c r="M35" s="63">
        <v>0.0</v>
      </c>
      <c r="N35" s="63">
        <v>0.0</v>
      </c>
      <c r="O35" s="63">
        <v>0.0</v>
      </c>
      <c r="P35" s="63">
        <v>0.0</v>
      </c>
      <c r="Q35" s="63">
        <v>0.0</v>
      </c>
      <c r="R35" s="63">
        <v>0.0</v>
      </c>
      <c r="S35" s="63">
        <v>0.0</v>
      </c>
      <c r="T35" s="63">
        <v>0.0</v>
      </c>
      <c r="U35" s="63">
        <v>0.0</v>
      </c>
      <c r="V35" s="63">
        <v>0.0</v>
      </c>
      <c r="W35" s="63">
        <v>0.0</v>
      </c>
      <c r="X35" s="63">
        <v>0.0</v>
      </c>
      <c r="Y35" s="63">
        <v>0.0</v>
      </c>
      <c r="Z35" s="63">
        <v>1.0</v>
      </c>
      <c r="AA35" s="63">
        <v>0.0</v>
      </c>
      <c r="AB35" s="63">
        <v>0.0</v>
      </c>
      <c r="AC35" s="63">
        <v>0.0</v>
      </c>
      <c r="AD35" s="63">
        <v>1.0</v>
      </c>
      <c r="AE35" s="63">
        <v>1.0</v>
      </c>
      <c r="AF35" s="63">
        <v>0.0</v>
      </c>
      <c r="AG35" s="63">
        <v>0.0</v>
      </c>
      <c r="AH35" s="63">
        <v>4.0</v>
      </c>
      <c r="AI35" s="63">
        <v>0.0</v>
      </c>
      <c r="AJ35" s="63">
        <v>0.0</v>
      </c>
      <c r="AK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64">
        <f t="shared" ref="E36:AJ36" si="11">E33-(E34+E35)</f>
        <v>55</v>
      </c>
      <c r="F36" s="64">
        <f t="shared" si="11"/>
        <v>47</v>
      </c>
      <c r="G36" s="64">
        <f t="shared" si="11"/>
        <v>49</v>
      </c>
      <c r="H36" s="64">
        <f t="shared" si="11"/>
        <v>60</v>
      </c>
      <c r="I36" s="64">
        <f t="shared" si="11"/>
        <v>41</v>
      </c>
      <c r="J36" s="64">
        <f t="shared" si="11"/>
        <v>57</v>
      </c>
      <c r="K36" s="64">
        <f t="shared" si="11"/>
        <v>53</v>
      </c>
      <c r="L36" s="64">
        <f t="shared" si="11"/>
        <v>78</v>
      </c>
      <c r="M36" s="64">
        <f t="shared" si="11"/>
        <v>55</v>
      </c>
      <c r="N36" s="64">
        <f t="shared" si="11"/>
        <v>58</v>
      </c>
      <c r="O36" s="64">
        <f t="shared" si="11"/>
        <v>60</v>
      </c>
      <c r="P36" s="64">
        <f t="shared" si="11"/>
        <v>61</v>
      </c>
      <c r="Q36" s="64">
        <f t="shared" si="11"/>
        <v>82</v>
      </c>
      <c r="R36" s="64">
        <f t="shared" si="11"/>
        <v>57</v>
      </c>
      <c r="S36" s="64">
        <f t="shared" si="11"/>
        <v>52</v>
      </c>
      <c r="T36" s="64">
        <f t="shared" si="11"/>
        <v>74</v>
      </c>
      <c r="U36" s="64">
        <f t="shared" si="11"/>
        <v>64</v>
      </c>
      <c r="V36" s="64">
        <f t="shared" si="11"/>
        <v>48</v>
      </c>
      <c r="W36" s="64">
        <f t="shared" si="11"/>
        <v>65</v>
      </c>
      <c r="X36" s="64">
        <f t="shared" si="11"/>
        <v>61</v>
      </c>
      <c r="Y36" s="64">
        <f t="shared" si="11"/>
        <v>80</v>
      </c>
      <c r="Z36" s="64">
        <f t="shared" si="11"/>
        <v>54</v>
      </c>
      <c r="AA36" s="64">
        <f t="shared" si="11"/>
        <v>75</v>
      </c>
      <c r="AB36" s="64">
        <f t="shared" si="11"/>
        <v>54</v>
      </c>
      <c r="AC36" s="64">
        <f t="shared" si="11"/>
        <v>56</v>
      </c>
      <c r="AD36" s="64">
        <f t="shared" si="11"/>
        <v>38</v>
      </c>
      <c r="AE36" s="64">
        <f t="shared" si="11"/>
        <v>65</v>
      </c>
      <c r="AF36" s="64">
        <f t="shared" si="11"/>
        <v>60</v>
      </c>
      <c r="AG36" s="64">
        <f t="shared" si="11"/>
        <v>52</v>
      </c>
      <c r="AH36" s="64">
        <f t="shared" si="11"/>
        <v>40</v>
      </c>
      <c r="AI36" s="64">
        <f t="shared" si="11"/>
        <v>51</v>
      </c>
      <c r="AJ36" s="64">
        <f t="shared" si="11"/>
        <v>43</v>
      </c>
      <c r="AK36" s="13">
        <f t="shared" si="10"/>
        <v>1845</v>
      </c>
    </row>
    <row r="37" ht="12.75" customHeight="1">
      <c r="A37" s="24"/>
      <c r="B37" s="15"/>
      <c r="C37" s="15"/>
      <c r="D37" s="15"/>
      <c r="E37" s="68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65"/>
      <c r="AF37" s="65"/>
      <c r="AG37" s="65"/>
      <c r="AH37" s="65"/>
      <c r="AI37" s="65"/>
      <c r="AJ37" s="65"/>
      <c r="AK37" s="59"/>
    </row>
    <row r="38" ht="12.75" customHeight="1">
      <c r="A38" s="42" t="s">
        <v>31</v>
      </c>
      <c r="B38" s="14" t="s">
        <v>32</v>
      </c>
      <c r="C38" s="15"/>
      <c r="D38" s="16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59"/>
    </row>
    <row r="39" ht="12.75" customHeight="1">
      <c r="A39" s="30"/>
      <c r="B39" s="43" t="s">
        <v>33</v>
      </c>
      <c r="C39" s="23"/>
      <c r="D39" s="19" t="s">
        <v>12</v>
      </c>
      <c r="E39" s="63">
        <v>1.0</v>
      </c>
      <c r="F39" s="63">
        <v>0.0</v>
      </c>
      <c r="G39" s="63">
        <v>0.0</v>
      </c>
      <c r="H39" s="63">
        <v>0.0</v>
      </c>
      <c r="I39" s="63">
        <v>0.0</v>
      </c>
      <c r="J39" s="63">
        <v>0.0</v>
      </c>
      <c r="K39" s="63">
        <v>0.0</v>
      </c>
      <c r="L39" s="63">
        <v>0.0</v>
      </c>
      <c r="M39" s="63">
        <v>0.0</v>
      </c>
      <c r="N39" s="63">
        <v>0.0</v>
      </c>
      <c r="O39" s="63">
        <v>0.0</v>
      </c>
      <c r="P39" s="63">
        <v>0.0</v>
      </c>
      <c r="Q39" s="63">
        <v>0.0</v>
      </c>
      <c r="R39" s="63">
        <v>0.0</v>
      </c>
      <c r="S39" s="63">
        <v>1.0</v>
      </c>
      <c r="T39" s="63">
        <v>0.0</v>
      </c>
      <c r="U39" s="63">
        <v>2.0</v>
      </c>
      <c r="V39" s="63">
        <v>0.0</v>
      </c>
      <c r="W39" s="63">
        <v>0.0</v>
      </c>
      <c r="X39" s="63">
        <v>1.0</v>
      </c>
      <c r="Y39" s="63">
        <v>0.0</v>
      </c>
      <c r="Z39" s="63">
        <v>0.0</v>
      </c>
      <c r="AA39" s="63">
        <v>0.0</v>
      </c>
      <c r="AB39" s="63">
        <v>0.0</v>
      </c>
      <c r="AC39" s="63">
        <v>0.0</v>
      </c>
      <c r="AD39" s="63">
        <v>0.0</v>
      </c>
      <c r="AE39" s="63">
        <v>0.0</v>
      </c>
      <c r="AF39" s="63">
        <v>2.0</v>
      </c>
      <c r="AG39" s="63">
        <v>1.0</v>
      </c>
      <c r="AH39" s="63">
        <v>5.0</v>
      </c>
      <c r="AI39" s="63">
        <v>1.0</v>
      </c>
      <c r="AJ39" s="63">
        <v>0.0</v>
      </c>
      <c r="AK39" s="13">
        <f t="shared" ref="AK39:AK41" si="12">SUM(E39:AJ39)</f>
        <v>14</v>
      </c>
    </row>
    <row r="40" ht="12.75" customHeight="1">
      <c r="A40" s="33"/>
      <c r="C40" s="27"/>
      <c r="D40" s="19" t="s">
        <v>13</v>
      </c>
      <c r="E40" s="63">
        <v>0.0</v>
      </c>
      <c r="F40" s="63">
        <v>0.0</v>
      </c>
      <c r="G40" s="63">
        <v>0.0</v>
      </c>
      <c r="H40" s="63">
        <v>0.0</v>
      </c>
      <c r="I40" s="63">
        <v>1.0</v>
      </c>
      <c r="J40" s="63">
        <v>0.0</v>
      </c>
      <c r="K40" s="63">
        <v>0.0</v>
      </c>
      <c r="L40" s="63">
        <v>0.0</v>
      </c>
      <c r="M40" s="63">
        <v>0.0</v>
      </c>
      <c r="N40" s="63">
        <v>0.0</v>
      </c>
      <c r="O40" s="63">
        <v>0.0</v>
      </c>
      <c r="P40" s="63">
        <v>0.0</v>
      </c>
      <c r="Q40" s="63">
        <v>0.0</v>
      </c>
      <c r="R40" s="63">
        <v>4.0</v>
      </c>
      <c r="S40" s="63">
        <v>0.0</v>
      </c>
      <c r="T40" s="63">
        <v>0.0</v>
      </c>
      <c r="U40" s="63">
        <v>0.0</v>
      </c>
      <c r="V40" s="63">
        <v>0.0</v>
      </c>
      <c r="W40" s="63">
        <v>0.0</v>
      </c>
      <c r="X40" s="63">
        <v>0.0</v>
      </c>
      <c r="Y40" s="63">
        <v>0.0</v>
      </c>
      <c r="Z40" s="63">
        <v>0.0</v>
      </c>
      <c r="AA40" s="63">
        <v>1.0</v>
      </c>
      <c r="AB40" s="63">
        <v>0.0</v>
      </c>
      <c r="AC40" s="63">
        <v>0.0</v>
      </c>
      <c r="AD40" s="63">
        <v>0.0</v>
      </c>
      <c r="AE40" s="63">
        <v>0.0</v>
      </c>
      <c r="AF40" s="63">
        <v>0.0</v>
      </c>
      <c r="AG40" s="63">
        <v>1.0</v>
      </c>
      <c r="AH40" s="63">
        <v>3.0</v>
      </c>
      <c r="AI40" s="63">
        <v>0.0</v>
      </c>
      <c r="AJ40" s="63">
        <v>0.0</v>
      </c>
      <c r="AK40" s="13">
        <f t="shared" si="12"/>
        <v>10</v>
      </c>
    </row>
    <row r="41" ht="12.75" customHeight="1">
      <c r="A41" s="41"/>
      <c r="B41" s="44"/>
      <c r="C41" s="28"/>
      <c r="D41" s="13" t="s">
        <v>14</v>
      </c>
      <c r="E41" s="64">
        <f t="shared" ref="E41:AJ41" si="13">SUM(E39:E40)</f>
        <v>1</v>
      </c>
      <c r="F41" s="64">
        <f t="shared" si="13"/>
        <v>0</v>
      </c>
      <c r="G41" s="64">
        <f t="shared" si="13"/>
        <v>0</v>
      </c>
      <c r="H41" s="64">
        <f t="shared" si="13"/>
        <v>0</v>
      </c>
      <c r="I41" s="64">
        <f t="shared" si="13"/>
        <v>1</v>
      </c>
      <c r="J41" s="64">
        <f t="shared" si="13"/>
        <v>0</v>
      </c>
      <c r="K41" s="64">
        <f t="shared" si="13"/>
        <v>0</v>
      </c>
      <c r="L41" s="64">
        <f t="shared" si="13"/>
        <v>0</v>
      </c>
      <c r="M41" s="64">
        <f t="shared" si="13"/>
        <v>0</v>
      </c>
      <c r="N41" s="64">
        <f t="shared" si="13"/>
        <v>0</v>
      </c>
      <c r="O41" s="64">
        <f t="shared" si="13"/>
        <v>0</v>
      </c>
      <c r="P41" s="64">
        <f t="shared" si="13"/>
        <v>0</v>
      </c>
      <c r="Q41" s="64">
        <f t="shared" si="13"/>
        <v>0</v>
      </c>
      <c r="R41" s="64">
        <f t="shared" si="13"/>
        <v>4</v>
      </c>
      <c r="S41" s="64">
        <f t="shared" si="13"/>
        <v>1</v>
      </c>
      <c r="T41" s="64">
        <f t="shared" si="13"/>
        <v>0</v>
      </c>
      <c r="U41" s="64">
        <f t="shared" si="13"/>
        <v>2</v>
      </c>
      <c r="V41" s="64">
        <f t="shared" si="13"/>
        <v>0</v>
      </c>
      <c r="W41" s="64">
        <f t="shared" si="13"/>
        <v>0</v>
      </c>
      <c r="X41" s="64">
        <f t="shared" si="13"/>
        <v>1</v>
      </c>
      <c r="Y41" s="64">
        <f t="shared" si="13"/>
        <v>0</v>
      </c>
      <c r="Z41" s="64">
        <f t="shared" si="13"/>
        <v>0</v>
      </c>
      <c r="AA41" s="64">
        <f t="shared" si="13"/>
        <v>1</v>
      </c>
      <c r="AB41" s="64">
        <f t="shared" si="13"/>
        <v>0</v>
      </c>
      <c r="AC41" s="64">
        <f t="shared" si="13"/>
        <v>0</v>
      </c>
      <c r="AD41" s="64">
        <f t="shared" si="13"/>
        <v>0</v>
      </c>
      <c r="AE41" s="64">
        <f t="shared" si="13"/>
        <v>0</v>
      </c>
      <c r="AF41" s="64">
        <f t="shared" si="13"/>
        <v>2</v>
      </c>
      <c r="AG41" s="64">
        <f t="shared" si="13"/>
        <v>2</v>
      </c>
      <c r="AH41" s="64">
        <f t="shared" si="13"/>
        <v>8</v>
      </c>
      <c r="AI41" s="64">
        <f t="shared" si="13"/>
        <v>1</v>
      </c>
      <c r="AJ41" s="64">
        <f t="shared" si="13"/>
        <v>0</v>
      </c>
      <c r="AK41" s="13">
        <f t="shared" si="12"/>
        <v>24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9"/>
      <c r="AG42" s="19"/>
      <c r="AH42" s="19"/>
      <c r="AI42" s="58"/>
      <c r="AJ42" s="19"/>
      <c r="A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60"/>
      <c r="Z43" s="13"/>
      <c r="AA43" s="13"/>
      <c r="AB43" s="60"/>
      <c r="AC43" s="13"/>
      <c r="AD43" s="13"/>
      <c r="AE43" s="13"/>
      <c r="AF43" s="13"/>
      <c r="AG43" s="13"/>
      <c r="AH43" s="13"/>
      <c r="AI43" s="60"/>
      <c r="AJ43" s="13"/>
      <c r="AK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58"/>
      <c r="Z44" s="19"/>
      <c r="AA44" s="19"/>
      <c r="AB44" s="58"/>
      <c r="AC44" s="19"/>
      <c r="AD44" s="19"/>
      <c r="AE44" s="19"/>
      <c r="AF44" s="19"/>
      <c r="AG44" s="19"/>
      <c r="AH44" s="19"/>
      <c r="AI44" s="58"/>
      <c r="AJ44" s="19"/>
      <c r="AK44" s="13"/>
    </row>
    <row r="45" ht="12.75" customHeight="1">
      <c r="A45" s="30"/>
      <c r="B45" s="47" t="s">
        <v>17</v>
      </c>
      <c r="C45" s="62" t="s">
        <v>38</v>
      </c>
      <c r="D45" s="16"/>
      <c r="E45" s="19">
        <v>11.0</v>
      </c>
      <c r="F45" s="19">
        <v>22.0</v>
      </c>
      <c r="G45" s="19">
        <v>22.0</v>
      </c>
      <c r="H45" s="19">
        <v>19.0</v>
      </c>
      <c r="I45" s="19">
        <v>24.0</v>
      </c>
      <c r="J45" s="19">
        <v>19.0</v>
      </c>
      <c r="K45" s="19">
        <v>16.0</v>
      </c>
      <c r="L45" s="19">
        <v>30.0</v>
      </c>
      <c r="M45" s="19">
        <v>41.0</v>
      </c>
      <c r="N45" s="19">
        <v>23.0</v>
      </c>
      <c r="O45" s="19">
        <v>28.0</v>
      </c>
      <c r="P45" s="19">
        <v>13.0</v>
      </c>
      <c r="Q45" s="19">
        <v>17.0</v>
      </c>
      <c r="R45" s="19">
        <v>11.0</v>
      </c>
      <c r="S45" s="19">
        <v>15.0</v>
      </c>
      <c r="T45" s="19">
        <v>25.0</v>
      </c>
      <c r="U45" s="19">
        <v>23.0</v>
      </c>
      <c r="V45" s="19">
        <v>5.0</v>
      </c>
      <c r="W45" s="19">
        <v>1.0</v>
      </c>
      <c r="X45" s="19">
        <v>13.0</v>
      </c>
      <c r="Y45" s="19">
        <v>21.0</v>
      </c>
      <c r="Z45" s="19">
        <v>18.0</v>
      </c>
      <c r="AA45" s="19">
        <v>22.0</v>
      </c>
      <c r="AB45" s="19">
        <v>12.0</v>
      </c>
      <c r="AC45" s="19">
        <v>14.0</v>
      </c>
      <c r="AD45" s="19">
        <v>16.0</v>
      </c>
      <c r="AE45" s="19">
        <v>15.0</v>
      </c>
      <c r="AF45" s="19">
        <v>12.0</v>
      </c>
      <c r="AG45" s="19">
        <v>15.0</v>
      </c>
      <c r="AH45" s="19">
        <v>16.0</v>
      </c>
      <c r="AI45" s="19">
        <v>24.0</v>
      </c>
      <c r="AJ45" s="19">
        <v>14.0</v>
      </c>
      <c r="AK45" s="13">
        <f t="shared" ref="AK45:AK57" si="14">SUM(E45:AJ45)</f>
        <v>577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43.0</v>
      </c>
      <c r="F46" s="19">
        <v>34.0</v>
      </c>
      <c r="G46" s="19">
        <v>29.0</v>
      </c>
      <c r="H46" s="19">
        <v>27.0</v>
      </c>
      <c r="I46" s="19">
        <v>34.0</v>
      </c>
      <c r="J46" s="19">
        <v>30.0</v>
      </c>
      <c r="K46" s="19">
        <v>25.0</v>
      </c>
      <c r="L46" s="19">
        <v>35.0</v>
      </c>
      <c r="M46" s="19">
        <v>37.0</v>
      </c>
      <c r="N46" s="19">
        <v>55.0</v>
      </c>
      <c r="O46" s="19">
        <v>25.0</v>
      </c>
      <c r="P46" s="19">
        <v>33.0</v>
      </c>
      <c r="Q46" s="19">
        <v>21.0</v>
      </c>
      <c r="R46" s="19">
        <v>17.0</v>
      </c>
      <c r="S46" s="19">
        <v>38.0</v>
      </c>
      <c r="T46" s="19">
        <v>50.0</v>
      </c>
      <c r="U46" s="19">
        <v>24.0</v>
      </c>
      <c r="V46" s="19">
        <v>8.0</v>
      </c>
      <c r="W46" s="19">
        <v>8.0</v>
      </c>
      <c r="X46" s="19">
        <v>25.0</v>
      </c>
      <c r="Y46" s="19">
        <v>23.0</v>
      </c>
      <c r="Z46" s="19">
        <v>26.0</v>
      </c>
      <c r="AA46" s="19">
        <v>23.0</v>
      </c>
      <c r="AB46" s="19">
        <v>16.0</v>
      </c>
      <c r="AC46" s="19">
        <v>23.0</v>
      </c>
      <c r="AD46" s="19">
        <v>31.0</v>
      </c>
      <c r="AE46" s="19">
        <v>26.0</v>
      </c>
      <c r="AF46" s="19">
        <v>23.0</v>
      </c>
      <c r="AG46" s="19">
        <v>20.0</v>
      </c>
      <c r="AH46" s="19">
        <v>33.0</v>
      </c>
      <c r="AI46" s="19">
        <v>26.0</v>
      </c>
      <c r="AJ46" s="19">
        <v>22.0</v>
      </c>
      <c r="AK46" s="13">
        <f t="shared" si="14"/>
        <v>890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7.0</v>
      </c>
      <c r="F47" s="19">
        <v>8.0</v>
      </c>
      <c r="G47" s="19">
        <v>9.0</v>
      </c>
      <c r="H47" s="19">
        <v>6.0</v>
      </c>
      <c r="I47" s="19">
        <v>10.0</v>
      </c>
      <c r="J47" s="19">
        <v>9.0</v>
      </c>
      <c r="K47" s="19">
        <v>13.0</v>
      </c>
      <c r="L47" s="19">
        <v>11.0</v>
      </c>
      <c r="M47" s="19">
        <v>9.0</v>
      </c>
      <c r="N47" s="19">
        <v>12.0</v>
      </c>
      <c r="O47" s="19">
        <v>9.0</v>
      </c>
      <c r="P47" s="19">
        <v>21.0</v>
      </c>
      <c r="Q47" s="19">
        <v>9.0</v>
      </c>
      <c r="R47" s="19">
        <v>16.0</v>
      </c>
      <c r="S47" s="19">
        <v>9.0</v>
      </c>
      <c r="T47" s="19">
        <v>19.0</v>
      </c>
      <c r="U47" s="19">
        <v>17.0</v>
      </c>
      <c r="V47" s="19">
        <v>6.0</v>
      </c>
      <c r="W47" s="19">
        <v>7.0</v>
      </c>
      <c r="X47" s="19">
        <v>15.0</v>
      </c>
      <c r="Y47" s="19">
        <v>16.0</v>
      </c>
      <c r="Z47" s="19">
        <v>13.0</v>
      </c>
      <c r="AA47" s="19">
        <v>17.0</v>
      </c>
      <c r="AB47" s="19">
        <v>19.0</v>
      </c>
      <c r="AC47" s="19">
        <v>18.0</v>
      </c>
      <c r="AD47" s="19">
        <v>5.0</v>
      </c>
      <c r="AE47" s="19">
        <v>13.0</v>
      </c>
      <c r="AF47" s="19">
        <v>20.0</v>
      </c>
      <c r="AG47" s="19">
        <v>16.0</v>
      </c>
      <c r="AH47" s="19">
        <v>13.0</v>
      </c>
      <c r="AI47" s="19">
        <v>10.0</v>
      </c>
      <c r="AJ47" s="19">
        <v>15.0</v>
      </c>
      <c r="AK47" s="13">
        <f t="shared" si="14"/>
        <v>397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17.0</v>
      </c>
      <c r="F48" s="19">
        <v>25.0</v>
      </c>
      <c r="G48" s="19">
        <v>24.0</v>
      </c>
      <c r="H48" s="19">
        <v>22.0</v>
      </c>
      <c r="I48" s="19">
        <v>24.0</v>
      </c>
      <c r="J48" s="19">
        <v>32.0</v>
      </c>
      <c r="K48" s="19">
        <v>37.0</v>
      </c>
      <c r="L48" s="19">
        <v>32.0</v>
      </c>
      <c r="M48" s="19">
        <v>25.0</v>
      </c>
      <c r="N48" s="19">
        <v>31.0</v>
      </c>
      <c r="O48" s="19">
        <v>18.0</v>
      </c>
      <c r="P48" s="19">
        <v>27.0</v>
      </c>
      <c r="Q48" s="19">
        <v>29.0</v>
      </c>
      <c r="R48" s="19">
        <v>23.0</v>
      </c>
      <c r="S48" s="19">
        <v>27.0</v>
      </c>
      <c r="T48" s="19">
        <v>36.0</v>
      </c>
      <c r="U48" s="19">
        <v>21.0</v>
      </c>
      <c r="V48" s="19">
        <v>8.0</v>
      </c>
      <c r="W48" s="19">
        <v>13.0</v>
      </c>
      <c r="X48" s="19">
        <v>43.0</v>
      </c>
      <c r="Y48" s="19">
        <v>27.0</v>
      </c>
      <c r="Z48" s="19">
        <v>32.0</v>
      </c>
      <c r="AA48" s="19">
        <v>39.0</v>
      </c>
      <c r="AB48" s="19">
        <v>35.0</v>
      </c>
      <c r="AC48" s="19">
        <v>20.0</v>
      </c>
      <c r="AD48" s="19">
        <v>28.0</v>
      </c>
      <c r="AE48" s="19">
        <v>36.0</v>
      </c>
      <c r="AF48" s="19">
        <v>28.0</v>
      </c>
      <c r="AG48" s="19">
        <v>49.0</v>
      </c>
      <c r="AH48" s="19">
        <v>40.0</v>
      </c>
      <c r="AI48" s="19">
        <v>34.0</v>
      </c>
      <c r="AJ48" s="19">
        <v>30.0</v>
      </c>
      <c r="AK48" s="13">
        <f t="shared" si="14"/>
        <v>912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10.0</v>
      </c>
      <c r="F49" s="19">
        <v>15.0</v>
      </c>
      <c r="G49" s="19">
        <v>16.0</v>
      </c>
      <c r="H49" s="19">
        <v>77.0</v>
      </c>
      <c r="I49" s="19">
        <v>20.0</v>
      </c>
      <c r="J49" s="19">
        <v>21.0</v>
      </c>
      <c r="K49" s="19">
        <v>13.0</v>
      </c>
      <c r="L49" s="19">
        <v>13.0</v>
      </c>
      <c r="M49" s="19">
        <v>15.0</v>
      </c>
      <c r="N49" s="19">
        <v>19.0</v>
      </c>
      <c r="O49" s="19">
        <v>13.0</v>
      </c>
      <c r="P49" s="19">
        <v>15.0</v>
      </c>
      <c r="Q49" s="19">
        <v>9.0</v>
      </c>
      <c r="R49" s="19">
        <v>18.0</v>
      </c>
      <c r="S49" s="19">
        <v>4.0</v>
      </c>
      <c r="T49" s="19">
        <v>7.0</v>
      </c>
      <c r="U49" s="19">
        <v>8.0</v>
      </c>
      <c r="V49" s="19">
        <v>12.0</v>
      </c>
      <c r="W49" s="19">
        <v>6.0</v>
      </c>
      <c r="X49" s="19">
        <v>16.0</v>
      </c>
      <c r="Y49" s="19">
        <v>17.0</v>
      </c>
      <c r="Z49" s="19">
        <v>10.0</v>
      </c>
      <c r="AA49" s="19">
        <v>17.0</v>
      </c>
      <c r="AB49" s="19">
        <v>25.0</v>
      </c>
      <c r="AC49" s="19">
        <v>19.0</v>
      </c>
      <c r="AD49" s="19">
        <v>12.0</v>
      </c>
      <c r="AE49" s="19">
        <v>13.0</v>
      </c>
      <c r="AF49" s="19">
        <v>14.0</v>
      </c>
      <c r="AG49" s="19">
        <v>18.0</v>
      </c>
      <c r="AH49" s="19">
        <v>10.0</v>
      </c>
      <c r="AI49" s="19">
        <v>14.0</v>
      </c>
      <c r="AJ49" s="19">
        <v>16.0</v>
      </c>
      <c r="AK49" s="13">
        <f t="shared" si="14"/>
        <v>512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23.0</v>
      </c>
      <c r="F50" s="19">
        <v>16.0</v>
      </c>
      <c r="G50" s="19">
        <v>20.0</v>
      </c>
      <c r="H50" s="19">
        <v>10.0</v>
      </c>
      <c r="I50" s="19">
        <v>18.0</v>
      </c>
      <c r="J50" s="19">
        <v>18.0</v>
      </c>
      <c r="K50" s="19">
        <v>19.0</v>
      </c>
      <c r="L50" s="19">
        <v>15.0</v>
      </c>
      <c r="M50" s="19">
        <v>10.0</v>
      </c>
      <c r="N50" s="19">
        <v>20.0</v>
      </c>
      <c r="O50" s="19">
        <v>11.0</v>
      </c>
      <c r="P50" s="19">
        <v>21.0</v>
      </c>
      <c r="Q50" s="19">
        <v>11.0</v>
      </c>
      <c r="R50" s="19">
        <v>14.0</v>
      </c>
      <c r="S50" s="19">
        <v>11.0</v>
      </c>
      <c r="T50" s="19">
        <v>13.0</v>
      </c>
      <c r="U50" s="19">
        <v>16.0</v>
      </c>
      <c r="V50" s="19">
        <v>0.0</v>
      </c>
      <c r="W50" s="19">
        <v>3.0</v>
      </c>
      <c r="X50" s="19">
        <v>8.0</v>
      </c>
      <c r="Y50" s="19">
        <v>8.0</v>
      </c>
      <c r="Z50" s="19">
        <v>13.0</v>
      </c>
      <c r="AA50" s="19">
        <v>18.0</v>
      </c>
      <c r="AB50" s="19">
        <v>15.0</v>
      </c>
      <c r="AC50" s="19">
        <v>14.0</v>
      </c>
      <c r="AD50" s="19">
        <v>7.0</v>
      </c>
      <c r="AE50" s="19">
        <v>14.0</v>
      </c>
      <c r="AF50" s="19">
        <v>5.0</v>
      </c>
      <c r="AG50" s="19">
        <v>13.0</v>
      </c>
      <c r="AH50" s="19">
        <v>13.0</v>
      </c>
      <c r="AI50" s="19">
        <v>12.0</v>
      </c>
      <c r="AJ50" s="19">
        <v>15.0</v>
      </c>
      <c r="AK50" s="13">
        <f t="shared" si="14"/>
        <v>424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0.0</v>
      </c>
      <c r="F51" s="19">
        <v>1.0</v>
      </c>
      <c r="G51" s="19">
        <v>1.0</v>
      </c>
      <c r="H51" s="19">
        <v>2.0</v>
      </c>
      <c r="I51" s="19">
        <v>1.0</v>
      </c>
      <c r="J51" s="19">
        <v>9.0</v>
      </c>
      <c r="K51" s="19">
        <v>3.0</v>
      </c>
      <c r="L51" s="19">
        <v>0.0</v>
      </c>
      <c r="M51" s="19">
        <v>0.0</v>
      </c>
      <c r="N51" s="19">
        <v>1.0</v>
      </c>
      <c r="O51" s="19">
        <v>4.0</v>
      </c>
      <c r="P51" s="19">
        <v>2.0</v>
      </c>
      <c r="Q51" s="19">
        <v>2.0</v>
      </c>
      <c r="R51" s="19">
        <v>2.0</v>
      </c>
      <c r="S51" s="19">
        <v>1.0</v>
      </c>
      <c r="T51" s="19">
        <v>0.0</v>
      </c>
      <c r="U51" s="19">
        <v>3.0</v>
      </c>
      <c r="V51" s="19">
        <v>4.0</v>
      </c>
      <c r="W51" s="19">
        <v>6.0</v>
      </c>
      <c r="X51" s="19">
        <v>0.0</v>
      </c>
      <c r="Y51" s="19">
        <v>2.0</v>
      </c>
      <c r="Z51" s="19">
        <v>1.0</v>
      </c>
      <c r="AA51" s="19">
        <v>2.0</v>
      </c>
      <c r="AB51" s="19">
        <v>2.0</v>
      </c>
      <c r="AC51" s="19">
        <v>3.0</v>
      </c>
      <c r="AD51" s="19">
        <v>1.0</v>
      </c>
      <c r="AE51" s="19">
        <v>2.0</v>
      </c>
      <c r="AF51" s="19">
        <v>0.0</v>
      </c>
      <c r="AG51" s="19">
        <v>1.0</v>
      </c>
      <c r="AH51" s="19">
        <v>5.0</v>
      </c>
      <c r="AI51" s="19">
        <v>3.0</v>
      </c>
      <c r="AJ51" s="19">
        <v>2.0</v>
      </c>
      <c r="AK51" s="13">
        <f t="shared" si="14"/>
        <v>66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0.0</v>
      </c>
      <c r="F52" s="19">
        <v>1.0</v>
      </c>
      <c r="G52" s="19">
        <v>1.0</v>
      </c>
      <c r="H52" s="19">
        <v>3.0</v>
      </c>
      <c r="I52" s="19">
        <v>0.0</v>
      </c>
      <c r="J52" s="19">
        <v>1.0</v>
      </c>
      <c r="K52" s="19">
        <v>3.0</v>
      </c>
      <c r="L52" s="19">
        <v>3.0</v>
      </c>
      <c r="M52" s="19">
        <v>2.0</v>
      </c>
      <c r="N52" s="19">
        <v>1.0</v>
      </c>
      <c r="O52" s="19">
        <v>4.0</v>
      </c>
      <c r="P52" s="19">
        <v>1.0</v>
      </c>
      <c r="Q52" s="19">
        <v>6.0</v>
      </c>
      <c r="R52" s="19">
        <v>7.0</v>
      </c>
      <c r="S52" s="19">
        <v>0.0</v>
      </c>
      <c r="T52" s="19">
        <v>0.0</v>
      </c>
      <c r="U52" s="19">
        <v>1.0</v>
      </c>
      <c r="V52" s="19">
        <v>52.0</v>
      </c>
      <c r="W52" s="19">
        <v>24.0</v>
      </c>
      <c r="X52" s="19">
        <v>4.0</v>
      </c>
      <c r="Y52" s="19">
        <v>4.0</v>
      </c>
      <c r="Z52" s="19">
        <v>4.0</v>
      </c>
      <c r="AA52" s="19">
        <v>0.0</v>
      </c>
      <c r="AB52" s="19">
        <v>4.0</v>
      </c>
      <c r="AC52" s="19">
        <v>2.0</v>
      </c>
      <c r="AD52" s="19">
        <v>6.0</v>
      </c>
      <c r="AE52" s="19">
        <v>4.0</v>
      </c>
      <c r="AF52" s="19">
        <v>3.0</v>
      </c>
      <c r="AG52" s="19">
        <v>3.0</v>
      </c>
      <c r="AH52" s="19">
        <v>4.0</v>
      </c>
      <c r="AI52" s="19">
        <v>3.0</v>
      </c>
      <c r="AJ52" s="19">
        <v>6.0</v>
      </c>
      <c r="AK52" s="13">
        <f t="shared" si="14"/>
        <v>157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0.0</v>
      </c>
      <c r="F53" s="19">
        <v>0.0</v>
      </c>
      <c r="G53" s="19">
        <v>1.0</v>
      </c>
      <c r="H53" s="19">
        <v>1.0</v>
      </c>
      <c r="I53" s="19">
        <v>0.0</v>
      </c>
      <c r="J53" s="19">
        <v>0.0</v>
      </c>
      <c r="K53" s="19">
        <v>0.0</v>
      </c>
      <c r="L53" s="19">
        <v>0.0</v>
      </c>
      <c r="M53" s="19">
        <v>0.0</v>
      </c>
      <c r="N53" s="19">
        <v>1.0</v>
      </c>
      <c r="O53" s="19">
        <v>0.0</v>
      </c>
      <c r="P53" s="19">
        <v>1.0</v>
      </c>
      <c r="Q53" s="19">
        <v>2.0</v>
      </c>
      <c r="R53" s="19">
        <v>1.0</v>
      </c>
      <c r="S53" s="19">
        <v>1.0</v>
      </c>
      <c r="T53" s="19">
        <v>2.0</v>
      </c>
      <c r="U53" s="19">
        <v>0.0</v>
      </c>
      <c r="V53" s="19">
        <v>0.0</v>
      </c>
      <c r="W53" s="19">
        <v>2.0</v>
      </c>
      <c r="X53" s="19">
        <v>2.0</v>
      </c>
      <c r="Y53" s="19">
        <v>2.0</v>
      </c>
      <c r="Z53" s="19">
        <v>1.0</v>
      </c>
      <c r="AA53" s="19">
        <v>0.0</v>
      </c>
      <c r="AB53" s="19">
        <v>0.0</v>
      </c>
      <c r="AC53" s="19">
        <v>0.0</v>
      </c>
      <c r="AD53" s="19">
        <v>1.0</v>
      </c>
      <c r="AE53" s="19">
        <v>1.0</v>
      </c>
      <c r="AF53" s="19">
        <v>0.0</v>
      </c>
      <c r="AG53" s="19">
        <v>1.0</v>
      </c>
      <c r="AH53" s="19">
        <v>2.0</v>
      </c>
      <c r="AI53" s="19">
        <v>0.0</v>
      </c>
      <c r="AJ53" s="19">
        <v>0.0</v>
      </c>
      <c r="AK53" s="13">
        <f t="shared" si="14"/>
        <v>22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17.0</v>
      </c>
      <c r="F54" s="19">
        <v>19.0</v>
      </c>
      <c r="G54" s="19">
        <v>17.0</v>
      </c>
      <c r="H54" s="19">
        <v>18.0</v>
      </c>
      <c r="I54" s="19">
        <v>19.0</v>
      </c>
      <c r="J54" s="19">
        <v>19.0</v>
      </c>
      <c r="K54" s="19">
        <v>21.0</v>
      </c>
      <c r="L54" s="19">
        <v>12.0</v>
      </c>
      <c r="M54" s="19">
        <v>21.0</v>
      </c>
      <c r="N54" s="19">
        <v>17.0</v>
      </c>
      <c r="O54" s="19">
        <v>14.0</v>
      </c>
      <c r="P54" s="19">
        <v>21.0</v>
      </c>
      <c r="Q54" s="19">
        <v>24.0</v>
      </c>
      <c r="R54" s="19">
        <v>24.0</v>
      </c>
      <c r="S54" s="19">
        <v>13.0</v>
      </c>
      <c r="T54" s="19">
        <v>15.0</v>
      </c>
      <c r="U54" s="19">
        <v>6.0</v>
      </c>
      <c r="V54" s="19">
        <v>4.0</v>
      </c>
      <c r="W54" s="19">
        <v>8.0</v>
      </c>
      <c r="X54" s="19">
        <v>28.0</v>
      </c>
      <c r="Y54" s="19">
        <v>14.0</v>
      </c>
      <c r="Z54" s="19">
        <v>15.0</v>
      </c>
      <c r="AA54" s="19">
        <v>14.0</v>
      </c>
      <c r="AB54" s="19">
        <v>16.0</v>
      </c>
      <c r="AC54" s="19">
        <v>21.0</v>
      </c>
      <c r="AD54" s="19">
        <v>23.0</v>
      </c>
      <c r="AE54" s="19">
        <v>20.0</v>
      </c>
      <c r="AF54" s="19">
        <v>23.0</v>
      </c>
      <c r="AG54" s="19">
        <v>22.0</v>
      </c>
      <c r="AH54" s="19">
        <v>20.0</v>
      </c>
      <c r="AI54" s="19">
        <v>13.0</v>
      </c>
      <c r="AJ54" s="19">
        <v>10.0</v>
      </c>
      <c r="AK54" s="13">
        <f t="shared" si="14"/>
        <v>548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1.0</v>
      </c>
      <c r="F55" s="19">
        <v>1.0</v>
      </c>
      <c r="G55" s="19">
        <v>1.0</v>
      </c>
      <c r="H55" s="19">
        <v>0.0</v>
      </c>
      <c r="I55" s="19">
        <v>0.0</v>
      </c>
      <c r="J55" s="19">
        <v>1.0</v>
      </c>
      <c r="K55" s="19">
        <v>2.0</v>
      </c>
      <c r="L55" s="19">
        <v>2.0</v>
      </c>
      <c r="M55" s="19">
        <v>1.0</v>
      </c>
      <c r="N55" s="19">
        <v>0.0</v>
      </c>
      <c r="O55" s="19">
        <v>0.0</v>
      </c>
      <c r="P55" s="19">
        <v>1.0</v>
      </c>
      <c r="Q55" s="19">
        <v>1.0</v>
      </c>
      <c r="R55" s="19">
        <v>1.0</v>
      </c>
      <c r="S55" s="19">
        <v>0.0</v>
      </c>
      <c r="T55" s="19">
        <v>1.0</v>
      </c>
      <c r="U55" s="19">
        <v>0.0</v>
      </c>
      <c r="V55" s="19">
        <v>5.0</v>
      </c>
      <c r="W55" s="19">
        <v>14.0</v>
      </c>
      <c r="X55" s="19">
        <v>0.0</v>
      </c>
      <c r="Y55" s="19">
        <v>1.0</v>
      </c>
      <c r="Z55" s="19">
        <v>1.0</v>
      </c>
      <c r="AA55" s="19">
        <v>0.0</v>
      </c>
      <c r="AB55" s="19">
        <v>1.0</v>
      </c>
      <c r="AC55" s="19">
        <v>1.0</v>
      </c>
      <c r="AD55" s="19">
        <v>3.0</v>
      </c>
      <c r="AE55" s="19">
        <v>1.0</v>
      </c>
      <c r="AF55" s="19">
        <v>3.0</v>
      </c>
      <c r="AG55" s="19">
        <v>1.0</v>
      </c>
      <c r="AH55" s="19">
        <v>0.0</v>
      </c>
      <c r="AI55" s="19">
        <v>1.0</v>
      </c>
      <c r="AJ55" s="19">
        <v>0.0</v>
      </c>
      <c r="AK55" s="13">
        <f t="shared" si="14"/>
        <v>45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12.0</v>
      </c>
      <c r="F56" s="19">
        <v>12.0</v>
      </c>
      <c r="G56" s="19">
        <v>19.0</v>
      </c>
      <c r="H56" s="19">
        <v>13.0</v>
      </c>
      <c r="I56" s="19">
        <v>18.0</v>
      </c>
      <c r="J56" s="19">
        <v>31.0</v>
      </c>
      <c r="K56" s="19">
        <v>13.0</v>
      </c>
      <c r="L56" s="19">
        <v>21.0</v>
      </c>
      <c r="M56" s="19">
        <v>29.0</v>
      </c>
      <c r="N56" s="19">
        <v>21.0</v>
      </c>
      <c r="O56" s="19">
        <v>15.0</v>
      </c>
      <c r="P56" s="19">
        <v>22.0</v>
      </c>
      <c r="Q56" s="19">
        <v>29.0</v>
      </c>
      <c r="R56" s="19">
        <v>15.0</v>
      </c>
      <c r="S56" s="19">
        <v>11.0</v>
      </c>
      <c r="T56" s="19">
        <v>23.0</v>
      </c>
      <c r="U56" s="19">
        <v>10.0</v>
      </c>
      <c r="V56" s="19">
        <v>2.0</v>
      </c>
      <c r="W56" s="19">
        <v>6.0</v>
      </c>
      <c r="X56" s="19">
        <v>32.0</v>
      </c>
      <c r="Y56" s="19">
        <v>15.0</v>
      </c>
      <c r="Z56" s="19">
        <v>21.0</v>
      </c>
      <c r="AA56" s="19">
        <v>24.0</v>
      </c>
      <c r="AB56" s="19">
        <v>28.0</v>
      </c>
      <c r="AC56" s="19">
        <v>16.0</v>
      </c>
      <c r="AD56" s="19">
        <v>22.0</v>
      </c>
      <c r="AE56" s="19">
        <v>14.0</v>
      </c>
      <c r="AF56" s="19">
        <v>20.0</v>
      </c>
      <c r="AG56" s="19">
        <v>34.0</v>
      </c>
      <c r="AH56" s="19">
        <v>34.0</v>
      </c>
      <c r="AI56" s="19">
        <v>22.0</v>
      </c>
      <c r="AJ56" s="19">
        <v>32.0</v>
      </c>
      <c r="AK56" s="13">
        <f t="shared" si="14"/>
        <v>636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1.0</v>
      </c>
      <c r="F57" s="19">
        <v>1.0</v>
      </c>
      <c r="G57" s="19">
        <v>2.0</v>
      </c>
      <c r="H57" s="19">
        <v>0.0</v>
      </c>
      <c r="I57" s="19">
        <v>1.0</v>
      </c>
      <c r="J57" s="19">
        <v>1.0</v>
      </c>
      <c r="K57" s="19">
        <v>3.0</v>
      </c>
      <c r="L57" s="19">
        <v>1.0</v>
      </c>
      <c r="M57" s="19">
        <v>1.0</v>
      </c>
      <c r="N57" s="19">
        <v>5.0</v>
      </c>
      <c r="O57" s="19">
        <v>1.0</v>
      </c>
      <c r="P57" s="19">
        <v>3.0</v>
      </c>
      <c r="Q57" s="19">
        <v>0.0</v>
      </c>
      <c r="R57" s="19">
        <v>1.0</v>
      </c>
      <c r="S57" s="19">
        <v>2.0</v>
      </c>
      <c r="T57" s="19">
        <v>3.0</v>
      </c>
      <c r="U57" s="19">
        <v>0.0</v>
      </c>
      <c r="V57" s="19">
        <v>6.0</v>
      </c>
      <c r="W57" s="19">
        <v>2.0</v>
      </c>
      <c r="X57" s="19">
        <v>3.0</v>
      </c>
      <c r="Y57" s="19">
        <v>1.0</v>
      </c>
      <c r="Z57" s="19">
        <v>2.0</v>
      </c>
      <c r="AA57" s="19">
        <v>0.0</v>
      </c>
      <c r="AB57" s="19">
        <v>2.0</v>
      </c>
      <c r="AC57" s="19">
        <v>0.0</v>
      </c>
      <c r="AD57" s="19">
        <v>3.0</v>
      </c>
      <c r="AE57" s="19">
        <v>4.0</v>
      </c>
      <c r="AF57" s="19">
        <v>4.0</v>
      </c>
      <c r="AG57" s="19">
        <v>1.0</v>
      </c>
      <c r="AH57" s="19">
        <v>0.0</v>
      </c>
      <c r="AI57" s="19">
        <v>7.0</v>
      </c>
      <c r="AJ57" s="19">
        <v>2.0</v>
      </c>
      <c r="AK57" s="13">
        <f t="shared" si="14"/>
        <v>63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60"/>
      <c r="Z59" s="13"/>
      <c r="AA59" s="13"/>
      <c r="AB59" s="60"/>
      <c r="AC59" s="13"/>
      <c r="AD59" s="13"/>
      <c r="AE59" s="13"/>
      <c r="AF59" s="13"/>
      <c r="AG59" s="13"/>
      <c r="AH59" s="13"/>
      <c r="AI59" s="60"/>
      <c r="AJ59" s="13"/>
      <c r="AK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J60" si="15">SUM(E45:E57)</f>
        <v>142</v>
      </c>
      <c r="F60" s="19">
        <f t="shared" si="15"/>
        <v>155</v>
      </c>
      <c r="G60" s="19">
        <f t="shared" si="15"/>
        <v>162</v>
      </c>
      <c r="H60" s="19">
        <f t="shared" si="15"/>
        <v>198</v>
      </c>
      <c r="I60" s="19">
        <f t="shared" si="15"/>
        <v>169</v>
      </c>
      <c r="J60" s="19">
        <f t="shared" si="15"/>
        <v>191</v>
      </c>
      <c r="K60" s="19">
        <f t="shared" si="15"/>
        <v>168</v>
      </c>
      <c r="L60" s="19">
        <f t="shared" si="15"/>
        <v>175</v>
      </c>
      <c r="M60" s="19">
        <f t="shared" si="15"/>
        <v>191</v>
      </c>
      <c r="N60" s="19">
        <f t="shared" si="15"/>
        <v>206</v>
      </c>
      <c r="O60" s="19">
        <f t="shared" si="15"/>
        <v>142</v>
      </c>
      <c r="P60" s="19">
        <f t="shared" si="15"/>
        <v>181</v>
      </c>
      <c r="Q60" s="19">
        <f t="shared" si="15"/>
        <v>160</v>
      </c>
      <c r="R60" s="19">
        <f t="shared" si="15"/>
        <v>150</v>
      </c>
      <c r="S60" s="19">
        <f t="shared" si="15"/>
        <v>132</v>
      </c>
      <c r="T60" s="19">
        <f t="shared" si="15"/>
        <v>194</v>
      </c>
      <c r="U60" s="19">
        <f t="shared" si="15"/>
        <v>129</v>
      </c>
      <c r="V60" s="19">
        <f t="shared" si="15"/>
        <v>112</v>
      </c>
      <c r="W60" s="19">
        <f t="shared" si="15"/>
        <v>100</v>
      </c>
      <c r="X60" s="19">
        <f t="shared" si="15"/>
        <v>189</v>
      </c>
      <c r="Y60" s="19">
        <f t="shared" si="15"/>
        <v>151</v>
      </c>
      <c r="Z60" s="19">
        <f t="shared" si="15"/>
        <v>157</v>
      </c>
      <c r="AA60" s="19">
        <f t="shared" si="15"/>
        <v>176</v>
      </c>
      <c r="AB60" s="19">
        <f t="shared" si="15"/>
        <v>175</v>
      </c>
      <c r="AC60" s="19">
        <f t="shared" si="15"/>
        <v>151</v>
      </c>
      <c r="AD60" s="19">
        <f t="shared" si="15"/>
        <v>158</v>
      </c>
      <c r="AE60" s="19">
        <f t="shared" si="15"/>
        <v>163</v>
      </c>
      <c r="AF60" s="19">
        <f t="shared" si="15"/>
        <v>155</v>
      </c>
      <c r="AG60" s="19">
        <f t="shared" si="15"/>
        <v>194</v>
      </c>
      <c r="AH60" s="19">
        <f t="shared" si="15"/>
        <v>190</v>
      </c>
      <c r="AI60" s="19">
        <f t="shared" si="15"/>
        <v>169</v>
      </c>
      <c r="AJ60" s="19">
        <f t="shared" si="15"/>
        <v>164</v>
      </c>
      <c r="AK60" s="13">
        <f t="shared" ref="AK60:AK62" si="16">SUM(E60:AJ60)</f>
        <v>5249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86.0</v>
      </c>
      <c r="F61" s="19">
        <v>55.0</v>
      </c>
      <c r="G61" s="19">
        <v>48.0</v>
      </c>
      <c r="H61" s="19">
        <v>42.0</v>
      </c>
      <c r="I61" s="19">
        <v>56.0</v>
      </c>
      <c r="J61" s="19">
        <v>37.0</v>
      </c>
      <c r="K61" s="19">
        <v>32.0</v>
      </c>
      <c r="L61" s="19">
        <v>46.0</v>
      </c>
      <c r="M61" s="19">
        <v>52.0</v>
      </c>
      <c r="N61" s="19">
        <v>36.0</v>
      </c>
      <c r="O61" s="19">
        <v>36.0</v>
      </c>
      <c r="P61" s="19">
        <v>37.0</v>
      </c>
      <c r="Q61" s="19">
        <v>33.0</v>
      </c>
      <c r="R61" s="19">
        <v>64.0</v>
      </c>
      <c r="S61" s="19">
        <v>95.0</v>
      </c>
      <c r="T61" s="19">
        <v>28.0</v>
      </c>
      <c r="U61" s="19">
        <v>27.0</v>
      </c>
      <c r="V61" s="19">
        <v>29.0</v>
      </c>
      <c r="W61" s="19">
        <v>72.0</v>
      </c>
      <c r="X61" s="19">
        <v>43.0</v>
      </c>
      <c r="Y61" s="19">
        <v>41.0</v>
      </c>
      <c r="Z61" s="19">
        <v>61.0</v>
      </c>
      <c r="AA61" s="19">
        <v>43.0</v>
      </c>
      <c r="AB61" s="19">
        <v>65.0</v>
      </c>
      <c r="AC61" s="19">
        <v>27.0</v>
      </c>
      <c r="AD61" s="19">
        <v>53.0</v>
      </c>
      <c r="AE61" s="19">
        <v>66.0</v>
      </c>
      <c r="AF61" s="19">
        <v>52.0</v>
      </c>
      <c r="AG61" s="19">
        <v>56.0</v>
      </c>
      <c r="AH61" s="19">
        <v>17.0</v>
      </c>
      <c r="AI61" s="19">
        <v>37.0</v>
      </c>
      <c r="AJ61" s="19">
        <v>21.0</v>
      </c>
      <c r="AK61" s="13">
        <f t="shared" si="16"/>
        <v>1493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J62" si="17">SUM(E60:E61)</f>
        <v>228</v>
      </c>
      <c r="F62" s="13">
        <f t="shared" si="17"/>
        <v>210</v>
      </c>
      <c r="G62" s="13">
        <f t="shared" si="17"/>
        <v>210</v>
      </c>
      <c r="H62" s="13">
        <f t="shared" si="17"/>
        <v>240</v>
      </c>
      <c r="I62" s="13">
        <f t="shared" si="17"/>
        <v>225</v>
      </c>
      <c r="J62" s="13">
        <f t="shared" si="17"/>
        <v>228</v>
      </c>
      <c r="K62" s="13">
        <f t="shared" si="17"/>
        <v>200</v>
      </c>
      <c r="L62" s="13">
        <f t="shared" si="17"/>
        <v>221</v>
      </c>
      <c r="M62" s="13">
        <f t="shared" si="17"/>
        <v>243</v>
      </c>
      <c r="N62" s="13">
        <f t="shared" si="17"/>
        <v>242</v>
      </c>
      <c r="O62" s="13">
        <f t="shared" si="17"/>
        <v>178</v>
      </c>
      <c r="P62" s="13">
        <f t="shared" si="17"/>
        <v>218</v>
      </c>
      <c r="Q62" s="13">
        <f t="shared" si="17"/>
        <v>193</v>
      </c>
      <c r="R62" s="13">
        <f t="shared" si="17"/>
        <v>214</v>
      </c>
      <c r="S62" s="13">
        <f t="shared" si="17"/>
        <v>227</v>
      </c>
      <c r="T62" s="13">
        <f t="shared" si="17"/>
        <v>222</v>
      </c>
      <c r="U62" s="13">
        <f t="shared" si="17"/>
        <v>156</v>
      </c>
      <c r="V62" s="13">
        <f t="shared" si="17"/>
        <v>141</v>
      </c>
      <c r="W62" s="13">
        <f t="shared" si="17"/>
        <v>172</v>
      </c>
      <c r="X62" s="13">
        <f t="shared" si="17"/>
        <v>232</v>
      </c>
      <c r="Y62" s="13">
        <f t="shared" si="17"/>
        <v>192</v>
      </c>
      <c r="Z62" s="13">
        <f t="shared" si="17"/>
        <v>218</v>
      </c>
      <c r="AA62" s="13">
        <f t="shared" si="17"/>
        <v>219</v>
      </c>
      <c r="AB62" s="13">
        <f t="shared" si="17"/>
        <v>240</v>
      </c>
      <c r="AC62" s="13">
        <f t="shared" si="17"/>
        <v>178</v>
      </c>
      <c r="AD62" s="13">
        <f t="shared" si="17"/>
        <v>211</v>
      </c>
      <c r="AE62" s="13">
        <f t="shared" si="17"/>
        <v>229</v>
      </c>
      <c r="AF62" s="13">
        <f t="shared" si="17"/>
        <v>207</v>
      </c>
      <c r="AG62" s="13">
        <f t="shared" si="17"/>
        <v>250</v>
      </c>
      <c r="AH62" s="13">
        <f t="shared" si="17"/>
        <v>207</v>
      </c>
      <c r="AI62" s="13">
        <f t="shared" si="17"/>
        <v>206</v>
      </c>
      <c r="AJ62" s="13">
        <f t="shared" si="17"/>
        <v>185</v>
      </c>
      <c r="AK62" s="13">
        <f t="shared" si="16"/>
        <v>6742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J12"/>
    <mergeCell ref="AK12:A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57:D57"/>
    <mergeCell ref="B59:D59"/>
    <mergeCell ref="C60:D60"/>
    <mergeCell ref="C61:D61"/>
    <mergeCell ref="C62:D62"/>
    <mergeCell ref="C50:D50"/>
    <mergeCell ref="C51:D51"/>
    <mergeCell ref="C52:D52"/>
    <mergeCell ref="C53:D53"/>
    <mergeCell ref="C54:D54"/>
    <mergeCell ref="C55:D55"/>
    <mergeCell ref="C56:D56"/>
  </mergeCells>
  <conditionalFormatting sqref="E34:AJ34">
    <cfRule type="expression" dxfId="0" priority="1">
      <formula>E34&lt;&gt;#REF!</formula>
    </cfRule>
  </conditionalFormatting>
  <conditionalFormatting sqref="E14:AJ15 E45:AJ57">
    <cfRule type="containsBlanks" dxfId="1" priority="2">
      <formula>LEN(TRIM(E14))=0</formula>
    </cfRule>
  </conditionalFormatting>
  <conditionalFormatting sqref="E19:AJ20">
    <cfRule type="containsBlanks" dxfId="1" priority="3">
      <formula>LEN(TRIM(E19))=0</formula>
    </cfRule>
  </conditionalFormatting>
  <conditionalFormatting sqref="E22:AJ23 E25:AJ26 E33:AJ33 E35:AJ35 E39:AJ40">
    <cfRule type="containsBlanks" dxfId="1" priority="4">
      <formula>LEN(TRIM(E22))=0</formula>
    </cfRule>
  </conditionalFormatting>
  <conditionalFormatting sqref="E30:AJ30">
    <cfRule type="expression" dxfId="0" priority="5">
      <formula>E30&lt;&gt;E46</formula>
    </cfRule>
  </conditionalFormatting>
  <conditionalFormatting sqref="E30:AJ30">
    <cfRule type="expression" dxfId="0" priority="6">
      <formula>E30&lt;&gt;E34</formula>
    </cfRule>
  </conditionalFormatting>
  <conditionalFormatting sqref="E34:AJ34">
    <cfRule type="expression" dxfId="2" priority="7">
      <formula>E30&lt;&gt;E34</formula>
    </cfRule>
  </conditionalFormatting>
  <conditionalFormatting sqref="E34:AJ34">
    <cfRule type="expression" dxfId="3" priority="8">
      <formula>E30=E34</formula>
    </cfRule>
  </conditionalFormatting>
  <conditionalFormatting sqref="E34:AJ34">
    <cfRule type="expression" dxfId="0" priority="9">
      <formula>E34&lt;&gt;E30</formula>
    </cfRule>
  </conditionalFormatting>
  <conditionalFormatting sqref="E60:AJ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