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ARENG" sheetId="2" r:id="rId5"/>
    <sheet state="visible" name="BENELAN LOR" sheetId="3" r:id="rId6"/>
    <sheet state="visible" name="BUNDER" sheetId="4" r:id="rId7"/>
    <sheet state="visible" name="DADAPAN" sheetId="5" r:id="rId8"/>
    <sheet state="visible" name="GOMBOLIRANG" sheetId="6" r:id="rId9"/>
    <sheet state="visible" name="KABAT" sheetId="7" r:id="rId10"/>
    <sheet state="visible" name="KALIREJO" sheetId="8" r:id="rId11"/>
    <sheet state="visible" name="KEDAYUNAN" sheetId="9" r:id="rId12"/>
    <sheet state="visible" name="LABANASEM" sheetId="10" r:id="rId13"/>
    <sheet state="visible" name="MACAN PUTIH" sheetId="11" r:id="rId14"/>
    <sheet state="visible" name="PAKISATAJI" sheetId="12" r:id="rId15"/>
    <sheet state="visible" name="PENDARUNGAN" sheetId="13" r:id="rId16"/>
    <sheet state="visible" name="PONDOKNONGKO" sheetId="14" r:id="rId17"/>
    <sheet state="visible" name="TAMBONG" sheetId="15" r:id="rId18"/>
  </sheets>
  <definedNames/>
  <calcPr/>
  <extLst>
    <ext uri="GoogleSheetsCustomDataVersion2">
      <go:sheetsCustomData xmlns:go="http://customooxmlschemas.google.com/" r:id="rId19" roundtripDataChecksum="Vo2rqlR5aL9FvO2T8RgWbeCJPdLRUnY/F7nkPxndKuA="/>
    </ext>
  </extLst>
</workbook>
</file>

<file path=xl/sharedStrings.xml><?xml version="1.0" encoding="utf-8"?>
<sst xmlns="http://schemas.openxmlformats.org/spreadsheetml/2006/main" count="2417" uniqueCount="108">
  <si>
    <t>Kecamatan</t>
  </si>
  <si>
    <t>KABAT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</si>
  <si>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</si>
  <si>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</si>
  <si>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</si>
  <si>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</si>
  <si>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</si>
  <si>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</si>
  <si>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</si>
  <si>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</si>
  <si>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</si>
  <si>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</si>
  <si>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</si>
  <si>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</si>
  <si>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</si>
  <si>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</si>
  <si>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</si>
  <si>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</si>
  <si>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</si>
  <si>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</si>
  <si>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</si>
  <si>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</si>
  <si>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</si>
  <si>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</si>
  <si>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</si>
  <si>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</si>
  <si>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</si>
  <si>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</si>
  <si>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</si>
  <si>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</si>
  <si>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</si>
  <si>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</si>
  <si>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</si>
  <si>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</si>
  <si>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</si>
  <si>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</si>
  <si>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</si>
  <si>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</si>
  <si>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</si>
  <si>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</si>
  <si>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</si>
  <si>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</si>
  <si>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</si>
  <si>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</si>
  <si>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</si>
  <si>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</si>
  <si>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</si>
  <si>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</si>
  <si>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</si>
  <si>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</si>
  <si>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</si>
  <si>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</si>
  <si>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</si>
  <si>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</si>
  <si>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</si>
  <si>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</si>
  <si>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</si>
  <si>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</si>
  <si>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</si>
  <si>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</si>
  <si>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</si>
  <si>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</si>
  <si>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</si>
  <si>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</si>
  <si>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</si>
  <si>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</si>
  <si>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</si>
  <si>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</si>
  <si>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</si>
  <si>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BARENG</t>
  </si>
  <si>
    <t>TPS 001</t>
  </si>
  <si>
    <t>TPS 002</t>
  </si>
  <si>
    <t>TPS 003</t>
  </si>
  <si>
    <t>TPS 004</t>
  </si>
  <si>
    <t>TPS 005</t>
  </si>
  <si>
    <t>TPS 006</t>
  </si>
  <si>
    <t>BENELAN LOR</t>
  </si>
  <si>
    <t>TPS 007</t>
  </si>
  <si>
    <t>TPS 008</t>
  </si>
  <si>
    <t>TPS 009</t>
  </si>
  <si>
    <t>BUNDER</t>
  </si>
  <si>
    <t>TPS 010</t>
  </si>
  <si>
    <t>TPS 011</t>
  </si>
  <si>
    <t>TPS 012</t>
  </si>
  <si>
    <t>TPS 013</t>
  </si>
  <si>
    <t>DADAPAN</t>
  </si>
  <si>
    <t>TPS 014</t>
  </si>
  <si>
    <t>TPS 015</t>
  </si>
  <si>
    <t>TPS 016</t>
  </si>
  <si>
    <t>TPS 017</t>
  </si>
  <si>
    <t>TPS 018</t>
  </si>
  <si>
    <t>TPS 019</t>
  </si>
  <si>
    <t>GOMBOLIRANG</t>
  </si>
  <si>
    <t>KALIREJO</t>
  </si>
  <si>
    <t>KEDAYUNAN</t>
  </si>
  <si>
    <t>LABANASEM</t>
  </si>
  <si>
    <t>MACAN PUTIH</t>
  </si>
  <si>
    <t>TPS 020</t>
  </si>
  <si>
    <t>TPS 021</t>
  </si>
  <si>
    <t>TPS 022</t>
  </si>
  <si>
    <t>TPS 023</t>
  </si>
  <si>
    <t>TPS 024</t>
  </si>
  <si>
    <t>TPS 025</t>
  </si>
  <si>
    <t>TPS 026</t>
  </si>
  <si>
    <t>PAKISATAJI</t>
  </si>
  <si>
    <t>PENDARUNGAN</t>
  </si>
  <si>
    <t>PONDOKNONGKO</t>
  </si>
  <si>
    <t>TAMBONG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</si>
</sst>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b/>
      <color theme="1"/>
      <name val="Bookman Old Style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3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7" numFmtId="0" xfId="0" applyBorder="1" applyFont="1"/>
    <xf borderId="3" fillId="0" fontId="3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/>
    </xf>
    <xf borderId="1" fillId="0" fontId="3" numFmtId="0" xfId="0" applyAlignment="1" applyBorder="1" applyFont="1">
      <alignment vertical="center"/>
    </xf>
    <xf borderId="0" fillId="0" fontId="9" numFmtId="0" xfId="0" applyAlignment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24671.0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24736.0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49407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24">
        <v>19119.0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24">
        <v>20621.0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29">
        <f>SUM(E19:E20)</f>
        <v>39740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0">
        <v>27.0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0">
        <v>68.0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8">
        <f>SUM(E22:E23)</f>
        <v>95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0">
        <v>121.0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0">
        <v>161.0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8">
        <f>SUM(E25:E26)</f>
        <v>282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39" t="s">
        <v>23</v>
      </c>
      <c r="C28" s="40" t="s">
        <v>24</v>
      </c>
      <c r="D28" s="13" t="s">
        <v>12</v>
      </c>
      <c r="E28" s="29">
        <f t="shared" ref="E28:E29" si="1">E19+E22+E25</f>
        <v>19267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29">
        <f t="shared" si="1"/>
        <v>20850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29">
        <f>SUM(E28:E29)</f>
        <v>40117</v>
      </c>
      <c r="F30" s="41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2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3" t="s">
        <v>25</v>
      </c>
      <c r="B32" s="14" t="s">
        <v>26</v>
      </c>
      <c r="C32" s="15"/>
      <c r="D32" s="16"/>
      <c r="E32" s="38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v>50372.0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v>40117.0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0">
        <v>109.0</v>
      </c>
      <c r="F35" s="41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10146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4" t="s">
        <v>31</v>
      </c>
      <c r="B38" s="14" t="s">
        <v>32</v>
      </c>
      <c r="C38" s="15"/>
      <c r="D38" s="16"/>
      <c r="E38" s="38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5" t="s">
        <v>33</v>
      </c>
      <c r="C39" s="23"/>
      <c r="D39" s="19" t="s">
        <v>12</v>
      </c>
      <c r="E39" s="30">
        <v>150.0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0">
        <v>142.0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3"/>
      <c r="B41" s="46"/>
      <c r="C41" s="28"/>
      <c r="D41" s="13" t="s">
        <v>14</v>
      </c>
      <c r="E41" s="38">
        <f>SUM(E39:E40)</f>
        <v>292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7"/>
      <c r="B42" s="46"/>
      <c r="C42" s="46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4" t="s">
        <v>34</v>
      </c>
      <c r="B43" s="14" t="s">
        <v>35</v>
      </c>
      <c r="C43" s="15"/>
      <c r="D43" s="16"/>
      <c r="E43" s="38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5" t="s">
        <v>36</v>
      </c>
      <c r="B44" s="48"/>
      <c r="C44" s="48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 t="s">
        <v>37</v>
      </c>
      <c r="B45" s="49" t="s">
        <v>17</v>
      </c>
      <c r="C45" s="50" t="s">
        <v>38</v>
      </c>
      <c r="D45" s="16"/>
      <c r="E45" s="24">
        <v>3274.0</v>
      </c>
      <c r="F45" s="51"/>
      <c r="G45" s="52"/>
      <c r="H45" s="52"/>
      <c r="I45" s="52"/>
      <c r="J45" s="52"/>
      <c r="K45" s="52"/>
      <c r="L45" s="52"/>
      <c r="M45" s="52"/>
      <c r="N45" s="52"/>
      <c r="O45" s="52"/>
      <c r="P45" s="53"/>
      <c r="Q45" s="3"/>
      <c r="R45" s="3"/>
      <c r="S45" s="3"/>
      <c r="T45" s="3"/>
      <c r="U45" s="3"/>
      <c r="V45" s="3"/>
      <c r="W45" s="54"/>
      <c r="X45" s="3"/>
      <c r="Y45" s="3"/>
      <c r="Z45" s="3"/>
    </row>
    <row r="46" ht="15.75" customHeight="1">
      <c r="A46" s="18"/>
      <c r="B46" s="49" t="s">
        <v>19</v>
      </c>
      <c r="C46" s="50" t="s">
        <v>39</v>
      </c>
      <c r="D46" s="16"/>
      <c r="E46" s="24">
        <v>7228.0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9" t="s">
        <v>21</v>
      </c>
      <c r="C47" s="50" t="s">
        <v>40</v>
      </c>
      <c r="D47" s="16"/>
      <c r="E47" s="24">
        <v>2715.0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 t="s">
        <v>23</v>
      </c>
      <c r="C48" s="50" t="s">
        <v>41</v>
      </c>
      <c r="D48" s="16"/>
      <c r="E48" s="24">
        <v>3823.0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 t="s">
        <v>42</v>
      </c>
      <c r="C49" s="50" t="s">
        <v>43</v>
      </c>
      <c r="D49" s="16"/>
      <c r="E49" s="24">
        <v>3667.0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 t="s">
        <v>44</v>
      </c>
      <c r="C50" s="50" t="s">
        <v>45</v>
      </c>
      <c r="D50" s="16"/>
      <c r="E50" s="24">
        <v>2407.0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 t="s">
        <v>46</v>
      </c>
      <c r="C51" s="50" t="s">
        <v>47</v>
      </c>
      <c r="D51" s="16"/>
      <c r="E51" s="30">
        <v>473.0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9" t="s">
        <v>48</v>
      </c>
      <c r="C52" s="50" t="s">
        <v>49</v>
      </c>
      <c r="D52" s="16"/>
      <c r="E52" s="30">
        <v>404.0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9" t="s">
        <v>50</v>
      </c>
      <c r="C53" s="50" t="s">
        <v>51</v>
      </c>
      <c r="D53" s="16"/>
      <c r="E53" s="30">
        <v>144.0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9" t="s">
        <v>52</v>
      </c>
      <c r="C54" s="50" t="s">
        <v>53</v>
      </c>
      <c r="D54" s="16"/>
      <c r="E54" s="24">
        <v>3407.0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9" t="s">
        <v>54</v>
      </c>
      <c r="C55" s="50" t="s">
        <v>55</v>
      </c>
      <c r="D55" s="16"/>
      <c r="E55" s="30">
        <v>174.0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9" t="s">
        <v>56</v>
      </c>
      <c r="C56" s="50" t="s">
        <v>57</v>
      </c>
      <c r="D56" s="16"/>
      <c r="E56" s="24">
        <v>3299.0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9" t="s">
        <v>58</v>
      </c>
      <c r="C57" s="50" t="s">
        <v>59</v>
      </c>
      <c r="D57" s="16"/>
      <c r="E57" s="30">
        <v>358.0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4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4"/>
      <c r="B60" s="55" t="s">
        <v>62</v>
      </c>
      <c r="C60" s="56" t="s">
        <v>63</v>
      </c>
      <c r="D60" s="16"/>
      <c r="E60" s="24">
        <v>31358.0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6"/>
      <c r="B61" s="55" t="s">
        <v>64</v>
      </c>
      <c r="C61" s="56" t="s">
        <v>65</v>
      </c>
      <c r="D61" s="16"/>
      <c r="E61" s="24">
        <v>8759.0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3"/>
      <c r="B62" s="55" t="s">
        <v>66</v>
      </c>
      <c r="C62" s="56" t="s">
        <v>67</v>
      </c>
      <c r="D62" s="16"/>
      <c r="E62" s="57">
        <v>40117.0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8"/>
      <c r="C63" s="5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8"/>
      <c r="C64" s="5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8"/>
      <c r="C65" s="5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8"/>
      <c r="C66" s="5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8"/>
      <c r="C67" s="5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8"/>
      <c r="C68" s="5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8"/>
      <c r="C69" s="5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8"/>
      <c r="C70" s="5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8"/>
      <c r="C71" s="5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8"/>
      <c r="C72" s="5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8"/>
      <c r="C73" s="5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8"/>
      <c r="C74" s="5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8"/>
      <c r="C75" s="5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8"/>
      <c r="C76" s="5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8"/>
      <c r="C77" s="5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8"/>
      <c r="C78" s="5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8"/>
      <c r="C79" s="5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8"/>
      <c r="C80" s="5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8"/>
      <c r="C81" s="5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8"/>
      <c r="C82" s="5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8"/>
      <c r="C83" s="5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8"/>
      <c r="C84" s="5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8"/>
      <c r="C85" s="5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8"/>
      <c r="C86" s="5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8"/>
      <c r="C87" s="5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8"/>
      <c r="C88" s="5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8"/>
      <c r="C89" s="5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8"/>
      <c r="C90" s="5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8"/>
      <c r="C91" s="5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8"/>
      <c r="C92" s="5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8"/>
      <c r="C93" s="5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8"/>
      <c r="C94" s="59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8"/>
      <c r="C95" s="5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8"/>
      <c r="C96" s="5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8"/>
      <c r="C97" s="59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8"/>
      <c r="C98" s="5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8"/>
      <c r="C99" s="5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8"/>
      <c r="C100" s="5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8"/>
      <c r="C101" s="5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8"/>
      <c r="C102" s="5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8"/>
      <c r="C103" s="5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8"/>
      <c r="C104" s="5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8"/>
      <c r="C105" s="5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8"/>
      <c r="C106" s="5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8"/>
      <c r="C107" s="5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8"/>
      <c r="C108" s="5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8"/>
      <c r="C109" s="5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8"/>
      <c r="C110" s="5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8"/>
      <c r="C111" s="5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8"/>
      <c r="C112" s="5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8"/>
      <c r="C113" s="5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8"/>
      <c r="C114" s="5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8"/>
      <c r="C115" s="5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8"/>
      <c r="C116" s="5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8"/>
      <c r="C117" s="5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8"/>
      <c r="C118" s="5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8"/>
      <c r="C119" s="5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8"/>
      <c r="C120" s="5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8"/>
      <c r="C121" s="5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8"/>
      <c r="C122" s="5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8"/>
      <c r="C123" s="5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8"/>
      <c r="C124" s="5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8"/>
      <c r="C125" s="5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8"/>
      <c r="C126" s="5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8"/>
      <c r="C127" s="5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8"/>
      <c r="C128" s="5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8"/>
      <c r="C129" s="5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8"/>
      <c r="C130" s="5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8"/>
      <c r="C131" s="5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8"/>
      <c r="C132" s="5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8"/>
      <c r="C133" s="5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8"/>
      <c r="C134" s="5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8"/>
      <c r="C135" s="5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8"/>
      <c r="C136" s="5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8"/>
      <c r="C137" s="5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8"/>
      <c r="C138" s="5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8"/>
      <c r="C139" s="5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8"/>
      <c r="C140" s="5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8"/>
      <c r="C141" s="5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8"/>
      <c r="C142" s="5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8"/>
      <c r="C143" s="5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8"/>
      <c r="C144" s="5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8"/>
      <c r="C145" s="5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8"/>
      <c r="C146" s="5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8"/>
      <c r="C147" s="5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8"/>
      <c r="C148" s="5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8"/>
      <c r="C149" s="5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8"/>
      <c r="C150" s="5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8"/>
      <c r="C151" s="5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8"/>
      <c r="C152" s="5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8"/>
      <c r="C153" s="5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8"/>
      <c r="C154" s="5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8"/>
      <c r="C155" s="5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8"/>
      <c r="C156" s="5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8"/>
      <c r="C157" s="5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8"/>
      <c r="C158" s="5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8"/>
      <c r="C159" s="5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8"/>
      <c r="C160" s="5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8"/>
      <c r="C161" s="5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8"/>
      <c r="C162" s="5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8"/>
      <c r="C163" s="5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8"/>
      <c r="C164" s="5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8"/>
      <c r="C165" s="5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8"/>
      <c r="C166" s="5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8"/>
      <c r="C167" s="5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8"/>
      <c r="C168" s="5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8"/>
      <c r="C169" s="5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8"/>
      <c r="C170" s="5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8"/>
      <c r="C171" s="5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8"/>
      <c r="C172" s="5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8"/>
      <c r="C173" s="5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8"/>
      <c r="C174" s="5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8"/>
      <c r="C175" s="5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8"/>
      <c r="C176" s="5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8"/>
      <c r="C177" s="5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8"/>
      <c r="C178" s="5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8"/>
      <c r="C179" s="5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8"/>
      <c r="C180" s="5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8"/>
      <c r="C181" s="5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8"/>
      <c r="C182" s="5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8"/>
      <c r="C183" s="5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8"/>
      <c r="C184" s="5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8"/>
      <c r="C185" s="5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8"/>
      <c r="C186" s="5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8"/>
      <c r="C187" s="5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8"/>
      <c r="C188" s="5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8"/>
      <c r="C189" s="5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8"/>
      <c r="C190" s="5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8"/>
      <c r="C191" s="5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8"/>
      <c r="C192" s="5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8"/>
      <c r="C193" s="5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8"/>
      <c r="C194" s="5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8"/>
      <c r="C195" s="5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8"/>
      <c r="C196" s="5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8"/>
      <c r="C197" s="5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8"/>
      <c r="C198" s="5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8"/>
      <c r="C199" s="5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8"/>
      <c r="C200" s="5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8"/>
      <c r="C201" s="5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8"/>
      <c r="C202" s="5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8"/>
      <c r="C203" s="5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8"/>
      <c r="C204" s="5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8"/>
      <c r="C205" s="5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8"/>
      <c r="C206" s="5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8"/>
      <c r="C207" s="5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8"/>
      <c r="C208" s="5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8"/>
      <c r="C209" s="5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8"/>
      <c r="C210" s="5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8"/>
      <c r="C211" s="5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8"/>
      <c r="C212" s="5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8"/>
      <c r="C213" s="5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8"/>
      <c r="C214" s="5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8"/>
      <c r="C215" s="5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8"/>
      <c r="C216" s="5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8"/>
      <c r="C217" s="5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8"/>
      <c r="C218" s="5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8"/>
      <c r="C219" s="5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8"/>
      <c r="C220" s="5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8"/>
      <c r="C221" s="5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8"/>
      <c r="C222" s="5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8"/>
      <c r="C223" s="5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8"/>
      <c r="C224" s="5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8"/>
      <c r="C225" s="59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8"/>
      <c r="C226" s="59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8"/>
      <c r="C227" s="59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8"/>
      <c r="C228" s="5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8"/>
      <c r="C229" s="5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8"/>
      <c r="C230" s="5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8"/>
      <c r="C231" s="5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8"/>
      <c r="C232" s="5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8"/>
      <c r="C233" s="5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8"/>
      <c r="C234" s="59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8"/>
      <c r="C235" s="59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8"/>
      <c r="C236" s="59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8"/>
      <c r="C237" s="59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8"/>
      <c r="C238" s="5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8"/>
      <c r="C239" s="5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8"/>
      <c r="C240" s="5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8"/>
      <c r="C241" s="5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8"/>
      <c r="C242" s="5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8"/>
      <c r="C243" s="5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8"/>
      <c r="C244" s="5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8"/>
      <c r="C245" s="5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8"/>
      <c r="C246" s="5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8"/>
      <c r="C247" s="5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8"/>
      <c r="C248" s="5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8"/>
      <c r="C249" s="5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8"/>
      <c r="C250" s="5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8"/>
      <c r="C251" s="5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8"/>
      <c r="C252" s="5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8"/>
      <c r="C253" s="5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8"/>
      <c r="C254" s="59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8"/>
      <c r="C255" s="59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8"/>
      <c r="C256" s="59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8"/>
      <c r="C257" s="59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8"/>
      <c r="C258" s="5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8"/>
      <c r="C259" s="5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8"/>
      <c r="C260" s="59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8"/>
      <c r="C261" s="59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8"/>
      <c r="C262" s="59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0" width="8.71"/>
    <col customWidth="1" min="11" max="11" width="13.29"/>
    <col customWidth="1" min="1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37"/>
    </row>
    <row r="14" ht="12.75" customHeight="1">
      <c r="A14" s="18"/>
      <c r="B14" s="22" t="s">
        <v>11</v>
      </c>
      <c r="C14" s="23"/>
      <c r="D14" s="19" t="s">
        <v>12</v>
      </c>
      <c r="E14" s="19">
        <v>120.0</v>
      </c>
      <c r="F14" s="19">
        <v>108.0</v>
      </c>
      <c r="G14" s="19">
        <v>121.0</v>
      </c>
      <c r="H14" s="19">
        <v>111.0</v>
      </c>
      <c r="I14" s="19">
        <v>113.0</v>
      </c>
      <c r="J14" s="19">
        <v>114.0</v>
      </c>
      <c r="K14" s="13">
        <f t="shared" ref="K14:K16" si="1">SUM(E14:J14)</f>
        <v>687</v>
      </c>
    </row>
    <row r="15" ht="12.75" customHeight="1">
      <c r="A15" s="18"/>
      <c r="B15" s="26"/>
      <c r="C15" s="27"/>
      <c r="D15" s="19" t="s">
        <v>13</v>
      </c>
      <c r="E15" s="19">
        <v>118.0</v>
      </c>
      <c r="F15" s="19">
        <v>115.0</v>
      </c>
      <c r="G15" s="19">
        <v>127.0</v>
      </c>
      <c r="H15" s="19">
        <v>108.0</v>
      </c>
      <c r="I15" s="19">
        <v>99.0</v>
      </c>
      <c r="J15" s="19">
        <v>101.0</v>
      </c>
      <c r="K15" s="13">
        <f t="shared" si="1"/>
        <v>668</v>
      </c>
    </row>
    <row r="16" ht="12.75" customHeight="1">
      <c r="A16" s="25"/>
      <c r="B16" s="21"/>
      <c r="C16" s="28"/>
      <c r="D16" s="13" t="s">
        <v>14</v>
      </c>
      <c r="E16" s="13">
        <f t="shared" ref="E16:J16" si="2">SUM(E14:E15)</f>
        <v>238</v>
      </c>
      <c r="F16" s="13">
        <f t="shared" si="2"/>
        <v>223</v>
      </c>
      <c r="G16" s="13">
        <f t="shared" si="2"/>
        <v>248</v>
      </c>
      <c r="H16" s="13">
        <f t="shared" si="2"/>
        <v>219</v>
      </c>
      <c r="I16" s="13">
        <f t="shared" si="2"/>
        <v>212</v>
      </c>
      <c r="J16" s="13">
        <f t="shared" si="2"/>
        <v>215</v>
      </c>
      <c r="K16" s="13">
        <f t="shared" si="1"/>
        <v>1355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105.0</v>
      </c>
      <c r="F19" s="19">
        <v>90.0</v>
      </c>
      <c r="G19" s="19">
        <v>105.0</v>
      </c>
      <c r="H19" s="19">
        <v>97.0</v>
      </c>
      <c r="I19" s="19">
        <v>91.0</v>
      </c>
      <c r="J19" s="19">
        <v>95.0</v>
      </c>
      <c r="K19" s="13">
        <f t="shared" ref="K19:K30" si="3">SUM(E19:J19)</f>
        <v>583</v>
      </c>
    </row>
    <row r="20" ht="12.75" customHeight="1">
      <c r="A20" s="34"/>
      <c r="B20" s="27"/>
      <c r="C20" s="35"/>
      <c r="D20" s="19" t="s">
        <v>13</v>
      </c>
      <c r="E20" s="19">
        <v>104.0</v>
      </c>
      <c r="F20" s="19">
        <v>95.0</v>
      </c>
      <c r="G20" s="19">
        <v>113.0</v>
      </c>
      <c r="H20" s="19">
        <v>90.0</v>
      </c>
      <c r="I20" s="19">
        <v>91.0</v>
      </c>
      <c r="J20" s="19">
        <v>89.0</v>
      </c>
      <c r="K20" s="13">
        <f t="shared" si="3"/>
        <v>582</v>
      </c>
    </row>
    <row r="21" ht="12.75" customHeight="1">
      <c r="A21" s="36"/>
      <c r="B21" s="28"/>
      <c r="C21" s="37"/>
      <c r="D21" s="13" t="s">
        <v>14</v>
      </c>
      <c r="E21" s="13">
        <f t="shared" ref="E21:J21" si="4">SUM(E19:E20)</f>
        <v>209</v>
      </c>
      <c r="F21" s="13">
        <f t="shared" si="4"/>
        <v>185</v>
      </c>
      <c r="G21" s="13">
        <f t="shared" si="4"/>
        <v>218</v>
      </c>
      <c r="H21" s="13">
        <f t="shared" si="4"/>
        <v>187</v>
      </c>
      <c r="I21" s="13">
        <f t="shared" si="4"/>
        <v>182</v>
      </c>
      <c r="J21" s="13">
        <f t="shared" si="4"/>
        <v>184</v>
      </c>
      <c r="K21" s="13">
        <f t="shared" si="3"/>
        <v>1165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1.0</v>
      </c>
      <c r="F22" s="19">
        <v>1.0</v>
      </c>
      <c r="G22" s="19">
        <v>1.0</v>
      </c>
      <c r="H22" s="19">
        <v>0.0</v>
      </c>
      <c r="I22" s="19">
        <v>0.0</v>
      </c>
      <c r="J22" s="19">
        <v>0.0</v>
      </c>
      <c r="K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2.0</v>
      </c>
      <c r="F23" s="19">
        <v>2.0</v>
      </c>
      <c r="G23" s="19">
        <v>1.0</v>
      </c>
      <c r="H23" s="19">
        <v>0.0</v>
      </c>
      <c r="I23" s="19">
        <v>0.0</v>
      </c>
      <c r="J23" s="19">
        <v>0.0</v>
      </c>
      <c r="K23" s="13">
        <f t="shared" si="3"/>
        <v>5</v>
      </c>
    </row>
    <row r="24" ht="12.75" customHeight="1">
      <c r="A24" s="36"/>
      <c r="B24" s="28"/>
      <c r="C24" s="37"/>
      <c r="D24" s="13" t="s">
        <v>14</v>
      </c>
      <c r="E24" s="13">
        <f t="shared" ref="E24:J24" si="5">SUM(E22:E23)</f>
        <v>3</v>
      </c>
      <c r="F24" s="13">
        <f t="shared" si="5"/>
        <v>3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3"/>
        <v>8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3">
        <f t="shared" si="3"/>
        <v>3</v>
      </c>
    </row>
    <row r="26" ht="12.75" customHeight="1">
      <c r="A26" s="34"/>
      <c r="B26" s="27"/>
      <c r="C26" s="35"/>
      <c r="D26" s="19" t="s">
        <v>13</v>
      </c>
      <c r="E26" s="19">
        <v>3.0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3">
        <f t="shared" si="3"/>
        <v>3</v>
      </c>
    </row>
    <row r="27" ht="12.75" customHeight="1">
      <c r="A27" s="36"/>
      <c r="B27" s="28"/>
      <c r="C27" s="37"/>
      <c r="D27" s="13" t="s">
        <v>14</v>
      </c>
      <c r="E27" s="13">
        <f t="shared" ref="E27:J27" si="6">SUM(E25:E26)</f>
        <v>5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3"/>
        <v>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J28" si="7">SUM(E19,E22,E25)</f>
        <v>108</v>
      </c>
      <c r="F28" s="13">
        <f t="shared" si="7"/>
        <v>91</v>
      </c>
      <c r="G28" s="13">
        <f t="shared" si="7"/>
        <v>107</v>
      </c>
      <c r="H28" s="13">
        <f t="shared" si="7"/>
        <v>97</v>
      </c>
      <c r="I28" s="13">
        <f t="shared" si="7"/>
        <v>91</v>
      </c>
      <c r="J28" s="13">
        <f t="shared" si="7"/>
        <v>95</v>
      </c>
      <c r="K28" s="13">
        <f t="shared" si="3"/>
        <v>589</v>
      </c>
    </row>
    <row r="29" ht="12.75" customHeight="1">
      <c r="A29" s="36"/>
      <c r="B29" s="27"/>
      <c r="C29" s="35"/>
      <c r="D29" s="13" t="s">
        <v>13</v>
      </c>
      <c r="E29" s="13">
        <f t="shared" ref="E29:J29" si="8">SUM(E20,E23,E26)</f>
        <v>109</v>
      </c>
      <c r="F29" s="13">
        <f t="shared" si="8"/>
        <v>97</v>
      </c>
      <c r="G29" s="13">
        <f t="shared" si="8"/>
        <v>114</v>
      </c>
      <c r="H29" s="13">
        <f t="shared" si="8"/>
        <v>90</v>
      </c>
      <c r="I29" s="13">
        <f t="shared" si="8"/>
        <v>91</v>
      </c>
      <c r="J29" s="13">
        <f t="shared" si="8"/>
        <v>89</v>
      </c>
      <c r="K29" s="13">
        <f t="shared" si="3"/>
        <v>590</v>
      </c>
    </row>
    <row r="30" ht="12.75" customHeight="1">
      <c r="A30" s="36"/>
      <c r="B30" s="28"/>
      <c r="C30" s="37"/>
      <c r="D30" s="13" t="s">
        <v>14</v>
      </c>
      <c r="E30" s="13">
        <f t="shared" ref="E30:J30" si="9">SUM(E28:E29)</f>
        <v>217</v>
      </c>
      <c r="F30" s="13">
        <f t="shared" si="9"/>
        <v>188</v>
      </c>
      <c r="G30" s="13">
        <f t="shared" si="9"/>
        <v>221</v>
      </c>
      <c r="H30" s="13">
        <f t="shared" si="9"/>
        <v>187</v>
      </c>
      <c r="I30" s="13">
        <f t="shared" si="9"/>
        <v>182</v>
      </c>
      <c r="J30" s="13">
        <f t="shared" si="9"/>
        <v>184</v>
      </c>
      <c r="K30" s="13">
        <f t="shared" si="3"/>
        <v>1179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61"/>
    </row>
    <row r="32" ht="12.75" customHeight="1">
      <c r="A32" s="43" t="s">
        <v>25</v>
      </c>
      <c r="B32" s="14" t="s">
        <v>26</v>
      </c>
      <c r="C32" s="15"/>
      <c r="D32" s="16"/>
      <c r="E32" s="13" t="s">
        <v>70</v>
      </c>
      <c r="F32" s="13" t="s">
        <v>71</v>
      </c>
      <c r="G32" s="13" t="s">
        <v>72</v>
      </c>
      <c r="H32" s="13" t="s">
        <v>73</v>
      </c>
      <c r="I32" s="13" t="s">
        <v>74</v>
      </c>
      <c r="J32" s="13" t="s">
        <v>75</v>
      </c>
      <c r="K32" s="61"/>
    </row>
    <row r="33" ht="12.75" customHeight="1">
      <c r="A33" s="19">
        <v>1.0</v>
      </c>
      <c r="B33" s="20" t="s">
        <v>27</v>
      </c>
      <c r="C33" s="15"/>
      <c r="D33" s="16"/>
      <c r="E33" s="19">
        <v>243.0</v>
      </c>
      <c r="F33" s="19">
        <v>229.0</v>
      </c>
      <c r="G33" s="19">
        <v>253.0</v>
      </c>
      <c r="H33" s="19">
        <v>224.0</v>
      </c>
      <c r="I33" s="19">
        <v>227.0</v>
      </c>
      <c r="J33" s="19">
        <v>220.0</v>
      </c>
      <c r="K33" s="13">
        <f t="shared" ref="K33:K36" si="10">SUM(E33:J33)</f>
        <v>1396</v>
      </c>
    </row>
    <row r="34" ht="12.75" customHeight="1">
      <c r="A34" s="19">
        <v>2.0</v>
      </c>
      <c r="B34" s="20" t="s">
        <v>28</v>
      </c>
      <c r="C34" s="15"/>
      <c r="D34" s="16"/>
      <c r="E34" s="13">
        <v>217.0</v>
      </c>
      <c r="F34" s="13">
        <v>188.0</v>
      </c>
      <c r="G34" s="13">
        <v>221.0</v>
      </c>
      <c r="H34" s="13">
        <v>187.0</v>
      </c>
      <c r="I34" s="13">
        <v>182.0</v>
      </c>
      <c r="J34" s="13">
        <v>184.0</v>
      </c>
      <c r="K34" s="13">
        <f t="shared" si="10"/>
        <v>1179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J36" si="11">E33-(E34+E35)</f>
        <v>26</v>
      </c>
      <c r="F36" s="13">
        <f t="shared" si="11"/>
        <v>41</v>
      </c>
      <c r="G36" s="13">
        <f t="shared" si="11"/>
        <v>32</v>
      </c>
      <c r="H36" s="13">
        <f t="shared" si="11"/>
        <v>37</v>
      </c>
      <c r="I36" s="13">
        <f t="shared" si="11"/>
        <v>45</v>
      </c>
      <c r="J36" s="13">
        <f t="shared" si="11"/>
        <v>35</v>
      </c>
      <c r="K36" s="13">
        <f t="shared" si="10"/>
        <v>216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61"/>
    </row>
    <row r="38" ht="12.75" customHeight="1">
      <c r="A38" s="44" t="s">
        <v>31</v>
      </c>
      <c r="B38" s="14" t="s">
        <v>32</v>
      </c>
      <c r="C38" s="15"/>
      <c r="D38" s="16"/>
      <c r="E38" s="13" t="s">
        <v>70</v>
      </c>
      <c r="F38" s="13" t="s">
        <v>71</v>
      </c>
      <c r="G38" s="13" t="s">
        <v>72</v>
      </c>
      <c r="H38" s="13" t="s">
        <v>73</v>
      </c>
      <c r="I38" s="13" t="s">
        <v>74</v>
      </c>
      <c r="J38" s="13" t="s">
        <v>75</v>
      </c>
      <c r="K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3">
        <f t="shared" ref="K39:K41" si="12">SUM(E39:J39)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3"/>
    </row>
    <row r="43" ht="12.75" customHeight="1">
      <c r="A43" s="44" t="s">
        <v>34</v>
      </c>
      <c r="B43" s="14" t="s">
        <v>35</v>
      </c>
      <c r="C43" s="15"/>
      <c r="D43" s="16"/>
      <c r="E43" s="13" t="s">
        <v>70</v>
      </c>
      <c r="F43" s="13" t="s">
        <v>71</v>
      </c>
      <c r="G43" s="13" t="s">
        <v>72</v>
      </c>
      <c r="H43" s="13" t="s">
        <v>73</v>
      </c>
      <c r="I43" s="13" t="s">
        <v>74</v>
      </c>
      <c r="J43" s="13" t="s">
        <v>75</v>
      </c>
      <c r="K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3"/>
    </row>
    <row r="45" ht="12.75" customHeight="1">
      <c r="A45" s="31"/>
      <c r="B45" s="49" t="s">
        <v>17</v>
      </c>
      <c r="C45" s="62" t="s">
        <v>38</v>
      </c>
      <c r="D45" s="16"/>
      <c r="E45" s="19">
        <v>11.0</v>
      </c>
      <c r="F45" s="19">
        <v>8.0</v>
      </c>
      <c r="G45" s="19">
        <v>10.0</v>
      </c>
      <c r="H45" s="19">
        <v>14.0</v>
      </c>
      <c r="I45" s="19">
        <v>23.0</v>
      </c>
      <c r="J45" s="19">
        <v>22.0</v>
      </c>
      <c r="K45" s="13">
        <f t="shared" ref="K45:K57" si="14">SUM(E45:J45)</f>
        <v>88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34.0</v>
      </c>
      <c r="F46" s="19">
        <v>35.0</v>
      </c>
      <c r="G46" s="19">
        <v>29.0</v>
      </c>
      <c r="H46" s="19">
        <v>32.0</v>
      </c>
      <c r="I46" s="19">
        <v>31.0</v>
      </c>
      <c r="J46" s="19">
        <v>38.0</v>
      </c>
      <c r="K46" s="13">
        <f t="shared" si="14"/>
        <v>199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14.0</v>
      </c>
      <c r="F47" s="19">
        <v>5.0</v>
      </c>
      <c r="G47" s="19">
        <v>13.0</v>
      </c>
      <c r="H47" s="19">
        <v>22.0</v>
      </c>
      <c r="I47" s="19">
        <v>13.0</v>
      </c>
      <c r="J47" s="19">
        <v>13.0</v>
      </c>
      <c r="K47" s="13">
        <f t="shared" si="14"/>
        <v>80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17.0</v>
      </c>
      <c r="F48" s="19">
        <v>18.0</v>
      </c>
      <c r="G48" s="19">
        <v>23.0</v>
      </c>
      <c r="H48" s="19">
        <v>29.0</v>
      </c>
      <c r="I48" s="19">
        <v>23.0</v>
      </c>
      <c r="J48" s="19">
        <v>24.0</v>
      </c>
      <c r="K48" s="13">
        <f t="shared" si="14"/>
        <v>134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14.0</v>
      </c>
      <c r="F49" s="19">
        <v>6.0</v>
      </c>
      <c r="G49" s="19">
        <v>16.0</v>
      </c>
      <c r="H49" s="19">
        <v>14.0</v>
      </c>
      <c r="I49" s="19">
        <v>15.0</v>
      </c>
      <c r="J49" s="19">
        <v>10.0</v>
      </c>
      <c r="K49" s="13">
        <f t="shared" si="14"/>
        <v>75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14.0</v>
      </c>
      <c r="F50" s="19">
        <v>10.0</v>
      </c>
      <c r="G50" s="19">
        <v>9.0</v>
      </c>
      <c r="H50" s="19">
        <v>9.0</v>
      </c>
      <c r="I50" s="19">
        <v>9.0</v>
      </c>
      <c r="J50" s="19">
        <v>13.0</v>
      </c>
      <c r="K50" s="13">
        <f t="shared" si="14"/>
        <v>64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2.0</v>
      </c>
      <c r="F51" s="19">
        <v>6.0</v>
      </c>
      <c r="G51" s="19">
        <v>3.0</v>
      </c>
      <c r="H51" s="19">
        <v>2.0</v>
      </c>
      <c r="I51" s="19">
        <v>4.0</v>
      </c>
      <c r="J51" s="19">
        <v>0.0</v>
      </c>
      <c r="K51" s="13">
        <f t="shared" si="14"/>
        <v>17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1.0</v>
      </c>
      <c r="F52" s="19">
        <v>2.0</v>
      </c>
      <c r="G52" s="19">
        <v>1.0</v>
      </c>
      <c r="H52" s="19">
        <v>0.0</v>
      </c>
      <c r="I52" s="19">
        <v>1.0</v>
      </c>
      <c r="J52" s="19">
        <v>0.0</v>
      </c>
      <c r="K52" s="13">
        <f t="shared" si="14"/>
        <v>5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0.0</v>
      </c>
      <c r="F53" s="19">
        <v>0.0</v>
      </c>
      <c r="G53" s="19">
        <v>0.0</v>
      </c>
      <c r="H53" s="19">
        <v>0.0</v>
      </c>
      <c r="I53" s="19">
        <v>1.0</v>
      </c>
      <c r="J53" s="19">
        <v>0.0</v>
      </c>
      <c r="K53" s="13">
        <f t="shared" si="14"/>
        <v>1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17.0</v>
      </c>
      <c r="F54" s="19">
        <v>16.0</v>
      </c>
      <c r="G54" s="19">
        <v>17.0</v>
      </c>
      <c r="H54" s="19">
        <v>28.0</v>
      </c>
      <c r="I54" s="19">
        <v>20.0</v>
      </c>
      <c r="J54" s="19">
        <v>23.0</v>
      </c>
      <c r="K54" s="13">
        <f t="shared" si="14"/>
        <v>121</v>
      </c>
    </row>
    <row r="55" ht="15.0" customHeight="1">
      <c r="A55" s="18"/>
      <c r="B55" s="49" t="s">
        <v>54</v>
      </c>
      <c r="C55" s="62" t="s">
        <v>55</v>
      </c>
      <c r="D55" s="16"/>
      <c r="E55" s="19">
        <v>1.0</v>
      </c>
      <c r="F55" s="19">
        <v>1.0</v>
      </c>
      <c r="G55" s="19">
        <v>0.0</v>
      </c>
      <c r="H55" s="19">
        <v>0.0</v>
      </c>
      <c r="I55" s="19">
        <v>2.0</v>
      </c>
      <c r="J55" s="19">
        <v>0.0</v>
      </c>
      <c r="K55" s="13">
        <f t="shared" si="14"/>
        <v>4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15.0</v>
      </c>
      <c r="F56" s="19">
        <v>15.0</v>
      </c>
      <c r="G56" s="19">
        <v>18.0</v>
      </c>
      <c r="H56" s="19">
        <v>17.0</v>
      </c>
      <c r="I56" s="19">
        <v>19.0</v>
      </c>
      <c r="J56" s="19">
        <v>18.0</v>
      </c>
      <c r="K56" s="13">
        <f t="shared" si="14"/>
        <v>102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0.0</v>
      </c>
      <c r="F57" s="19">
        <v>0.0</v>
      </c>
      <c r="G57" s="19">
        <v>3.0</v>
      </c>
      <c r="H57" s="19">
        <v>2.0</v>
      </c>
      <c r="I57" s="19">
        <v>1.0</v>
      </c>
      <c r="J57" s="19">
        <v>0.0</v>
      </c>
      <c r="K57" s="13">
        <f t="shared" si="14"/>
        <v>6</v>
      </c>
    </row>
    <row r="58" ht="12.75" customHeight="1">
      <c r="K58" s="13"/>
    </row>
    <row r="59" ht="12.75" customHeight="1">
      <c r="A59" s="44" t="s">
        <v>60</v>
      </c>
      <c r="B59" s="14" t="s">
        <v>61</v>
      </c>
      <c r="C59" s="15"/>
      <c r="D59" s="16"/>
      <c r="E59" s="13" t="s">
        <v>70</v>
      </c>
      <c r="F59" s="13" t="s">
        <v>71</v>
      </c>
      <c r="G59" s="13" t="s">
        <v>72</v>
      </c>
      <c r="H59" s="13" t="s">
        <v>73</v>
      </c>
      <c r="I59" s="13" t="s">
        <v>74</v>
      </c>
      <c r="J59" s="13" t="s">
        <v>75</v>
      </c>
      <c r="K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J60" si="15">SUM(E45:E57)</f>
        <v>140</v>
      </c>
      <c r="F60" s="19">
        <f t="shared" si="15"/>
        <v>122</v>
      </c>
      <c r="G60" s="19">
        <f t="shared" si="15"/>
        <v>142</v>
      </c>
      <c r="H60" s="19">
        <f t="shared" si="15"/>
        <v>169</v>
      </c>
      <c r="I60" s="19">
        <f t="shared" si="15"/>
        <v>162</v>
      </c>
      <c r="J60" s="19">
        <f t="shared" si="15"/>
        <v>161</v>
      </c>
      <c r="K60" s="13">
        <f t="shared" ref="K60:K62" si="16">SUM(E60:J60)</f>
        <v>896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77.0</v>
      </c>
      <c r="F61" s="19">
        <v>66.0</v>
      </c>
      <c r="G61" s="19">
        <v>79.0</v>
      </c>
      <c r="H61" s="19">
        <v>18.0</v>
      </c>
      <c r="I61" s="19">
        <v>20.0</v>
      </c>
      <c r="J61" s="19">
        <v>23.0</v>
      </c>
      <c r="K61" s="13">
        <f t="shared" si="16"/>
        <v>283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J62" si="17">SUM(E60:E61)</f>
        <v>217</v>
      </c>
      <c r="F62" s="13">
        <f t="shared" si="17"/>
        <v>188</v>
      </c>
      <c r="G62" s="13">
        <f t="shared" si="17"/>
        <v>221</v>
      </c>
      <c r="H62" s="13">
        <f t="shared" si="17"/>
        <v>187</v>
      </c>
      <c r="I62" s="13">
        <f t="shared" si="17"/>
        <v>182</v>
      </c>
      <c r="J62" s="13">
        <f t="shared" si="17"/>
        <v>184</v>
      </c>
      <c r="K62" s="13">
        <f t="shared" si="16"/>
        <v>1179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L117" s="5"/>
      <c r="M117" s="5"/>
    </row>
    <row r="118" ht="12.75" customHeight="1">
      <c r="L118" s="5"/>
      <c r="M118" s="5"/>
    </row>
    <row r="119" ht="12.75" customHeight="1">
      <c r="L119" s="5"/>
      <c r="M119" s="5"/>
    </row>
    <row r="120" ht="12.75" customHeight="1">
      <c r="L120" s="5"/>
      <c r="M120" s="5"/>
    </row>
    <row r="121" ht="12.75" customHeight="1">
      <c r="L121" s="5"/>
      <c r="M121" s="5"/>
    </row>
    <row r="122" ht="12.75" customHeight="1">
      <c r="L122" s="5"/>
      <c r="M122" s="5"/>
    </row>
    <row r="123" ht="12.75" customHeight="1">
      <c r="L123" s="5"/>
      <c r="M123" s="5"/>
    </row>
    <row r="124" ht="12.75" customHeight="1">
      <c r="L124" s="5"/>
      <c r="M124" s="5"/>
    </row>
    <row r="125" ht="12.75" customHeight="1">
      <c r="L125" s="5"/>
      <c r="M125" s="5"/>
    </row>
    <row r="126" ht="12.75" customHeight="1">
      <c r="L126" s="5"/>
      <c r="M126" s="5"/>
    </row>
    <row r="127" ht="12.75" customHeight="1">
      <c r="L127" s="5"/>
      <c r="M127" s="5"/>
    </row>
    <row r="128" ht="12.75" customHeight="1">
      <c r="L128" s="5"/>
      <c r="M128" s="5"/>
    </row>
    <row r="129" ht="12.75" customHeight="1">
      <c r="L129" s="5"/>
      <c r="M129" s="5"/>
    </row>
    <row r="130" ht="12.75" customHeight="1">
      <c r="L130" s="1"/>
      <c r="M130" s="1"/>
    </row>
    <row r="131" ht="12.75" customHeight="1">
      <c r="L131" s="52"/>
      <c r="M131" s="52"/>
    </row>
    <row r="132" ht="12.75" customHeight="1">
      <c r="L132" s="5"/>
      <c r="M132" s="5"/>
    </row>
    <row r="133" ht="12.75" customHeight="1">
      <c r="L133" s="5"/>
      <c r="M133" s="5"/>
    </row>
    <row r="134" ht="12.75" customHeight="1">
      <c r="L134" s="5"/>
      <c r="M134" s="5"/>
    </row>
    <row r="135" ht="12.75" customHeight="1">
      <c r="L135" s="5"/>
      <c r="M135" s="5"/>
    </row>
    <row r="136" ht="12.75" customHeight="1">
      <c r="L136" s="5"/>
      <c r="M136" s="5"/>
    </row>
    <row r="137" ht="12.75" customHeight="1">
      <c r="L137" s="5"/>
      <c r="M137" s="5"/>
    </row>
    <row r="138" ht="12.75" customHeight="1">
      <c r="L138" s="5"/>
      <c r="M138" s="5"/>
    </row>
    <row r="139" ht="12.75" customHeight="1">
      <c r="L139" s="5"/>
      <c r="M139" s="5"/>
    </row>
    <row r="140" ht="12.75" customHeight="1">
      <c r="L140" s="5"/>
      <c r="M140" s="5"/>
    </row>
    <row r="141" ht="12.75" customHeight="1">
      <c r="L141" s="1"/>
      <c r="M141" s="1"/>
    </row>
    <row r="142" ht="12.75" customHeight="1">
      <c r="L142" s="52"/>
      <c r="M142" s="52"/>
    </row>
    <row r="143" ht="12.75" customHeight="1">
      <c r="L143" s="5"/>
      <c r="M143" s="5"/>
    </row>
    <row r="144" ht="12.75" customHeight="1">
      <c r="L144" s="5"/>
      <c r="M144" s="5"/>
    </row>
    <row r="145" ht="12.75" customHeight="1">
      <c r="L145" s="5"/>
      <c r="M145" s="5"/>
    </row>
    <row r="146" ht="12.75" customHeight="1">
      <c r="L146" s="5"/>
      <c r="M146" s="5"/>
    </row>
    <row r="147" ht="12.75" customHeight="1">
      <c r="L147" s="5"/>
      <c r="M147" s="5"/>
    </row>
    <row r="148" ht="12.75" customHeight="1">
      <c r="L148" s="5"/>
      <c r="M148" s="5"/>
    </row>
    <row r="149" ht="12.75" customHeight="1">
      <c r="L149" s="5"/>
      <c r="M149" s="5"/>
    </row>
    <row r="150" ht="12.75" customHeight="1">
      <c r="L150" s="5"/>
      <c r="M150" s="5"/>
    </row>
    <row r="151" ht="12.75" customHeight="1">
      <c r="L151" s="1"/>
      <c r="M151" s="1"/>
    </row>
    <row r="152" ht="12.75" customHeight="1">
      <c r="L152" s="52"/>
      <c r="M152" s="52"/>
    </row>
    <row r="153" ht="12.75" customHeight="1">
      <c r="L153" s="5"/>
      <c r="M153" s="5"/>
    </row>
    <row r="154" ht="12.75" customHeight="1">
      <c r="L154" s="5"/>
      <c r="M154" s="5"/>
    </row>
    <row r="155" ht="12.75" customHeight="1">
      <c r="L155" s="5"/>
      <c r="M155" s="5"/>
    </row>
    <row r="156" ht="12.75" customHeight="1">
      <c r="L156" s="5"/>
      <c r="M156" s="5"/>
    </row>
    <row r="157" ht="12.75" customHeight="1">
      <c r="L157" s="5"/>
      <c r="M157" s="5"/>
    </row>
    <row r="158" ht="12.75" customHeight="1">
      <c r="L158" s="5"/>
      <c r="M158" s="5"/>
    </row>
    <row r="159" ht="12.75" customHeight="1">
      <c r="L159" s="5"/>
      <c r="M159" s="5"/>
    </row>
    <row r="160" ht="12.75" customHeight="1">
      <c r="L160" s="5"/>
      <c r="M160" s="5"/>
    </row>
    <row r="161" ht="12.75" customHeight="1">
      <c r="L161" s="5"/>
      <c r="M161" s="5"/>
    </row>
    <row r="162" ht="12.75" customHeight="1">
      <c r="L162" s="5"/>
      <c r="M162" s="5"/>
    </row>
    <row r="163" ht="12.75" customHeight="1">
      <c r="L163" s="5"/>
      <c r="M163" s="5"/>
    </row>
    <row r="164" ht="12.75" customHeight="1">
      <c r="L164" s="5"/>
      <c r="M164" s="5"/>
    </row>
    <row r="165" ht="12.75" customHeight="1">
      <c r="L165" s="1"/>
      <c r="M165" s="1"/>
    </row>
    <row r="166" ht="12.75" customHeight="1">
      <c r="L166" s="52"/>
      <c r="M166" s="52"/>
    </row>
    <row r="167" ht="12.75" customHeight="1">
      <c r="L167" s="5"/>
      <c r="M167" s="5"/>
    </row>
    <row r="168" ht="12.75" customHeight="1">
      <c r="L168" s="5"/>
      <c r="M168" s="5"/>
    </row>
    <row r="169" ht="12.75" customHeight="1">
      <c r="L169" s="5"/>
      <c r="M169" s="5"/>
    </row>
    <row r="170" ht="12.75" customHeight="1">
      <c r="L170" s="5"/>
      <c r="M170" s="5"/>
    </row>
    <row r="171" ht="12.75" customHeight="1">
      <c r="L171" s="5"/>
      <c r="M171" s="5"/>
    </row>
    <row r="172" ht="12.75" customHeight="1">
      <c r="L172" s="5"/>
      <c r="M172" s="5"/>
    </row>
    <row r="173" ht="12.75" customHeight="1">
      <c r="L173" s="5"/>
      <c r="M173" s="5"/>
    </row>
    <row r="174" ht="12.75" customHeight="1">
      <c r="L174" s="5"/>
      <c r="M174" s="5"/>
    </row>
    <row r="175" ht="12.75" customHeight="1">
      <c r="L175" s="5"/>
      <c r="M175" s="5"/>
    </row>
    <row r="176" ht="12.75" customHeight="1">
      <c r="L176" s="1"/>
      <c r="M176" s="1"/>
    </row>
    <row r="177" ht="12.75" customHeight="1"/>
    <row r="178" ht="12.75" customHeight="1">
      <c r="L178" s="5"/>
      <c r="M178" s="5"/>
    </row>
    <row r="179" ht="12.75" customHeight="1">
      <c r="L179" s="5"/>
      <c r="M179" s="5"/>
    </row>
    <row r="180" ht="12.75" customHeight="1">
      <c r="L180" s="5"/>
      <c r="M180" s="5"/>
    </row>
    <row r="181" ht="12.75" customHeight="1">
      <c r="L181" s="5"/>
      <c r="M181" s="5"/>
    </row>
    <row r="182" ht="12.75" customHeight="1">
      <c r="L182" s="5"/>
      <c r="M182" s="5"/>
    </row>
    <row r="183" ht="12.75" customHeight="1">
      <c r="L183" s="5"/>
      <c r="M183" s="5"/>
    </row>
    <row r="184" ht="12.75" customHeight="1">
      <c r="L184" s="5"/>
      <c r="M184" s="5"/>
    </row>
    <row r="185" ht="12.75" customHeight="1">
      <c r="L185" s="5"/>
      <c r="M185" s="5"/>
    </row>
    <row r="186" ht="12.75" customHeight="1">
      <c r="L186" s="5"/>
      <c r="M186" s="5"/>
    </row>
    <row r="187" ht="12.75" customHeight="1">
      <c r="L187" s="1"/>
      <c r="M187" s="1"/>
    </row>
    <row r="188" ht="12.75" customHeight="1"/>
    <row r="189" ht="12.75" customHeight="1">
      <c r="L189" s="5"/>
      <c r="M189" s="5"/>
    </row>
    <row r="190" ht="12.75" customHeight="1">
      <c r="L190" s="5"/>
      <c r="M190" s="5"/>
    </row>
    <row r="191" ht="12.75" customHeight="1">
      <c r="L191" s="5"/>
      <c r="M191" s="5"/>
    </row>
    <row r="192" ht="12.75" customHeight="1">
      <c r="L192" s="5"/>
      <c r="M192" s="5"/>
    </row>
    <row r="193" ht="12.75" customHeight="1">
      <c r="L193" s="5"/>
      <c r="M193" s="5"/>
    </row>
    <row r="194" ht="12.75" customHeight="1">
      <c r="L194" s="5"/>
      <c r="M194" s="5"/>
    </row>
    <row r="195" ht="12.75" customHeight="1">
      <c r="L195" s="5"/>
      <c r="M195" s="5"/>
    </row>
    <row r="196" ht="12.75" customHeight="1">
      <c r="L196" s="1"/>
      <c r="M196" s="1"/>
    </row>
    <row r="197" ht="12.75" customHeight="1">
      <c r="L197" s="1"/>
      <c r="M197" s="1"/>
    </row>
    <row r="198" ht="12.75" customHeight="1">
      <c r="L198" s="1"/>
      <c r="M198" s="1"/>
    </row>
    <row r="199" ht="12.75" customHeight="1">
      <c r="L199" s="52"/>
      <c r="M199" s="52"/>
    </row>
    <row r="200" ht="12.75" customHeight="1">
      <c r="L200" s="5"/>
      <c r="M200" s="5"/>
    </row>
    <row r="201" ht="12.75" customHeight="1">
      <c r="L201" s="5"/>
      <c r="M201" s="5"/>
    </row>
    <row r="202" ht="12.75" customHeight="1">
      <c r="L202" s="5"/>
      <c r="M202" s="5"/>
    </row>
    <row r="203" ht="12.75" customHeight="1">
      <c r="L203" s="5"/>
      <c r="M203" s="5"/>
    </row>
    <row r="204" ht="12.75" customHeight="1">
      <c r="L204" s="5"/>
      <c r="M204" s="5"/>
    </row>
    <row r="205" ht="12.75" customHeight="1">
      <c r="L205" s="5"/>
      <c r="M205" s="5"/>
    </row>
    <row r="206" ht="12.75" customHeight="1">
      <c r="L206" s="5"/>
      <c r="M206" s="5"/>
    </row>
    <row r="207" ht="12.75" customHeight="1">
      <c r="L207" s="1"/>
      <c r="M207" s="1"/>
    </row>
    <row r="208" ht="12.75" customHeight="1">
      <c r="L208" s="52"/>
      <c r="M208" s="52"/>
    </row>
    <row r="209" ht="12.75" customHeight="1">
      <c r="L209" s="52"/>
      <c r="M209" s="52"/>
    </row>
    <row r="210" ht="12.75" customHeight="1">
      <c r="L210" s="52"/>
      <c r="M210" s="52"/>
    </row>
    <row r="211" ht="12.75" customHeight="1">
      <c r="L211" s="5"/>
      <c r="M211" s="5"/>
    </row>
    <row r="212" ht="12.75" customHeight="1">
      <c r="L212" s="5"/>
      <c r="M212" s="5"/>
    </row>
    <row r="213" ht="12.75" customHeight="1">
      <c r="L213" s="5"/>
      <c r="M213" s="5"/>
    </row>
    <row r="214" ht="12.75" customHeight="1">
      <c r="L214" s="5"/>
      <c r="M214" s="5"/>
    </row>
    <row r="215" ht="12.75" customHeight="1">
      <c r="L215" s="5"/>
      <c r="M215" s="5"/>
    </row>
    <row r="216" ht="12.75" customHeight="1">
      <c r="L216" s="5"/>
      <c r="M216" s="5"/>
    </row>
    <row r="217" ht="12.75" customHeight="1">
      <c r="L217" s="5"/>
      <c r="M217" s="5"/>
    </row>
    <row r="218" ht="12.75" customHeight="1">
      <c r="L218" s="1"/>
      <c r="M218" s="1"/>
    </row>
    <row r="219" ht="12.75" customHeight="1">
      <c r="L219" s="52"/>
      <c r="M219" s="52"/>
    </row>
    <row r="220" ht="12.75" customHeight="1">
      <c r="L220" s="5"/>
      <c r="M220" s="5"/>
    </row>
    <row r="221" ht="12.75" customHeight="1">
      <c r="L221" s="5"/>
      <c r="M221" s="5"/>
    </row>
    <row r="222" ht="12.75" customHeight="1">
      <c r="L222" s="5"/>
      <c r="M222" s="5"/>
    </row>
    <row r="223" ht="12.75" customHeight="1">
      <c r="L223" s="5"/>
      <c r="M223" s="5"/>
    </row>
    <row r="224" ht="12.75" customHeight="1">
      <c r="L224" s="5"/>
      <c r="M224" s="5"/>
    </row>
    <row r="225" ht="12.75" customHeight="1">
      <c r="L225" s="5"/>
      <c r="M225" s="5"/>
    </row>
    <row r="226" ht="12.75" customHeight="1">
      <c r="L226" s="5"/>
      <c r="M226" s="5"/>
    </row>
    <row r="227" ht="12.75" customHeight="1">
      <c r="L227" s="5"/>
      <c r="M227" s="5"/>
    </row>
    <row r="228" ht="12.75" customHeight="1">
      <c r="L228" s="5"/>
      <c r="M228" s="5"/>
    </row>
    <row r="229" ht="12.75" customHeight="1">
      <c r="L229" s="1"/>
      <c r="M229" s="1"/>
    </row>
    <row r="230" ht="12.75" customHeight="1">
      <c r="L230" s="52"/>
      <c r="M230" s="52"/>
    </row>
    <row r="231" ht="12.75" customHeight="1">
      <c r="L231" s="5"/>
      <c r="M231" s="5"/>
    </row>
    <row r="232" ht="12.75" customHeight="1">
      <c r="L232" s="5"/>
      <c r="M232" s="5"/>
    </row>
    <row r="233" ht="12.75" customHeight="1">
      <c r="L233" s="5"/>
      <c r="M233" s="5"/>
    </row>
    <row r="234" ht="12.75" customHeight="1">
      <c r="L234" s="5"/>
      <c r="M234" s="5"/>
    </row>
    <row r="235" ht="12.75" customHeight="1">
      <c r="L235" s="5"/>
      <c r="M235" s="5"/>
    </row>
    <row r="236" ht="12.75" customHeight="1">
      <c r="L236" s="5"/>
      <c r="M236" s="5"/>
    </row>
    <row r="237" ht="12.75" customHeight="1">
      <c r="L237" s="5"/>
      <c r="M237" s="5"/>
    </row>
    <row r="238" ht="12.75" customHeight="1">
      <c r="L238" s="5"/>
      <c r="M238" s="5"/>
    </row>
    <row r="239" ht="12.75" customHeight="1">
      <c r="L239" s="5"/>
      <c r="M239" s="5"/>
    </row>
    <row r="240" ht="12.75" customHeight="1">
      <c r="L240" s="1"/>
      <c r="M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J12"/>
    <mergeCell ref="K12: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J15">
    <cfRule type="containsBlanks" dxfId="1" priority="1">
      <formula>LEN(TRIM(E14))=0</formula>
    </cfRule>
  </conditionalFormatting>
  <conditionalFormatting sqref="E19:J20">
    <cfRule type="containsBlanks" dxfId="1" priority="2">
      <formula>LEN(TRIM(E19))=0</formula>
    </cfRule>
  </conditionalFormatting>
  <conditionalFormatting sqref="E22:J23 E25:J26 E33:J33 E35:J35 E39:J40">
    <cfRule type="containsBlanks" dxfId="1" priority="3">
      <formula>LEN(TRIM(E22))=0</formula>
    </cfRule>
  </conditionalFormatting>
  <conditionalFormatting sqref="E30:J30">
    <cfRule type="expression" dxfId="0" priority="4">
      <formula>E30&lt;&gt;E47</formula>
    </cfRule>
  </conditionalFormatting>
  <conditionalFormatting sqref="E30:J30">
    <cfRule type="expression" dxfId="0" priority="5">
      <formula>E30&lt;&gt;E34</formula>
    </cfRule>
  </conditionalFormatting>
  <conditionalFormatting sqref="E45:J57">
    <cfRule type="containsBlanks" dxfId="1" priority="6">
      <formula>LEN(TRIM(E45))=0</formula>
    </cfRule>
  </conditionalFormatting>
  <conditionalFormatting sqref="E60:J61">
    <cfRule type="containsBlanks" dxfId="1" priority="7">
      <formula>LEN(TRIM(E60))=0</formula>
    </cfRule>
  </conditionalFormatting>
  <conditionalFormatting sqref="E34:J34">
    <cfRule type="expression" dxfId="2" priority="8">
      <formula>E30&lt;&gt;E34</formula>
    </cfRule>
  </conditionalFormatting>
  <conditionalFormatting sqref="E34:J34">
    <cfRule type="expression" dxfId="3" priority="9">
      <formula>E30=E34</formula>
    </cfRule>
  </conditionalFormatting>
  <conditionalFormatting sqref="E34:J34">
    <cfRule type="expression" dxfId="0" priority="10">
      <formula>E34&lt;&gt;E30</formula>
    </cfRule>
  </conditionalFormatting>
  <conditionalFormatting sqref="E34:J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76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13" t="s">
        <v>79</v>
      </c>
      <c r="N13" s="37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127.0</v>
      </c>
      <c r="G14" s="19">
        <v>128.0</v>
      </c>
      <c r="H14" s="19">
        <v>131.0</v>
      </c>
      <c r="I14" s="19">
        <v>130.0</v>
      </c>
      <c r="J14" s="19">
        <v>127.0</v>
      </c>
      <c r="K14" s="19">
        <v>132.0</v>
      </c>
      <c r="L14" s="19">
        <v>142.0</v>
      </c>
      <c r="M14" s="19">
        <v>141.0</v>
      </c>
      <c r="N14" s="13">
        <f t="shared" ref="N14:N16" si="1">SUM(E14:M14)</f>
        <v>1182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130.0</v>
      </c>
      <c r="G15" s="19">
        <v>138.0</v>
      </c>
      <c r="H15" s="19">
        <v>131.0</v>
      </c>
      <c r="I15" s="19">
        <v>135.0</v>
      </c>
      <c r="J15" s="19">
        <v>137.0</v>
      </c>
      <c r="K15" s="19">
        <v>137.0</v>
      </c>
      <c r="L15" s="19">
        <v>142.0</v>
      </c>
      <c r="M15" s="19">
        <v>146.0</v>
      </c>
      <c r="N15" s="13">
        <f t="shared" si="1"/>
        <v>1230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258</v>
      </c>
      <c r="F16" s="13">
        <f t="shared" si="2"/>
        <v>257</v>
      </c>
      <c r="G16" s="13">
        <f t="shared" si="2"/>
        <v>266</v>
      </c>
      <c r="H16" s="13">
        <f t="shared" si="2"/>
        <v>262</v>
      </c>
      <c r="I16" s="13">
        <f t="shared" si="2"/>
        <v>265</v>
      </c>
      <c r="J16" s="13">
        <f t="shared" si="2"/>
        <v>264</v>
      </c>
      <c r="K16" s="13">
        <f t="shared" si="2"/>
        <v>269</v>
      </c>
      <c r="L16" s="13">
        <f t="shared" si="2"/>
        <v>284</v>
      </c>
      <c r="M16" s="13">
        <f t="shared" si="2"/>
        <v>287</v>
      </c>
      <c r="N16" s="13">
        <f t="shared" si="1"/>
        <v>2412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13" t="s">
        <v>77</v>
      </c>
      <c r="L18" s="13" t="s">
        <v>78</v>
      </c>
      <c r="M18" s="13" t="s">
        <v>79</v>
      </c>
      <c r="N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103.0</v>
      </c>
      <c r="F19" s="19">
        <v>109.0</v>
      </c>
      <c r="G19" s="19">
        <v>113.0</v>
      </c>
      <c r="H19" s="19">
        <v>113.0</v>
      </c>
      <c r="I19" s="19">
        <v>109.0</v>
      </c>
      <c r="J19" s="19">
        <v>110.0</v>
      </c>
      <c r="K19" s="19">
        <v>109.0</v>
      </c>
      <c r="L19" s="19">
        <v>106.0</v>
      </c>
      <c r="M19" s="19">
        <v>115.0</v>
      </c>
      <c r="N19" s="13">
        <f t="shared" ref="N19:N30" si="3">SUM(E19:M19)</f>
        <v>987</v>
      </c>
    </row>
    <row r="20" ht="12.75" customHeight="1">
      <c r="A20" s="34"/>
      <c r="B20" s="27"/>
      <c r="C20" s="35"/>
      <c r="D20" s="19" t="s">
        <v>13</v>
      </c>
      <c r="E20" s="19">
        <v>111.0</v>
      </c>
      <c r="F20" s="19">
        <v>115.0</v>
      </c>
      <c r="G20" s="19">
        <v>126.0</v>
      </c>
      <c r="H20" s="19">
        <v>112.0</v>
      </c>
      <c r="I20" s="19">
        <v>119.0</v>
      </c>
      <c r="J20" s="19">
        <v>117.0</v>
      </c>
      <c r="K20" s="19">
        <v>122.0</v>
      </c>
      <c r="L20" s="19">
        <v>113.0</v>
      </c>
      <c r="M20" s="19">
        <v>121.0</v>
      </c>
      <c r="N20" s="13">
        <f t="shared" si="3"/>
        <v>1056</v>
      </c>
    </row>
    <row r="21" ht="12.75" customHeight="1">
      <c r="A21" s="36"/>
      <c r="B21" s="28"/>
      <c r="C21" s="37"/>
      <c r="D21" s="13" t="s">
        <v>14</v>
      </c>
      <c r="E21" s="13">
        <f t="shared" ref="E21:M21" si="4">SUM(E19:E20)</f>
        <v>214</v>
      </c>
      <c r="F21" s="13">
        <f t="shared" si="4"/>
        <v>224</v>
      </c>
      <c r="G21" s="13">
        <f t="shared" si="4"/>
        <v>239</v>
      </c>
      <c r="H21" s="13">
        <f t="shared" si="4"/>
        <v>225</v>
      </c>
      <c r="I21" s="13">
        <f t="shared" si="4"/>
        <v>228</v>
      </c>
      <c r="J21" s="13">
        <f t="shared" si="4"/>
        <v>227</v>
      </c>
      <c r="K21" s="13">
        <f t="shared" si="4"/>
        <v>231</v>
      </c>
      <c r="L21" s="13">
        <f t="shared" si="4"/>
        <v>219</v>
      </c>
      <c r="M21" s="13">
        <f t="shared" si="4"/>
        <v>236</v>
      </c>
      <c r="N21" s="13">
        <f t="shared" si="3"/>
        <v>2043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2.0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19">
        <v>2.0</v>
      </c>
      <c r="F23" s="19">
        <v>1.0</v>
      </c>
      <c r="G23" s="19">
        <v>2.0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3">
        <f t="shared" si="3"/>
        <v>5</v>
      </c>
    </row>
    <row r="24" ht="12.75" customHeight="1">
      <c r="A24" s="36"/>
      <c r="B24" s="28"/>
      <c r="C24" s="37"/>
      <c r="D24" s="13" t="s">
        <v>14</v>
      </c>
      <c r="E24" s="13">
        <f t="shared" ref="E24:M24" si="5">SUM(E22:E23)</f>
        <v>2</v>
      </c>
      <c r="F24" s="13">
        <f t="shared" si="5"/>
        <v>2</v>
      </c>
      <c r="G24" s="13">
        <f t="shared" si="5"/>
        <v>3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9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1.0</v>
      </c>
      <c r="I25" s="19">
        <v>0.0</v>
      </c>
      <c r="J25" s="19">
        <v>1.0</v>
      </c>
      <c r="K25" s="19">
        <v>4.0</v>
      </c>
      <c r="L25" s="19">
        <v>3.0</v>
      </c>
      <c r="M25" s="19">
        <v>1.0</v>
      </c>
      <c r="N25" s="13">
        <f t="shared" si="3"/>
        <v>11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4.0</v>
      </c>
      <c r="I26" s="19">
        <v>0.0</v>
      </c>
      <c r="J26" s="19">
        <v>0.0</v>
      </c>
      <c r="K26" s="19">
        <v>3.0</v>
      </c>
      <c r="L26" s="19">
        <v>3.0</v>
      </c>
      <c r="M26" s="19">
        <v>1.0</v>
      </c>
      <c r="N26" s="13">
        <f t="shared" si="3"/>
        <v>11</v>
      </c>
    </row>
    <row r="27" ht="12.75" customHeight="1">
      <c r="A27" s="36"/>
      <c r="B27" s="28"/>
      <c r="C27" s="37"/>
      <c r="D27" s="13" t="s">
        <v>14</v>
      </c>
      <c r="E27" s="13">
        <f t="shared" ref="E27:M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5</v>
      </c>
      <c r="I27" s="13">
        <f t="shared" si="6"/>
        <v>0</v>
      </c>
      <c r="J27" s="13">
        <f t="shared" si="6"/>
        <v>1</v>
      </c>
      <c r="K27" s="13">
        <f t="shared" si="6"/>
        <v>7</v>
      </c>
      <c r="L27" s="13">
        <f t="shared" si="6"/>
        <v>6</v>
      </c>
      <c r="M27" s="13">
        <f t="shared" si="6"/>
        <v>2</v>
      </c>
      <c r="N27" s="13">
        <f t="shared" si="3"/>
        <v>22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M28" si="7">SUM(E19,E22,E25)</f>
        <v>103</v>
      </c>
      <c r="F28" s="13">
        <f t="shared" si="7"/>
        <v>110</v>
      </c>
      <c r="G28" s="13">
        <f t="shared" si="7"/>
        <v>115</v>
      </c>
      <c r="H28" s="13">
        <f t="shared" si="7"/>
        <v>116</v>
      </c>
      <c r="I28" s="13">
        <f t="shared" si="7"/>
        <v>109</v>
      </c>
      <c r="J28" s="13">
        <f t="shared" si="7"/>
        <v>111</v>
      </c>
      <c r="K28" s="13">
        <f t="shared" si="7"/>
        <v>113</v>
      </c>
      <c r="L28" s="13">
        <f t="shared" si="7"/>
        <v>109</v>
      </c>
      <c r="M28" s="13">
        <f t="shared" si="7"/>
        <v>116</v>
      </c>
      <c r="N28" s="13">
        <f t="shared" si="3"/>
        <v>1002</v>
      </c>
    </row>
    <row r="29" ht="12.75" customHeight="1">
      <c r="A29" s="36"/>
      <c r="B29" s="27"/>
      <c r="C29" s="35"/>
      <c r="D29" s="13" t="s">
        <v>13</v>
      </c>
      <c r="E29" s="13">
        <f t="shared" ref="E29:M29" si="8">SUM(E20,E23,E26)</f>
        <v>113</v>
      </c>
      <c r="F29" s="13">
        <f t="shared" si="8"/>
        <v>116</v>
      </c>
      <c r="G29" s="13">
        <f t="shared" si="8"/>
        <v>128</v>
      </c>
      <c r="H29" s="13">
        <f t="shared" si="8"/>
        <v>116</v>
      </c>
      <c r="I29" s="13">
        <f t="shared" si="8"/>
        <v>119</v>
      </c>
      <c r="J29" s="13">
        <f t="shared" si="8"/>
        <v>117</v>
      </c>
      <c r="K29" s="13">
        <f t="shared" si="8"/>
        <v>125</v>
      </c>
      <c r="L29" s="13">
        <f t="shared" si="8"/>
        <v>116</v>
      </c>
      <c r="M29" s="13">
        <f t="shared" si="8"/>
        <v>122</v>
      </c>
      <c r="N29" s="13">
        <f t="shared" si="3"/>
        <v>1072</v>
      </c>
    </row>
    <row r="30" ht="12.75" customHeight="1">
      <c r="A30" s="36"/>
      <c r="B30" s="28"/>
      <c r="C30" s="37"/>
      <c r="D30" s="13" t="s">
        <v>14</v>
      </c>
      <c r="E30" s="13">
        <f t="shared" ref="E30:M30" si="9">SUM(E28:E29)</f>
        <v>216</v>
      </c>
      <c r="F30" s="13">
        <f t="shared" si="9"/>
        <v>226</v>
      </c>
      <c r="G30" s="13">
        <f t="shared" si="9"/>
        <v>243</v>
      </c>
      <c r="H30" s="13">
        <f t="shared" si="9"/>
        <v>232</v>
      </c>
      <c r="I30" s="13">
        <f t="shared" si="9"/>
        <v>228</v>
      </c>
      <c r="J30" s="13">
        <f t="shared" si="9"/>
        <v>228</v>
      </c>
      <c r="K30" s="13">
        <f t="shared" si="9"/>
        <v>238</v>
      </c>
      <c r="L30" s="13">
        <f t="shared" si="9"/>
        <v>225</v>
      </c>
      <c r="M30" s="13">
        <f t="shared" si="9"/>
        <v>238</v>
      </c>
      <c r="N30" s="13">
        <f t="shared" si="3"/>
        <v>2074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</row>
    <row r="32" ht="12.75" customHeight="1">
      <c r="A32" s="43" t="s">
        <v>25</v>
      </c>
      <c r="B32" s="14" t="s">
        <v>26</v>
      </c>
      <c r="C32" s="15"/>
      <c r="D32" s="16"/>
      <c r="E32" s="63" t="s">
        <v>70</v>
      </c>
      <c r="F32" s="63" t="s">
        <v>71</v>
      </c>
      <c r="G32" s="63" t="s">
        <v>72</v>
      </c>
      <c r="H32" s="63" t="s">
        <v>73</v>
      </c>
      <c r="I32" s="63" t="s">
        <v>74</v>
      </c>
      <c r="J32" s="63" t="s">
        <v>75</v>
      </c>
      <c r="K32" s="63" t="s">
        <v>77</v>
      </c>
      <c r="L32" s="63" t="s">
        <v>78</v>
      </c>
      <c r="M32" s="63" t="s">
        <v>79</v>
      </c>
      <c r="N32" s="61"/>
    </row>
    <row r="33" ht="12.75" customHeight="1">
      <c r="A33" s="19">
        <v>1.0</v>
      </c>
      <c r="B33" s="20" t="s">
        <v>27</v>
      </c>
      <c r="C33" s="15"/>
      <c r="D33" s="16"/>
      <c r="E33" s="19">
        <v>265.0</v>
      </c>
      <c r="F33" s="19">
        <v>263.0</v>
      </c>
      <c r="G33" s="19">
        <v>295.0</v>
      </c>
      <c r="H33" s="19">
        <v>268.0</v>
      </c>
      <c r="I33" s="19">
        <v>271.0</v>
      </c>
      <c r="J33" s="19">
        <v>270.0</v>
      </c>
      <c r="K33" s="19">
        <v>274.0</v>
      </c>
      <c r="L33" s="19">
        <v>290.0</v>
      </c>
      <c r="M33" s="19">
        <v>293.0</v>
      </c>
      <c r="N33" s="13">
        <v>275.0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226.0</v>
      </c>
      <c r="G34" s="13">
        <v>243.0</v>
      </c>
      <c r="H34" s="13">
        <v>232.0</v>
      </c>
      <c r="I34" s="13">
        <v>228.0</v>
      </c>
      <c r="J34" s="13">
        <v>228.0</v>
      </c>
      <c r="K34" s="13">
        <v>238.0</v>
      </c>
      <c r="L34" s="13">
        <v>225.0</v>
      </c>
      <c r="M34" s="13">
        <v>238.0</v>
      </c>
      <c r="N34" s="13">
        <v>225.0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3">
        <v>0.0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0">E33-(E34+E35)</f>
        <v>49</v>
      </c>
      <c r="F36" s="13">
        <f t="shared" si="10"/>
        <v>37</v>
      </c>
      <c r="G36" s="13">
        <f t="shared" si="10"/>
        <v>52</v>
      </c>
      <c r="H36" s="13">
        <f t="shared" si="10"/>
        <v>36</v>
      </c>
      <c r="I36" s="13">
        <f t="shared" si="10"/>
        <v>43</v>
      </c>
      <c r="J36" s="13">
        <f t="shared" si="10"/>
        <v>41</v>
      </c>
      <c r="K36" s="13">
        <f t="shared" si="10"/>
        <v>36</v>
      </c>
      <c r="L36" s="13">
        <f t="shared" si="10"/>
        <v>65</v>
      </c>
      <c r="M36" s="13">
        <f t="shared" si="10"/>
        <v>55</v>
      </c>
      <c r="N36" s="13">
        <f>SUM(E36:M36)</f>
        <v>414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</row>
    <row r="38" ht="12.75" customHeight="1">
      <c r="A38" s="44" t="s">
        <v>31</v>
      </c>
      <c r="B38" s="14" t="s">
        <v>32</v>
      </c>
      <c r="C38" s="15"/>
      <c r="D38" s="16"/>
      <c r="E38" s="63" t="s">
        <v>70</v>
      </c>
      <c r="F38" s="63" t="s">
        <v>71</v>
      </c>
      <c r="G38" s="63" t="s">
        <v>72</v>
      </c>
      <c r="H38" s="63" t="s">
        <v>73</v>
      </c>
      <c r="I38" s="63" t="s">
        <v>74</v>
      </c>
      <c r="J38" s="63" t="s">
        <v>75</v>
      </c>
      <c r="K38" s="63" t="s">
        <v>77</v>
      </c>
      <c r="L38" s="63" t="s">
        <v>78</v>
      </c>
      <c r="M38" s="63" t="s">
        <v>79</v>
      </c>
      <c r="N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2.0</v>
      </c>
      <c r="L39" s="19">
        <v>0.0</v>
      </c>
      <c r="M39" s="19">
        <v>0.0</v>
      </c>
      <c r="N39" s="13">
        <f t="shared" ref="N39:N41" si="11">SUM(E39:M39)</f>
        <v>3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3">
        <f t="shared" si="11"/>
        <v>1</v>
      </c>
    </row>
    <row r="41" ht="12.75" customHeight="1">
      <c r="A41" s="43"/>
      <c r="B41" s="46"/>
      <c r="C41" s="28"/>
      <c r="D41" s="13" t="s">
        <v>14</v>
      </c>
      <c r="E41" s="13">
        <f t="shared" ref="E41:M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1</v>
      </c>
      <c r="J41" s="13">
        <f t="shared" si="12"/>
        <v>0</v>
      </c>
      <c r="K41" s="13">
        <f t="shared" si="12"/>
        <v>3</v>
      </c>
      <c r="L41" s="13">
        <f t="shared" si="12"/>
        <v>0</v>
      </c>
      <c r="M41" s="13">
        <f t="shared" si="12"/>
        <v>0</v>
      </c>
      <c r="N41" s="13">
        <f t="shared" si="11"/>
        <v>4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4" t="s">
        <v>34</v>
      </c>
      <c r="B43" s="14" t="s">
        <v>35</v>
      </c>
      <c r="C43" s="15"/>
      <c r="D43" s="16"/>
      <c r="E43" s="63" t="s">
        <v>70</v>
      </c>
      <c r="F43" s="63" t="s">
        <v>71</v>
      </c>
      <c r="G43" s="63" t="s">
        <v>72</v>
      </c>
      <c r="H43" s="63" t="s">
        <v>73</v>
      </c>
      <c r="I43" s="63" t="s">
        <v>74</v>
      </c>
      <c r="J43" s="63" t="s">
        <v>75</v>
      </c>
      <c r="K43" s="63" t="s">
        <v>77</v>
      </c>
      <c r="L43" s="63" t="s">
        <v>78</v>
      </c>
      <c r="M43" s="63" t="s">
        <v>79</v>
      </c>
      <c r="N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1"/>
      <c r="B45" s="49" t="s">
        <v>17</v>
      </c>
      <c r="C45" s="62" t="s">
        <v>38</v>
      </c>
      <c r="D45" s="16"/>
      <c r="E45" s="19">
        <v>21.0</v>
      </c>
      <c r="F45" s="19">
        <v>14.0</v>
      </c>
      <c r="G45" s="19">
        <v>19.0</v>
      </c>
      <c r="H45" s="19">
        <v>22.0</v>
      </c>
      <c r="I45" s="19">
        <v>13.0</v>
      </c>
      <c r="J45" s="19">
        <v>15.0</v>
      </c>
      <c r="K45" s="19">
        <v>10.0</v>
      </c>
      <c r="L45" s="19">
        <v>26.0</v>
      </c>
      <c r="M45" s="19">
        <v>38.0</v>
      </c>
      <c r="N45" s="13">
        <f t="shared" ref="N45:N57" si="13">SUM(E45:M45)</f>
        <v>178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39.0</v>
      </c>
      <c r="F46" s="19">
        <v>34.0</v>
      </c>
      <c r="G46" s="19">
        <v>37.0</v>
      </c>
      <c r="H46" s="19">
        <v>60.0</v>
      </c>
      <c r="I46" s="19">
        <v>38.0</v>
      </c>
      <c r="J46" s="19">
        <v>29.0</v>
      </c>
      <c r="K46" s="19">
        <v>29.0</v>
      </c>
      <c r="L46" s="19">
        <v>32.0</v>
      </c>
      <c r="M46" s="19">
        <v>34.0</v>
      </c>
      <c r="N46" s="13">
        <f t="shared" si="13"/>
        <v>332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13.0</v>
      </c>
      <c r="F47" s="19">
        <v>12.0</v>
      </c>
      <c r="G47" s="19">
        <v>14.0</v>
      </c>
      <c r="H47" s="19">
        <v>10.0</v>
      </c>
      <c r="I47" s="19">
        <v>13.0</v>
      </c>
      <c r="J47" s="19">
        <v>20.0</v>
      </c>
      <c r="K47" s="19">
        <v>10.0</v>
      </c>
      <c r="L47" s="19">
        <v>23.0</v>
      </c>
      <c r="M47" s="19">
        <v>19.0</v>
      </c>
      <c r="N47" s="13">
        <f t="shared" si="13"/>
        <v>134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20.0</v>
      </c>
      <c r="F48" s="19">
        <v>15.0</v>
      </c>
      <c r="G48" s="19">
        <v>20.0</v>
      </c>
      <c r="H48" s="19">
        <v>10.0</v>
      </c>
      <c r="I48" s="19">
        <v>14.0</v>
      </c>
      <c r="J48" s="19">
        <v>13.0</v>
      </c>
      <c r="K48" s="19">
        <v>15.0</v>
      </c>
      <c r="L48" s="19">
        <v>17.0</v>
      </c>
      <c r="M48" s="19">
        <v>22.0</v>
      </c>
      <c r="N48" s="13">
        <f t="shared" si="13"/>
        <v>146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15.0</v>
      </c>
      <c r="F49" s="19">
        <v>24.0</v>
      </c>
      <c r="G49" s="19">
        <v>25.0</v>
      </c>
      <c r="H49" s="19">
        <v>20.0</v>
      </c>
      <c r="I49" s="19">
        <v>22.0</v>
      </c>
      <c r="J49" s="19">
        <v>18.0</v>
      </c>
      <c r="K49" s="19">
        <v>19.0</v>
      </c>
      <c r="L49" s="19">
        <v>17.0</v>
      </c>
      <c r="M49" s="19">
        <v>26.0</v>
      </c>
      <c r="N49" s="13">
        <f t="shared" si="13"/>
        <v>186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13.0</v>
      </c>
      <c r="F50" s="19">
        <v>15.0</v>
      </c>
      <c r="G50" s="19">
        <v>23.0</v>
      </c>
      <c r="H50" s="19">
        <v>8.0</v>
      </c>
      <c r="I50" s="19">
        <v>14.0</v>
      </c>
      <c r="J50" s="19">
        <v>18.0</v>
      </c>
      <c r="K50" s="19">
        <v>16.0</v>
      </c>
      <c r="L50" s="19">
        <v>19.0</v>
      </c>
      <c r="M50" s="19">
        <v>6.0</v>
      </c>
      <c r="N50" s="13">
        <f t="shared" si="13"/>
        <v>132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3.0</v>
      </c>
      <c r="F51" s="19">
        <v>4.0</v>
      </c>
      <c r="G51" s="19">
        <v>1.0</v>
      </c>
      <c r="H51" s="19">
        <v>1.0</v>
      </c>
      <c r="I51" s="19">
        <v>1.0</v>
      </c>
      <c r="J51" s="19">
        <v>3.0</v>
      </c>
      <c r="K51" s="19">
        <v>6.0</v>
      </c>
      <c r="L51" s="19">
        <v>0.0</v>
      </c>
      <c r="M51" s="19">
        <v>0.0</v>
      </c>
      <c r="N51" s="13">
        <f t="shared" si="13"/>
        <v>19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2.0</v>
      </c>
      <c r="F52" s="19">
        <v>3.0</v>
      </c>
      <c r="G52" s="19">
        <v>3.0</v>
      </c>
      <c r="H52" s="19">
        <v>2.0</v>
      </c>
      <c r="I52" s="19">
        <v>0.0</v>
      </c>
      <c r="J52" s="19">
        <v>0.0</v>
      </c>
      <c r="K52" s="19">
        <v>3.0</v>
      </c>
      <c r="L52" s="19">
        <v>2.0</v>
      </c>
      <c r="M52" s="19">
        <v>1.0</v>
      </c>
      <c r="N52" s="13">
        <f t="shared" si="13"/>
        <v>16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1.0</v>
      </c>
      <c r="F53" s="19">
        <v>0.0</v>
      </c>
      <c r="G53" s="19">
        <v>0.0</v>
      </c>
      <c r="H53" s="19">
        <v>0.0</v>
      </c>
      <c r="I53" s="19">
        <v>0.0</v>
      </c>
      <c r="J53" s="19">
        <v>1.0</v>
      </c>
      <c r="K53" s="19">
        <v>1.0</v>
      </c>
      <c r="L53" s="19">
        <v>0.0</v>
      </c>
      <c r="M53" s="19">
        <v>0.0</v>
      </c>
      <c r="N53" s="13">
        <f t="shared" si="13"/>
        <v>3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15.0</v>
      </c>
      <c r="F54" s="19">
        <v>21.0</v>
      </c>
      <c r="G54" s="19">
        <v>23.0</v>
      </c>
      <c r="H54" s="19">
        <v>14.0</v>
      </c>
      <c r="I54" s="19">
        <v>20.0</v>
      </c>
      <c r="J54" s="19">
        <v>18.0</v>
      </c>
      <c r="K54" s="19">
        <v>17.0</v>
      </c>
      <c r="L54" s="19">
        <v>11.0</v>
      </c>
      <c r="M54" s="19">
        <v>20.0</v>
      </c>
      <c r="N54" s="13">
        <f t="shared" si="13"/>
        <v>159</v>
      </c>
    </row>
    <row r="55" ht="15.0" customHeight="1">
      <c r="A55" s="18"/>
      <c r="B55" s="49" t="s">
        <v>54</v>
      </c>
      <c r="C55" s="62" t="s">
        <v>55</v>
      </c>
      <c r="D55" s="16"/>
      <c r="E55" s="19">
        <v>0.0</v>
      </c>
      <c r="F55" s="19">
        <v>0.0</v>
      </c>
      <c r="G55" s="19">
        <v>0.0</v>
      </c>
      <c r="H55" s="19">
        <v>1.0</v>
      </c>
      <c r="I55" s="19">
        <v>1.0</v>
      </c>
      <c r="J55" s="19">
        <v>0.0</v>
      </c>
      <c r="K55" s="19">
        <v>1.0</v>
      </c>
      <c r="L55" s="19">
        <v>0.0</v>
      </c>
      <c r="M55" s="19">
        <v>0.0</v>
      </c>
      <c r="N55" s="13">
        <f t="shared" si="13"/>
        <v>3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22.0</v>
      </c>
      <c r="F56" s="19">
        <v>23.0</v>
      </c>
      <c r="G56" s="19">
        <v>15.0</v>
      </c>
      <c r="H56" s="19">
        <v>20.0</v>
      </c>
      <c r="I56" s="19">
        <v>18.0</v>
      </c>
      <c r="J56" s="19">
        <v>17.0</v>
      </c>
      <c r="K56" s="19">
        <v>13.0</v>
      </c>
      <c r="L56" s="19">
        <v>25.0</v>
      </c>
      <c r="M56" s="19">
        <v>20.0</v>
      </c>
      <c r="N56" s="13">
        <f t="shared" si="13"/>
        <v>173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2.0</v>
      </c>
      <c r="F57" s="19">
        <v>4.0</v>
      </c>
      <c r="G57" s="19">
        <v>1.0</v>
      </c>
      <c r="H57" s="19">
        <v>1.0</v>
      </c>
      <c r="I57" s="19">
        <v>3.0</v>
      </c>
      <c r="J57" s="19">
        <v>1.0</v>
      </c>
      <c r="K57" s="19">
        <v>0.0</v>
      </c>
      <c r="L57" s="19">
        <v>4.0</v>
      </c>
      <c r="M57" s="19">
        <v>3.0</v>
      </c>
      <c r="N57" s="13">
        <f t="shared" si="13"/>
        <v>19</v>
      </c>
    </row>
    <row r="58" ht="12.75" customHeight="1">
      <c r="N58" s="13"/>
    </row>
    <row r="59" ht="12.75" customHeight="1">
      <c r="A59" s="44" t="s">
        <v>60</v>
      </c>
      <c r="B59" s="14" t="s">
        <v>61</v>
      </c>
      <c r="C59" s="15"/>
      <c r="D59" s="16"/>
      <c r="E59" s="63" t="s">
        <v>70</v>
      </c>
      <c r="F59" s="63" t="s">
        <v>71</v>
      </c>
      <c r="G59" s="63" t="s">
        <v>72</v>
      </c>
      <c r="H59" s="63" t="s">
        <v>73</v>
      </c>
      <c r="I59" s="63" t="s">
        <v>74</v>
      </c>
      <c r="J59" s="63" t="s">
        <v>75</v>
      </c>
      <c r="K59" s="63" t="s">
        <v>77</v>
      </c>
      <c r="L59" s="63" t="s">
        <v>78</v>
      </c>
      <c r="M59" s="63" t="s">
        <v>79</v>
      </c>
      <c r="N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M60" si="14">SUM(E45:E57)</f>
        <v>166</v>
      </c>
      <c r="F60" s="19">
        <f t="shared" si="14"/>
        <v>169</v>
      </c>
      <c r="G60" s="19">
        <f t="shared" si="14"/>
        <v>181</v>
      </c>
      <c r="H60" s="19">
        <f t="shared" si="14"/>
        <v>169</v>
      </c>
      <c r="I60" s="19">
        <f t="shared" si="14"/>
        <v>157</v>
      </c>
      <c r="J60" s="19">
        <f t="shared" si="14"/>
        <v>153</v>
      </c>
      <c r="K60" s="19">
        <f t="shared" si="14"/>
        <v>140</v>
      </c>
      <c r="L60" s="19">
        <f t="shared" si="14"/>
        <v>176</v>
      </c>
      <c r="M60" s="19">
        <f t="shared" si="14"/>
        <v>189</v>
      </c>
      <c r="N60" s="13">
        <f t="shared" ref="N60:N62" si="15">SUM(E60:M60)</f>
        <v>1500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50.0</v>
      </c>
      <c r="F61" s="19">
        <v>57.0</v>
      </c>
      <c r="G61" s="19">
        <v>62.0</v>
      </c>
      <c r="H61" s="19">
        <v>63.0</v>
      </c>
      <c r="I61" s="19">
        <v>71.0</v>
      </c>
      <c r="J61" s="19">
        <v>75.0</v>
      </c>
      <c r="K61" s="19">
        <v>98.0</v>
      </c>
      <c r="L61" s="19">
        <v>49.0</v>
      </c>
      <c r="M61" s="19">
        <v>49.0</v>
      </c>
      <c r="N61" s="13">
        <f t="shared" si="15"/>
        <v>574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M62" si="16">SUM(E60:E61)</f>
        <v>216</v>
      </c>
      <c r="F62" s="13">
        <f t="shared" si="16"/>
        <v>226</v>
      </c>
      <c r="G62" s="13">
        <f t="shared" si="16"/>
        <v>243</v>
      </c>
      <c r="H62" s="13">
        <f t="shared" si="16"/>
        <v>232</v>
      </c>
      <c r="I62" s="13">
        <f t="shared" si="16"/>
        <v>228</v>
      </c>
      <c r="J62" s="13">
        <f t="shared" si="16"/>
        <v>228</v>
      </c>
      <c r="K62" s="13">
        <f t="shared" si="16"/>
        <v>238</v>
      </c>
      <c r="L62" s="13">
        <f t="shared" si="16"/>
        <v>225</v>
      </c>
      <c r="M62" s="13">
        <f t="shared" si="16"/>
        <v>238</v>
      </c>
      <c r="N62" s="13">
        <f t="shared" si="15"/>
        <v>2074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O117" s="5"/>
      <c r="P117" s="5"/>
    </row>
    <row r="118" ht="12.75" customHeight="1">
      <c r="O118" s="5"/>
      <c r="P118" s="5"/>
    </row>
    <row r="119" ht="12.75" customHeight="1">
      <c r="O119" s="5"/>
      <c r="P119" s="5"/>
    </row>
    <row r="120" ht="12.75" customHeight="1">
      <c r="O120" s="5"/>
      <c r="P120" s="5"/>
    </row>
    <row r="121" ht="12.75" customHeight="1">
      <c r="O121" s="5"/>
      <c r="P121" s="5"/>
    </row>
    <row r="122" ht="12.75" customHeight="1">
      <c r="O122" s="5"/>
      <c r="P122" s="5"/>
    </row>
    <row r="123" ht="12.75" customHeight="1">
      <c r="O123" s="5"/>
      <c r="P123" s="5"/>
    </row>
    <row r="124" ht="12.75" customHeight="1">
      <c r="O124" s="5"/>
      <c r="P124" s="5"/>
    </row>
    <row r="125" ht="12.75" customHeight="1">
      <c r="O125" s="5"/>
      <c r="P125" s="5"/>
    </row>
    <row r="126" ht="12.75" customHeight="1">
      <c r="O126" s="5"/>
      <c r="P126" s="5"/>
    </row>
    <row r="127" ht="12.75" customHeight="1">
      <c r="O127" s="5"/>
      <c r="P127" s="5"/>
    </row>
    <row r="128" ht="12.75" customHeight="1">
      <c r="O128" s="5"/>
      <c r="P128" s="5"/>
    </row>
    <row r="129" ht="12.75" customHeight="1">
      <c r="O129" s="5"/>
      <c r="P129" s="5"/>
    </row>
    <row r="130" ht="12.75" customHeight="1">
      <c r="O130" s="1"/>
      <c r="P130" s="1"/>
    </row>
    <row r="131" ht="12.75" customHeight="1">
      <c r="O131" s="52"/>
      <c r="P131" s="52"/>
    </row>
    <row r="132" ht="12.75" customHeight="1">
      <c r="O132" s="5"/>
      <c r="P132" s="5"/>
    </row>
    <row r="133" ht="12.75" customHeight="1">
      <c r="O133" s="5"/>
      <c r="P133" s="5"/>
    </row>
    <row r="134" ht="12.75" customHeight="1">
      <c r="O134" s="5"/>
      <c r="P134" s="5"/>
    </row>
    <row r="135" ht="12.75" customHeight="1">
      <c r="O135" s="5"/>
      <c r="P135" s="5"/>
    </row>
    <row r="136" ht="12.75" customHeight="1">
      <c r="O136" s="5"/>
      <c r="P136" s="5"/>
    </row>
    <row r="137" ht="12.75" customHeight="1">
      <c r="O137" s="5"/>
      <c r="P137" s="5"/>
    </row>
    <row r="138" ht="12.75" customHeight="1">
      <c r="O138" s="5"/>
      <c r="P138" s="5"/>
    </row>
    <row r="139" ht="12.75" customHeight="1">
      <c r="O139" s="5"/>
      <c r="P139" s="5"/>
    </row>
    <row r="140" ht="12.75" customHeight="1">
      <c r="O140" s="5"/>
      <c r="P140" s="5"/>
    </row>
    <row r="141" ht="12.75" customHeight="1">
      <c r="O141" s="1"/>
      <c r="P141" s="1"/>
    </row>
    <row r="142" ht="12.75" customHeight="1">
      <c r="O142" s="52"/>
      <c r="P142" s="52"/>
    </row>
    <row r="143" ht="12.75" customHeight="1">
      <c r="O143" s="5"/>
      <c r="P143" s="5"/>
    </row>
    <row r="144" ht="12.75" customHeight="1">
      <c r="O144" s="5"/>
      <c r="P144" s="5"/>
    </row>
    <row r="145" ht="12.75" customHeight="1">
      <c r="O145" s="5"/>
      <c r="P145" s="5"/>
    </row>
    <row r="146" ht="12.75" customHeight="1">
      <c r="O146" s="5"/>
      <c r="P146" s="5"/>
    </row>
    <row r="147" ht="12.75" customHeight="1">
      <c r="O147" s="5"/>
      <c r="P147" s="5"/>
    </row>
    <row r="148" ht="12.75" customHeight="1">
      <c r="O148" s="5"/>
      <c r="P148" s="5"/>
    </row>
    <row r="149" ht="12.75" customHeight="1">
      <c r="O149" s="5"/>
      <c r="P149" s="5"/>
    </row>
    <row r="150" ht="12.75" customHeight="1">
      <c r="O150" s="5"/>
      <c r="P150" s="5"/>
    </row>
    <row r="151" ht="12.75" customHeight="1">
      <c r="O151" s="1"/>
      <c r="P151" s="1"/>
    </row>
    <row r="152" ht="12.75" customHeight="1">
      <c r="O152" s="52"/>
      <c r="P152" s="52"/>
    </row>
    <row r="153" ht="12.75" customHeight="1">
      <c r="O153" s="5"/>
      <c r="P153" s="5"/>
    </row>
    <row r="154" ht="12.75" customHeight="1">
      <c r="O154" s="5"/>
      <c r="P154" s="5"/>
    </row>
    <row r="155" ht="12.75" customHeight="1">
      <c r="O155" s="5"/>
      <c r="P155" s="5"/>
    </row>
    <row r="156" ht="12.75" customHeight="1">
      <c r="O156" s="5"/>
      <c r="P156" s="5"/>
    </row>
    <row r="157" ht="12.75" customHeight="1">
      <c r="O157" s="5"/>
      <c r="P157" s="5"/>
    </row>
    <row r="158" ht="12.75" customHeight="1">
      <c r="O158" s="5"/>
      <c r="P158" s="5"/>
    </row>
    <row r="159" ht="12.75" customHeight="1">
      <c r="O159" s="5"/>
      <c r="P159" s="5"/>
    </row>
    <row r="160" ht="12.75" customHeight="1">
      <c r="O160" s="5"/>
      <c r="P160" s="5"/>
    </row>
    <row r="161" ht="12.75" customHeight="1">
      <c r="O161" s="5"/>
      <c r="P161" s="5"/>
    </row>
    <row r="162" ht="12.75" customHeight="1">
      <c r="O162" s="5"/>
      <c r="P162" s="5"/>
    </row>
    <row r="163" ht="12.75" customHeight="1">
      <c r="O163" s="5"/>
      <c r="P163" s="5"/>
    </row>
    <row r="164" ht="12.75" customHeight="1">
      <c r="O164" s="5"/>
      <c r="P164" s="5"/>
    </row>
    <row r="165" ht="12.75" customHeight="1">
      <c r="O165" s="1"/>
      <c r="P165" s="1"/>
    </row>
    <row r="166" ht="12.75" customHeight="1">
      <c r="O166" s="52"/>
      <c r="P166" s="52"/>
    </row>
    <row r="167" ht="12.75" customHeight="1">
      <c r="O167" s="5"/>
      <c r="P167" s="5"/>
    </row>
    <row r="168" ht="12.75" customHeight="1">
      <c r="O168" s="5"/>
      <c r="P168" s="5"/>
    </row>
    <row r="169" ht="12.75" customHeight="1">
      <c r="O169" s="5"/>
      <c r="P169" s="5"/>
    </row>
    <row r="170" ht="12.75" customHeight="1">
      <c r="O170" s="5"/>
      <c r="P170" s="5"/>
    </row>
    <row r="171" ht="12.75" customHeight="1">
      <c r="O171" s="5"/>
      <c r="P171" s="5"/>
    </row>
    <row r="172" ht="12.75" customHeight="1">
      <c r="O172" s="5"/>
      <c r="P172" s="5"/>
    </row>
    <row r="173" ht="12.75" customHeight="1">
      <c r="O173" s="5"/>
      <c r="P173" s="5"/>
    </row>
    <row r="174" ht="12.75" customHeight="1">
      <c r="O174" s="5"/>
      <c r="P174" s="5"/>
    </row>
    <row r="175" ht="12.75" customHeight="1">
      <c r="O175" s="5"/>
      <c r="P175" s="5"/>
    </row>
    <row r="176" ht="12.75" customHeight="1">
      <c r="O176" s="1"/>
      <c r="P176" s="1"/>
    </row>
    <row r="177" ht="12.75" customHeight="1"/>
    <row r="178" ht="12.75" customHeight="1">
      <c r="O178" s="5"/>
      <c r="P178" s="5"/>
    </row>
    <row r="179" ht="12.75" customHeight="1">
      <c r="O179" s="5"/>
      <c r="P179" s="5"/>
    </row>
    <row r="180" ht="12.75" customHeight="1">
      <c r="O180" s="5"/>
      <c r="P180" s="5"/>
    </row>
    <row r="181" ht="12.75" customHeight="1">
      <c r="O181" s="5"/>
      <c r="P181" s="5"/>
    </row>
    <row r="182" ht="12.75" customHeight="1">
      <c r="O182" s="5"/>
      <c r="P182" s="5"/>
    </row>
    <row r="183" ht="12.75" customHeight="1">
      <c r="O183" s="5"/>
      <c r="P183" s="5"/>
    </row>
    <row r="184" ht="12.75" customHeight="1">
      <c r="O184" s="5"/>
      <c r="P184" s="5"/>
    </row>
    <row r="185" ht="12.75" customHeight="1">
      <c r="O185" s="5"/>
      <c r="P185" s="5"/>
    </row>
    <row r="186" ht="12.75" customHeight="1">
      <c r="O186" s="5"/>
      <c r="P186" s="5"/>
    </row>
    <row r="187" ht="12.75" customHeight="1">
      <c r="O187" s="1"/>
      <c r="P187" s="1"/>
    </row>
    <row r="188" ht="12.75" customHeight="1"/>
    <row r="189" ht="12.75" customHeight="1">
      <c r="O189" s="5"/>
      <c r="P189" s="5"/>
    </row>
    <row r="190" ht="12.75" customHeight="1">
      <c r="O190" s="5"/>
      <c r="P190" s="5"/>
    </row>
    <row r="191" ht="12.75" customHeight="1">
      <c r="O191" s="5"/>
      <c r="P191" s="5"/>
    </row>
    <row r="192" ht="12.75" customHeight="1">
      <c r="O192" s="5"/>
      <c r="P192" s="5"/>
    </row>
    <row r="193" ht="12.75" customHeight="1">
      <c r="O193" s="5"/>
      <c r="P193" s="5"/>
    </row>
    <row r="194" ht="12.75" customHeight="1">
      <c r="O194" s="5"/>
      <c r="P194" s="5"/>
    </row>
    <row r="195" ht="12.75" customHeight="1">
      <c r="O195" s="5"/>
      <c r="P195" s="5"/>
    </row>
    <row r="196" ht="12.75" customHeight="1">
      <c r="O196" s="1"/>
      <c r="P196" s="1"/>
    </row>
    <row r="197" ht="12.75" customHeight="1">
      <c r="O197" s="1"/>
      <c r="P197" s="1"/>
    </row>
    <row r="198" ht="12.75" customHeight="1">
      <c r="O198" s="1"/>
      <c r="P198" s="1"/>
    </row>
    <row r="199" ht="12.75" customHeight="1">
      <c r="O199" s="52"/>
      <c r="P199" s="52"/>
    </row>
    <row r="200" ht="12.75" customHeight="1">
      <c r="O200" s="5"/>
      <c r="P200" s="5"/>
    </row>
    <row r="201" ht="12.75" customHeight="1">
      <c r="O201" s="5"/>
      <c r="P201" s="5"/>
    </row>
    <row r="202" ht="12.75" customHeight="1">
      <c r="O202" s="5"/>
      <c r="P202" s="5"/>
    </row>
    <row r="203" ht="12.75" customHeight="1">
      <c r="O203" s="5"/>
      <c r="P203" s="5"/>
    </row>
    <row r="204" ht="12.75" customHeight="1">
      <c r="O204" s="5"/>
      <c r="P204" s="5"/>
    </row>
    <row r="205" ht="12.75" customHeight="1">
      <c r="O205" s="5"/>
      <c r="P205" s="5"/>
    </row>
    <row r="206" ht="12.75" customHeight="1">
      <c r="O206" s="5"/>
      <c r="P206" s="5"/>
    </row>
    <row r="207" ht="12.75" customHeight="1">
      <c r="O207" s="1"/>
      <c r="P207" s="1"/>
    </row>
    <row r="208" ht="12.75" customHeight="1">
      <c r="O208" s="52"/>
      <c r="P208" s="52"/>
    </row>
    <row r="209" ht="12.75" customHeight="1">
      <c r="O209" s="52"/>
      <c r="P209" s="52"/>
    </row>
    <row r="210" ht="12.75" customHeight="1">
      <c r="O210" s="52"/>
      <c r="P210" s="52"/>
    </row>
    <row r="211" ht="12.75" customHeight="1">
      <c r="O211" s="5"/>
      <c r="P211" s="5"/>
    </row>
    <row r="212" ht="12.75" customHeight="1">
      <c r="O212" s="5"/>
      <c r="P212" s="5"/>
    </row>
    <row r="213" ht="12.75" customHeight="1">
      <c r="O213" s="5"/>
      <c r="P213" s="5"/>
    </row>
    <row r="214" ht="12.75" customHeight="1">
      <c r="O214" s="5"/>
      <c r="P214" s="5"/>
    </row>
    <row r="215" ht="12.75" customHeight="1">
      <c r="O215" s="5"/>
      <c r="P215" s="5"/>
    </row>
    <row r="216" ht="12.75" customHeight="1">
      <c r="O216" s="5"/>
      <c r="P216" s="5"/>
    </row>
    <row r="217" ht="12.75" customHeight="1">
      <c r="O217" s="5"/>
      <c r="P217" s="5"/>
    </row>
    <row r="218" ht="12.75" customHeight="1">
      <c r="O218" s="1"/>
      <c r="P218" s="1"/>
    </row>
    <row r="219" ht="12.75" customHeight="1">
      <c r="O219" s="52"/>
      <c r="P219" s="52"/>
    </row>
    <row r="220" ht="12.75" customHeight="1">
      <c r="O220" s="5"/>
      <c r="P220" s="5"/>
    </row>
    <row r="221" ht="12.75" customHeight="1">
      <c r="O221" s="5"/>
      <c r="P221" s="5"/>
    </row>
    <row r="222" ht="12.75" customHeight="1">
      <c r="O222" s="5"/>
      <c r="P222" s="5"/>
    </row>
    <row r="223" ht="12.75" customHeight="1">
      <c r="O223" s="5"/>
      <c r="P223" s="5"/>
    </row>
    <row r="224" ht="12.75" customHeight="1">
      <c r="O224" s="5"/>
      <c r="P224" s="5"/>
    </row>
    <row r="225" ht="12.75" customHeight="1">
      <c r="O225" s="5"/>
      <c r="P225" s="5"/>
    </row>
    <row r="226" ht="12.75" customHeight="1">
      <c r="O226" s="5"/>
      <c r="P226" s="5"/>
    </row>
    <row r="227" ht="12.75" customHeight="1">
      <c r="O227" s="5"/>
      <c r="P227" s="5"/>
    </row>
    <row r="228" ht="12.75" customHeight="1">
      <c r="O228" s="5"/>
      <c r="P228" s="5"/>
    </row>
    <row r="229" ht="12.75" customHeight="1">
      <c r="O229" s="1"/>
      <c r="P229" s="1"/>
    </row>
    <row r="230" ht="12.75" customHeight="1">
      <c r="O230" s="52"/>
      <c r="P230" s="52"/>
    </row>
    <row r="231" ht="12.75" customHeight="1">
      <c r="O231" s="5"/>
      <c r="P231" s="5"/>
    </row>
    <row r="232" ht="12.75" customHeight="1">
      <c r="O232" s="5"/>
      <c r="P232" s="5"/>
    </row>
    <row r="233" ht="12.75" customHeight="1">
      <c r="O233" s="5"/>
      <c r="P233" s="5"/>
    </row>
    <row r="234" ht="12.75" customHeight="1">
      <c r="O234" s="5"/>
      <c r="P234" s="5"/>
    </row>
    <row r="235" ht="12.75" customHeight="1">
      <c r="O235" s="5"/>
      <c r="P235" s="5"/>
    </row>
    <row r="236" ht="12.75" customHeight="1">
      <c r="O236" s="5"/>
      <c r="P236" s="5"/>
    </row>
    <row r="237" ht="12.75" customHeight="1">
      <c r="O237" s="5"/>
      <c r="P237" s="5"/>
    </row>
    <row r="238" ht="12.75" customHeight="1">
      <c r="O238" s="5"/>
      <c r="P238" s="5"/>
    </row>
    <row r="239" ht="12.75" customHeight="1">
      <c r="O239" s="5"/>
      <c r="P239" s="5"/>
    </row>
    <row r="240" ht="12.75" customHeight="1">
      <c r="O240" s="1"/>
      <c r="P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45:M57">
    <cfRule type="containsBlanks" dxfId="1" priority="6">
      <formula>LEN(TRIM(E45))=0</formula>
    </cfRule>
  </conditionalFormatting>
  <conditionalFormatting sqref="E60:M61">
    <cfRule type="containsBlanks" dxfId="1" priority="7">
      <formula>LEN(TRIM(E60))=0</formula>
    </cfRule>
  </conditionalFormatting>
  <conditionalFormatting sqref="E34:M34">
    <cfRule type="expression" dxfId="2" priority="8">
      <formula>E30&lt;&gt;E34</formula>
    </cfRule>
  </conditionalFormatting>
  <conditionalFormatting sqref="E34:M34">
    <cfRule type="expression" dxfId="3" priority="9">
      <formula>E30=E34</formula>
    </cfRule>
  </conditionalFormatting>
  <conditionalFormatting sqref="E34:M34">
    <cfRule type="expression" dxfId="0" priority="10">
      <formula>E34&lt;&gt;E30</formula>
    </cfRule>
  </conditionalFormatting>
  <conditionalFormatting sqref="E34:M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80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13" t="s">
        <v>79</v>
      </c>
      <c r="N13" s="13" t="s">
        <v>81</v>
      </c>
      <c r="O13" s="13" t="s">
        <v>82</v>
      </c>
      <c r="P13" s="13" t="s">
        <v>83</v>
      </c>
      <c r="Q13" s="13" t="s">
        <v>84</v>
      </c>
      <c r="R13" s="37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144.0</v>
      </c>
      <c r="G14" s="19">
        <v>136.0</v>
      </c>
      <c r="H14" s="19">
        <v>140.0</v>
      </c>
      <c r="I14" s="19">
        <v>140.0</v>
      </c>
      <c r="J14" s="19">
        <v>146.0</v>
      </c>
      <c r="K14" s="19">
        <v>135.0</v>
      </c>
      <c r="L14" s="19">
        <v>143.0</v>
      </c>
      <c r="M14" s="19">
        <v>143.0</v>
      </c>
      <c r="N14" s="19">
        <v>103.0</v>
      </c>
      <c r="O14" s="19">
        <v>133.0</v>
      </c>
      <c r="P14" s="19">
        <v>128.0</v>
      </c>
      <c r="Q14" s="19">
        <v>135.0</v>
      </c>
      <c r="R14" s="13">
        <f t="shared" ref="R14:R16" si="1">SUM(E14:Q14)</f>
        <v>1751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128.0</v>
      </c>
      <c r="G15" s="19">
        <v>140.0</v>
      </c>
      <c r="H15" s="19">
        <v>150.0</v>
      </c>
      <c r="I15" s="19">
        <v>136.0</v>
      </c>
      <c r="J15" s="19">
        <v>142.0</v>
      </c>
      <c r="K15" s="19">
        <v>152.0</v>
      </c>
      <c r="L15" s="19">
        <v>143.0</v>
      </c>
      <c r="M15" s="19">
        <v>142.0</v>
      </c>
      <c r="N15" s="19">
        <v>99.0</v>
      </c>
      <c r="O15" s="19">
        <v>115.0</v>
      </c>
      <c r="P15" s="19">
        <v>138.0</v>
      </c>
      <c r="Q15" s="19">
        <v>137.0</v>
      </c>
      <c r="R15" s="13">
        <f t="shared" si="1"/>
        <v>1769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272</v>
      </c>
      <c r="F16" s="13">
        <f t="shared" si="2"/>
        <v>272</v>
      </c>
      <c r="G16" s="13">
        <f t="shared" si="2"/>
        <v>276</v>
      </c>
      <c r="H16" s="13">
        <f t="shared" si="2"/>
        <v>290</v>
      </c>
      <c r="I16" s="13">
        <f t="shared" si="2"/>
        <v>276</v>
      </c>
      <c r="J16" s="13">
        <f t="shared" si="2"/>
        <v>288</v>
      </c>
      <c r="K16" s="13">
        <f t="shared" si="2"/>
        <v>287</v>
      </c>
      <c r="L16" s="13">
        <f t="shared" si="2"/>
        <v>286</v>
      </c>
      <c r="M16" s="13">
        <f t="shared" si="2"/>
        <v>285</v>
      </c>
      <c r="N16" s="13">
        <f t="shared" si="2"/>
        <v>202</v>
      </c>
      <c r="O16" s="13">
        <f t="shared" si="2"/>
        <v>248</v>
      </c>
      <c r="P16" s="13">
        <f t="shared" si="2"/>
        <v>266</v>
      </c>
      <c r="Q16" s="13">
        <f t="shared" si="2"/>
        <v>272</v>
      </c>
      <c r="R16" s="13">
        <f t="shared" si="1"/>
        <v>3520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61"/>
    </row>
    <row r="18" ht="12.75" customHeight="1">
      <c r="A18" s="31" t="s">
        <v>15</v>
      </c>
      <c r="B18" s="20" t="s">
        <v>16</v>
      </c>
      <c r="C18" s="15"/>
      <c r="D18" s="16"/>
      <c r="E18" s="63" t="s">
        <v>70</v>
      </c>
      <c r="F18" s="63" t="s">
        <v>71</v>
      </c>
      <c r="G18" s="63" t="s">
        <v>72</v>
      </c>
      <c r="H18" s="63" t="s">
        <v>73</v>
      </c>
      <c r="I18" s="63" t="s">
        <v>74</v>
      </c>
      <c r="J18" s="63" t="s">
        <v>75</v>
      </c>
      <c r="K18" s="63" t="s">
        <v>77</v>
      </c>
      <c r="L18" s="63" t="s">
        <v>78</v>
      </c>
      <c r="M18" s="63" t="s">
        <v>79</v>
      </c>
      <c r="N18" s="63" t="s">
        <v>81</v>
      </c>
      <c r="O18" s="63" t="s">
        <v>82</v>
      </c>
      <c r="P18" s="63" t="s">
        <v>83</v>
      </c>
      <c r="Q18" s="63" t="s">
        <v>84</v>
      </c>
      <c r="R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105.0</v>
      </c>
      <c r="F19" s="19">
        <v>108.0</v>
      </c>
      <c r="G19" s="19">
        <v>112.0</v>
      </c>
      <c r="H19" s="19">
        <v>103.0</v>
      </c>
      <c r="I19" s="19">
        <v>110.0</v>
      </c>
      <c r="J19" s="19">
        <v>116.0</v>
      </c>
      <c r="K19" s="19">
        <v>107.0</v>
      </c>
      <c r="L19" s="19">
        <v>112.0</v>
      </c>
      <c r="M19" s="19">
        <v>115.0</v>
      </c>
      <c r="N19" s="19">
        <v>90.0</v>
      </c>
      <c r="O19" s="19">
        <v>101.0</v>
      </c>
      <c r="P19" s="19">
        <v>100.0</v>
      </c>
      <c r="Q19" s="19">
        <v>111.0</v>
      </c>
      <c r="R19" s="13">
        <f t="shared" ref="R19:R30" si="3">SUM(E19:Q19)</f>
        <v>1390</v>
      </c>
    </row>
    <row r="20" ht="12.75" customHeight="1">
      <c r="A20" s="34"/>
      <c r="B20" s="27"/>
      <c r="C20" s="35"/>
      <c r="D20" s="19" t="s">
        <v>13</v>
      </c>
      <c r="E20" s="19">
        <v>130.0</v>
      </c>
      <c r="F20" s="19">
        <v>109.0</v>
      </c>
      <c r="G20" s="19">
        <v>124.0</v>
      </c>
      <c r="H20" s="19">
        <v>118.0</v>
      </c>
      <c r="I20" s="19">
        <v>125.0</v>
      </c>
      <c r="J20" s="19">
        <v>125.0</v>
      </c>
      <c r="K20" s="19">
        <v>125.0</v>
      </c>
      <c r="L20" s="19">
        <v>126.0</v>
      </c>
      <c r="M20" s="19">
        <v>122.0</v>
      </c>
      <c r="N20" s="19">
        <v>84.0</v>
      </c>
      <c r="O20" s="19">
        <v>91.0</v>
      </c>
      <c r="P20" s="19">
        <v>115.0</v>
      </c>
      <c r="Q20" s="19">
        <v>118.0</v>
      </c>
      <c r="R20" s="13">
        <f t="shared" si="3"/>
        <v>1512</v>
      </c>
    </row>
    <row r="21" ht="12.75" customHeight="1">
      <c r="A21" s="36"/>
      <c r="B21" s="28"/>
      <c r="C21" s="37"/>
      <c r="D21" s="13" t="s">
        <v>14</v>
      </c>
      <c r="E21" s="13">
        <f t="shared" ref="E21:Q21" si="4">SUM(E19:E20)</f>
        <v>235</v>
      </c>
      <c r="F21" s="13">
        <f t="shared" si="4"/>
        <v>217</v>
      </c>
      <c r="G21" s="13">
        <f t="shared" si="4"/>
        <v>236</v>
      </c>
      <c r="H21" s="13">
        <f t="shared" si="4"/>
        <v>221</v>
      </c>
      <c r="I21" s="13">
        <f t="shared" si="4"/>
        <v>235</v>
      </c>
      <c r="J21" s="13">
        <f t="shared" si="4"/>
        <v>241</v>
      </c>
      <c r="K21" s="13">
        <f t="shared" si="4"/>
        <v>232</v>
      </c>
      <c r="L21" s="13">
        <f t="shared" si="4"/>
        <v>238</v>
      </c>
      <c r="M21" s="13">
        <f t="shared" si="4"/>
        <v>237</v>
      </c>
      <c r="N21" s="13">
        <f t="shared" si="4"/>
        <v>174</v>
      </c>
      <c r="O21" s="13">
        <f t="shared" si="4"/>
        <v>192</v>
      </c>
      <c r="P21" s="13">
        <f t="shared" si="4"/>
        <v>215</v>
      </c>
      <c r="Q21" s="13">
        <f t="shared" si="4"/>
        <v>229</v>
      </c>
      <c r="R21" s="13">
        <f t="shared" si="3"/>
        <v>2902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1.0</v>
      </c>
      <c r="O25" s="19">
        <v>0.0</v>
      </c>
      <c r="P25" s="19">
        <v>0.0</v>
      </c>
      <c r="Q25" s="19">
        <v>0.0</v>
      </c>
      <c r="R25" s="13">
        <f t="shared" si="3"/>
        <v>2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3.0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3">
        <f t="shared" si="3"/>
        <v>4</v>
      </c>
    </row>
    <row r="27" ht="12.75" customHeight="1">
      <c r="A27" s="36"/>
      <c r="B27" s="28"/>
      <c r="C27" s="37"/>
      <c r="D27" s="13" t="s">
        <v>14</v>
      </c>
      <c r="E27" s="13">
        <f t="shared" ref="E27:Q27" si="6">SUM(E25:E26)</f>
        <v>0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3"/>
        <v>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Q28" si="7">SUM(E19,E22,E25)</f>
        <v>105</v>
      </c>
      <c r="F28" s="13">
        <f t="shared" si="7"/>
        <v>109</v>
      </c>
      <c r="G28" s="13">
        <f t="shared" si="7"/>
        <v>112</v>
      </c>
      <c r="H28" s="13">
        <f t="shared" si="7"/>
        <v>103</v>
      </c>
      <c r="I28" s="13">
        <f t="shared" si="7"/>
        <v>110</v>
      </c>
      <c r="J28" s="13">
        <f t="shared" si="7"/>
        <v>116</v>
      </c>
      <c r="K28" s="13">
        <f t="shared" si="7"/>
        <v>107</v>
      </c>
      <c r="L28" s="13">
        <f t="shared" si="7"/>
        <v>112</v>
      </c>
      <c r="M28" s="13">
        <f t="shared" si="7"/>
        <v>115</v>
      </c>
      <c r="N28" s="13">
        <f t="shared" si="7"/>
        <v>91</v>
      </c>
      <c r="O28" s="13">
        <f t="shared" si="7"/>
        <v>101</v>
      </c>
      <c r="P28" s="13">
        <f t="shared" si="7"/>
        <v>100</v>
      </c>
      <c r="Q28" s="13">
        <f t="shared" si="7"/>
        <v>111</v>
      </c>
      <c r="R28" s="13">
        <f t="shared" si="3"/>
        <v>1392</v>
      </c>
    </row>
    <row r="29" ht="12.75" customHeight="1">
      <c r="A29" s="36"/>
      <c r="B29" s="27"/>
      <c r="C29" s="35"/>
      <c r="D29" s="13" t="s">
        <v>13</v>
      </c>
      <c r="E29" s="13">
        <f t="shared" ref="E29:Q29" si="8">SUM(E20,E23,E26)</f>
        <v>130</v>
      </c>
      <c r="F29" s="13">
        <f t="shared" si="8"/>
        <v>109</v>
      </c>
      <c r="G29" s="13">
        <f t="shared" si="8"/>
        <v>124</v>
      </c>
      <c r="H29" s="13">
        <f t="shared" si="8"/>
        <v>118</v>
      </c>
      <c r="I29" s="13">
        <f t="shared" si="8"/>
        <v>125</v>
      </c>
      <c r="J29" s="13">
        <f t="shared" si="8"/>
        <v>125</v>
      </c>
      <c r="K29" s="13">
        <f t="shared" si="8"/>
        <v>128</v>
      </c>
      <c r="L29" s="13">
        <f t="shared" si="8"/>
        <v>126</v>
      </c>
      <c r="M29" s="13">
        <f t="shared" si="8"/>
        <v>122</v>
      </c>
      <c r="N29" s="13">
        <f t="shared" si="8"/>
        <v>85</v>
      </c>
      <c r="O29" s="13">
        <f t="shared" si="8"/>
        <v>91</v>
      </c>
      <c r="P29" s="13">
        <f t="shared" si="8"/>
        <v>115</v>
      </c>
      <c r="Q29" s="13">
        <f t="shared" si="8"/>
        <v>118</v>
      </c>
      <c r="R29" s="13">
        <f t="shared" si="3"/>
        <v>1516</v>
      </c>
    </row>
    <row r="30" ht="12.75" customHeight="1">
      <c r="A30" s="36"/>
      <c r="B30" s="28"/>
      <c r="C30" s="37"/>
      <c r="D30" s="13" t="s">
        <v>14</v>
      </c>
      <c r="E30" s="13">
        <f t="shared" ref="E30:Q30" si="9">SUM(E28:E29)</f>
        <v>235</v>
      </c>
      <c r="F30" s="13">
        <f t="shared" si="9"/>
        <v>218</v>
      </c>
      <c r="G30" s="13">
        <f t="shared" si="9"/>
        <v>236</v>
      </c>
      <c r="H30" s="13">
        <f t="shared" si="9"/>
        <v>221</v>
      </c>
      <c r="I30" s="13">
        <f t="shared" si="9"/>
        <v>235</v>
      </c>
      <c r="J30" s="13">
        <f t="shared" si="9"/>
        <v>241</v>
      </c>
      <c r="K30" s="13">
        <f t="shared" si="9"/>
        <v>235</v>
      </c>
      <c r="L30" s="13">
        <f t="shared" si="9"/>
        <v>238</v>
      </c>
      <c r="M30" s="13">
        <f t="shared" si="9"/>
        <v>237</v>
      </c>
      <c r="N30" s="13">
        <f t="shared" si="9"/>
        <v>176</v>
      </c>
      <c r="O30" s="13">
        <f t="shared" si="9"/>
        <v>192</v>
      </c>
      <c r="P30" s="13">
        <f t="shared" si="9"/>
        <v>215</v>
      </c>
      <c r="Q30" s="13">
        <f t="shared" si="9"/>
        <v>229</v>
      </c>
      <c r="R30" s="13">
        <f t="shared" si="3"/>
        <v>2908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61"/>
    </row>
    <row r="32" ht="12.75" customHeight="1">
      <c r="A32" s="43" t="s">
        <v>25</v>
      </c>
      <c r="B32" s="14" t="s">
        <v>26</v>
      </c>
      <c r="C32" s="15"/>
      <c r="D32" s="16"/>
      <c r="E32" s="63" t="s">
        <v>70</v>
      </c>
      <c r="F32" s="63" t="s">
        <v>71</v>
      </c>
      <c r="G32" s="63" t="s">
        <v>72</v>
      </c>
      <c r="H32" s="63" t="s">
        <v>73</v>
      </c>
      <c r="I32" s="63" t="s">
        <v>74</v>
      </c>
      <c r="J32" s="63" t="s">
        <v>75</v>
      </c>
      <c r="K32" s="63" t="s">
        <v>77</v>
      </c>
      <c r="L32" s="63" t="s">
        <v>78</v>
      </c>
      <c r="M32" s="63" t="s">
        <v>79</v>
      </c>
      <c r="N32" s="63" t="s">
        <v>81</v>
      </c>
      <c r="O32" s="63" t="s">
        <v>82</v>
      </c>
      <c r="P32" s="63" t="s">
        <v>83</v>
      </c>
      <c r="Q32" s="63" t="s">
        <v>84</v>
      </c>
      <c r="R32" s="61"/>
    </row>
    <row r="33" ht="12.75" customHeight="1">
      <c r="A33" s="19">
        <v>1.0</v>
      </c>
      <c r="B33" s="20" t="s">
        <v>27</v>
      </c>
      <c r="C33" s="15"/>
      <c r="D33" s="16"/>
      <c r="E33" s="19">
        <v>278.0</v>
      </c>
      <c r="F33" s="19">
        <v>277.0</v>
      </c>
      <c r="G33" s="19">
        <v>281.0</v>
      </c>
      <c r="H33" s="19">
        <v>299.0</v>
      </c>
      <c r="I33" s="19">
        <v>271.0</v>
      </c>
      <c r="J33" s="19">
        <v>294.0</v>
      </c>
      <c r="K33" s="19">
        <v>294.0</v>
      </c>
      <c r="L33" s="19">
        <v>292.0</v>
      </c>
      <c r="M33" s="19">
        <v>292.0</v>
      </c>
      <c r="N33" s="19">
        <v>207.0</v>
      </c>
      <c r="O33" s="19">
        <v>253.0</v>
      </c>
      <c r="P33" s="19">
        <v>272.0</v>
      </c>
      <c r="Q33" s="19">
        <v>278.0</v>
      </c>
      <c r="R33" s="13">
        <f t="shared" ref="R33:R36" si="10">SUM(E33:Q33)</f>
        <v>3588</v>
      </c>
    </row>
    <row r="34" ht="12.75" customHeight="1">
      <c r="A34" s="19">
        <v>2.0</v>
      </c>
      <c r="B34" s="20" t="s">
        <v>28</v>
      </c>
      <c r="C34" s="15"/>
      <c r="D34" s="16"/>
      <c r="E34" s="13">
        <v>235.0</v>
      </c>
      <c r="F34" s="13">
        <v>218.0</v>
      </c>
      <c r="G34" s="13">
        <v>236.0</v>
      </c>
      <c r="H34" s="13">
        <v>221.0</v>
      </c>
      <c r="I34" s="13">
        <v>235.0</v>
      </c>
      <c r="J34" s="13">
        <v>241.0</v>
      </c>
      <c r="K34" s="13">
        <v>235.0</v>
      </c>
      <c r="L34" s="13">
        <v>238.0</v>
      </c>
      <c r="M34" s="13">
        <v>237.0</v>
      </c>
      <c r="N34" s="13">
        <v>176.0</v>
      </c>
      <c r="O34" s="13">
        <v>192.0</v>
      </c>
      <c r="P34" s="13">
        <v>215.0</v>
      </c>
      <c r="Q34" s="13">
        <v>229.0</v>
      </c>
      <c r="R34" s="13">
        <f t="shared" si="10"/>
        <v>2908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4.0</v>
      </c>
      <c r="N35" s="19">
        <v>0.0</v>
      </c>
      <c r="O35" s="19">
        <v>0.0</v>
      </c>
      <c r="P35" s="19">
        <v>0.0</v>
      </c>
      <c r="Q35" s="19">
        <v>0.0</v>
      </c>
      <c r="R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43</v>
      </c>
      <c r="F36" s="13">
        <f t="shared" si="11"/>
        <v>59</v>
      </c>
      <c r="G36" s="13">
        <f t="shared" si="11"/>
        <v>45</v>
      </c>
      <c r="H36" s="13">
        <f t="shared" si="11"/>
        <v>78</v>
      </c>
      <c r="I36" s="13">
        <f t="shared" si="11"/>
        <v>36</v>
      </c>
      <c r="J36" s="13">
        <f t="shared" si="11"/>
        <v>53</v>
      </c>
      <c r="K36" s="13">
        <f t="shared" si="11"/>
        <v>59</v>
      </c>
      <c r="L36" s="13">
        <f t="shared" si="11"/>
        <v>54</v>
      </c>
      <c r="M36" s="13">
        <f t="shared" si="11"/>
        <v>51</v>
      </c>
      <c r="N36" s="13">
        <f t="shared" si="11"/>
        <v>31</v>
      </c>
      <c r="O36" s="13">
        <f t="shared" si="11"/>
        <v>61</v>
      </c>
      <c r="P36" s="13">
        <f t="shared" si="11"/>
        <v>57</v>
      </c>
      <c r="Q36" s="13">
        <f t="shared" si="11"/>
        <v>49</v>
      </c>
      <c r="R36" s="13">
        <f t="shared" si="10"/>
        <v>676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61"/>
    </row>
    <row r="38" ht="12.75" customHeight="1">
      <c r="A38" s="44" t="s">
        <v>31</v>
      </c>
      <c r="B38" s="14" t="s">
        <v>32</v>
      </c>
      <c r="C38" s="15"/>
      <c r="D38" s="16"/>
      <c r="E38" s="63" t="s">
        <v>70</v>
      </c>
      <c r="F38" s="63" t="s">
        <v>71</v>
      </c>
      <c r="G38" s="63" t="s">
        <v>72</v>
      </c>
      <c r="H38" s="63" t="s">
        <v>73</v>
      </c>
      <c r="I38" s="63" t="s">
        <v>74</v>
      </c>
      <c r="J38" s="63" t="s">
        <v>75</v>
      </c>
      <c r="K38" s="63" t="s">
        <v>77</v>
      </c>
      <c r="L38" s="63" t="s">
        <v>78</v>
      </c>
      <c r="M38" s="63" t="s">
        <v>79</v>
      </c>
      <c r="N38" s="63" t="s">
        <v>81</v>
      </c>
      <c r="O38" s="63" t="s">
        <v>82</v>
      </c>
      <c r="P38" s="63" t="s">
        <v>83</v>
      </c>
      <c r="Q38" s="63" t="s">
        <v>84</v>
      </c>
      <c r="R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3">
        <f t="shared" ref="R39:R41" si="12">SUM(E39:Q39)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3"/>
    </row>
    <row r="43" ht="12.75" customHeight="1">
      <c r="A43" s="44" t="s">
        <v>34</v>
      </c>
      <c r="B43" s="14" t="s">
        <v>35</v>
      </c>
      <c r="C43" s="15"/>
      <c r="D43" s="16"/>
      <c r="E43" s="63" t="s">
        <v>70</v>
      </c>
      <c r="F43" s="63" t="s">
        <v>71</v>
      </c>
      <c r="G43" s="63" t="s">
        <v>72</v>
      </c>
      <c r="H43" s="63" t="s">
        <v>73</v>
      </c>
      <c r="I43" s="63" t="s">
        <v>74</v>
      </c>
      <c r="J43" s="63" t="s">
        <v>75</v>
      </c>
      <c r="K43" s="63" t="s">
        <v>77</v>
      </c>
      <c r="L43" s="63" t="s">
        <v>78</v>
      </c>
      <c r="M43" s="63" t="s">
        <v>79</v>
      </c>
      <c r="N43" s="63" t="s">
        <v>81</v>
      </c>
      <c r="O43" s="63" t="s">
        <v>82</v>
      </c>
      <c r="P43" s="63" t="s">
        <v>83</v>
      </c>
      <c r="Q43" s="63" t="s">
        <v>84</v>
      </c>
      <c r="R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3"/>
    </row>
    <row r="45" ht="12.75" customHeight="1">
      <c r="A45" s="31"/>
      <c r="B45" s="49" t="s">
        <v>17</v>
      </c>
      <c r="C45" s="62" t="s">
        <v>38</v>
      </c>
      <c r="D45" s="16"/>
      <c r="E45" s="19">
        <v>12.0</v>
      </c>
      <c r="F45" s="19">
        <v>8.0</v>
      </c>
      <c r="G45" s="19">
        <v>10.0</v>
      </c>
      <c r="H45" s="19">
        <v>23.0</v>
      </c>
      <c r="I45" s="19">
        <v>31.0</v>
      </c>
      <c r="J45" s="19">
        <v>34.0</v>
      </c>
      <c r="K45" s="19">
        <v>37.0</v>
      </c>
      <c r="L45" s="19">
        <v>23.0</v>
      </c>
      <c r="M45" s="19">
        <v>16.0</v>
      </c>
      <c r="N45" s="19">
        <v>14.0</v>
      </c>
      <c r="O45" s="19">
        <v>12.0</v>
      </c>
      <c r="P45" s="19">
        <v>22.0</v>
      </c>
      <c r="Q45" s="19">
        <v>20.0</v>
      </c>
      <c r="R45" s="13">
        <f t="shared" ref="R45:R57" si="14">SUM(E45:Q45)</f>
        <v>262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32.0</v>
      </c>
      <c r="F46" s="19">
        <v>31.0</v>
      </c>
      <c r="G46" s="19">
        <v>28.0</v>
      </c>
      <c r="H46" s="19">
        <v>42.0</v>
      </c>
      <c r="I46" s="19">
        <v>34.0</v>
      </c>
      <c r="J46" s="19">
        <v>40.0</v>
      </c>
      <c r="K46" s="19">
        <v>30.0</v>
      </c>
      <c r="L46" s="19">
        <v>50.0</v>
      </c>
      <c r="M46" s="19">
        <v>43.0</v>
      </c>
      <c r="N46" s="19">
        <v>36.0</v>
      </c>
      <c r="O46" s="19">
        <v>41.0</v>
      </c>
      <c r="P46" s="19">
        <v>36.0</v>
      </c>
      <c r="Q46" s="19">
        <v>45.0</v>
      </c>
      <c r="R46" s="13">
        <f t="shared" si="14"/>
        <v>488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6.0</v>
      </c>
      <c r="F47" s="19">
        <v>13.0</v>
      </c>
      <c r="G47" s="19">
        <v>14.0</v>
      </c>
      <c r="H47" s="19">
        <v>23.0</v>
      </c>
      <c r="I47" s="19">
        <v>19.0</v>
      </c>
      <c r="J47" s="19">
        <v>18.0</v>
      </c>
      <c r="K47" s="19">
        <v>17.0</v>
      </c>
      <c r="L47" s="19">
        <v>21.0</v>
      </c>
      <c r="M47" s="19">
        <v>17.0</v>
      </c>
      <c r="N47" s="19">
        <v>15.0</v>
      </c>
      <c r="O47" s="19">
        <v>10.0</v>
      </c>
      <c r="P47" s="19">
        <v>26.0</v>
      </c>
      <c r="Q47" s="19">
        <v>40.0</v>
      </c>
      <c r="R47" s="13">
        <f t="shared" si="14"/>
        <v>239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15.0</v>
      </c>
      <c r="F48" s="19">
        <v>14.0</v>
      </c>
      <c r="G48" s="19">
        <v>16.0</v>
      </c>
      <c r="H48" s="19">
        <v>16.0</v>
      </c>
      <c r="I48" s="19">
        <v>24.0</v>
      </c>
      <c r="J48" s="19">
        <v>20.0</v>
      </c>
      <c r="K48" s="19">
        <v>17.0</v>
      </c>
      <c r="L48" s="19">
        <v>28.0</v>
      </c>
      <c r="M48" s="19">
        <v>38.0</v>
      </c>
      <c r="N48" s="19">
        <v>9.0</v>
      </c>
      <c r="O48" s="19">
        <v>17.0</v>
      </c>
      <c r="P48" s="19">
        <v>25.0</v>
      </c>
      <c r="Q48" s="19">
        <v>21.0</v>
      </c>
      <c r="R48" s="13">
        <f t="shared" si="14"/>
        <v>260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31.0</v>
      </c>
      <c r="F49" s="19">
        <v>8.0</v>
      </c>
      <c r="G49" s="19">
        <v>32.0</v>
      </c>
      <c r="H49" s="19">
        <v>18.0</v>
      </c>
      <c r="I49" s="19">
        <v>20.0</v>
      </c>
      <c r="J49" s="19">
        <v>18.0</v>
      </c>
      <c r="K49" s="19">
        <v>19.0</v>
      </c>
      <c r="L49" s="19">
        <v>13.0</v>
      </c>
      <c r="M49" s="19">
        <v>22.0</v>
      </c>
      <c r="N49" s="19">
        <v>12.0</v>
      </c>
      <c r="O49" s="19">
        <v>24.0</v>
      </c>
      <c r="P49" s="19">
        <v>21.0</v>
      </c>
      <c r="Q49" s="19">
        <v>22.0</v>
      </c>
      <c r="R49" s="13">
        <f t="shared" si="14"/>
        <v>260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14.0</v>
      </c>
      <c r="F50" s="19">
        <v>13.0</v>
      </c>
      <c r="G50" s="19">
        <v>10.0</v>
      </c>
      <c r="H50" s="19">
        <v>5.0</v>
      </c>
      <c r="I50" s="19">
        <v>20.0</v>
      </c>
      <c r="J50" s="19">
        <v>20.0</v>
      </c>
      <c r="K50" s="19">
        <v>17.0</v>
      </c>
      <c r="L50" s="19">
        <v>15.0</v>
      </c>
      <c r="M50" s="19">
        <v>21.0</v>
      </c>
      <c r="N50" s="19">
        <v>7.0</v>
      </c>
      <c r="O50" s="19">
        <v>13.0</v>
      </c>
      <c r="P50" s="19">
        <v>21.0</v>
      </c>
      <c r="Q50" s="19">
        <v>13.0</v>
      </c>
      <c r="R50" s="13">
        <f t="shared" si="14"/>
        <v>189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3.0</v>
      </c>
      <c r="F51" s="19">
        <v>0.0</v>
      </c>
      <c r="G51" s="19">
        <v>4.0</v>
      </c>
      <c r="H51" s="19">
        <v>5.0</v>
      </c>
      <c r="I51" s="19">
        <v>2.0</v>
      </c>
      <c r="J51" s="19">
        <v>1.0</v>
      </c>
      <c r="K51" s="19">
        <v>1.0</v>
      </c>
      <c r="L51" s="19">
        <v>4.0</v>
      </c>
      <c r="M51" s="19">
        <v>5.0</v>
      </c>
      <c r="N51" s="19">
        <v>6.0</v>
      </c>
      <c r="O51" s="19">
        <v>1.0</v>
      </c>
      <c r="P51" s="19">
        <v>3.0</v>
      </c>
      <c r="Q51" s="19">
        <v>3.0</v>
      </c>
      <c r="R51" s="13">
        <f t="shared" si="14"/>
        <v>38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6.0</v>
      </c>
      <c r="F52" s="19">
        <v>4.0</v>
      </c>
      <c r="G52" s="19">
        <v>3.0</v>
      </c>
      <c r="H52" s="19">
        <v>2.0</v>
      </c>
      <c r="I52" s="19">
        <v>2.0</v>
      </c>
      <c r="J52" s="19">
        <v>4.0</v>
      </c>
      <c r="K52" s="19">
        <v>4.0</v>
      </c>
      <c r="L52" s="19">
        <v>5.0</v>
      </c>
      <c r="M52" s="19">
        <v>0.0</v>
      </c>
      <c r="N52" s="19">
        <v>2.0</v>
      </c>
      <c r="O52" s="19">
        <v>3.0</v>
      </c>
      <c r="P52" s="19">
        <v>4.0</v>
      </c>
      <c r="Q52" s="19">
        <v>4.0</v>
      </c>
      <c r="R52" s="13">
        <f t="shared" si="14"/>
        <v>43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0.0</v>
      </c>
      <c r="F53" s="19">
        <v>8.0</v>
      </c>
      <c r="G53" s="19">
        <v>1.0</v>
      </c>
      <c r="H53" s="19">
        <v>1.0</v>
      </c>
      <c r="I53" s="19">
        <v>0.0</v>
      </c>
      <c r="J53" s="19">
        <v>1.0</v>
      </c>
      <c r="K53" s="19">
        <v>0.0</v>
      </c>
      <c r="L53" s="19">
        <v>0.0</v>
      </c>
      <c r="M53" s="19">
        <v>1.0</v>
      </c>
      <c r="N53" s="19">
        <v>1.0</v>
      </c>
      <c r="O53" s="19">
        <v>0.0</v>
      </c>
      <c r="P53" s="19">
        <v>0.0</v>
      </c>
      <c r="Q53" s="19">
        <v>2.0</v>
      </c>
      <c r="R53" s="13">
        <f t="shared" si="14"/>
        <v>15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31.0</v>
      </c>
      <c r="F54" s="19">
        <v>31.0</v>
      </c>
      <c r="G54" s="19">
        <v>25.0</v>
      </c>
      <c r="H54" s="19">
        <v>16.0</v>
      </c>
      <c r="I54" s="19">
        <v>19.0</v>
      </c>
      <c r="J54" s="19">
        <v>30.0</v>
      </c>
      <c r="K54" s="19">
        <v>28.0</v>
      </c>
      <c r="L54" s="19">
        <v>19.0</v>
      </c>
      <c r="M54" s="19">
        <v>25.0</v>
      </c>
      <c r="N54" s="19">
        <v>21.0</v>
      </c>
      <c r="O54" s="19">
        <v>29.0</v>
      </c>
      <c r="P54" s="19">
        <v>23.0</v>
      </c>
      <c r="Q54" s="19">
        <v>24.0</v>
      </c>
      <c r="R54" s="13">
        <f t="shared" si="14"/>
        <v>321</v>
      </c>
    </row>
    <row r="55" ht="15.0" customHeight="1">
      <c r="A55" s="18"/>
      <c r="B55" s="49" t="s">
        <v>54</v>
      </c>
      <c r="C55" s="62" t="s">
        <v>55</v>
      </c>
      <c r="D55" s="16"/>
      <c r="E55" s="19">
        <v>0.0</v>
      </c>
      <c r="F55" s="19">
        <v>0.0</v>
      </c>
      <c r="G55" s="19">
        <v>1.0</v>
      </c>
      <c r="H55" s="19">
        <v>2.0</v>
      </c>
      <c r="I55" s="19">
        <v>0.0</v>
      </c>
      <c r="J55" s="19">
        <v>1.0</v>
      </c>
      <c r="K55" s="19">
        <v>1.0</v>
      </c>
      <c r="L55" s="19">
        <v>1.0</v>
      </c>
      <c r="M55" s="19">
        <v>3.0</v>
      </c>
      <c r="N55" s="19">
        <v>1.0</v>
      </c>
      <c r="O55" s="19">
        <v>0.0</v>
      </c>
      <c r="P55" s="19">
        <v>1.0</v>
      </c>
      <c r="Q55" s="19">
        <v>0.0</v>
      </c>
      <c r="R55" s="13">
        <f t="shared" si="14"/>
        <v>11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19.0</v>
      </c>
      <c r="F56" s="19">
        <v>16.0</v>
      </c>
      <c r="G56" s="19">
        <v>20.0</v>
      </c>
      <c r="H56" s="19">
        <v>18.0</v>
      </c>
      <c r="I56" s="19">
        <v>20.0</v>
      </c>
      <c r="J56" s="19">
        <v>19.0</v>
      </c>
      <c r="K56" s="19">
        <v>24.0</v>
      </c>
      <c r="L56" s="19">
        <v>24.0</v>
      </c>
      <c r="M56" s="19">
        <v>23.0</v>
      </c>
      <c r="N56" s="19">
        <v>23.0</v>
      </c>
      <c r="O56" s="19">
        <v>16.0</v>
      </c>
      <c r="P56" s="19">
        <v>15.0</v>
      </c>
      <c r="Q56" s="19">
        <v>16.0</v>
      </c>
      <c r="R56" s="13">
        <f t="shared" si="14"/>
        <v>253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2.0</v>
      </c>
      <c r="F57" s="19">
        <v>1.0</v>
      </c>
      <c r="G57" s="19">
        <v>1.0</v>
      </c>
      <c r="H57" s="19">
        <v>0.0</v>
      </c>
      <c r="I57" s="19">
        <v>1.0</v>
      </c>
      <c r="J57" s="19">
        <v>2.0</v>
      </c>
      <c r="K57" s="19">
        <v>0.0</v>
      </c>
      <c r="L57" s="19">
        <v>1.0</v>
      </c>
      <c r="M57" s="19">
        <v>3.0</v>
      </c>
      <c r="N57" s="19">
        <v>2.0</v>
      </c>
      <c r="O57" s="19">
        <v>1.0</v>
      </c>
      <c r="P57" s="19">
        <v>1.0</v>
      </c>
      <c r="Q57" s="19">
        <v>2.0</v>
      </c>
      <c r="R57" s="13">
        <f t="shared" si="14"/>
        <v>17</v>
      </c>
    </row>
    <row r="58" ht="12.75" customHeight="1">
      <c r="R58" s="13"/>
    </row>
    <row r="59" ht="12.75" customHeight="1">
      <c r="A59" s="44" t="s">
        <v>60</v>
      </c>
      <c r="B59" s="14" t="s">
        <v>61</v>
      </c>
      <c r="C59" s="15"/>
      <c r="D59" s="16"/>
      <c r="E59" s="63" t="s">
        <v>70</v>
      </c>
      <c r="F59" s="63" t="s">
        <v>71</v>
      </c>
      <c r="G59" s="63" t="s">
        <v>72</v>
      </c>
      <c r="H59" s="63" t="s">
        <v>73</v>
      </c>
      <c r="I59" s="63" t="s">
        <v>74</v>
      </c>
      <c r="J59" s="63" t="s">
        <v>75</v>
      </c>
      <c r="K59" s="63" t="s">
        <v>77</v>
      </c>
      <c r="L59" s="63" t="s">
        <v>78</v>
      </c>
      <c r="M59" s="63" t="s">
        <v>79</v>
      </c>
      <c r="N59" s="63" t="s">
        <v>81</v>
      </c>
      <c r="O59" s="63" t="s">
        <v>82</v>
      </c>
      <c r="P59" s="63" t="s">
        <v>83</v>
      </c>
      <c r="Q59" s="63" t="s">
        <v>84</v>
      </c>
      <c r="R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Q60" si="15">SUM(E45:E57)</f>
        <v>171</v>
      </c>
      <c r="F60" s="19">
        <f t="shared" si="15"/>
        <v>147</v>
      </c>
      <c r="G60" s="19">
        <f t="shared" si="15"/>
        <v>165</v>
      </c>
      <c r="H60" s="19">
        <f t="shared" si="15"/>
        <v>171</v>
      </c>
      <c r="I60" s="19">
        <f t="shared" si="15"/>
        <v>192</v>
      </c>
      <c r="J60" s="19">
        <f t="shared" si="15"/>
        <v>208</v>
      </c>
      <c r="K60" s="19">
        <f t="shared" si="15"/>
        <v>195</v>
      </c>
      <c r="L60" s="19">
        <f t="shared" si="15"/>
        <v>204</v>
      </c>
      <c r="M60" s="19">
        <f t="shared" si="15"/>
        <v>217</v>
      </c>
      <c r="N60" s="19">
        <f t="shared" si="15"/>
        <v>149</v>
      </c>
      <c r="O60" s="19">
        <f t="shared" si="15"/>
        <v>167</v>
      </c>
      <c r="P60" s="19">
        <f t="shared" si="15"/>
        <v>198</v>
      </c>
      <c r="Q60" s="19">
        <f t="shared" si="15"/>
        <v>212</v>
      </c>
      <c r="R60" s="13">
        <f t="shared" ref="R60:R62" si="16">SUM(E60:Q60)</f>
        <v>2396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64.0</v>
      </c>
      <c r="F61" s="19">
        <v>79.0</v>
      </c>
      <c r="G61" s="19">
        <v>71.0</v>
      </c>
      <c r="H61" s="19">
        <v>50.0</v>
      </c>
      <c r="I61" s="19">
        <v>43.0</v>
      </c>
      <c r="J61" s="19">
        <v>33.0</v>
      </c>
      <c r="K61" s="19">
        <v>40.0</v>
      </c>
      <c r="L61" s="19">
        <v>34.0</v>
      </c>
      <c r="M61" s="19">
        <v>20.0</v>
      </c>
      <c r="N61" s="19">
        <v>27.0</v>
      </c>
      <c r="O61" s="19">
        <v>25.0</v>
      </c>
      <c r="P61" s="19">
        <v>17.0</v>
      </c>
      <c r="Q61" s="19">
        <v>17.0</v>
      </c>
      <c r="R61" s="13">
        <f t="shared" si="16"/>
        <v>520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Q62" si="17">SUM(E60:E61)</f>
        <v>235</v>
      </c>
      <c r="F62" s="13">
        <f t="shared" si="17"/>
        <v>226</v>
      </c>
      <c r="G62" s="13">
        <f t="shared" si="17"/>
        <v>236</v>
      </c>
      <c r="H62" s="13">
        <f t="shared" si="17"/>
        <v>221</v>
      </c>
      <c r="I62" s="13">
        <f t="shared" si="17"/>
        <v>235</v>
      </c>
      <c r="J62" s="13">
        <f t="shared" si="17"/>
        <v>241</v>
      </c>
      <c r="K62" s="13">
        <f t="shared" si="17"/>
        <v>235</v>
      </c>
      <c r="L62" s="13">
        <f t="shared" si="17"/>
        <v>238</v>
      </c>
      <c r="M62" s="13">
        <f t="shared" si="17"/>
        <v>237</v>
      </c>
      <c r="N62" s="13">
        <f t="shared" si="17"/>
        <v>176</v>
      </c>
      <c r="O62" s="13">
        <f t="shared" si="17"/>
        <v>192</v>
      </c>
      <c r="P62" s="13">
        <f t="shared" si="17"/>
        <v>215</v>
      </c>
      <c r="Q62" s="13">
        <f t="shared" si="17"/>
        <v>229</v>
      </c>
      <c r="R62" s="13">
        <f t="shared" si="16"/>
        <v>2916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S117" s="5"/>
      <c r="T117" s="5"/>
    </row>
    <row r="118" ht="12.75" customHeight="1">
      <c r="S118" s="5"/>
      <c r="T118" s="5"/>
    </row>
    <row r="119" ht="12.75" customHeight="1">
      <c r="S119" s="5"/>
      <c r="T119" s="5"/>
    </row>
    <row r="120" ht="12.75" customHeight="1">
      <c r="S120" s="5"/>
      <c r="T120" s="5"/>
    </row>
    <row r="121" ht="12.75" customHeight="1">
      <c r="S121" s="5"/>
      <c r="T121" s="5"/>
    </row>
    <row r="122" ht="12.75" customHeight="1">
      <c r="S122" s="5"/>
      <c r="T122" s="5"/>
    </row>
    <row r="123" ht="12.75" customHeight="1">
      <c r="S123" s="5"/>
      <c r="T123" s="5"/>
    </row>
    <row r="124" ht="12.75" customHeight="1">
      <c r="S124" s="5"/>
      <c r="T124" s="5"/>
    </row>
    <row r="125" ht="12.75" customHeight="1">
      <c r="S125" s="5"/>
      <c r="T125" s="5"/>
    </row>
    <row r="126" ht="12.75" customHeight="1">
      <c r="S126" s="5"/>
      <c r="T126" s="5"/>
    </row>
    <row r="127" ht="12.75" customHeight="1">
      <c r="S127" s="5"/>
      <c r="T127" s="5"/>
    </row>
    <row r="128" ht="12.75" customHeight="1">
      <c r="S128" s="5"/>
      <c r="T128" s="5"/>
    </row>
    <row r="129" ht="12.75" customHeight="1">
      <c r="S129" s="5"/>
      <c r="T129" s="5"/>
    </row>
    <row r="130" ht="12.75" customHeight="1">
      <c r="S130" s="1"/>
      <c r="T130" s="1"/>
    </row>
    <row r="131" ht="12.75" customHeight="1">
      <c r="S131" s="52"/>
      <c r="T131" s="52"/>
    </row>
    <row r="132" ht="12.75" customHeight="1">
      <c r="S132" s="5"/>
      <c r="T132" s="5"/>
    </row>
    <row r="133" ht="12.75" customHeight="1">
      <c r="S133" s="5"/>
      <c r="T133" s="5"/>
    </row>
    <row r="134" ht="12.75" customHeight="1">
      <c r="S134" s="5"/>
      <c r="T134" s="5"/>
    </row>
    <row r="135" ht="12.75" customHeight="1">
      <c r="S135" s="5"/>
      <c r="T135" s="5"/>
    </row>
    <row r="136" ht="12.75" customHeight="1">
      <c r="S136" s="5"/>
      <c r="T136" s="5"/>
    </row>
    <row r="137" ht="12.75" customHeight="1">
      <c r="S137" s="5"/>
      <c r="T137" s="5"/>
    </row>
    <row r="138" ht="12.75" customHeight="1">
      <c r="S138" s="5"/>
      <c r="T138" s="5"/>
    </row>
    <row r="139" ht="12.75" customHeight="1">
      <c r="S139" s="5"/>
      <c r="T139" s="5"/>
    </row>
    <row r="140" ht="12.75" customHeight="1">
      <c r="S140" s="5"/>
      <c r="T140" s="5"/>
    </row>
    <row r="141" ht="12.75" customHeight="1">
      <c r="S141" s="1"/>
      <c r="T141" s="1"/>
    </row>
    <row r="142" ht="12.75" customHeight="1">
      <c r="S142" s="52"/>
      <c r="T142" s="52"/>
    </row>
    <row r="143" ht="12.75" customHeight="1">
      <c r="S143" s="5"/>
      <c r="T143" s="5"/>
    </row>
    <row r="144" ht="12.75" customHeight="1">
      <c r="S144" s="5"/>
      <c r="T144" s="5"/>
    </row>
    <row r="145" ht="12.75" customHeight="1">
      <c r="S145" s="5"/>
      <c r="T145" s="5"/>
    </row>
    <row r="146" ht="12.75" customHeight="1">
      <c r="S146" s="5"/>
      <c r="T146" s="5"/>
    </row>
    <row r="147" ht="12.75" customHeight="1">
      <c r="S147" s="5"/>
      <c r="T147" s="5"/>
    </row>
    <row r="148" ht="12.75" customHeight="1">
      <c r="S148" s="5"/>
      <c r="T148" s="5"/>
    </row>
    <row r="149" ht="12.75" customHeight="1">
      <c r="S149" s="5"/>
      <c r="T149" s="5"/>
    </row>
    <row r="150" ht="12.75" customHeight="1">
      <c r="S150" s="5"/>
      <c r="T150" s="5"/>
    </row>
    <row r="151" ht="12.75" customHeight="1">
      <c r="S151" s="1"/>
      <c r="T151" s="1"/>
    </row>
    <row r="152" ht="12.75" customHeight="1">
      <c r="S152" s="52"/>
      <c r="T152" s="52"/>
    </row>
    <row r="153" ht="12.75" customHeight="1">
      <c r="S153" s="5"/>
      <c r="T153" s="5"/>
    </row>
    <row r="154" ht="12.75" customHeight="1">
      <c r="S154" s="5"/>
      <c r="T154" s="5"/>
    </row>
    <row r="155" ht="12.75" customHeight="1">
      <c r="S155" s="5"/>
      <c r="T155" s="5"/>
    </row>
    <row r="156" ht="12.75" customHeight="1">
      <c r="S156" s="5"/>
      <c r="T156" s="5"/>
    </row>
    <row r="157" ht="12.75" customHeight="1">
      <c r="S157" s="5"/>
      <c r="T157" s="5"/>
    </row>
    <row r="158" ht="12.75" customHeight="1">
      <c r="S158" s="5"/>
      <c r="T158" s="5"/>
    </row>
    <row r="159" ht="12.75" customHeight="1">
      <c r="S159" s="5"/>
      <c r="T159" s="5"/>
    </row>
    <row r="160" ht="12.75" customHeight="1">
      <c r="S160" s="5"/>
      <c r="T160" s="5"/>
    </row>
    <row r="161" ht="12.75" customHeight="1">
      <c r="S161" s="5"/>
      <c r="T161" s="5"/>
    </row>
    <row r="162" ht="12.75" customHeight="1">
      <c r="S162" s="5"/>
      <c r="T162" s="5"/>
    </row>
    <row r="163" ht="12.75" customHeight="1">
      <c r="S163" s="5"/>
      <c r="T163" s="5"/>
    </row>
    <row r="164" ht="12.75" customHeight="1">
      <c r="S164" s="5"/>
      <c r="T164" s="5"/>
    </row>
    <row r="165" ht="12.75" customHeight="1">
      <c r="S165" s="1"/>
      <c r="T165" s="1"/>
    </row>
    <row r="166" ht="12.75" customHeight="1">
      <c r="S166" s="52"/>
      <c r="T166" s="52"/>
    </row>
    <row r="167" ht="12.75" customHeight="1">
      <c r="S167" s="5"/>
      <c r="T167" s="5"/>
    </row>
    <row r="168" ht="12.75" customHeight="1">
      <c r="S168" s="5"/>
      <c r="T168" s="5"/>
    </row>
    <row r="169" ht="12.75" customHeight="1">
      <c r="S169" s="5"/>
      <c r="T169" s="5"/>
    </row>
    <row r="170" ht="12.75" customHeight="1">
      <c r="S170" s="5"/>
      <c r="T170" s="5"/>
    </row>
    <row r="171" ht="12.75" customHeight="1">
      <c r="S171" s="5"/>
      <c r="T171" s="5"/>
    </row>
    <row r="172" ht="12.75" customHeight="1">
      <c r="S172" s="5"/>
      <c r="T172" s="5"/>
    </row>
    <row r="173" ht="12.75" customHeight="1">
      <c r="S173" s="5"/>
      <c r="T173" s="5"/>
    </row>
    <row r="174" ht="12.75" customHeight="1">
      <c r="S174" s="5"/>
      <c r="T174" s="5"/>
    </row>
    <row r="175" ht="12.75" customHeight="1">
      <c r="S175" s="5"/>
      <c r="T175" s="5"/>
    </row>
    <row r="176" ht="12.75" customHeight="1">
      <c r="S176" s="1"/>
      <c r="T176" s="1"/>
    </row>
    <row r="177" ht="12.75" customHeight="1"/>
    <row r="178" ht="12.75" customHeight="1">
      <c r="S178" s="5"/>
      <c r="T178" s="5"/>
    </row>
    <row r="179" ht="12.75" customHeight="1">
      <c r="S179" s="5"/>
      <c r="T179" s="5"/>
    </row>
    <row r="180" ht="12.75" customHeight="1">
      <c r="S180" s="5"/>
      <c r="T180" s="5"/>
    </row>
    <row r="181" ht="12.75" customHeight="1">
      <c r="S181" s="5"/>
      <c r="T181" s="5"/>
    </row>
    <row r="182" ht="12.75" customHeight="1">
      <c r="S182" s="5"/>
      <c r="T182" s="5"/>
    </row>
    <row r="183" ht="12.75" customHeight="1">
      <c r="S183" s="5"/>
      <c r="T183" s="5"/>
    </row>
    <row r="184" ht="12.75" customHeight="1">
      <c r="S184" s="5"/>
      <c r="T184" s="5"/>
    </row>
    <row r="185" ht="12.75" customHeight="1">
      <c r="S185" s="5"/>
      <c r="T185" s="5"/>
    </row>
    <row r="186" ht="12.75" customHeight="1">
      <c r="S186" s="5"/>
      <c r="T186" s="5"/>
    </row>
    <row r="187" ht="12.75" customHeight="1">
      <c r="S187" s="1"/>
      <c r="T187" s="1"/>
    </row>
    <row r="188" ht="12.75" customHeight="1"/>
    <row r="189" ht="12.75" customHeight="1">
      <c r="S189" s="5"/>
      <c r="T189" s="5"/>
    </row>
    <row r="190" ht="12.75" customHeight="1">
      <c r="S190" s="5"/>
      <c r="T190" s="5"/>
    </row>
    <row r="191" ht="12.75" customHeight="1">
      <c r="S191" s="5"/>
      <c r="T191" s="5"/>
    </row>
    <row r="192" ht="12.75" customHeight="1">
      <c r="S192" s="5"/>
      <c r="T192" s="5"/>
    </row>
    <row r="193" ht="12.75" customHeight="1">
      <c r="S193" s="5"/>
      <c r="T193" s="5"/>
    </row>
    <row r="194" ht="12.75" customHeight="1">
      <c r="S194" s="5"/>
      <c r="T194" s="5"/>
    </row>
    <row r="195" ht="12.75" customHeight="1">
      <c r="S195" s="5"/>
      <c r="T195" s="5"/>
    </row>
    <row r="196" ht="12.75" customHeight="1">
      <c r="S196" s="1"/>
      <c r="T196" s="1"/>
    </row>
    <row r="197" ht="12.75" customHeight="1">
      <c r="S197" s="1"/>
      <c r="T197" s="1"/>
    </row>
    <row r="198" ht="12.75" customHeight="1">
      <c r="S198" s="1"/>
      <c r="T198" s="1"/>
    </row>
    <row r="199" ht="12.75" customHeight="1">
      <c r="S199" s="52"/>
      <c r="T199" s="52"/>
    </row>
    <row r="200" ht="12.75" customHeight="1">
      <c r="S200" s="5"/>
      <c r="T200" s="5"/>
    </row>
    <row r="201" ht="12.75" customHeight="1">
      <c r="S201" s="5"/>
      <c r="T201" s="5"/>
    </row>
    <row r="202" ht="12.75" customHeight="1">
      <c r="S202" s="5"/>
      <c r="T202" s="5"/>
    </row>
    <row r="203" ht="12.75" customHeight="1">
      <c r="S203" s="5"/>
      <c r="T203" s="5"/>
    </row>
    <row r="204" ht="12.75" customHeight="1">
      <c r="S204" s="5"/>
      <c r="T204" s="5"/>
    </row>
    <row r="205" ht="12.75" customHeight="1">
      <c r="S205" s="5"/>
      <c r="T205" s="5"/>
    </row>
    <row r="206" ht="12.75" customHeight="1">
      <c r="S206" s="5"/>
      <c r="T206" s="5"/>
    </row>
    <row r="207" ht="12.75" customHeight="1">
      <c r="S207" s="1"/>
      <c r="T207" s="1"/>
    </row>
    <row r="208" ht="12.75" customHeight="1">
      <c r="S208" s="52"/>
      <c r="T208" s="52"/>
    </row>
    <row r="209" ht="12.75" customHeight="1">
      <c r="S209" s="52"/>
      <c r="T209" s="52"/>
    </row>
    <row r="210" ht="12.75" customHeight="1">
      <c r="S210" s="52"/>
      <c r="T210" s="52"/>
    </row>
    <row r="211" ht="12.75" customHeight="1">
      <c r="S211" s="5"/>
      <c r="T211" s="5"/>
    </row>
    <row r="212" ht="12.75" customHeight="1">
      <c r="S212" s="5"/>
      <c r="T212" s="5"/>
    </row>
    <row r="213" ht="12.75" customHeight="1">
      <c r="S213" s="5"/>
      <c r="T213" s="5"/>
    </row>
    <row r="214" ht="12.75" customHeight="1">
      <c r="S214" s="5"/>
      <c r="T214" s="5"/>
    </row>
    <row r="215" ht="12.75" customHeight="1">
      <c r="S215" s="5"/>
      <c r="T215" s="5"/>
    </row>
    <row r="216" ht="12.75" customHeight="1">
      <c r="S216" s="5"/>
      <c r="T216" s="5"/>
    </row>
    <row r="217" ht="12.75" customHeight="1">
      <c r="S217" s="5"/>
      <c r="T217" s="5"/>
    </row>
    <row r="218" ht="12.75" customHeight="1">
      <c r="S218" s="1"/>
      <c r="T218" s="1"/>
    </row>
    <row r="219" ht="12.75" customHeight="1">
      <c r="S219" s="52"/>
      <c r="T219" s="52"/>
    </row>
    <row r="220" ht="12.75" customHeight="1">
      <c r="S220" s="5"/>
      <c r="T220" s="5"/>
    </row>
    <row r="221" ht="12.75" customHeight="1">
      <c r="S221" s="5"/>
      <c r="T221" s="5"/>
    </row>
    <row r="222" ht="12.75" customHeight="1">
      <c r="S222" s="5"/>
      <c r="T222" s="5"/>
    </row>
    <row r="223" ht="12.75" customHeight="1">
      <c r="S223" s="5"/>
      <c r="T223" s="5"/>
    </row>
    <row r="224" ht="12.75" customHeight="1">
      <c r="S224" s="5"/>
      <c r="T224" s="5"/>
    </row>
    <row r="225" ht="12.75" customHeight="1">
      <c r="S225" s="5"/>
      <c r="T225" s="5"/>
    </row>
    <row r="226" ht="12.75" customHeight="1">
      <c r="S226" s="5"/>
      <c r="T226" s="5"/>
    </row>
    <row r="227" ht="12.75" customHeight="1">
      <c r="S227" s="5"/>
      <c r="T227" s="5"/>
    </row>
    <row r="228" ht="12.75" customHeight="1">
      <c r="S228" s="5"/>
      <c r="T228" s="5"/>
    </row>
    <row r="229" ht="12.75" customHeight="1">
      <c r="S229" s="1"/>
      <c r="T229" s="1"/>
    </row>
    <row r="230" ht="12.75" customHeight="1">
      <c r="S230" s="52"/>
      <c r="T230" s="52"/>
    </row>
    <row r="231" ht="12.75" customHeight="1">
      <c r="S231" s="5"/>
      <c r="T231" s="5"/>
    </row>
    <row r="232" ht="12.75" customHeight="1">
      <c r="S232" s="5"/>
      <c r="T232" s="5"/>
    </row>
    <row r="233" ht="12.75" customHeight="1">
      <c r="S233" s="5"/>
      <c r="T233" s="5"/>
    </row>
    <row r="234" ht="12.75" customHeight="1">
      <c r="S234" s="5"/>
      <c r="T234" s="5"/>
    </row>
    <row r="235" ht="12.75" customHeight="1">
      <c r="S235" s="5"/>
      <c r="T235" s="5"/>
    </row>
    <row r="236" ht="12.75" customHeight="1">
      <c r="S236" s="5"/>
      <c r="T236" s="5"/>
    </row>
    <row r="237" ht="12.75" customHeight="1">
      <c r="S237" s="5"/>
      <c r="T237" s="5"/>
    </row>
    <row r="238" ht="12.75" customHeight="1">
      <c r="S238" s="5"/>
      <c r="T238" s="5"/>
    </row>
    <row r="239" ht="12.75" customHeight="1">
      <c r="S239" s="5"/>
      <c r="T239" s="5"/>
    </row>
    <row r="240" ht="12.75" customHeight="1">
      <c r="S240" s="1"/>
      <c r="T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Q15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E30&lt;&gt;E47</formula>
    </cfRule>
  </conditionalFormatting>
  <conditionalFormatting sqref="E30:Q30">
    <cfRule type="expression" dxfId="0" priority="5">
      <formula>E30&lt;&gt;E34</formula>
    </cfRule>
  </conditionalFormatting>
  <conditionalFormatting sqref="E45:Q57">
    <cfRule type="containsBlanks" dxfId="1" priority="6">
      <formula>LEN(TRIM(E45))=0</formula>
    </cfRule>
  </conditionalFormatting>
  <conditionalFormatting sqref="E60:Q61">
    <cfRule type="containsBlanks" dxfId="1" priority="7">
      <formula>LEN(TRIM(E60))=0</formula>
    </cfRule>
  </conditionalFormatting>
  <conditionalFormatting sqref="E34:Q34">
    <cfRule type="expression" dxfId="2" priority="8">
      <formula>E30&lt;&gt;E34</formula>
    </cfRule>
  </conditionalFormatting>
  <conditionalFormatting sqref="E34:Q34">
    <cfRule type="expression" dxfId="3" priority="9">
      <formula>E30=E34</formula>
    </cfRule>
  </conditionalFormatting>
  <conditionalFormatting sqref="E34:Q34">
    <cfRule type="expression" dxfId="0" priority="10">
      <formula>E34&lt;&gt;E30</formula>
    </cfRule>
  </conditionalFormatting>
  <conditionalFormatting sqref="E34:Q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85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13" t="s">
        <v>79</v>
      </c>
      <c r="N13" s="13" t="s">
        <v>81</v>
      </c>
      <c r="O13" s="13" t="s">
        <v>82</v>
      </c>
      <c r="P13" s="13" t="s">
        <v>83</v>
      </c>
      <c r="Q13" s="13" t="s">
        <v>84</v>
      </c>
      <c r="R13" s="13" t="s">
        <v>86</v>
      </c>
      <c r="S13" s="13" t="s">
        <v>87</v>
      </c>
      <c r="T13" s="13" t="s">
        <v>88</v>
      </c>
      <c r="U13" s="13" t="s">
        <v>89</v>
      </c>
      <c r="V13" s="13" t="s">
        <v>90</v>
      </c>
      <c r="W13" s="13" t="s">
        <v>91</v>
      </c>
      <c r="X13" s="37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149.0</v>
      </c>
      <c r="G14" s="19">
        <v>148.0</v>
      </c>
      <c r="H14" s="19">
        <v>139.0</v>
      </c>
      <c r="I14" s="19">
        <v>137.0</v>
      </c>
      <c r="J14" s="19">
        <v>143.0</v>
      </c>
      <c r="K14" s="19">
        <v>150.0</v>
      </c>
      <c r="L14" s="19">
        <v>130.0</v>
      </c>
      <c r="M14" s="19">
        <v>155.0</v>
      </c>
      <c r="N14" s="19">
        <v>139.0</v>
      </c>
      <c r="O14" s="19">
        <v>138.0</v>
      </c>
      <c r="P14" s="19">
        <v>138.0</v>
      </c>
      <c r="Q14" s="19">
        <v>128.0</v>
      </c>
      <c r="R14" s="19">
        <v>133.0</v>
      </c>
      <c r="S14" s="19">
        <v>133.0</v>
      </c>
      <c r="T14" s="19">
        <v>140.0</v>
      </c>
      <c r="U14" s="19">
        <v>143.0</v>
      </c>
      <c r="V14" s="19">
        <v>142.0</v>
      </c>
      <c r="W14" s="19">
        <v>136.0</v>
      </c>
      <c r="X14" s="13">
        <f t="shared" ref="X14:X16" si="1">SUM(E14:W14)</f>
        <v>2642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126.0</v>
      </c>
      <c r="G15" s="19">
        <v>135.0</v>
      </c>
      <c r="H15" s="19">
        <v>133.0</v>
      </c>
      <c r="I15" s="19">
        <v>140.0</v>
      </c>
      <c r="J15" s="19">
        <v>137.0</v>
      </c>
      <c r="K15" s="19">
        <v>127.0</v>
      </c>
      <c r="L15" s="19">
        <v>130.0</v>
      </c>
      <c r="M15" s="19">
        <v>127.0</v>
      </c>
      <c r="N15" s="19">
        <v>149.0</v>
      </c>
      <c r="O15" s="19">
        <v>147.0</v>
      </c>
      <c r="P15" s="19">
        <v>143.0</v>
      </c>
      <c r="Q15" s="19">
        <v>150.0</v>
      </c>
      <c r="R15" s="19">
        <v>146.0</v>
      </c>
      <c r="S15" s="19">
        <v>153.0</v>
      </c>
      <c r="T15" s="19">
        <v>141.0</v>
      </c>
      <c r="U15" s="19">
        <v>144.0</v>
      </c>
      <c r="V15" s="19">
        <v>151.0</v>
      </c>
      <c r="W15" s="19">
        <v>148.0</v>
      </c>
      <c r="X15" s="13">
        <f t="shared" si="1"/>
        <v>2674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268</v>
      </c>
      <c r="F16" s="13">
        <f t="shared" si="2"/>
        <v>275</v>
      </c>
      <c r="G16" s="13">
        <f t="shared" si="2"/>
        <v>283</v>
      </c>
      <c r="H16" s="13">
        <f t="shared" si="2"/>
        <v>272</v>
      </c>
      <c r="I16" s="13">
        <f t="shared" si="2"/>
        <v>277</v>
      </c>
      <c r="J16" s="13">
        <f t="shared" si="2"/>
        <v>280</v>
      </c>
      <c r="K16" s="13">
        <f t="shared" si="2"/>
        <v>277</v>
      </c>
      <c r="L16" s="13">
        <f t="shared" si="2"/>
        <v>260</v>
      </c>
      <c r="M16" s="13">
        <f t="shared" si="2"/>
        <v>282</v>
      </c>
      <c r="N16" s="13">
        <f t="shared" si="2"/>
        <v>288</v>
      </c>
      <c r="O16" s="13">
        <f t="shared" si="2"/>
        <v>285</v>
      </c>
      <c r="P16" s="13">
        <f t="shared" si="2"/>
        <v>281</v>
      </c>
      <c r="Q16" s="13">
        <f t="shared" si="2"/>
        <v>278</v>
      </c>
      <c r="R16" s="13">
        <f t="shared" si="2"/>
        <v>279</v>
      </c>
      <c r="S16" s="13">
        <f t="shared" si="2"/>
        <v>286</v>
      </c>
      <c r="T16" s="13">
        <f t="shared" si="2"/>
        <v>281</v>
      </c>
      <c r="U16" s="13">
        <f t="shared" si="2"/>
        <v>287</v>
      </c>
      <c r="V16" s="13">
        <f t="shared" si="2"/>
        <v>293</v>
      </c>
      <c r="W16" s="13">
        <f t="shared" si="2"/>
        <v>284</v>
      </c>
      <c r="X16" s="13">
        <f t="shared" si="1"/>
        <v>5316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13" t="s">
        <v>77</v>
      </c>
      <c r="L18" s="13" t="s">
        <v>78</v>
      </c>
      <c r="M18" s="13" t="s">
        <v>79</v>
      </c>
      <c r="N18" s="13" t="s">
        <v>81</v>
      </c>
      <c r="O18" s="13" t="s">
        <v>82</v>
      </c>
      <c r="P18" s="13" t="s">
        <v>83</v>
      </c>
      <c r="Q18" s="13" t="s">
        <v>84</v>
      </c>
      <c r="R18" s="13" t="s">
        <v>86</v>
      </c>
      <c r="S18" s="13" t="s">
        <v>87</v>
      </c>
      <c r="T18" s="13" t="s">
        <v>88</v>
      </c>
      <c r="U18" s="13" t="s">
        <v>89</v>
      </c>
      <c r="V18" s="13" t="s">
        <v>90</v>
      </c>
      <c r="W18" s="13" t="s">
        <v>91</v>
      </c>
      <c r="X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78.0</v>
      </c>
      <c r="F19" s="19">
        <v>103.0</v>
      </c>
      <c r="G19" s="19">
        <v>115.0</v>
      </c>
      <c r="H19" s="19">
        <v>100.0</v>
      </c>
      <c r="I19" s="19">
        <v>98.0</v>
      </c>
      <c r="J19" s="19">
        <v>111.0</v>
      </c>
      <c r="K19" s="19">
        <v>116.0</v>
      </c>
      <c r="L19" s="19">
        <v>102.0</v>
      </c>
      <c r="M19" s="19">
        <v>112.0</v>
      </c>
      <c r="N19" s="19">
        <v>105.0</v>
      </c>
      <c r="O19" s="19">
        <v>99.0</v>
      </c>
      <c r="P19" s="19">
        <v>100.0</v>
      </c>
      <c r="Q19" s="19">
        <v>101.0</v>
      </c>
      <c r="R19" s="19">
        <v>84.0</v>
      </c>
      <c r="S19" s="19">
        <v>98.0</v>
      </c>
      <c r="T19" s="19">
        <v>104.0</v>
      </c>
      <c r="U19" s="19">
        <v>102.0</v>
      </c>
      <c r="V19" s="19">
        <v>112.0</v>
      </c>
      <c r="W19" s="19">
        <v>106.0</v>
      </c>
      <c r="X19" s="13">
        <f t="shared" ref="X19:X30" si="3">SUM(E19:W19)</f>
        <v>1946</v>
      </c>
    </row>
    <row r="20" ht="12.75" customHeight="1">
      <c r="A20" s="34"/>
      <c r="B20" s="27"/>
      <c r="C20" s="35"/>
      <c r="D20" s="19" t="s">
        <v>13</v>
      </c>
      <c r="E20" s="19">
        <v>115.0</v>
      </c>
      <c r="F20" s="19">
        <v>108.0</v>
      </c>
      <c r="G20" s="19">
        <v>112.0</v>
      </c>
      <c r="H20" s="19">
        <v>101.0</v>
      </c>
      <c r="I20" s="19">
        <v>118.0</v>
      </c>
      <c r="J20" s="19">
        <v>121.0</v>
      </c>
      <c r="K20" s="19">
        <v>103.0</v>
      </c>
      <c r="L20" s="19">
        <v>105.0</v>
      </c>
      <c r="M20" s="19">
        <v>112.0</v>
      </c>
      <c r="N20" s="19">
        <v>126.0</v>
      </c>
      <c r="O20" s="19">
        <v>114.0</v>
      </c>
      <c r="P20" s="19">
        <v>115.0</v>
      </c>
      <c r="Q20" s="19">
        <v>111.0</v>
      </c>
      <c r="R20" s="19">
        <v>91.0</v>
      </c>
      <c r="S20" s="19">
        <v>133.0</v>
      </c>
      <c r="T20" s="19">
        <v>120.0</v>
      </c>
      <c r="U20" s="19">
        <v>122.0</v>
      </c>
      <c r="V20" s="19">
        <v>131.0</v>
      </c>
      <c r="W20" s="19">
        <v>118.0</v>
      </c>
      <c r="X20" s="13">
        <f t="shared" si="3"/>
        <v>2176</v>
      </c>
    </row>
    <row r="21" ht="12.75" customHeight="1">
      <c r="A21" s="36"/>
      <c r="B21" s="28"/>
      <c r="C21" s="37"/>
      <c r="D21" s="13" t="s">
        <v>14</v>
      </c>
      <c r="E21" s="13">
        <f t="shared" ref="E21:W21" si="4">SUM(E19:E20)</f>
        <v>193</v>
      </c>
      <c r="F21" s="13">
        <f t="shared" si="4"/>
        <v>211</v>
      </c>
      <c r="G21" s="13">
        <f t="shared" si="4"/>
        <v>227</v>
      </c>
      <c r="H21" s="13">
        <f t="shared" si="4"/>
        <v>201</v>
      </c>
      <c r="I21" s="13">
        <f t="shared" si="4"/>
        <v>216</v>
      </c>
      <c r="J21" s="13">
        <f t="shared" si="4"/>
        <v>232</v>
      </c>
      <c r="K21" s="13">
        <f t="shared" si="4"/>
        <v>219</v>
      </c>
      <c r="L21" s="13">
        <f t="shared" si="4"/>
        <v>207</v>
      </c>
      <c r="M21" s="13">
        <f t="shared" si="4"/>
        <v>224</v>
      </c>
      <c r="N21" s="13">
        <f t="shared" si="4"/>
        <v>231</v>
      </c>
      <c r="O21" s="13">
        <f t="shared" si="4"/>
        <v>213</v>
      </c>
      <c r="P21" s="13">
        <f t="shared" si="4"/>
        <v>215</v>
      </c>
      <c r="Q21" s="13">
        <f t="shared" si="4"/>
        <v>212</v>
      </c>
      <c r="R21" s="13">
        <f t="shared" si="4"/>
        <v>175</v>
      </c>
      <c r="S21" s="13">
        <f t="shared" si="4"/>
        <v>231</v>
      </c>
      <c r="T21" s="13">
        <f t="shared" si="4"/>
        <v>224</v>
      </c>
      <c r="U21" s="13">
        <f t="shared" si="4"/>
        <v>224</v>
      </c>
      <c r="V21" s="13">
        <f t="shared" si="4"/>
        <v>243</v>
      </c>
      <c r="W21" s="13">
        <f t="shared" si="4"/>
        <v>224</v>
      </c>
      <c r="X21" s="13">
        <f t="shared" si="3"/>
        <v>4122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5.0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3">
        <f t="shared" si="3"/>
        <v>5</v>
      </c>
    </row>
    <row r="24" ht="12.75" customHeight="1">
      <c r="A24" s="36"/>
      <c r="B24" s="28"/>
      <c r="C24" s="37"/>
      <c r="D24" s="13" t="s">
        <v>14</v>
      </c>
      <c r="E24" s="13">
        <f t="shared" ref="E24:W24" si="5">SUM(E22:E23)</f>
        <v>0</v>
      </c>
      <c r="F24" s="13">
        <f t="shared" si="5"/>
        <v>6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3.0</v>
      </c>
      <c r="G25" s="19">
        <v>1.0</v>
      </c>
      <c r="H25" s="19">
        <v>3.0</v>
      </c>
      <c r="I25" s="19">
        <v>1.0</v>
      </c>
      <c r="J25" s="19">
        <v>2.0</v>
      </c>
      <c r="K25" s="19">
        <v>1.0</v>
      </c>
      <c r="L25" s="19">
        <v>1.0</v>
      </c>
      <c r="M25" s="19">
        <v>0.0</v>
      </c>
      <c r="N25" s="19">
        <v>3.0</v>
      </c>
      <c r="O25" s="19">
        <v>1.0</v>
      </c>
      <c r="P25" s="19">
        <v>1.0</v>
      </c>
      <c r="Q25" s="19">
        <v>0.0</v>
      </c>
      <c r="R25" s="19">
        <v>4.0</v>
      </c>
      <c r="S25" s="19">
        <v>1.0</v>
      </c>
      <c r="T25" s="19">
        <v>0.0</v>
      </c>
      <c r="U25" s="19">
        <v>0.0</v>
      </c>
      <c r="V25" s="19">
        <v>0.0</v>
      </c>
      <c r="W25" s="19">
        <v>2.0</v>
      </c>
      <c r="X25" s="13">
        <f t="shared" si="3"/>
        <v>24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4.0</v>
      </c>
      <c r="G26" s="19">
        <v>4.0</v>
      </c>
      <c r="H26" s="19">
        <v>7.0</v>
      </c>
      <c r="I26" s="19">
        <v>0.0</v>
      </c>
      <c r="J26" s="19">
        <v>1.0</v>
      </c>
      <c r="K26" s="19">
        <v>0.0</v>
      </c>
      <c r="L26" s="19">
        <v>0.0</v>
      </c>
      <c r="M26" s="19">
        <v>0.0</v>
      </c>
      <c r="N26" s="19">
        <v>2.0</v>
      </c>
      <c r="O26" s="19">
        <v>1.0</v>
      </c>
      <c r="P26" s="19">
        <v>1.0</v>
      </c>
      <c r="Q26" s="19">
        <v>2.0</v>
      </c>
      <c r="R26" s="19">
        <v>6.0</v>
      </c>
      <c r="S26" s="19">
        <v>0.0</v>
      </c>
      <c r="T26" s="19">
        <v>0.0</v>
      </c>
      <c r="U26" s="19">
        <v>0.0</v>
      </c>
      <c r="V26" s="19">
        <v>0.0</v>
      </c>
      <c r="W26" s="19">
        <v>2.0</v>
      </c>
      <c r="X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W27" si="6">SUM(E25:E26)</f>
        <v>0</v>
      </c>
      <c r="F27" s="13">
        <f t="shared" si="6"/>
        <v>7</v>
      </c>
      <c r="G27" s="13">
        <f t="shared" si="6"/>
        <v>5</v>
      </c>
      <c r="H27" s="13">
        <f t="shared" si="6"/>
        <v>10</v>
      </c>
      <c r="I27" s="13">
        <f t="shared" si="6"/>
        <v>1</v>
      </c>
      <c r="J27" s="13">
        <f t="shared" si="6"/>
        <v>3</v>
      </c>
      <c r="K27" s="13">
        <f t="shared" si="6"/>
        <v>1</v>
      </c>
      <c r="L27" s="13">
        <f t="shared" si="6"/>
        <v>1</v>
      </c>
      <c r="M27" s="13">
        <f t="shared" si="6"/>
        <v>0</v>
      </c>
      <c r="N27" s="13">
        <f t="shared" si="6"/>
        <v>5</v>
      </c>
      <c r="O27" s="13">
        <f t="shared" si="6"/>
        <v>2</v>
      </c>
      <c r="P27" s="13">
        <f t="shared" si="6"/>
        <v>2</v>
      </c>
      <c r="Q27" s="13">
        <f t="shared" si="6"/>
        <v>2</v>
      </c>
      <c r="R27" s="13">
        <f t="shared" si="6"/>
        <v>10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4</v>
      </c>
      <c r="X27" s="13">
        <f t="shared" si="3"/>
        <v>54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W28" si="7">SUM(E19,E22,E25)</f>
        <v>78</v>
      </c>
      <c r="F28" s="13">
        <f t="shared" si="7"/>
        <v>107</v>
      </c>
      <c r="G28" s="13">
        <f t="shared" si="7"/>
        <v>116</v>
      </c>
      <c r="H28" s="13">
        <f t="shared" si="7"/>
        <v>103</v>
      </c>
      <c r="I28" s="13">
        <f t="shared" si="7"/>
        <v>99</v>
      </c>
      <c r="J28" s="13">
        <f t="shared" si="7"/>
        <v>113</v>
      </c>
      <c r="K28" s="13">
        <f t="shared" si="7"/>
        <v>117</v>
      </c>
      <c r="L28" s="13">
        <f t="shared" si="7"/>
        <v>103</v>
      </c>
      <c r="M28" s="13">
        <f t="shared" si="7"/>
        <v>112</v>
      </c>
      <c r="N28" s="13">
        <f t="shared" si="7"/>
        <v>108</v>
      </c>
      <c r="O28" s="13">
        <f t="shared" si="7"/>
        <v>100</v>
      </c>
      <c r="P28" s="13">
        <f t="shared" si="7"/>
        <v>101</v>
      </c>
      <c r="Q28" s="13">
        <f t="shared" si="7"/>
        <v>101</v>
      </c>
      <c r="R28" s="13">
        <f t="shared" si="7"/>
        <v>88</v>
      </c>
      <c r="S28" s="13">
        <f t="shared" si="7"/>
        <v>99</v>
      </c>
      <c r="T28" s="13">
        <f t="shared" si="7"/>
        <v>104</v>
      </c>
      <c r="U28" s="13">
        <f t="shared" si="7"/>
        <v>102</v>
      </c>
      <c r="V28" s="13">
        <f t="shared" si="7"/>
        <v>112</v>
      </c>
      <c r="W28" s="13">
        <f t="shared" si="7"/>
        <v>108</v>
      </c>
      <c r="X28" s="13">
        <f t="shared" si="3"/>
        <v>1971</v>
      </c>
    </row>
    <row r="29" ht="12.75" customHeight="1">
      <c r="A29" s="36"/>
      <c r="B29" s="27"/>
      <c r="C29" s="35"/>
      <c r="D29" s="13" t="s">
        <v>13</v>
      </c>
      <c r="E29" s="13">
        <f t="shared" ref="E29:W29" si="8">SUM(E20,E23,E26)</f>
        <v>115</v>
      </c>
      <c r="F29" s="13">
        <f t="shared" si="8"/>
        <v>117</v>
      </c>
      <c r="G29" s="13">
        <f t="shared" si="8"/>
        <v>116</v>
      </c>
      <c r="H29" s="13">
        <f t="shared" si="8"/>
        <v>108</v>
      </c>
      <c r="I29" s="13">
        <f t="shared" si="8"/>
        <v>118</v>
      </c>
      <c r="J29" s="13">
        <f t="shared" si="8"/>
        <v>122</v>
      </c>
      <c r="K29" s="13">
        <f t="shared" si="8"/>
        <v>103</v>
      </c>
      <c r="L29" s="13">
        <f t="shared" si="8"/>
        <v>105</v>
      </c>
      <c r="M29" s="13">
        <f t="shared" si="8"/>
        <v>112</v>
      </c>
      <c r="N29" s="13">
        <f t="shared" si="8"/>
        <v>128</v>
      </c>
      <c r="O29" s="13">
        <f t="shared" si="8"/>
        <v>115</v>
      </c>
      <c r="P29" s="13">
        <f t="shared" si="8"/>
        <v>116</v>
      </c>
      <c r="Q29" s="13">
        <f t="shared" si="8"/>
        <v>113</v>
      </c>
      <c r="R29" s="13">
        <f t="shared" si="8"/>
        <v>97</v>
      </c>
      <c r="S29" s="13">
        <f t="shared" si="8"/>
        <v>133</v>
      </c>
      <c r="T29" s="13">
        <f t="shared" si="8"/>
        <v>120</v>
      </c>
      <c r="U29" s="13">
        <f t="shared" si="8"/>
        <v>122</v>
      </c>
      <c r="V29" s="13">
        <f t="shared" si="8"/>
        <v>131</v>
      </c>
      <c r="W29" s="13">
        <f t="shared" si="8"/>
        <v>120</v>
      </c>
      <c r="X29" s="13">
        <f t="shared" si="3"/>
        <v>2211</v>
      </c>
    </row>
    <row r="30" ht="12.75" customHeight="1">
      <c r="A30" s="36"/>
      <c r="B30" s="28"/>
      <c r="C30" s="37"/>
      <c r="D30" s="13" t="s">
        <v>14</v>
      </c>
      <c r="E30" s="13">
        <f t="shared" ref="E30:W30" si="9">SUM(E28:E29)</f>
        <v>193</v>
      </c>
      <c r="F30" s="13">
        <f t="shared" si="9"/>
        <v>224</v>
      </c>
      <c r="G30" s="13">
        <f t="shared" si="9"/>
        <v>232</v>
      </c>
      <c r="H30" s="13">
        <f t="shared" si="9"/>
        <v>211</v>
      </c>
      <c r="I30" s="13">
        <f t="shared" si="9"/>
        <v>217</v>
      </c>
      <c r="J30" s="13">
        <f t="shared" si="9"/>
        <v>235</v>
      </c>
      <c r="K30" s="13">
        <f t="shared" si="9"/>
        <v>220</v>
      </c>
      <c r="L30" s="13">
        <f t="shared" si="9"/>
        <v>208</v>
      </c>
      <c r="M30" s="13">
        <f t="shared" si="9"/>
        <v>224</v>
      </c>
      <c r="N30" s="13">
        <f t="shared" si="9"/>
        <v>236</v>
      </c>
      <c r="O30" s="13">
        <f t="shared" si="9"/>
        <v>215</v>
      </c>
      <c r="P30" s="13">
        <f t="shared" si="9"/>
        <v>217</v>
      </c>
      <c r="Q30" s="13">
        <f t="shared" si="9"/>
        <v>214</v>
      </c>
      <c r="R30" s="13">
        <f t="shared" si="9"/>
        <v>185</v>
      </c>
      <c r="S30" s="13">
        <f t="shared" si="9"/>
        <v>232</v>
      </c>
      <c r="T30" s="13">
        <f t="shared" si="9"/>
        <v>224</v>
      </c>
      <c r="U30" s="13">
        <f t="shared" si="9"/>
        <v>224</v>
      </c>
      <c r="V30" s="13">
        <f t="shared" si="9"/>
        <v>243</v>
      </c>
      <c r="W30" s="13">
        <f t="shared" si="9"/>
        <v>228</v>
      </c>
      <c r="X30" s="13">
        <f t="shared" si="3"/>
        <v>4182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1"/>
    </row>
    <row r="32" ht="12.75" customHeight="1">
      <c r="A32" s="43" t="s">
        <v>25</v>
      </c>
      <c r="B32" s="14" t="s">
        <v>26</v>
      </c>
      <c r="C32" s="15"/>
      <c r="D32" s="16"/>
      <c r="E32" s="63" t="s">
        <v>70</v>
      </c>
      <c r="F32" s="63" t="s">
        <v>71</v>
      </c>
      <c r="G32" s="63" t="s">
        <v>72</v>
      </c>
      <c r="H32" s="63" t="s">
        <v>73</v>
      </c>
      <c r="I32" s="63" t="s">
        <v>74</v>
      </c>
      <c r="J32" s="63" t="s">
        <v>75</v>
      </c>
      <c r="K32" s="63" t="s">
        <v>77</v>
      </c>
      <c r="L32" s="63" t="s">
        <v>78</v>
      </c>
      <c r="M32" s="63" t="s">
        <v>79</v>
      </c>
      <c r="N32" s="63" t="s">
        <v>81</v>
      </c>
      <c r="O32" s="63" t="s">
        <v>82</v>
      </c>
      <c r="P32" s="63" t="s">
        <v>83</v>
      </c>
      <c r="Q32" s="63" t="s">
        <v>84</v>
      </c>
      <c r="R32" s="63" t="s">
        <v>86</v>
      </c>
      <c r="S32" s="63" t="s">
        <v>87</v>
      </c>
      <c r="T32" s="63" t="s">
        <v>88</v>
      </c>
      <c r="U32" s="63" t="s">
        <v>89</v>
      </c>
      <c r="V32" s="63" t="s">
        <v>90</v>
      </c>
      <c r="W32" s="63" t="s">
        <v>91</v>
      </c>
      <c r="X32" s="61"/>
    </row>
    <row r="33" ht="12.75" customHeight="1">
      <c r="A33" s="19">
        <v>1.0</v>
      </c>
      <c r="B33" s="20" t="s">
        <v>27</v>
      </c>
      <c r="C33" s="15"/>
      <c r="D33" s="16"/>
      <c r="E33" s="65">
        <v>274.0</v>
      </c>
      <c r="F33" s="65">
        <v>280.0</v>
      </c>
      <c r="G33" s="65">
        <v>289.0</v>
      </c>
      <c r="H33" s="65">
        <v>269.0</v>
      </c>
      <c r="I33" s="65">
        <v>278.0</v>
      </c>
      <c r="J33" s="65">
        <v>272.0</v>
      </c>
      <c r="K33" s="65">
        <v>278.0</v>
      </c>
      <c r="L33" s="65">
        <v>262.0</v>
      </c>
      <c r="M33" s="65">
        <v>288.0</v>
      </c>
      <c r="N33" s="65">
        <v>288.0</v>
      </c>
      <c r="O33" s="65">
        <v>291.0</v>
      </c>
      <c r="P33" s="65">
        <v>287.0</v>
      </c>
      <c r="Q33" s="65">
        <v>284.0</v>
      </c>
      <c r="R33" s="65">
        <v>272.0</v>
      </c>
      <c r="S33" s="65">
        <v>288.0</v>
      </c>
      <c r="T33" s="19">
        <v>287.0</v>
      </c>
      <c r="U33" s="19">
        <v>287.0</v>
      </c>
      <c r="V33" s="19">
        <v>295.0</v>
      </c>
      <c r="W33" s="19">
        <v>292.0</v>
      </c>
      <c r="X33" s="13">
        <f t="shared" ref="X33:X36" si="10">SUM(E33:W33)</f>
        <v>5361</v>
      </c>
    </row>
    <row r="34" ht="12.75" customHeight="1">
      <c r="A34" s="19">
        <v>2.0</v>
      </c>
      <c r="B34" s="20" t="s">
        <v>28</v>
      </c>
      <c r="C34" s="15"/>
      <c r="D34" s="16"/>
      <c r="E34" s="65">
        <v>193.0</v>
      </c>
      <c r="F34" s="65">
        <v>224.0</v>
      </c>
      <c r="G34" s="65">
        <v>232.0</v>
      </c>
      <c r="H34" s="65">
        <v>211.0</v>
      </c>
      <c r="I34" s="65">
        <v>217.0</v>
      </c>
      <c r="J34" s="65">
        <v>235.0</v>
      </c>
      <c r="K34" s="65">
        <v>220.0</v>
      </c>
      <c r="L34" s="65">
        <v>208.0</v>
      </c>
      <c r="M34" s="65">
        <v>224.0</v>
      </c>
      <c r="N34" s="65">
        <v>236.0</v>
      </c>
      <c r="O34" s="65">
        <v>215.0</v>
      </c>
      <c r="P34" s="65">
        <v>217.0</v>
      </c>
      <c r="Q34" s="65">
        <v>214.0</v>
      </c>
      <c r="R34" s="65">
        <v>185.0</v>
      </c>
      <c r="S34" s="65">
        <v>232.0</v>
      </c>
      <c r="T34" s="13">
        <v>224.0</v>
      </c>
      <c r="U34" s="13">
        <v>224.0</v>
      </c>
      <c r="V34" s="13">
        <v>243.0</v>
      </c>
      <c r="W34" s="13">
        <v>228.0</v>
      </c>
      <c r="X34" s="13">
        <f t="shared" si="10"/>
        <v>4182</v>
      </c>
    </row>
    <row r="35" ht="12.75" customHeight="1">
      <c r="A35" s="19">
        <v>3.0</v>
      </c>
      <c r="B35" s="20" t="s">
        <v>29</v>
      </c>
      <c r="C35" s="15"/>
      <c r="D35" s="16"/>
      <c r="E35" s="65">
        <v>2.0</v>
      </c>
      <c r="F35" s="65">
        <v>0.0</v>
      </c>
      <c r="G35" s="65">
        <v>0.0</v>
      </c>
      <c r="H35" s="65">
        <v>0.0</v>
      </c>
      <c r="I35" s="65">
        <v>1.0</v>
      </c>
      <c r="J35" s="65">
        <v>0.0</v>
      </c>
      <c r="K35" s="65">
        <v>1.0</v>
      </c>
      <c r="L35" s="65">
        <v>0.0</v>
      </c>
      <c r="M35" s="65">
        <v>0.0</v>
      </c>
      <c r="N35" s="65">
        <v>0.0</v>
      </c>
      <c r="O35" s="65">
        <v>1.0</v>
      </c>
      <c r="P35" s="65">
        <v>0.0</v>
      </c>
      <c r="Q35" s="65">
        <v>0.0</v>
      </c>
      <c r="R35" s="65">
        <v>0.0</v>
      </c>
      <c r="S35" s="65">
        <v>0.0</v>
      </c>
      <c r="T35" s="19">
        <v>0.0</v>
      </c>
      <c r="U35" s="19">
        <v>0.0</v>
      </c>
      <c r="V35" s="19">
        <v>1.0</v>
      </c>
      <c r="W35" s="19">
        <v>0.0</v>
      </c>
      <c r="X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79</v>
      </c>
      <c r="F36" s="13">
        <f t="shared" si="11"/>
        <v>56</v>
      </c>
      <c r="G36" s="13">
        <f t="shared" si="11"/>
        <v>57</v>
      </c>
      <c r="H36" s="13">
        <f t="shared" si="11"/>
        <v>58</v>
      </c>
      <c r="I36" s="13">
        <f t="shared" si="11"/>
        <v>60</v>
      </c>
      <c r="J36" s="13">
        <f t="shared" si="11"/>
        <v>37</v>
      </c>
      <c r="K36" s="13">
        <f t="shared" si="11"/>
        <v>57</v>
      </c>
      <c r="L36" s="13">
        <f t="shared" si="11"/>
        <v>54</v>
      </c>
      <c r="M36" s="13">
        <f t="shared" si="11"/>
        <v>64</v>
      </c>
      <c r="N36" s="13">
        <f t="shared" si="11"/>
        <v>52</v>
      </c>
      <c r="O36" s="13">
        <f t="shared" si="11"/>
        <v>75</v>
      </c>
      <c r="P36" s="13">
        <f t="shared" si="11"/>
        <v>70</v>
      </c>
      <c r="Q36" s="13">
        <f t="shared" si="11"/>
        <v>70</v>
      </c>
      <c r="R36" s="13">
        <f t="shared" si="11"/>
        <v>87</v>
      </c>
      <c r="S36" s="13">
        <f t="shared" si="11"/>
        <v>56</v>
      </c>
      <c r="T36" s="13">
        <f t="shared" si="11"/>
        <v>63</v>
      </c>
      <c r="U36" s="13">
        <f t="shared" si="11"/>
        <v>63</v>
      </c>
      <c r="V36" s="13">
        <f t="shared" si="11"/>
        <v>51</v>
      </c>
      <c r="W36" s="13">
        <f t="shared" si="11"/>
        <v>64</v>
      </c>
      <c r="X36" s="13">
        <f t="shared" si="10"/>
        <v>1173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1"/>
    </row>
    <row r="38" ht="12.75" customHeight="1">
      <c r="A38" s="44" t="s">
        <v>31</v>
      </c>
      <c r="B38" s="14" t="s">
        <v>32</v>
      </c>
      <c r="C38" s="15"/>
      <c r="D38" s="16"/>
      <c r="E38" s="63" t="s">
        <v>70</v>
      </c>
      <c r="F38" s="63" t="s">
        <v>71</v>
      </c>
      <c r="G38" s="63" t="s">
        <v>72</v>
      </c>
      <c r="H38" s="63" t="s">
        <v>73</v>
      </c>
      <c r="I38" s="63" t="s">
        <v>74</v>
      </c>
      <c r="J38" s="63" t="s">
        <v>75</v>
      </c>
      <c r="K38" s="63" t="s">
        <v>77</v>
      </c>
      <c r="L38" s="63" t="s">
        <v>78</v>
      </c>
      <c r="M38" s="63" t="s">
        <v>79</v>
      </c>
      <c r="N38" s="63" t="s">
        <v>81</v>
      </c>
      <c r="O38" s="63" t="s">
        <v>82</v>
      </c>
      <c r="P38" s="63" t="s">
        <v>83</v>
      </c>
      <c r="Q38" s="63" t="s">
        <v>84</v>
      </c>
      <c r="R38" s="63" t="s">
        <v>86</v>
      </c>
      <c r="S38" s="63" t="s">
        <v>87</v>
      </c>
      <c r="T38" s="63" t="s">
        <v>88</v>
      </c>
      <c r="U38" s="63" t="s">
        <v>89</v>
      </c>
      <c r="V38" s="63" t="s">
        <v>90</v>
      </c>
      <c r="W38" s="63" t="s">
        <v>91</v>
      </c>
      <c r="X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3.0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3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1</v>
      </c>
    </row>
    <row r="41" ht="12.75" customHeight="1">
      <c r="A41" s="43"/>
      <c r="B41" s="46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4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13"/>
    </row>
    <row r="43" ht="12.75" customHeight="1">
      <c r="A43" s="44" t="s">
        <v>34</v>
      </c>
      <c r="B43" s="14" t="s">
        <v>35</v>
      </c>
      <c r="C43" s="15"/>
      <c r="D43" s="16"/>
      <c r="E43" s="63" t="s">
        <v>70</v>
      </c>
      <c r="F43" s="63" t="s">
        <v>71</v>
      </c>
      <c r="G43" s="63" t="s">
        <v>72</v>
      </c>
      <c r="H43" s="63" t="s">
        <v>73</v>
      </c>
      <c r="I43" s="63" t="s">
        <v>74</v>
      </c>
      <c r="J43" s="63" t="s">
        <v>75</v>
      </c>
      <c r="K43" s="63" t="s">
        <v>77</v>
      </c>
      <c r="L43" s="63" t="s">
        <v>78</v>
      </c>
      <c r="M43" s="63" t="s">
        <v>79</v>
      </c>
      <c r="N43" s="63" t="s">
        <v>81</v>
      </c>
      <c r="O43" s="63" t="s">
        <v>82</v>
      </c>
      <c r="P43" s="63" t="s">
        <v>83</v>
      </c>
      <c r="Q43" s="63" t="s">
        <v>84</v>
      </c>
      <c r="R43" s="63" t="s">
        <v>86</v>
      </c>
      <c r="S43" s="63" t="s">
        <v>87</v>
      </c>
      <c r="T43" s="63" t="s">
        <v>88</v>
      </c>
      <c r="U43" s="63" t="s">
        <v>89</v>
      </c>
      <c r="V43" s="63" t="s">
        <v>90</v>
      </c>
      <c r="W43" s="63" t="s">
        <v>91</v>
      </c>
      <c r="X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9"/>
      <c r="W44" s="19"/>
      <c r="X44" s="13"/>
    </row>
    <row r="45" ht="12.75" customHeight="1">
      <c r="A45" s="31"/>
      <c r="B45" s="49" t="s">
        <v>17</v>
      </c>
      <c r="C45" s="62" t="s">
        <v>38</v>
      </c>
      <c r="D45" s="16"/>
      <c r="E45" s="19">
        <v>12.0</v>
      </c>
      <c r="F45" s="19">
        <v>16.0</v>
      </c>
      <c r="G45" s="19">
        <v>13.0</v>
      </c>
      <c r="H45" s="19">
        <v>14.0</v>
      </c>
      <c r="I45" s="19">
        <v>16.0</v>
      </c>
      <c r="J45" s="19">
        <v>24.0</v>
      </c>
      <c r="K45" s="19">
        <v>11.0</v>
      </c>
      <c r="L45" s="19">
        <v>6.0</v>
      </c>
      <c r="M45" s="19">
        <v>26.0</v>
      </c>
      <c r="N45" s="19">
        <v>19.0</v>
      </c>
      <c r="O45" s="19">
        <v>11.0</v>
      </c>
      <c r="P45" s="19">
        <v>5.0</v>
      </c>
      <c r="Q45" s="19">
        <v>9.0</v>
      </c>
      <c r="R45" s="19">
        <v>10.0</v>
      </c>
      <c r="S45" s="19">
        <v>14.0</v>
      </c>
      <c r="T45" s="19">
        <v>29.0</v>
      </c>
      <c r="U45" s="19">
        <v>13.0</v>
      </c>
      <c r="V45" s="19">
        <v>34.0</v>
      </c>
      <c r="W45" s="19">
        <v>26.0</v>
      </c>
      <c r="X45" s="13">
        <f t="shared" ref="X45:X57" si="14">SUM(E45:W45)</f>
        <v>308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28.0</v>
      </c>
      <c r="F46" s="19">
        <v>25.0</v>
      </c>
      <c r="G46" s="19">
        <v>30.0</v>
      </c>
      <c r="H46" s="19">
        <v>43.0</v>
      </c>
      <c r="I46" s="19">
        <v>40.0</v>
      </c>
      <c r="J46" s="19">
        <v>43.0</v>
      </c>
      <c r="K46" s="19">
        <v>36.0</v>
      </c>
      <c r="L46" s="19">
        <v>32.0</v>
      </c>
      <c r="M46" s="19">
        <v>40.0</v>
      </c>
      <c r="N46" s="19">
        <v>49.0</v>
      </c>
      <c r="O46" s="19">
        <v>37.0</v>
      </c>
      <c r="P46" s="19">
        <v>37.0</v>
      </c>
      <c r="Q46" s="19">
        <v>30.0</v>
      </c>
      <c r="R46" s="19">
        <v>29.0</v>
      </c>
      <c r="S46" s="19">
        <v>39.0</v>
      </c>
      <c r="T46" s="19">
        <v>35.0</v>
      </c>
      <c r="U46" s="19">
        <v>33.0</v>
      </c>
      <c r="V46" s="19">
        <v>44.0</v>
      </c>
      <c r="W46" s="19">
        <v>45.0</v>
      </c>
      <c r="X46" s="13">
        <f t="shared" si="14"/>
        <v>695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14.0</v>
      </c>
      <c r="F47" s="19">
        <v>16.0</v>
      </c>
      <c r="G47" s="19">
        <v>11.0</v>
      </c>
      <c r="H47" s="19">
        <v>10.0</v>
      </c>
      <c r="I47" s="19">
        <v>22.0</v>
      </c>
      <c r="J47" s="19">
        <v>16.0</v>
      </c>
      <c r="K47" s="19">
        <v>12.0</v>
      </c>
      <c r="L47" s="19">
        <v>9.0</v>
      </c>
      <c r="M47" s="19">
        <v>12.0</v>
      </c>
      <c r="N47" s="19">
        <v>14.0</v>
      </c>
      <c r="O47" s="19">
        <v>10.0</v>
      </c>
      <c r="P47" s="19">
        <v>12.0</v>
      </c>
      <c r="Q47" s="19">
        <v>17.0</v>
      </c>
      <c r="R47" s="19">
        <v>13.0</v>
      </c>
      <c r="S47" s="19">
        <v>23.0</v>
      </c>
      <c r="T47" s="19">
        <v>11.0</v>
      </c>
      <c r="U47" s="19">
        <v>14.0</v>
      </c>
      <c r="V47" s="19">
        <v>16.0</v>
      </c>
      <c r="W47" s="19">
        <v>17.0</v>
      </c>
      <c r="X47" s="13">
        <f t="shared" si="14"/>
        <v>269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25.0</v>
      </c>
      <c r="F48" s="19">
        <v>16.0</v>
      </c>
      <c r="G48" s="19">
        <v>16.0</v>
      </c>
      <c r="H48" s="19">
        <v>17.0</v>
      </c>
      <c r="I48" s="19">
        <v>17.0</v>
      </c>
      <c r="J48" s="19">
        <v>29.0</v>
      </c>
      <c r="K48" s="19">
        <v>25.0</v>
      </c>
      <c r="L48" s="19">
        <v>22.0</v>
      </c>
      <c r="M48" s="19">
        <v>21.0</v>
      </c>
      <c r="N48" s="19">
        <v>18.0</v>
      </c>
      <c r="O48" s="19">
        <v>24.0</v>
      </c>
      <c r="P48" s="19">
        <v>24.0</v>
      </c>
      <c r="Q48" s="19">
        <v>15.0</v>
      </c>
      <c r="R48" s="19">
        <v>28.0</v>
      </c>
      <c r="S48" s="19">
        <v>24.0</v>
      </c>
      <c r="T48" s="19">
        <v>23.0</v>
      </c>
      <c r="U48" s="19">
        <v>16.0</v>
      </c>
      <c r="V48" s="19">
        <v>28.0</v>
      </c>
      <c r="W48" s="19">
        <v>17.0</v>
      </c>
      <c r="X48" s="13">
        <f t="shared" si="14"/>
        <v>405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21.0</v>
      </c>
      <c r="F49" s="19">
        <v>18.0</v>
      </c>
      <c r="G49" s="19">
        <v>17.0</v>
      </c>
      <c r="H49" s="19">
        <v>13.0</v>
      </c>
      <c r="I49" s="19">
        <v>21.0</v>
      </c>
      <c r="J49" s="19">
        <v>9.0</v>
      </c>
      <c r="K49" s="19">
        <v>21.0</v>
      </c>
      <c r="L49" s="19">
        <v>15.0</v>
      </c>
      <c r="M49" s="19">
        <v>17.0</v>
      </c>
      <c r="N49" s="19">
        <v>25.0</v>
      </c>
      <c r="O49" s="19">
        <v>22.0</v>
      </c>
      <c r="P49" s="19">
        <v>36.0</v>
      </c>
      <c r="Q49" s="19">
        <v>21.0</v>
      </c>
      <c r="R49" s="19">
        <v>21.0</v>
      </c>
      <c r="S49" s="19">
        <v>14.0</v>
      </c>
      <c r="T49" s="19">
        <v>19.0</v>
      </c>
      <c r="U49" s="19">
        <v>25.0</v>
      </c>
      <c r="V49" s="19">
        <v>20.0</v>
      </c>
      <c r="W49" s="19">
        <v>16.0</v>
      </c>
      <c r="X49" s="13">
        <f t="shared" si="14"/>
        <v>371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10.0</v>
      </c>
      <c r="F50" s="19">
        <v>22.0</v>
      </c>
      <c r="G50" s="19">
        <v>19.0</v>
      </c>
      <c r="H50" s="19">
        <v>16.0</v>
      </c>
      <c r="I50" s="19">
        <v>9.0</v>
      </c>
      <c r="J50" s="19">
        <v>12.0</v>
      </c>
      <c r="K50" s="19">
        <v>10.0</v>
      </c>
      <c r="L50" s="19">
        <v>17.0</v>
      </c>
      <c r="M50" s="19">
        <v>17.0</v>
      </c>
      <c r="N50" s="19">
        <v>18.0</v>
      </c>
      <c r="O50" s="19">
        <v>11.0</v>
      </c>
      <c r="P50" s="19">
        <v>16.0</v>
      </c>
      <c r="Q50" s="19">
        <v>17.0</v>
      </c>
      <c r="R50" s="19">
        <v>10.0</v>
      </c>
      <c r="S50" s="19">
        <v>15.0</v>
      </c>
      <c r="T50" s="19">
        <v>14.0</v>
      </c>
      <c r="U50" s="19">
        <v>13.0</v>
      </c>
      <c r="V50" s="19">
        <v>13.0</v>
      </c>
      <c r="W50" s="19">
        <v>14.0</v>
      </c>
      <c r="X50" s="13">
        <f t="shared" si="14"/>
        <v>273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3.0</v>
      </c>
      <c r="F51" s="19">
        <v>4.0</v>
      </c>
      <c r="G51" s="19">
        <v>2.0</v>
      </c>
      <c r="H51" s="19">
        <v>0.0</v>
      </c>
      <c r="I51" s="19">
        <v>3.0</v>
      </c>
      <c r="J51" s="19">
        <v>4.0</v>
      </c>
      <c r="K51" s="19">
        <v>1.0</v>
      </c>
      <c r="L51" s="19">
        <v>3.0</v>
      </c>
      <c r="M51" s="19">
        <v>3.0</v>
      </c>
      <c r="N51" s="19">
        <v>3.0</v>
      </c>
      <c r="O51" s="19">
        <v>2.0</v>
      </c>
      <c r="P51" s="19">
        <v>1.0</v>
      </c>
      <c r="Q51" s="19">
        <v>0.0</v>
      </c>
      <c r="R51" s="19">
        <v>4.0</v>
      </c>
      <c r="S51" s="19">
        <v>5.0</v>
      </c>
      <c r="T51" s="19">
        <v>5.0</v>
      </c>
      <c r="U51" s="19">
        <v>3.0</v>
      </c>
      <c r="V51" s="19">
        <v>2.0</v>
      </c>
      <c r="W51" s="19">
        <v>0.0</v>
      </c>
      <c r="X51" s="13">
        <f t="shared" si="14"/>
        <v>48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2.0</v>
      </c>
      <c r="F52" s="19">
        <v>2.0</v>
      </c>
      <c r="G52" s="19">
        <v>4.0</v>
      </c>
      <c r="H52" s="19">
        <v>1.0</v>
      </c>
      <c r="I52" s="19">
        <v>1.0</v>
      </c>
      <c r="J52" s="19">
        <v>1.0</v>
      </c>
      <c r="K52" s="19">
        <v>3.0</v>
      </c>
      <c r="L52" s="19">
        <v>5.0</v>
      </c>
      <c r="M52" s="19">
        <v>2.0</v>
      </c>
      <c r="N52" s="19">
        <v>3.0</v>
      </c>
      <c r="O52" s="19">
        <v>6.0</v>
      </c>
      <c r="P52" s="19">
        <v>5.0</v>
      </c>
      <c r="Q52" s="19">
        <v>3.0</v>
      </c>
      <c r="R52" s="19">
        <v>1.0</v>
      </c>
      <c r="S52" s="19">
        <v>9.0</v>
      </c>
      <c r="T52" s="19">
        <v>5.0</v>
      </c>
      <c r="U52" s="19">
        <v>1.0</v>
      </c>
      <c r="V52" s="19">
        <v>0.0</v>
      </c>
      <c r="W52" s="19">
        <v>1.0</v>
      </c>
      <c r="X52" s="13">
        <f t="shared" si="14"/>
        <v>55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1.0</v>
      </c>
      <c r="F53" s="19">
        <v>2.0</v>
      </c>
      <c r="G53" s="19">
        <v>2.0</v>
      </c>
      <c r="H53" s="19">
        <v>0.0</v>
      </c>
      <c r="I53" s="19">
        <v>1.0</v>
      </c>
      <c r="J53" s="19">
        <v>1.0</v>
      </c>
      <c r="K53" s="19">
        <v>2.0</v>
      </c>
      <c r="L53" s="19">
        <v>1.0</v>
      </c>
      <c r="M53" s="19">
        <v>0.0</v>
      </c>
      <c r="N53" s="19">
        <v>2.0</v>
      </c>
      <c r="O53" s="19">
        <v>1.0</v>
      </c>
      <c r="P53" s="19">
        <v>1.0</v>
      </c>
      <c r="Q53" s="19">
        <v>2.0</v>
      </c>
      <c r="R53" s="19">
        <v>1.0</v>
      </c>
      <c r="S53" s="19">
        <v>1.0</v>
      </c>
      <c r="T53" s="19">
        <v>0.0</v>
      </c>
      <c r="U53" s="19">
        <v>0.0</v>
      </c>
      <c r="V53" s="19">
        <v>0.0</v>
      </c>
      <c r="W53" s="19">
        <v>0.0</v>
      </c>
      <c r="X53" s="13">
        <f t="shared" si="14"/>
        <v>18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15.0</v>
      </c>
      <c r="F54" s="19">
        <v>21.0</v>
      </c>
      <c r="G54" s="19">
        <v>24.0</v>
      </c>
      <c r="H54" s="19">
        <v>22.0</v>
      </c>
      <c r="I54" s="19">
        <v>17.0</v>
      </c>
      <c r="J54" s="19">
        <v>17.0</v>
      </c>
      <c r="K54" s="19">
        <v>16.0</v>
      </c>
      <c r="L54" s="19">
        <v>18.0</v>
      </c>
      <c r="M54" s="19">
        <v>12.0</v>
      </c>
      <c r="N54" s="19">
        <v>15.0</v>
      </c>
      <c r="O54" s="19">
        <v>27.0</v>
      </c>
      <c r="P54" s="19">
        <v>31.0</v>
      </c>
      <c r="Q54" s="19">
        <v>30.0</v>
      </c>
      <c r="R54" s="19">
        <v>22.0</v>
      </c>
      <c r="S54" s="19">
        <v>18.0</v>
      </c>
      <c r="T54" s="19">
        <v>23.0</v>
      </c>
      <c r="U54" s="19">
        <v>40.0</v>
      </c>
      <c r="V54" s="19">
        <v>26.0</v>
      </c>
      <c r="W54" s="19">
        <v>28.0</v>
      </c>
      <c r="X54" s="13">
        <f t="shared" si="14"/>
        <v>422</v>
      </c>
    </row>
    <row r="55" ht="15.0" customHeight="1">
      <c r="A55" s="18"/>
      <c r="B55" s="49" t="s">
        <v>54</v>
      </c>
      <c r="C55" s="62" t="s">
        <v>55</v>
      </c>
      <c r="D55" s="16"/>
      <c r="E55" s="19">
        <v>1.0</v>
      </c>
      <c r="F55" s="19">
        <v>0.0</v>
      </c>
      <c r="G55" s="19">
        <v>1.0</v>
      </c>
      <c r="H55" s="19">
        <v>2.0</v>
      </c>
      <c r="I55" s="19">
        <v>0.0</v>
      </c>
      <c r="J55" s="19">
        <v>0.0</v>
      </c>
      <c r="K55" s="19">
        <v>0.0</v>
      </c>
      <c r="L55" s="19">
        <v>1.0</v>
      </c>
      <c r="M55" s="19">
        <v>0.0</v>
      </c>
      <c r="N55" s="19">
        <v>0.0</v>
      </c>
      <c r="O55" s="19">
        <v>0.0</v>
      </c>
      <c r="P55" s="19">
        <v>2.0</v>
      </c>
      <c r="Q55" s="19">
        <v>4.0</v>
      </c>
      <c r="R55" s="19">
        <v>2.0</v>
      </c>
      <c r="S55" s="19">
        <v>0.0</v>
      </c>
      <c r="T55" s="19">
        <v>1.0</v>
      </c>
      <c r="U55" s="19">
        <v>1.0</v>
      </c>
      <c r="V55" s="19">
        <v>3.0</v>
      </c>
      <c r="W55" s="19">
        <v>0.0</v>
      </c>
      <c r="X55" s="13">
        <f t="shared" si="14"/>
        <v>18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12.0</v>
      </c>
      <c r="F56" s="19">
        <v>22.0</v>
      </c>
      <c r="G56" s="19">
        <v>30.0</v>
      </c>
      <c r="H56" s="19">
        <v>20.0</v>
      </c>
      <c r="I56" s="19">
        <v>19.0</v>
      </c>
      <c r="J56" s="19">
        <v>32.0</v>
      </c>
      <c r="K56" s="19">
        <v>25.0</v>
      </c>
      <c r="L56" s="19">
        <v>18.0</v>
      </c>
      <c r="M56" s="19">
        <v>15.0</v>
      </c>
      <c r="N56" s="19">
        <v>16.0</v>
      </c>
      <c r="O56" s="19">
        <v>17.0</v>
      </c>
      <c r="P56" s="19">
        <v>18.0</v>
      </c>
      <c r="Q56" s="19">
        <v>27.0</v>
      </c>
      <c r="R56" s="19">
        <v>16.0</v>
      </c>
      <c r="S56" s="19">
        <v>17.0</v>
      </c>
      <c r="T56" s="19">
        <v>17.0</v>
      </c>
      <c r="U56" s="19">
        <v>25.0</v>
      </c>
      <c r="V56" s="19">
        <v>16.0</v>
      </c>
      <c r="W56" s="19">
        <v>12.0</v>
      </c>
      <c r="X56" s="13">
        <f t="shared" si="14"/>
        <v>374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1.0</v>
      </c>
      <c r="F57" s="19">
        <v>5.0</v>
      </c>
      <c r="G57" s="19">
        <v>2.0</v>
      </c>
      <c r="H57" s="19">
        <v>2.0</v>
      </c>
      <c r="I57" s="19">
        <v>2.0</v>
      </c>
      <c r="J57" s="19">
        <v>1.0</v>
      </c>
      <c r="K57" s="19">
        <v>6.0</v>
      </c>
      <c r="L57" s="19">
        <v>2.0</v>
      </c>
      <c r="M57" s="19">
        <v>0.0</v>
      </c>
      <c r="N57" s="19">
        <v>2.0</v>
      </c>
      <c r="O57" s="19">
        <v>2.0</v>
      </c>
      <c r="P57" s="19">
        <v>0.0</v>
      </c>
      <c r="Q57" s="19">
        <v>5.0</v>
      </c>
      <c r="R57" s="19">
        <v>1.0</v>
      </c>
      <c r="S57" s="19">
        <v>6.0</v>
      </c>
      <c r="T57" s="19">
        <v>2.0</v>
      </c>
      <c r="U57" s="19">
        <v>3.0</v>
      </c>
      <c r="V57" s="19">
        <v>1.0</v>
      </c>
      <c r="W57" s="19">
        <v>3.0</v>
      </c>
      <c r="X57" s="13">
        <f t="shared" si="14"/>
        <v>46</v>
      </c>
    </row>
    <row r="58" ht="12.75" customHeight="1">
      <c r="X58" s="13"/>
    </row>
    <row r="59" ht="12.75" customHeight="1">
      <c r="A59" s="44" t="s">
        <v>60</v>
      </c>
      <c r="B59" s="14" t="s">
        <v>61</v>
      </c>
      <c r="C59" s="15"/>
      <c r="D59" s="16"/>
      <c r="E59" s="63" t="s">
        <v>70</v>
      </c>
      <c r="F59" s="63" t="s">
        <v>71</v>
      </c>
      <c r="G59" s="63" t="s">
        <v>72</v>
      </c>
      <c r="H59" s="63" t="s">
        <v>73</v>
      </c>
      <c r="I59" s="63" t="s">
        <v>74</v>
      </c>
      <c r="J59" s="63" t="s">
        <v>75</v>
      </c>
      <c r="K59" s="63" t="s">
        <v>77</v>
      </c>
      <c r="L59" s="63" t="s">
        <v>78</v>
      </c>
      <c r="M59" s="63" t="s">
        <v>79</v>
      </c>
      <c r="N59" s="63" t="s">
        <v>81</v>
      </c>
      <c r="O59" s="63" t="s">
        <v>82</v>
      </c>
      <c r="P59" s="63" t="s">
        <v>83</v>
      </c>
      <c r="Q59" s="63" t="s">
        <v>84</v>
      </c>
      <c r="R59" s="63" t="s">
        <v>86</v>
      </c>
      <c r="S59" s="63" t="s">
        <v>87</v>
      </c>
      <c r="T59" s="63" t="s">
        <v>88</v>
      </c>
      <c r="U59" s="63" t="s">
        <v>89</v>
      </c>
      <c r="V59" s="63" t="s">
        <v>90</v>
      </c>
      <c r="W59" s="63" t="s">
        <v>91</v>
      </c>
      <c r="X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W60" si="15">SUM(E45:E57)</f>
        <v>145</v>
      </c>
      <c r="F60" s="19">
        <f t="shared" si="15"/>
        <v>169</v>
      </c>
      <c r="G60" s="19">
        <f t="shared" si="15"/>
        <v>171</v>
      </c>
      <c r="H60" s="19">
        <f t="shared" si="15"/>
        <v>160</v>
      </c>
      <c r="I60" s="19">
        <f t="shared" si="15"/>
        <v>168</v>
      </c>
      <c r="J60" s="19">
        <f t="shared" si="15"/>
        <v>189</v>
      </c>
      <c r="K60" s="19">
        <f t="shared" si="15"/>
        <v>168</v>
      </c>
      <c r="L60" s="19">
        <f t="shared" si="15"/>
        <v>149</v>
      </c>
      <c r="M60" s="19">
        <f t="shared" si="15"/>
        <v>165</v>
      </c>
      <c r="N60" s="19">
        <f t="shared" si="15"/>
        <v>184</v>
      </c>
      <c r="O60" s="19">
        <f t="shared" si="15"/>
        <v>170</v>
      </c>
      <c r="P60" s="19">
        <f t="shared" si="15"/>
        <v>188</v>
      </c>
      <c r="Q60" s="19">
        <f t="shared" si="15"/>
        <v>180</v>
      </c>
      <c r="R60" s="19">
        <f t="shared" si="15"/>
        <v>158</v>
      </c>
      <c r="S60" s="19">
        <f t="shared" si="15"/>
        <v>185</v>
      </c>
      <c r="T60" s="19">
        <f t="shared" si="15"/>
        <v>184</v>
      </c>
      <c r="U60" s="19">
        <f t="shared" si="15"/>
        <v>187</v>
      </c>
      <c r="V60" s="19">
        <f t="shared" si="15"/>
        <v>203</v>
      </c>
      <c r="W60" s="19">
        <f t="shared" si="15"/>
        <v>179</v>
      </c>
      <c r="X60" s="13">
        <f t="shared" ref="X60:X62" si="16">SUM(E60:W60)</f>
        <v>3302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48.0</v>
      </c>
      <c r="F61" s="19">
        <v>55.0</v>
      </c>
      <c r="G61" s="19">
        <v>61.0</v>
      </c>
      <c r="H61" s="19">
        <v>51.0</v>
      </c>
      <c r="I61" s="19">
        <v>49.0</v>
      </c>
      <c r="J61" s="19">
        <v>46.0</v>
      </c>
      <c r="K61" s="19">
        <v>52.0</v>
      </c>
      <c r="L61" s="19">
        <v>59.0</v>
      </c>
      <c r="M61" s="19">
        <v>59.0</v>
      </c>
      <c r="N61" s="19">
        <v>52.0</v>
      </c>
      <c r="O61" s="19">
        <v>45.0</v>
      </c>
      <c r="P61" s="19">
        <v>29.0</v>
      </c>
      <c r="Q61" s="19">
        <v>39.0</v>
      </c>
      <c r="R61" s="19">
        <v>27.0</v>
      </c>
      <c r="S61" s="19">
        <v>47.0</v>
      </c>
      <c r="T61" s="19">
        <v>40.0</v>
      </c>
      <c r="U61" s="19">
        <v>37.0</v>
      </c>
      <c r="V61" s="19">
        <v>40.0</v>
      </c>
      <c r="W61" s="19">
        <v>49.0</v>
      </c>
      <c r="X61" s="13">
        <f t="shared" si="16"/>
        <v>885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W62" si="17">SUM(E60:E61)</f>
        <v>193</v>
      </c>
      <c r="F62" s="13">
        <f t="shared" si="17"/>
        <v>224</v>
      </c>
      <c r="G62" s="13">
        <f t="shared" si="17"/>
        <v>232</v>
      </c>
      <c r="H62" s="13">
        <f t="shared" si="17"/>
        <v>211</v>
      </c>
      <c r="I62" s="13">
        <f t="shared" si="17"/>
        <v>217</v>
      </c>
      <c r="J62" s="13">
        <f t="shared" si="17"/>
        <v>235</v>
      </c>
      <c r="K62" s="13">
        <f t="shared" si="17"/>
        <v>220</v>
      </c>
      <c r="L62" s="13">
        <f t="shared" si="17"/>
        <v>208</v>
      </c>
      <c r="M62" s="13">
        <f t="shared" si="17"/>
        <v>224</v>
      </c>
      <c r="N62" s="13">
        <f t="shared" si="17"/>
        <v>236</v>
      </c>
      <c r="O62" s="13">
        <f t="shared" si="17"/>
        <v>215</v>
      </c>
      <c r="P62" s="13">
        <f t="shared" si="17"/>
        <v>217</v>
      </c>
      <c r="Q62" s="13">
        <f t="shared" si="17"/>
        <v>219</v>
      </c>
      <c r="R62" s="13">
        <f t="shared" si="17"/>
        <v>185</v>
      </c>
      <c r="S62" s="13">
        <f t="shared" si="17"/>
        <v>232</v>
      </c>
      <c r="T62" s="13">
        <f t="shared" si="17"/>
        <v>224</v>
      </c>
      <c r="U62" s="13">
        <f t="shared" si="17"/>
        <v>224</v>
      </c>
      <c r="V62" s="13">
        <f t="shared" si="17"/>
        <v>243</v>
      </c>
      <c r="W62" s="13">
        <f t="shared" si="17"/>
        <v>228</v>
      </c>
      <c r="X62" s="13">
        <f t="shared" si="16"/>
        <v>4187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Y117" s="5"/>
      <c r="Z117" s="5"/>
    </row>
    <row r="118" ht="12.75" customHeight="1">
      <c r="Y118" s="5"/>
      <c r="Z118" s="5"/>
    </row>
    <row r="119" ht="12.75" customHeight="1">
      <c r="Y119" s="5"/>
      <c r="Z119" s="5"/>
    </row>
    <row r="120" ht="12.75" customHeight="1">
      <c r="Y120" s="5"/>
      <c r="Z120" s="5"/>
    </row>
    <row r="121" ht="12.75" customHeight="1">
      <c r="Y121" s="5"/>
      <c r="Z121" s="5"/>
    </row>
    <row r="122" ht="12.75" customHeight="1">
      <c r="Y122" s="5"/>
      <c r="Z122" s="5"/>
    </row>
    <row r="123" ht="12.75" customHeight="1">
      <c r="Y123" s="5"/>
      <c r="Z123" s="5"/>
    </row>
    <row r="124" ht="12.75" customHeight="1">
      <c r="Y124" s="5"/>
      <c r="Z124" s="5"/>
    </row>
    <row r="125" ht="12.75" customHeight="1">
      <c r="Y125" s="5"/>
      <c r="Z125" s="5"/>
    </row>
    <row r="126" ht="12.75" customHeight="1">
      <c r="Y126" s="5"/>
      <c r="Z126" s="5"/>
    </row>
    <row r="127" ht="12.75" customHeight="1">
      <c r="Y127" s="5"/>
      <c r="Z127" s="5"/>
    </row>
    <row r="128" ht="12.75" customHeight="1">
      <c r="Y128" s="5"/>
      <c r="Z128" s="5"/>
    </row>
    <row r="129" ht="12.75" customHeight="1">
      <c r="Y129" s="5"/>
      <c r="Z129" s="5"/>
    </row>
    <row r="130" ht="12.75" customHeight="1">
      <c r="Y130" s="1"/>
      <c r="Z130" s="1"/>
    </row>
    <row r="131" ht="12.75" customHeight="1">
      <c r="Y131" s="52"/>
      <c r="Z131" s="52"/>
    </row>
    <row r="132" ht="12.75" customHeight="1">
      <c r="Y132" s="5"/>
      <c r="Z132" s="5"/>
    </row>
    <row r="133" ht="12.75" customHeight="1">
      <c r="Y133" s="5"/>
      <c r="Z133" s="5"/>
    </row>
    <row r="134" ht="12.75" customHeight="1">
      <c r="Y134" s="5"/>
      <c r="Z134" s="5"/>
    </row>
    <row r="135" ht="12.75" customHeight="1">
      <c r="Y135" s="5"/>
      <c r="Z135" s="5"/>
    </row>
    <row r="136" ht="12.75" customHeight="1">
      <c r="Y136" s="5"/>
      <c r="Z136" s="5"/>
    </row>
    <row r="137" ht="12.75" customHeight="1">
      <c r="Y137" s="5"/>
      <c r="Z137" s="5"/>
    </row>
    <row r="138" ht="12.75" customHeight="1">
      <c r="Y138" s="5"/>
      <c r="Z138" s="5"/>
    </row>
    <row r="139" ht="12.75" customHeight="1">
      <c r="Y139" s="5"/>
      <c r="Z139" s="5"/>
    </row>
    <row r="140" ht="12.75" customHeight="1">
      <c r="Y140" s="5"/>
      <c r="Z140" s="5"/>
    </row>
    <row r="141" ht="12.75" customHeight="1">
      <c r="Y141" s="1"/>
      <c r="Z141" s="1"/>
    </row>
    <row r="142" ht="12.75" customHeight="1">
      <c r="Y142" s="52"/>
      <c r="Z142" s="52"/>
    </row>
    <row r="143" ht="12.75" customHeight="1">
      <c r="Y143" s="5"/>
      <c r="Z143" s="5"/>
    </row>
    <row r="144" ht="12.75" customHeight="1">
      <c r="Y144" s="5"/>
      <c r="Z144" s="5"/>
    </row>
    <row r="145" ht="12.75" customHeight="1">
      <c r="Y145" s="5"/>
      <c r="Z145" s="5"/>
    </row>
    <row r="146" ht="12.75" customHeight="1">
      <c r="Y146" s="5"/>
      <c r="Z146" s="5"/>
    </row>
    <row r="147" ht="12.75" customHeight="1">
      <c r="Y147" s="5"/>
      <c r="Z147" s="5"/>
    </row>
    <row r="148" ht="12.75" customHeight="1">
      <c r="Y148" s="5"/>
      <c r="Z148" s="5"/>
    </row>
    <row r="149" ht="12.75" customHeight="1">
      <c r="Y149" s="5"/>
      <c r="Z149" s="5"/>
    </row>
    <row r="150" ht="12.75" customHeight="1">
      <c r="Y150" s="5"/>
      <c r="Z150" s="5"/>
    </row>
    <row r="151" ht="12.75" customHeight="1">
      <c r="Y151" s="1"/>
      <c r="Z151" s="1"/>
    </row>
    <row r="152" ht="12.75" customHeight="1">
      <c r="Y152" s="52"/>
      <c r="Z152" s="52"/>
    </row>
    <row r="153" ht="12.75" customHeight="1">
      <c r="Y153" s="5"/>
      <c r="Z153" s="5"/>
    </row>
    <row r="154" ht="12.75" customHeight="1">
      <c r="Y154" s="5"/>
      <c r="Z154" s="5"/>
    </row>
    <row r="155" ht="12.75" customHeight="1">
      <c r="Y155" s="5"/>
      <c r="Z155" s="5"/>
    </row>
    <row r="156" ht="12.75" customHeight="1">
      <c r="Y156" s="5"/>
      <c r="Z156" s="5"/>
    </row>
    <row r="157" ht="12.75" customHeight="1">
      <c r="Y157" s="5"/>
      <c r="Z157" s="5"/>
    </row>
    <row r="158" ht="12.75" customHeight="1">
      <c r="Y158" s="5"/>
      <c r="Z158" s="5"/>
    </row>
    <row r="159" ht="12.75" customHeight="1">
      <c r="Y159" s="5"/>
      <c r="Z159" s="5"/>
    </row>
    <row r="160" ht="12.75" customHeight="1">
      <c r="Y160" s="5"/>
      <c r="Z160" s="5"/>
    </row>
    <row r="161" ht="12.75" customHeight="1">
      <c r="Y161" s="5"/>
      <c r="Z161" s="5"/>
    </row>
    <row r="162" ht="12.75" customHeight="1">
      <c r="Y162" s="5"/>
      <c r="Z162" s="5"/>
    </row>
    <row r="163" ht="12.75" customHeight="1">
      <c r="Y163" s="5"/>
      <c r="Z163" s="5"/>
    </row>
    <row r="164" ht="12.75" customHeight="1">
      <c r="Y164" s="5"/>
      <c r="Z164" s="5"/>
    </row>
    <row r="165" ht="12.75" customHeight="1">
      <c r="Y165" s="1"/>
      <c r="Z165" s="1"/>
    </row>
    <row r="166" ht="12.75" customHeight="1">
      <c r="Y166" s="52"/>
      <c r="Z166" s="52"/>
    </row>
    <row r="167" ht="12.75" customHeight="1">
      <c r="Y167" s="5"/>
      <c r="Z167" s="5"/>
    </row>
    <row r="168" ht="12.75" customHeight="1">
      <c r="Y168" s="5"/>
      <c r="Z168" s="5"/>
    </row>
    <row r="169" ht="12.75" customHeight="1">
      <c r="Y169" s="5"/>
      <c r="Z169" s="5"/>
    </row>
    <row r="170" ht="12.75" customHeight="1">
      <c r="Y170" s="5"/>
      <c r="Z170" s="5"/>
    </row>
    <row r="171" ht="12.75" customHeight="1">
      <c r="Y171" s="5"/>
      <c r="Z171" s="5"/>
    </row>
    <row r="172" ht="12.75" customHeight="1">
      <c r="Y172" s="5"/>
      <c r="Z172" s="5"/>
    </row>
    <row r="173" ht="12.75" customHeight="1">
      <c r="Y173" s="5"/>
      <c r="Z173" s="5"/>
    </row>
    <row r="174" ht="12.75" customHeight="1">
      <c r="Y174" s="5"/>
      <c r="Z174" s="5"/>
    </row>
    <row r="175" ht="12.75" customHeight="1">
      <c r="Y175" s="5"/>
      <c r="Z175" s="5"/>
    </row>
    <row r="176" ht="12.75" customHeight="1">
      <c r="Y176" s="1"/>
      <c r="Z176" s="1"/>
    </row>
    <row r="177" ht="12.75" customHeight="1"/>
    <row r="178" ht="12.75" customHeight="1">
      <c r="Y178" s="5"/>
      <c r="Z178" s="5"/>
    </row>
    <row r="179" ht="12.75" customHeight="1">
      <c r="Y179" s="5"/>
      <c r="Z179" s="5"/>
    </row>
    <row r="180" ht="12.75" customHeight="1">
      <c r="Y180" s="5"/>
      <c r="Z180" s="5"/>
    </row>
    <row r="181" ht="12.75" customHeight="1">
      <c r="Y181" s="5"/>
      <c r="Z181" s="5"/>
    </row>
    <row r="182" ht="12.75" customHeight="1">
      <c r="Y182" s="5"/>
      <c r="Z182" s="5"/>
    </row>
    <row r="183" ht="12.75" customHeight="1">
      <c r="Y183" s="5"/>
      <c r="Z183" s="5"/>
    </row>
    <row r="184" ht="12.75" customHeight="1">
      <c r="Y184" s="5"/>
      <c r="Z184" s="5"/>
    </row>
    <row r="185" ht="12.75" customHeight="1">
      <c r="Y185" s="5"/>
      <c r="Z185" s="5"/>
    </row>
    <row r="186" ht="12.75" customHeight="1">
      <c r="Y186" s="5"/>
      <c r="Z186" s="5"/>
    </row>
    <row r="187" ht="12.75" customHeight="1">
      <c r="Y187" s="1"/>
      <c r="Z187" s="1"/>
    </row>
    <row r="188" ht="12.75" customHeight="1"/>
    <row r="189" ht="12.75" customHeight="1">
      <c r="Y189" s="5"/>
      <c r="Z189" s="5"/>
    </row>
    <row r="190" ht="12.75" customHeight="1">
      <c r="Y190" s="5"/>
      <c r="Z190" s="5"/>
    </row>
    <row r="191" ht="12.75" customHeight="1">
      <c r="Y191" s="5"/>
      <c r="Z191" s="5"/>
    </row>
    <row r="192" ht="12.75" customHeight="1">
      <c r="Y192" s="5"/>
      <c r="Z192" s="5"/>
    </row>
    <row r="193" ht="12.75" customHeight="1">
      <c r="Y193" s="5"/>
      <c r="Z193" s="5"/>
    </row>
    <row r="194" ht="12.75" customHeight="1">
      <c r="Y194" s="5"/>
      <c r="Z194" s="5"/>
    </row>
    <row r="195" ht="12.75" customHeight="1">
      <c r="Y195" s="5"/>
      <c r="Z195" s="5"/>
    </row>
    <row r="196" ht="12.75" customHeight="1">
      <c r="Y196" s="1"/>
      <c r="Z196" s="1"/>
    </row>
    <row r="197" ht="12.75" customHeight="1">
      <c r="Y197" s="1"/>
      <c r="Z197" s="1"/>
    </row>
    <row r="198" ht="12.75" customHeight="1">
      <c r="Y198" s="1"/>
      <c r="Z198" s="1"/>
    </row>
    <row r="199" ht="12.75" customHeight="1">
      <c r="Y199" s="52"/>
      <c r="Z199" s="52"/>
    </row>
    <row r="200" ht="12.75" customHeight="1">
      <c r="Y200" s="5"/>
      <c r="Z200" s="5"/>
    </row>
    <row r="201" ht="12.75" customHeight="1">
      <c r="Y201" s="5"/>
      <c r="Z201" s="5"/>
    </row>
    <row r="202" ht="12.75" customHeight="1">
      <c r="Y202" s="5"/>
      <c r="Z202" s="5"/>
    </row>
    <row r="203" ht="12.75" customHeight="1">
      <c r="Y203" s="5"/>
      <c r="Z203" s="5"/>
    </row>
    <row r="204" ht="12.75" customHeight="1">
      <c r="Y204" s="5"/>
      <c r="Z204" s="5"/>
    </row>
    <row r="205" ht="12.75" customHeight="1">
      <c r="Y205" s="5"/>
      <c r="Z205" s="5"/>
    </row>
    <row r="206" ht="12.75" customHeight="1">
      <c r="Y206" s="5"/>
      <c r="Z206" s="5"/>
    </row>
    <row r="207" ht="12.75" customHeight="1">
      <c r="Y207" s="1"/>
      <c r="Z207" s="1"/>
    </row>
    <row r="208" ht="12.75" customHeight="1">
      <c r="Y208" s="52"/>
      <c r="Z208" s="52"/>
    </row>
    <row r="209" ht="12.75" customHeight="1">
      <c r="Y209" s="52"/>
      <c r="Z209" s="52"/>
    </row>
    <row r="210" ht="12.75" customHeight="1">
      <c r="Y210" s="52"/>
      <c r="Z210" s="52"/>
    </row>
    <row r="211" ht="12.75" customHeight="1">
      <c r="Y211" s="5"/>
      <c r="Z211" s="5"/>
    </row>
    <row r="212" ht="12.75" customHeight="1">
      <c r="Y212" s="5"/>
      <c r="Z212" s="5"/>
    </row>
    <row r="213" ht="12.75" customHeight="1">
      <c r="Y213" s="5"/>
      <c r="Z213" s="5"/>
    </row>
    <row r="214" ht="12.75" customHeight="1">
      <c r="Y214" s="5"/>
      <c r="Z214" s="5"/>
    </row>
    <row r="215" ht="12.75" customHeight="1">
      <c r="Y215" s="5"/>
      <c r="Z215" s="5"/>
    </row>
    <row r="216" ht="12.75" customHeight="1">
      <c r="Y216" s="5"/>
      <c r="Z216" s="5"/>
    </row>
    <row r="217" ht="12.75" customHeight="1">
      <c r="Y217" s="5"/>
      <c r="Z217" s="5"/>
    </row>
    <row r="218" ht="12.75" customHeight="1">
      <c r="Y218" s="1"/>
      <c r="Z218" s="1"/>
    </row>
    <row r="219" ht="12.75" customHeight="1">
      <c r="Y219" s="52"/>
      <c r="Z219" s="52"/>
    </row>
    <row r="220" ht="12.75" customHeight="1">
      <c r="Y220" s="5"/>
      <c r="Z220" s="5"/>
    </row>
    <row r="221" ht="12.75" customHeight="1">
      <c r="Y221" s="5"/>
      <c r="Z221" s="5"/>
    </row>
    <row r="222" ht="12.75" customHeight="1">
      <c r="Y222" s="5"/>
      <c r="Z222" s="5"/>
    </row>
    <row r="223" ht="12.75" customHeight="1">
      <c r="Y223" s="5"/>
      <c r="Z223" s="5"/>
    </row>
    <row r="224" ht="12.75" customHeight="1">
      <c r="Y224" s="5"/>
      <c r="Z224" s="5"/>
    </row>
    <row r="225" ht="12.75" customHeight="1">
      <c r="Y225" s="5"/>
      <c r="Z225" s="5"/>
    </row>
    <row r="226" ht="12.75" customHeight="1">
      <c r="Y226" s="5"/>
      <c r="Z226" s="5"/>
    </row>
    <row r="227" ht="12.75" customHeight="1">
      <c r="Y227" s="5"/>
      <c r="Z227" s="5"/>
    </row>
    <row r="228" ht="12.75" customHeight="1">
      <c r="Y228" s="5"/>
      <c r="Z228" s="5"/>
    </row>
    <row r="229" ht="12.75" customHeight="1">
      <c r="Y229" s="1"/>
      <c r="Z229" s="1"/>
    </row>
    <row r="230" ht="12.75" customHeight="1">
      <c r="Y230" s="52"/>
      <c r="Z230" s="52"/>
    </row>
    <row r="231" ht="12.75" customHeight="1">
      <c r="Y231" s="5"/>
      <c r="Z231" s="5"/>
    </row>
    <row r="232" ht="12.75" customHeight="1">
      <c r="Y232" s="5"/>
      <c r="Z232" s="5"/>
    </row>
    <row r="233" ht="12.75" customHeight="1">
      <c r="Y233" s="5"/>
      <c r="Z233" s="5"/>
    </row>
    <row r="234" ht="12.75" customHeight="1">
      <c r="Y234" s="5"/>
      <c r="Z234" s="5"/>
    </row>
    <row r="235" ht="12.75" customHeight="1">
      <c r="Y235" s="5"/>
      <c r="Z235" s="5"/>
    </row>
    <row r="236" ht="12.75" customHeight="1">
      <c r="Y236" s="5"/>
      <c r="Z236" s="5"/>
    </row>
    <row r="237" ht="12.75" customHeight="1">
      <c r="Y237" s="5"/>
      <c r="Z237" s="5"/>
    </row>
    <row r="238" ht="12.75" customHeight="1">
      <c r="Y238" s="5"/>
      <c r="Z238" s="5"/>
    </row>
    <row r="239" ht="12.75" customHeight="1">
      <c r="Y239" s="5"/>
      <c r="Z239" s="5"/>
    </row>
    <row r="240" ht="12.75" customHeight="1">
      <c r="Y240" s="1"/>
      <c r="Z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W15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E30&lt;&gt;E47</formula>
    </cfRule>
  </conditionalFormatting>
  <conditionalFormatting sqref="E30:W30">
    <cfRule type="expression" dxfId="0" priority="5">
      <formula>E30&lt;&gt;E34</formula>
    </cfRule>
  </conditionalFormatting>
  <conditionalFormatting sqref="E45:W57">
    <cfRule type="containsBlanks" dxfId="1" priority="6">
      <formula>LEN(TRIM(E45))=0</formula>
    </cfRule>
  </conditionalFormatting>
  <conditionalFormatting sqref="E60:W61">
    <cfRule type="containsBlanks" dxfId="1" priority="7">
      <formula>LEN(TRIM(E60))=0</formula>
    </cfRule>
  </conditionalFormatting>
  <conditionalFormatting sqref="E34:W34">
    <cfRule type="expression" dxfId="2" priority="8">
      <formula>E30&lt;&gt;E34</formula>
    </cfRule>
  </conditionalFormatting>
  <conditionalFormatting sqref="E34:W34">
    <cfRule type="expression" dxfId="3" priority="9">
      <formula>E30=E34</formula>
    </cfRule>
  </conditionalFormatting>
  <conditionalFormatting sqref="E34:W34">
    <cfRule type="expression" dxfId="0" priority="10">
      <formula>E34&lt;&gt;E30</formula>
    </cfRule>
  </conditionalFormatting>
  <conditionalFormatting sqref="E34:W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13" t="s">
        <v>79</v>
      </c>
      <c r="N13" s="37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121.0</v>
      </c>
      <c r="G14" s="19">
        <v>142.0</v>
      </c>
      <c r="H14" s="19">
        <v>140.0</v>
      </c>
      <c r="I14" s="19">
        <v>128.0</v>
      </c>
      <c r="J14" s="19">
        <v>148.0</v>
      </c>
      <c r="K14" s="19">
        <v>138.0</v>
      </c>
      <c r="L14" s="19">
        <v>143.0</v>
      </c>
      <c r="M14" s="19">
        <v>137.0</v>
      </c>
      <c r="N14" s="13">
        <f t="shared" ref="N14:N16" si="1">SUM(E14:M14)</f>
        <v>1232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135.0</v>
      </c>
      <c r="G15" s="19">
        <v>133.0</v>
      </c>
      <c r="H15" s="19">
        <v>146.0</v>
      </c>
      <c r="I15" s="19">
        <v>130.0</v>
      </c>
      <c r="J15" s="19">
        <v>132.0</v>
      </c>
      <c r="K15" s="19">
        <v>130.0</v>
      </c>
      <c r="L15" s="19">
        <v>143.0</v>
      </c>
      <c r="M15" s="19">
        <v>145.0</v>
      </c>
      <c r="N15" s="13">
        <f t="shared" si="1"/>
        <v>1227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268</v>
      </c>
      <c r="F16" s="13">
        <f t="shared" si="2"/>
        <v>256</v>
      </c>
      <c r="G16" s="13">
        <f t="shared" si="2"/>
        <v>275</v>
      </c>
      <c r="H16" s="13">
        <f t="shared" si="2"/>
        <v>286</v>
      </c>
      <c r="I16" s="13">
        <f t="shared" si="2"/>
        <v>258</v>
      </c>
      <c r="J16" s="13">
        <f t="shared" si="2"/>
        <v>280</v>
      </c>
      <c r="K16" s="13">
        <f t="shared" si="2"/>
        <v>268</v>
      </c>
      <c r="L16" s="13">
        <f t="shared" si="2"/>
        <v>286</v>
      </c>
      <c r="M16" s="13">
        <f t="shared" si="2"/>
        <v>282</v>
      </c>
      <c r="N16" s="13">
        <f t="shared" si="1"/>
        <v>2459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13" t="s">
        <v>77</v>
      </c>
      <c r="L18" s="13" t="s">
        <v>78</v>
      </c>
      <c r="M18" s="13" t="s">
        <v>79</v>
      </c>
      <c r="N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108.0</v>
      </c>
      <c r="F19" s="19">
        <v>103.0</v>
      </c>
      <c r="G19" s="19">
        <v>108.0</v>
      </c>
      <c r="H19" s="19">
        <v>115.0</v>
      </c>
      <c r="I19" s="19">
        <v>101.0</v>
      </c>
      <c r="J19" s="19">
        <v>122.0</v>
      </c>
      <c r="K19" s="19">
        <v>101.0</v>
      </c>
      <c r="L19" s="19">
        <v>98.0</v>
      </c>
      <c r="M19" s="19">
        <v>98.0</v>
      </c>
      <c r="N19" s="13">
        <f t="shared" ref="N19:N30" si="3">SUM(E19:M19)</f>
        <v>954</v>
      </c>
    </row>
    <row r="20" ht="12.75" customHeight="1">
      <c r="A20" s="34"/>
      <c r="B20" s="27"/>
      <c r="C20" s="35"/>
      <c r="D20" s="19" t="s">
        <v>13</v>
      </c>
      <c r="E20" s="19">
        <v>112.0</v>
      </c>
      <c r="F20" s="19">
        <v>119.0</v>
      </c>
      <c r="G20" s="19">
        <v>113.0</v>
      </c>
      <c r="H20" s="19">
        <v>128.0</v>
      </c>
      <c r="I20" s="19">
        <v>107.0</v>
      </c>
      <c r="J20" s="19">
        <v>117.0</v>
      </c>
      <c r="K20" s="19">
        <v>107.0</v>
      </c>
      <c r="L20" s="19">
        <v>114.0</v>
      </c>
      <c r="M20" s="19">
        <v>122.0</v>
      </c>
      <c r="N20" s="13">
        <f t="shared" si="3"/>
        <v>1039</v>
      </c>
    </row>
    <row r="21" ht="12.75" customHeight="1">
      <c r="A21" s="36"/>
      <c r="B21" s="28"/>
      <c r="C21" s="37"/>
      <c r="D21" s="13" t="s">
        <v>14</v>
      </c>
      <c r="E21" s="13">
        <f t="shared" ref="E21:M21" si="4">SUM(E19:E20)</f>
        <v>220</v>
      </c>
      <c r="F21" s="13">
        <f t="shared" si="4"/>
        <v>222</v>
      </c>
      <c r="G21" s="13">
        <f t="shared" si="4"/>
        <v>221</v>
      </c>
      <c r="H21" s="13">
        <f t="shared" si="4"/>
        <v>243</v>
      </c>
      <c r="I21" s="13">
        <f t="shared" si="4"/>
        <v>208</v>
      </c>
      <c r="J21" s="13">
        <f t="shared" si="4"/>
        <v>239</v>
      </c>
      <c r="K21" s="13">
        <f t="shared" si="4"/>
        <v>208</v>
      </c>
      <c r="L21" s="13">
        <f t="shared" si="4"/>
        <v>212</v>
      </c>
      <c r="M21" s="13">
        <f t="shared" si="4"/>
        <v>220</v>
      </c>
      <c r="N21" s="13">
        <f t="shared" si="3"/>
        <v>1993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M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1.0</v>
      </c>
      <c r="F25" s="19">
        <v>4.0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5</v>
      </c>
    </row>
    <row r="26" ht="12.75" customHeight="1">
      <c r="A26" s="34"/>
      <c r="B26" s="27"/>
      <c r="C26" s="35"/>
      <c r="D26" s="19" t="s">
        <v>13</v>
      </c>
      <c r="E26" s="19">
        <v>3.0</v>
      </c>
      <c r="F26" s="19">
        <v>3.0</v>
      </c>
      <c r="G26" s="19">
        <v>3.0</v>
      </c>
      <c r="H26" s="19">
        <v>0.0</v>
      </c>
      <c r="I26" s="19">
        <v>0.0</v>
      </c>
      <c r="J26" s="19">
        <v>0.0</v>
      </c>
      <c r="K26" s="19">
        <v>0.0</v>
      </c>
      <c r="L26" s="19">
        <v>1.0</v>
      </c>
      <c r="M26" s="19">
        <v>0.0</v>
      </c>
      <c r="N26" s="13">
        <f t="shared" si="3"/>
        <v>10</v>
      </c>
    </row>
    <row r="27" ht="12.75" customHeight="1">
      <c r="A27" s="36"/>
      <c r="B27" s="28"/>
      <c r="C27" s="37"/>
      <c r="D27" s="13" t="s">
        <v>14</v>
      </c>
      <c r="E27" s="13">
        <f t="shared" ref="E27:M27" si="6">SUM(E25:E26)</f>
        <v>4</v>
      </c>
      <c r="F27" s="13">
        <f t="shared" si="6"/>
        <v>7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3"/>
        <v>15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M28" si="7">SUM(E19,E22,E25)</f>
        <v>109</v>
      </c>
      <c r="F28" s="13">
        <f t="shared" si="7"/>
        <v>107</v>
      </c>
      <c r="G28" s="13">
        <f t="shared" si="7"/>
        <v>108</v>
      </c>
      <c r="H28" s="13">
        <f t="shared" si="7"/>
        <v>115</v>
      </c>
      <c r="I28" s="13">
        <f t="shared" si="7"/>
        <v>101</v>
      </c>
      <c r="J28" s="13">
        <f t="shared" si="7"/>
        <v>122</v>
      </c>
      <c r="K28" s="13">
        <f t="shared" si="7"/>
        <v>101</v>
      </c>
      <c r="L28" s="13">
        <f t="shared" si="7"/>
        <v>98</v>
      </c>
      <c r="M28" s="13">
        <f t="shared" si="7"/>
        <v>98</v>
      </c>
      <c r="N28" s="13">
        <f t="shared" si="3"/>
        <v>959</v>
      </c>
    </row>
    <row r="29" ht="12.75" customHeight="1">
      <c r="A29" s="36"/>
      <c r="B29" s="27"/>
      <c r="C29" s="35"/>
      <c r="D29" s="13" t="s">
        <v>13</v>
      </c>
      <c r="E29" s="13">
        <f t="shared" ref="E29:M29" si="8">SUM(E20,E23,E26)</f>
        <v>115</v>
      </c>
      <c r="F29" s="13">
        <f t="shared" si="8"/>
        <v>123</v>
      </c>
      <c r="G29" s="13">
        <f t="shared" si="8"/>
        <v>116</v>
      </c>
      <c r="H29" s="13">
        <f t="shared" si="8"/>
        <v>128</v>
      </c>
      <c r="I29" s="13">
        <f t="shared" si="8"/>
        <v>107</v>
      </c>
      <c r="J29" s="13">
        <f t="shared" si="8"/>
        <v>117</v>
      </c>
      <c r="K29" s="13">
        <f t="shared" si="8"/>
        <v>107</v>
      </c>
      <c r="L29" s="13">
        <f t="shared" si="8"/>
        <v>115</v>
      </c>
      <c r="M29" s="13">
        <f t="shared" si="8"/>
        <v>122</v>
      </c>
      <c r="N29" s="13">
        <f t="shared" si="3"/>
        <v>1050</v>
      </c>
    </row>
    <row r="30" ht="12.75" customHeight="1">
      <c r="A30" s="36"/>
      <c r="B30" s="28"/>
      <c r="C30" s="37"/>
      <c r="D30" s="13" t="s">
        <v>14</v>
      </c>
      <c r="E30" s="13">
        <f t="shared" ref="E30:M30" si="9">SUM(E28:E29)</f>
        <v>224</v>
      </c>
      <c r="F30" s="13">
        <f t="shared" si="9"/>
        <v>230</v>
      </c>
      <c r="G30" s="13">
        <f t="shared" si="9"/>
        <v>224</v>
      </c>
      <c r="H30" s="13">
        <f t="shared" si="9"/>
        <v>243</v>
      </c>
      <c r="I30" s="13">
        <f t="shared" si="9"/>
        <v>208</v>
      </c>
      <c r="J30" s="13">
        <f t="shared" si="9"/>
        <v>239</v>
      </c>
      <c r="K30" s="13">
        <f t="shared" si="9"/>
        <v>208</v>
      </c>
      <c r="L30" s="13">
        <f t="shared" si="9"/>
        <v>213</v>
      </c>
      <c r="M30" s="13">
        <f t="shared" si="9"/>
        <v>220</v>
      </c>
      <c r="N30" s="13">
        <f t="shared" si="3"/>
        <v>2009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</row>
    <row r="32" ht="12.75" customHeight="1">
      <c r="A32" s="43" t="s">
        <v>25</v>
      </c>
      <c r="B32" s="14" t="s">
        <v>26</v>
      </c>
      <c r="C32" s="15"/>
      <c r="D32" s="16"/>
      <c r="E32" s="13" t="s">
        <v>70</v>
      </c>
      <c r="F32" s="13" t="s">
        <v>71</v>
      </c>
      <c r="G32" s="13" t="s">
        <v>72</v>
      </c>
      <c r="H32" s="13" t="s">
        <v>73</v>
      </c>
      <c r="I32" s="13" t="s">
        <v>74</v>
      </c>
      <c r="J32" s="13" t="s">
        <v>75</v>
      </c>
      <c r="K32" s="13" t="s">
        <v>77</v>
      </c>
      <c r="L32" s="13" t="s">
        <v>78</v>
      </c>
      <c r="M32" s="13" t="s">
        <v>79</v>
      </c>
      <c r="N32" s="61"/>
    </row>
    <row r="33" ht="12.75" customHeight="1">
      <c r="A33" s="19">
        <v>1.0</v>
      </c>
      <c r="B33" s="20" t="s">
        <v>27</v>
      </c>
      <c r="C33" s="15"/>
      <c r="D33" s="16"/>
      <c r="E33" s="19">
        <v>274.0</v>
      </c>
      <c r="F33" s="19">
        <v>263.0</v>
      </c>
      <c r="G33" s="19">
        <v>281.0</v>
      </c>
      <c r="H33" s="19">
        <v>287.0</v>
      </c>
      <c r="I33" s="19">
        <v>265.0</v>
      </c>
      <c r="J33" s="19">
        <v>286.0</v>
      </c>
      <c r="K33" s="19">
        <v>276.0</v>
      </c>
      <c r="L33" s="19">
        <v>292.0</v>
      </c>
      <c r="M33" s="19">
        <v>289.0</v>
      </c>
      <c r="N33" s="13">
        <f t="shared" ref="N33:N36" si="10">SUM(E33:M33)</f>
        <v>2513</v>
      </c>
    </row>
    <row r="34" ht="12.75" customHeight="1">
      <c r="A34" s="19">
        <v>2.0</v>
      </c>
      <c r="B34" s="20" t="s">
        <v>28</v>
      </c>
      <c r="C34" s="15"/>
      <c r="D34" s="16"/>
      <c r="E34" s="13">
        <v>224.0</v>
      </c>
      <c r="F34" s="13">
        <v>230.0</v>
      </c>
      <c r="G34" s="13">
        <v>224.0</v>
      </c>
      <c r="H34" s="13">
        <v>243.0</v>
      </c>
      <c r="I34" s="13">
        <v>208.0</v>
      </c>
      <c r="J34" s="13">
        <v>239.0</v>
      </c>
      <c r="K34" s="13">
        <v>208.0</v>
      </c>
      <c r="L34" s="13">
        <v>213.0</v>
      </c>
      <c r="M34" s="13">
        <v>220.0</v>
      </c>
      <c r="N34" s="13">
        <f t="shared" si="10"/>
        <v>2009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50</v>
      </c>
      <c r="F36" s="13">
        <f t="shared" si="11"/>
        <v>33</v>
      </c>
      <c r="G36" s="13">
        <f t="shared" si="11"/>
        <v>57</v>
      </c>
      <c r="H36" s="13">
        <f t="shared" si="11"/>
        <v>44</v>
      </c>
      <c r="I36" s="13">
        <f t="shared" si="11"/>
        <v>57</v>
      </c>
      <c r="J36" s="13">
        <f t="shared" si="11"/>
        <v>47</v>
      </c>
      <c r="K36" s="13">
        <f t="shared" si="11"/>
        <v>68</v>
      </c>
      <c r="L36" s="13">
        <f t="shared" si="11"/>
        <v>78</v>
      </c>
      <c r="M36" s="13">
        <f t="shared" si="11"/>
        <v>69</v>
      </c>
      <c r="N36" s="13">
        <f t="shared" si="10"/>
        <v>503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</row>
    <row r="38" ht="12.75" customHeight="1">
      <c r="A38" s="44" t="s">
        <v>31</v>
      </c>
      <c r="B38" s="14" t="s">
        <v>32</v>
      </c>
      <c r="C38" s="15"/>
      <c r="D38" s="16"/>
      <c r="E38" s="13" t="s">
        <v>70</v>
      </c>
      <c r="F38" s="13" t="s">
        <v>71</v>
      </c>
      <c r="G38" s="13" t="s">
        <v>72</v>
      </c>
      <c r="H38" s="13" t="s">
        <v>73</v>
      </c>
      <c r="I38" s="13" t="s">
        <v>74</v>
      </c>
      <c r="J38" s="13" t="s">
        <v>75</v>
      </c>
      <c r="K38" s="13" t="s">
        <v>77</v>
      </c>
      <c r="L38" s="13" t="s">
        <v>78</v>
      </c>
      <c r="M38" s="13" t="s">
        <v>79</v>
      </c>
      <c r="N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0.0</v>
      </c>
      <c r="M39" s="19">
        <v>2.0</v>
      </c>
      <c r="N39" s="13">
        <f t="shared" ref="N39:N41" si="12">SUM(E39:M39)</f>
        <v>3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1.0</v>
      </c>
      <c r="N40" s="13">
        <f t="shared" si="12"/>
        <v>2</v>
      </c>
    </row>
    <row r="41" ht="12.75" customHeight="1">
      <c r="A41" s="43"/>
      <c r="B41" s="46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3</v>
      </c>
      <c r="N41" s="13">
        <f t="shared" si="12"/>
        <v>5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4" t="s">
        <v>34</v>
      </c>
      <c r="B43" s="14" t="s">
        <v>35</v>
      </c>
      <c r="C43" s="15"/>
      <c r="D43" s="16"/>
      <c r="E43" s="13" t="s">
        <v>70</v>
      </c>
      <c r="F43" s="13" t="s">
        <v>71</v>
      </c>
      <c r="G43" s="13" t="s">
        <v>72</v>
      </c>
      <c r="H43" s="13" t="s">
        <v>73</v>
      </c>
      <c r="I43" s="13" t="s">
        <v>74</v>
      </c>
      <c r="J43" s="13" t="s">
        <v>75</v>
      </c>
      <c r="K43" s="13" t="s">
        <v>77</v>
      </c>
      <c r="L43" s="13" t="s">
        <v>78</v>
      </c>
      <c r="M43" s="13" t="s">
        <v>79</v>
      </c>
      <c r="N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1"/>
      <c r="B45" s="49" t="s">
        <v>17</v>
      </c>
      <c r="C45" s="62" t="s">
        <v>38</v>
      </c>
      <c r="D45" s="16"/>
      <c r="E45" s="19">
        <v>28.0</v>
      </c>
      <c r="F45" s="19">
        <v>18.0</v>
      </c>
      <c r="G45" s="19">
        <v>16.0</v>
      </c>
      <c r="H45" s="19">
        <v>19.0</v>
      </c>
      <c r="I45" s="19">
        <v>24.0</v>
      </c>
      <c r="J45" s="19">
        <v>32.0</v>
      </c>
      <c r="K45" s="19">
        <v>26.0</v>
      </c>
      <c r="L45" s="19">
        <v>33.0</v>
      </c>
      <c r="M45" s="19">
        <v>29.0</v>
      </c>
      <c r="N45" s="13">
        <f t="shared" ref="N45:N57" si="14">SUM(E45:M45)</f>
        <v>225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45.0</v>
      </c>
      <c r="F46" s="19">
        <v>42.0</v>
      </c>
      <c r="G46" s="19">
        <v>35.0</v>
      </c>
      <c r="H46" s="19">
        <v>42.0</v>
      </c>
      <c r="I46" s="19">
        <v>33.0</v>
      </c>
      <c r="J46" s="19">
        <v>35.0</v>
      </c>
      <c r="K46" s="19">
        <v>53.0</v>
      </c>
      <c r="L46" s="19">
        <v>44.0</v>
      </c>
      <c r="M46" s="19">
        <v>25.0</v>
      </c>
      <c r="N46" s="13">
        <f t="shared" si="14"/>
        <v>354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9.0</v>
      </c>
      <c r="F47" s="19">
        <v>16.0</v>
      </c>
      <c r="G47" s="19">
        <v>11.0</v>
      </c>
      <c r="H47" s="19">
        <v>15.0</v>
      </c>
      <c r="I47" s="19">
        <v>15.0</v>
      </c>
      <c r="J47" s="19">
        <v>20.0</v>
      </c>
      <c r="K47" s="19">
        <v>8.0</v>
      </c>
      <c r="L47" s="19">
        <v>7.0</v>
      </c>
      <c r="M47" s="19">
        <v>18.0</v>
      </c>
      <c r="N47" s="13">
        <f t="shared" si="14"/>
        <v>119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18.0</v>
      </c>
      <c r="F48" s="19">
        <v>16.0</v>
      </c>
      <c r="G48" s="19">
        <v>27.0</v>
      </c>
      <c r="H48" s="19">
        <v>14.0</v>
      </c>
      <c r="I48" s="19">
        <v>19.0</v>
      </c>
      <c r="J48" s="19">
        <v>27.0</v>
      </c>
      <c r="K48" s="19">
        <v>23.0</v>
      </c>
      <c r="L48" s="19">
        <v>27.0</v>
      </c>
      <c r="M48" s="19">
        <v>25.0</v>
      </c>
      <c r="N48" s="13">
        <f t="shared" si="14"/>
        <v>196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14.0</v>
      </c>
      <c r="F49" s="19">
        <v>12.0</v>
      </c>
      <c r="G49" s="19">
        <v>23.0</v>
      </c>
      <c r="H49" s="19">
        <v>25.0</v>
      </c>
      <c r="I49" s="19">
        <v>17.0</v>
      </c>
      <c r="J49" s="19">
        <v>16.0</v>
      </c>
      <c r="K49" s="19">
        <v>10.0</v>
      </c>
      <c r="L49" s="19">
        <v>11.0</v>
      </c>
      <c r="M49" s="19">
        <v>17.0</v>
      </c>
      <c r="N49" s="13">
        <f t="shared" si="14"/>
        <v>145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23.0</v>
      </c>
      <c r="F50" s="19">
        <v>18.0</v>
      </c>
      <c r="G50" s="19">
        <v>13.0</v>
      </c>
      <c r="H50" s="19">
        <v>16.0</v>
      </c>
      <c r="I50" s="19">
        <v>7.0</v>
      </c>
      <c r="J50" s="19">
        <v>17.0</v>
      </c>
      <c r="K50" s="19">
        <v>7.0</v>
      </c>
      <c r="L50" s="19">
        <v>8.0</v>
      </c>
      <c r="M50" s="19">
        <v>10.0</v>
      </c>
      <c r="N50" s="13">
        <f t="shared" si="14"/>
        <v>119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2.0</v>
      </c>
      <c r="F51" s="19">
        <v>5.0</v>
      </c>
      <c r="G51" s="19">
        <v>1.0</v>
      </c>
      <c r="H51" s="19">
        <v>2.0</v>
      </c>
      <c r="I51" s="19">
        <v>3.0</v>
      </c>
      <c r="J51" s="19">
        <v>0.0</v>
      </c>
      <c r="K51" s="19">
        <v>2.0</v>
      </c>
      <c r="L51" s="19">
        <v>2.0</v>
      </c>
      <c r="M51" s="19">
        <v>3.0</v>
      </c>
      <c r="N51" s="13">
        <f t="shared" si="14"/>
        <v>20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2.0</v>
      </c>
      <c r="F52" s="19">
        <v>5.0</v>
      </c>
      <c r="G52" s="19">
        <v>1.0</v>
      </c>
      <c r="H52" s="19">
        <v>1.0</v>
      </c>
      <c r="I52" s="19">
        <v>1.0</v>
      </c>
      <c r="J52" s="19">
        <v>1.0</v>
      </c>
      <c r="K52" s="19">
        <v>4.0</v>
      </c>
      <c r="L52" s="19">
        <v>3.0</v>
      </c>
      <c r="M52" s="19">
        <v>1.0</v>
      </c>
      <c r="N52" s="13">
        <f t="shared" si="14"/>
        <v>19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0.0</v>
      </c>
      <c r="J53" s="19">
        <v>1.0</v>
      </c>
      <c r="K53" s="19">
        <v>0.0</v>
      </c>
      <c r="L53" s="19">
        <v>1.0</v>
      </c>
      <c r="M53" s="19">
        <v>0.0</v>
      </c>
      <c r="N53" s="13">
        <f t="shared" si="14"/>
        <v>3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11.0</v>
      </c>
      <c r="F54" s="19">
        <v>18.0</v>
      </c>
      <c r="G54" s="19">
        <v>15.0</v>
      </c>
      <c r="H54" s="19">
        <v>25.0</v>
      </c>
      <c r="I54" s="19">
        <v>21.0</v>
      </c>
      <c r="J54" s="19">
        <v>21.0</v>
      </c>
      <c r="K54" s="19">
        <v>21.0</v>
      </c>
      <c r="L54" s="19">
        <v>20.0</v>
      </c>
      <c r="M54" s="19">
        <v>11.0</v>
      </c>
      <c r="N54" s="13">
        <f t="shared" si="14"/>
        <v>163</v>
      </c>
    </row>
    <row r="55" ht="15.0" customHeight="1">
      <c r="A55" s="18"/>
      <c r="B55" s="49" t="s">
        <v>54</v>
      </c>
      <c r="C55" s="62" t="s">
        <v>55</v>
      </c>
      <c r="D55" s="16"/>
      <c r="E55" s="19">
        <v>0.0</v>
      </c>
      <c r="F55" s="19">
        <v>0.0</v>
      </c>
      <c r="G55" s="19">
        <v>0.0</v>
      </c>
      <c r="H55" s="19">
        <v>1.0</v>
      </c>
      <c r="I55" s="19">
        <v>3.0</v>
      </c>
      <c r="J55" s="19">
        <v>0.0</v>
      </c>
      <c r="K55" s="19">
        <v>0.0</v>
      </c>
      <c r="L55" s="19">
        <v>3.0</v>
      </c>
      <c r="M55" s="19">
        <v>1.0</v>
      </c>
      <c r="N55" s="13">
        <f t="shared" si="14"/>
        <v>8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9.0</v>
      </c>
      <c r="F56" s="19">
        <v>20.0</v>
      </c>
      <c r="G56" s="19">
        <v>17.0</v>
      </c>
      <c r="H56" s="19">
        <v>12.0</v>
      </c>
      <c r="I56" s="19">
        <v>16.0</v>
      </c>
      <c r="J56" s="19">
        <v>17.0</v>
      </c>
      <c r="K56" s="19">
        <v>11.0</v>
      </c>
      <c r="L56" s="19">
        <v>19.0</v>
      </c>
      <c r="M56" s="19">
        <v>22.0</v>
      </c>
      <c r="N56" s="13">
        <f t="shared" si="14"/>
        <v>143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3.0</v>
      </c>
      <c r="F57" s="19">
        <v>6.0</v>
      </c>
      <c r="G57" s="19">
        <v>0.0</v>
      </c>
      <c r="H57" s="19">
        <v>3.0</v>
      </c>
      <c r="I57" s="19">
        <v>1.0</v>
      </c>
      <c r="J57" s="19">
        <v>3.0</v>
      </c>
      <c r="K57" s="19">
        <v>2.0</v>
      </c>
      <c r="L57" s="19">
        <v>1.0</v>
      </c>
      <c r="M57" s="19">
        <v>0.0</v>
      </c>
      <c r="N57" s="13">
        <f t="shared" si="14"/>
        <v>19</v>
      </c>
    </row>
    <row r="58" ht="12.75" customHeight="1">
      <c r="N58" s="13"/>
    </row>
    <row r="59" ht="12.75" customHeight="1">
      <c r="A59" s="44" t="s">
        <v>60</v>
      </c>
      <c r="B59" s="14" t="s">
        <v>61</v>
      </c>
      <c r="C59" s="15"/>
      <c r="D59" s="16"/>
      <c r="E59" s="13" t="s">
        <v>70</v>
      </c>
      <c r="F59" s="13" t="s">
        <v>71</v>
      </c>
      <c r="G59" s="13" t="s">
        <v>72</v>
      </c>
      <c r="H59" s="13" t="s">
        <v>73</v>
      </c>
      <c r="I59" s="13" t="s">
        <v>74</v>
      </c>
      <c r="J59" s="13" t="s">
        <v>75</v>
      </c>
      <c r="K59" s="13" t="s">
        <v>77</v>
      </c>
      <c r="L59" s="13" t="s">
        <v>78</v>
      </c>
      <c r="M59" s="13" t="s">
        <v>79</v>
      </c>
      <c r="N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M60" si="15">SUM(E45:E57)</f>
        <v>164</v>
      </c>
      <c r="F60" s="19">
        <f t="shared" si="15"/>
        <v>176</v>
      </c>
      <c r="G60" s="19">
        <f t="shared" si="15"/>
        <v>159</v>
      </c>
      <c r="H60" s="19">
        <f t="shared" si="15"/>
        <v>176</v>
      </c>
      <c r="I60" s="19">
        <f t="shared" si="15"/>
        <v>160</v>
      </c>
      <c r="J60" s="19">
        <f t="shared" si="15"/>
        <v>190</v>
      </c>
      <c r="K60" s="19">
        <f t="shared" si="15"/>
        <v>167</v>
      </c>
      <c r="L60" s="19">
        <f t="shared" si="15"/>
        <v>179</v>
      </c>
      <c r="M60" s="19">
        <f t="shared" si="15"/>
        <v>162</v>
      </c>
      <c r="N60" s="13">
        <f t="shared" ref="N60:N62" si="16">SUM(E60:M60)</f>
        <v>1533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60.0</v>
      </c>
      <c r="F61" s="19">
        <v>54.0</v>
      </c>
      <c r="G61" s="19">
        <v>65.0</v>
      </c>
      <c r="H61" s="19">
        <v>67.0</v>
      </c>
      <c r="I61" s="19">
        <v>48.0</v>
      </c>
      <c r="J61" s="19">
        <v>49.0</v>
      </c>
      <c r="K61" s="19">
        <v>41.0</v>
      </c>
      <c r="L61" s="19">
        <v>34.0</v>
      </c>
      <c r="M61" s="19">
        <v>58.0</v>
      </c>
      <c r="N61" s="13">
        <f t="shared" si="16"/>
        <v>476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M62" si="17">SUM(E60:E61)</f>
        <v>224</v>
      </c>
      <c r="F62" s="13">
        <f t="shared" si="17"/>
        <v>230</v>
      </c>
      <c r="G62" s="13">
        <f t="shared" si="17"/>
        <v>224</v>
      </c>
      <c r="H62" s="13">
        <f t="shared" si="17"/>
        <v>243</v>
      </c>
      <c r="I62" s="13">
        <f t="shared" si="17"/>
        <v>208</v>
      </c>
      <c r="J62" s="13">
        <f t="shared" si="17"/>
        <v>239</v>
      </c>
      <c r="K62" s="13">
        <f t="shared" si="17"/>
        <v>208</v>
      </c>
      <c r="L62" s="13">
        <f t="shared" si="17"/>
        <v>213</v>
      </c>
      <c r="M62" s="13">
        <f t="shared" si="17"/>
        <v>220</v>
      </c>
      <c r="N62" s="13">
        <f t="shared" si="16"/>
        <v>2009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P117" s="5"/>
    </row>
    <row r="118" ht="12.75" customHeight="1">
      <c r="P118" s="5"/>
    </row>
    <row r="119" ht="12.75" customHeight="1">
      <c r="P119" s="5"/>
    </row>
    <row r="120" ht="12.75" customHeight="1">
      <c r="P120" s="5"/>
    </row>
    <row r="121" ht="12.75" customHeight="1">
      <c r="P121" s="5"/>
    </row>
    <row r="122" ht="12.75" customHeight="1">
      <c r="P122" s="5"/>
    </row>
    <row r="123" ht="12.75" customHeight="1">
      <c r="P123" s="5"/>
    </row>
    <row r="124" ht="12.75" customHeight="1">
      <c r="P124" s="5"/>
    </row>
    <row r="125" ht="12.75" customHeight="1">
      <c r="P125" s="5"/>
    </row>
    <row r="126" ht="12.75" customHeight="1">
      <c r="P126" s="5"/>
    </row>
    <row r="127" ht="12.75" customHeight="1">
      <c r="P127" s="5"/>
    </row>
    <row r="128" ht="12.75" customHeight="1">
      <c r="P128" s="5"/>
    </row>
    <row r="129" ht="12.75" customHeight="1">
      <c r="P129" s="5"/>
    </row>
    <row r="130" ht="12.75" customHeight="1">
      <c r="P130" s="1"/>
    </row>
    <row r="131" ht="12.75" customHeight="1">
      <c r="P131" s="52"/>
    </row>
    <row r="132" ht="12.75" customHeight="1">
      <c r="P132" s="5"/>
    </row>
    <row r="133" ht="12.75" customHeight="1">
      <c r="P133" s="5"/>
    </row>
    <row r="134" ht="12.75" customHeight="1">
      <c r="P134" s="5"/>
    </row>
    <row r="135" ht="12.75" customHeight="1">
      <c r="P135" s="5"/>
    </row>
    <row r="136" ht="12.75" customHeight="1">
      <c r="P136" s="5"/>
    </row>
    <row r="137" ht="12.75" customHeight="1">
      <c r="P137" s="5"/>
    </row>
    <row r="138" ht="12.75" customHeight="1">
      <c r="P138" s="5"/>
    </row>
    <row r="139" ht="12.75" customHeight="1">
      <c r="P139" s="5"/>
    </row>
    <row r="140" ht="12.75" customHeight="1">
      <c r="P140" s="5"/>
    </row>
    <row r="141" ht="12.75" customHeight="1">
      <c r="P141" s="1"/>
    </row>
    <row r="142" ht="12.75" customHeight="1">
      <c r="P142" s="52"/>
    </row>
    <row r="143" ht="12.75" customHeight="1">
      <c r="P143" s="5"/>
    </row>
    <row r="144" ht="12.75" customHeight="1">
      <c r="P144" s="5"/>
    </row>
    <row r="145" ht="12.75" customHeight="1">
      <c r="P145" s="5"/>
    </row>
    <row r="146" ht="12.75" customHeight="1">
      <c r="P146" s="5"/>
    </row>
    <row r="147" ht="12.75" customHeight="1">
      <c r="P147" s="5"/>
    </row>
    <row r="148" ht="12.75" customHeight="1">
      <c r="P148" s="5"/>
    </row>
    <row r="149" ht="12.75" customHeight="1">
      <c r="P149" s="5"/>
    </row>
    <row r="150" ht="12.75" customHeight="1">
      <c r="P150" s="5"/>
    </row>
    <row r="151" ht="12.75" customHeight="1">
      <c r="P151" s="1"/>
    </row>
    <row r="152" ht="12.75" customHeight="1">
      <c r="P152" s="52"/>
    </row>
    <row r="153" ht="12.75" customHeight="1">
      <c r="P153" s="5"/>
    </row>
    <row r="154" ht="12.75" customHeight="1">
      <c r="P154" s="5"/>
    </row>
    <row r="155" ht="12.75" customHeight="1">
      <c r="P155" s="5"/>
    </row>
    <row r="156" ht="12.75" customHeight="1">
      <c r="P156" s="5"/>
    </row>
    <row r="157" ht="12.75" customHeight="1">
      <c r="P157" s="5"/>
    </row>
    <row r="158" ht="12.75" customHeight="1">
      <c r="P158" s="5"/>
    </row>
    <row r="159" ht="12.75" customHeight="1">
      <c r="P159" s="5"/>
    </row>
    <row r="160" ht="12.75" customHeight="1">
      <c r="P160" s="5"/>
    </row>
    <row r="161" ht="12.75" customHeight="1">
      <c r="P161" s="5"/>
    </row>
    <row r="162" ht="12.75" customHeight="1">
      <c r="P162" s="5"/>
    </row>
    <row r="163" ht="12.75" customHeight="1">
      <c r="P163" s="5"/>
    </row>
    <row r="164" ht="12.75" customHeight="1">
      <c r="P164" s="5"/>
    </row>
    <row r="165" ht="12.75" customHeight="1">
      <c r="P165" s="1"/>
    </row>
    <row r="166" ht="12.75" customHeight="1">
      <c r="P166" s="52"/>
    </row>
    <row r="167" ht="12.75" customHeight="1">
      <c r="P167" s="5"/>
    </row>
    <row r="168" ht="12.75" customHeight="1">
      <c r="P168" s="5"/>
    </row>
    <row r="169" ht="12.75" customHeight="1">
      <c r="P169" s="5"/>
    </row>
    <row r="170" ht="12.75" customHeight="1">
      <c r="P170" s="5"/>
    </row>
    <row r="171" ht="12.75" customHeight="1">
      <c r="P171" s="5"/>
    </row>
    <row r="172" ht="12.75" customHeight="1">
      <c r="P172" s="5"/>
    </row>
    <row r="173" ht="12.75" customHeight="1">
      <c r="P173" s="5"/>
    </row>
    <row r="174" ht="12.75" customHeight="1">
      <c r="P174" s="5"/>
    </row>
    <row r="175" ht="12.75" customHeight="1">
      <c r="P175" s="5"/>
    </row>
    <row r="176" ht="12.75" customHeight="1">
      <c r="P176" s="1"/>
    </row>
    <row r="177" ht="12.75" customHeight="1"/>
    <row r="178" ht="12.75" customHeight="1">
      <c r="P178" s="5"/>
    </row>
    <row r="179" ht="12.75" customHeight="1">
      <c r="P179" s="5"/>
    </row>
    <row r="180" ht="12.75" customHeight="1">
      <c r="P180" s="5"/>
    </row>
    <row r="181" ht="12.75" customHeight="1">
      <c r="P181" s="5"/>
    </row>
    <row r="182" ht="12.75" customHeight="1">
      <c r="P182" s="5"/>
    </row>
    <row r="183" ht="12.75" customHeight="1">
      <c r="P183" s="5"/>
    </row>
    <row r="184" ht="12.75" customHeight="1">
      <c r="P184" s="5"/>
    </row>
    <row r="185" ht="12.75" customHeight="1">
      <c r="P185" s="5"/>
    </row>
    <row r="186" ht="12.75" customHeight="1">
      <c r="P186" s="5"/>
    </row>
    <row r="187" ht="12.75" customHeight="1">
      <c r="P187" s="1"/>
    </row>
    <row r="188" ht="12.75" customHeight="1"/>
    <row r="189" ht="12.75" customHeight="1">
      <c r="P189" s="5"/>
    </row>
    <row r="190" ht="12.75" customHeight="1">
      <c r="P190" s="5"/>
    </row>
    <row r="191" ht="12.75" customHeight="1">
      <c r="P191" s="5"/>
    </row>
    <row r="192" ht="12.75" customHeight="1">
      <c r="P192" s="5"/>
    </row>
    <row r="193" ht="12.75" customHeight="1">
      <c r="P193" s="5"/>
    </row>
    <row r="194" ht="12.75" customHeight="1">
      <c r="P194" s="5"/>
    </row>
    <row r="195" ht="12.75" customHeight="1">
      <c r="P195" s="5"/>
    </row>
    <row r="196" ht="12.75" customHeight="1">
      <c r="P196" s="1"/>
    </row>
    <row r="197" ht="12.75" customHeight="1">
      <c r="P197" s="1"/>
    </row>
    <row r="198" ht="12.75" customHeight="1">
      <c r="P198" s="1"/>
    </row>
    <row r="199" ht="12.75" customHeight="1">
      <c r="P199" s="52"/>
    </row>
    <row r="200" ht="12.75" customHeight="1">
      <c r="P200" s="5"/>
    </row>
    <row r="201" ht="12.75" customHeight="1">
      <c r="P201" s="5"/>
    </row>
    <row r="202" ht="12.75" customHeight="1">
      <c r="P202" s="5"/>
    </row>
    <row r="203" ht="12.75" customHeight="1">
      <c r="P203" s="5"/>
    </row>
    <row r="204" ht="12.75" customHeight="1">
      <c r="P204" s="5"/>
    </row>
    <row r="205" ht="12.75" customHeight="1">
      <c r="P205" s="5"/>
    </row>
    <row r="206" ht="12.75" customHeight="1">
      <c r="P206" s="5"/>
    </row>
    <row r="207" ht="12.75" customHeight="1">
      <c r="P207" s="1"/>
    </row>
    <row r="208" ht="12.75" customHeight="1">
      <c r="P208" s="52"/>
    </row>
    <row r="209" ht="12.75" customHeight="1">
      <c r="P209" s="52"/>
    </row>
    <row r="210" ht="12.75" customHeight="1">
      <c r="P210" s="52"/>
    </row>
    <row r="211" ht="12.75" customHeight="1">
      <c r="P211" s="5"/>
    </row>
    <row r="212" ht="12.75" customHeight="1">
      <c r="P212" s="5"/>
    </row>
    <row r="213" ht="12.75" customHeight="1">
      <c r="P213" s="5"/>
    </row>
    <row r="214" ht="12.75" customHeight="1">
      <c r="P214" s="5"/>
    </row>
    <row r="215" ht="12.75" customHeight="1">
      <c r="P215" s="5"/>
    </row>
    <row r="216" ht="12.75" customHeight="1">
      <c r="P216" s="5"/>
    </row>
    <row r="217" ht="12.75" customHeight="1">
      <c r="P217" s="5"/>
    </row>
    <row r="218" ht="12.75" customHeight="1">
      <c r="P218" s="1"/>
    </row>
    <row r="219" ht="12.75" customHeight="1">
      <c r="P219" s="52"/>
    </row>
    <row r="220" ht="12.75" customHeight="1">
      <c r="P220" s="5"/>
    </row>
    <row r="221" ht="12.75" customHeight="1">
      <c r="P221" s="5"/>
    </row>
    <row r="222" ht="12.75" customHeight="1">
      <c r="P222" s="5"/>
    </row>
    <row r="223" ht="12.75" customHeight="1">
      <c r="P223" s="5"/>
    </row>
    <row r="224" ht="12.75" customHeight="1">
      <c r="P224" s="5"/>
    </row>
    <row r="225" ht="12.75" customHeight="1">
      <c r="P225" s="5"/>
    </row>
    <row r="226" ht="12.75" customHeight="1">
      <c r="P226" s="5"/>
    </row>
    <row r="227" ht="12.75" customHeight="1">
      <c r="P227" s="5"/>
    </row>
    <row r="228" ht="12.75" customHeight="1">
      <c r="P228" s="5"/>
    </row>
    <row r="229" ht="12.75" customHeight="1">
      <c r="P229" s="1"/>
    </row>
    <row r="230" ht="12.75" customHeight="1">
      <c r="P230" s="52"/>
    </row>
    <row r="231" ht="12.75" customHeight="1">
      <c r="P231" s="5"/>
    </row>
    <row r="232" ht="12.75" customHeight="1">
      <c r="P232" s="5"/>
    </row>
    <row r="233" ht="12.75" customHeight="1">
      <c r="P233" s="5"/>
    </row>
    <row r="234" ht="12.75" customHeight="1">
      <c r="P234" s="5"/>
    </row>
    <row r="235" ht="12.75" customHeight="1">
      <c r="P235" s="5"/>
    </row>
    <row r="236" ht="12.75" customHeight="1">
      <c r="P236" s="5"/>
    </row>
    <row r="237" ht="12.75" customHeight="1">
      <c r="P237" s="5"/>
    </row>
    <row r="238" ht="12.75" customHeight="1">
      <c r="P238" s="5"/>
    </row>
    <row r="239" ht="12.75" customHeight="1">
      <c r="P239" s="5"/>
    </row>
    <row r="240" ht="12.75" customHeight="1">
      <c r="P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45:M57">
    <cfRule type="containsBlanks" dxfId="1" priority="6">
      <formula>LEN(TRIM(E45))=0</formula>
    </cfRule>
  </conditionalFormatting>
  <conditionalFormatting sqref="E60:M61">
    <cfRule type="containsBlanks" dxfId="1" priority="7">
      <formula>LEN(TRIM(E60))=0</formula>
    </cfRule>
  </conditionalFormatting>
  <conditionalFormatting sqref="E34:M34">
    <cfRule type="expression" dxfId="2" priority="8">
      <formula>E30&lt;&gt;E34</formula>
    </cfRule>
  </conditionalFormatting>
  <conditionalFormatting sqref="E34:M34">
    <cfRule type="expression" dxfId="3" priority="9">
      <formula>E30=E34</formula>
    </cfRule>
  </conditionalFormatting>
  <conditionalFormatting sqref="E34:M34">
    <cfRule type="expression" dxfId="0" priority="10">
      <formula>E34&lt;&gt;E30</formula>
    </cfRule>
  </conditionalFormatting>
  <conditionalFormatting sqref="E34:M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13" t="s">
        <v>79</v>
      </c>
      <c r="N13" s="13" t="s">
        <v>81</v>
      </c>
      <c r="O13" s="13" t="s">
        <v>82</v>
      </c>
      <c r="P13" s="13" t="s">
        <v>83</v>
      </c>
      <c r="Q13" s="13" t="s">
        <v>84</v>
      </c>
      <c r="R13" s="13" t="s">
        <v>86</v>
      </c>
      <c r="S13" s="13" t="s">
        <v>87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19">
        <v>105.0</v>
      </c>
      <c r="F14" s="19">
        <v>112.0</v>
      </c>
      <c r="G14" s="19">
        <v>122.0</v>
      </c>
      <c r="H14" s="19">
        <v>135.0</v>
      </c>
      <c r="I14" s="19">
        <v>144.0</v>
      </c>
      <c r="J14" s="19">
        <v>144.0</v>
      </c>
      <c r="K14" s="19">
        <v>140.0</v>
      </c>
      <c r="L14" s="19">
        <v>140.0</v>
      </c>
      <c r="M14" s="19">
        <v>116.0</v>
      </c>
      <c r="N14" s="19">
        <v>132.0</v>
      </c>
      <c r="O14" s="19">
        <v>112.0</v>
      </c>
      <c r="P14" s="19">
        <v>119.0</v>
      </c>
      <c r="Q14" s="19">
        <v>116.0</v>
      </c>
      <c r="R14" s="19">
        <v>132.0</v>
      </c>
      <c r="S14" s="19">
        <v>140.0</v>
      </c>
      <c r="T14" s="13">
        <f t="shared" ref="T14:T16" si="1">SUM(E14:S14)</f>
        <v>1909</v>
      </c>
    </row>
    <row r="15" ht="12.75" customHeight="1">
      <c r="A15" s="18"/>
      <c r="B15" s="26"/>
      <c r="C15" s="27"/>
      <c r="D15" s="19" t="s">
        <v>13</v>
      </c>
      <c r="E15" s="19">
        <v>121.0</v>
      </c>
      <c r="F15" s="19">
        <v>134.0</v>
      </c>
      <c r="G15" s="19">
        <v>116.0</v>
      </c>
      <c r="H15" s="19">
        <v>148.0</v>
      </c>
      <c r="I15" s="19">
        <v>140.0</v>
      </c>
      <c r="J15" s="19">
        <v>136.0</v>
      </c>
      <c r="K15" s="19">
        <v>135.0</v>
      </c>
      <c r="L15" s="19">
        <v>126.0</v>
      </c>
      <c r="M15" s="19">
        <v>117.0</v>
      </c>
      <c r="N15" s="19">
        <v>134.0</v>
      </c>
      <c r="O15" s="19">
        <v>114.0</v>
      </c>
      <c r="P15" s="19">
        <v>122.0</v>
      </c>
      <c r="Q15" s="19">
        <v>130.0</v>
      </c>
      <c r="R15" s="19">
        <v>124.0</v>
      </c>
      <c r="S15" s="19">
        <v>141.0</v>
      </c>
      <c r="T15" s="13">
        <f t="shared" si="1"/>
        <v>1938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226</v>
      </c>
      <c r="F16" s="13">
        <f t="shared" si="2"/>
        <v>246</v>
      </c>
      <c r="G16" s="13">
        <f t="shared" si="2"/>
        <v>238</v>
      </c>
      <c r="H16" s="13">
        <f t="shared" si="2"/>
        <v>283</v>
      </c>
      <c r="I16" s="13">
        <f t="shared" si="2"/>
        <v>284</v>
      </c>
      <c r="J16" s="13">
        <f t="shared" si="2"/>
        <v>280</v>
      </c>
      <c r="K16" s="13">
        <f t="shared" si="2"/>
        <v>275</v>
      </c>
      <c r="L16" s="13">
        <f t="shared" si="2"/>
        <v>266</v>
      </c>
      <c r="M16" s="13">
        <f t="shared" si="2"/>
        <v>233</v>
      </c>
      <c r="N16" s="13">
        <f t="shared" si="2"/>
        <v>266</v>
      </c>
      <c r="O16" s="13">
        <f t="shared" si="2"/>
        <v>226</v>
      </c>
      <c r="P16" s="13">
        <f t="shared" si="2"/>
        <v>241</v>
      </c>
      <c r="Q16" s="13">
        <f t="shared" si="2"/>
        <v>246</v>
      </c>
      <c r="R16" s="13">
        <f t="shared" si="2"/>
        <v>256</v>
      </c>
      <c r="S16" s="13">
        <f t="shared" si="2"/>
        <v>281</v>
      </c>
      <c r="T16" s="13">
        <f t="shared" si="1"/>
        <v>3847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13" t="s">
        <v>77</v>
      </c>
      <c r="L18" s="13" t="s">
        <v>78</v>
      </c>
      <c r="M18" s="13" t="s">
        <v>79</v>
      </c>
      <c r="N18" s="13" t="s">
        <v>81</v>
      </c>
      <c r="O18" s="13" t="s">
        <v>82</v>
      </c>
      <c r="P18" s="13" t="s">
        <v>83</v>
      </c>
      <c r="Q18" s="13" t="s">
        <v>84</v>
      </c>
      <c r="R18" s="13" t="s">
        <v>86</v>
      </c>
      <c r="S18" s="13" t="s">
        <v>87</v>
      </c>
      <c r="T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84.0</v>
      </c>
      <c r="F19" s="19">
        <v>85.0</v>
      </c>
      <c r="G19" s="19">
        <v>102.0</v>
      </c>
      <c r="H19" s="19">
        <v>100.0</v>
      </c>
      <c r="I19" s="19">
        <v>135.0</v>
      </c>
      <c r="J19" s="19">
        <v>137.0</v>
      </c>
      <c r="K19" s="19">
        <v>103.0</v>
      </c>
      <c r="L19" s="19">
        <v>111.0</v>
      </c>
      <c r="M19" s="19">
        <v>99.0</v>
      </c>
      <c r="N19" s="19">
        <v>98.0</v>
      </c>
      <c r="O19" s="19">
        <v>81.0</v>
      </c>
      <c r="P19" s="19">
        <v>90.0</v>
      </c>
      <c r="Q19" s="19">
        <v>93.0</v>
      </c>
      <c r="R19" s="19">
        <v>106.0</v>
      </c>
      <c r="S19" s="19">
        <v>110.0</v>
      </c>
      <c r="T19" s="13">
        <f t="shared" ref="T19:T30" si="3">SUM(E19:S19)</f>
        <v>1534</v>
      </c>
    </row>
    <row r="20" ht="12.75" customHeight="1">
      <c r="A20" s="34"/>
      <c r="B20" s="27"/>
      <c r="C20" s="35"/>
      <c r="D20" s="19" t="s">
        <v>13</v>
      </c>
      <c r="E20" s="19">
        <v>112.0</v>
      </c>
      <c r="F20" s="19">
        <v>105.0</v>
      </c>
      <c r="G20" s="19">
        <v>99.0</v>
      </c>
      <c r="H20" s="19">
        <v>123.0</v>
      </c>
      <c r="I20" s="19">
        <v>131.0</v>
      </c>
      <c r="J20" s="19">
        <v>105.0</v>
      </c>
      <c r="K20" s="19">
        <v>111.0</v>
      </c>
      <c r="L20" s="19">
        <v>109.0</v>
      </c>
      <c r="M20" s="19">
        <v>103.0</v>
      </c>
      <c r="N20" s="19">
        <v>113.0</v>
      </c>
      <c r="O20" s="19">
        <v>90.0</v>
      </c>
      <c r="P20" s="19">
        <v>104.0</v>
      </c>
      <c r="Q20" s="19">
        <v>105.0</v>
      </c>
      <c r="R20" s="19">
        <v>101.0</v>
      </c>
      <c r="S20" s="19">
        <v>107.0</v>
      </c>
      <c r="T20" s="13">
        <f t="shared" si="3"/>
        <v>1618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196</v>
      </c>
      <c r="F21" s="13">
        <f t="shared" si="4"/>
        <v>190</v>
      </c>
      <c r="G21" s="13">
        <f t="shared" si="4"/>
        <v>201</v>
      </c>
      <c r="H21" s="13">
        <f t="shared" si="4"/>
        <v>223</v>
      </c>
      <c r="I21" s="13">
        <f t="shared" si="4"/>
        <v>266</v>
      </c>
      <c r="J21" s="13">
        <f t="shared" si="4"/>
        <v>242</v>
      </c>
      <c r="K21" s="13">
        <f t="shared" si="4"/>
        <v>214</v>
      </c>
      <c r="L21" s="13">
        <f t="shared" si="4"/>
        <v>220</v>
      </c>
      <c r="M21" s="13">
        <f t="shared" si="4"/>
        <v>202</v>
      </c>
      <c r="N21" s="13">
        <f t="shared" si="4"/>
        <v>211</v>
      </c>
      <c r="O21" s="13">
        <f t="shared" si="4"/>
        <v>171</v>
      </c>
      <c r="P21" s="13">
        <f t="shared" si="4"/>
        <v>194</v>
      </c>
      <c r="Q21" s="13">
        <f t="shared" si="4"/>
        <v>198</v>
      </c>
      <c r="R21" s="13">
        <f t="shared" si="4"/>
        <v>207</v>
      </c>
      <c r="S21" s="13">
        <f t="shared" si="4"/>
        <v>217</v>
      </c>
      <c r="T21" s="13">
        <f t="shared" si="3"/>
        <v>3152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2.0</v>
      </c>
      <c r="R23" s="19">
        <v>0.0</v>
      </c>
      <c r="S23" s="19">
        <v>0.0</v>
      </c>
      <c r="T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3"/>
        <v>3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3.0</v>
      </c>
      <c r="N25" s="19">
        <v>0.0</v>
      </c>
      <c r="O25" s="19">
        <v>0.0</v>
      </c>
      <c r="P25" s="19">
        <v>0.0</v>
      </c>
      <c r="Q25" s="19">
        <v>0.0</v>
      </c>
      <c r="R25" s="19">
        <v>2.0</v>
      </c>
      <c r="S25" s="19">
        <v>1.0</v>
      </c>
      <c r="T25" s="13">
        <f t="shared" si="3"/>
        <v>6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3.0</v>
      </c>
      <c r="N26" s="19">
        <v>0.0</v>
      </c>
      <c r="O26" s="19">
        <v>0.0</v>
      </c>
      <c r="P26" s="19">
        <v>0.0</v>
      </c>
      <c r="Q26" s="19">
        <v>1.0</v>
      </c>
      <c r="R26" s="19">
        <v>1.0</v>
      </c>
      <c r="S26" s="19">
        <v>0.0</v>
      </c>
      <c r="T26" s="13">
        <f t="shared" si="3"/>
        <v>5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6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3</v>
      </c>
      <c r="S27" s="13">
        <f t="shared" si="6"/>
        <v>1</v>
      </c>
      <c r="T27" s="13">
        <f t="shared" si="3"/>
        <v>11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S28" si="7">SUM(E19,E22,E25)</f>
        <v>84</v>
      </c>
      <c r="F28" s="13">
        <f t="shared" si="7"/>
        <v>85</v>
      </c>
      <c r="G28" s="13">
        <f t="shared" si="7"/>
        <v>102</v>
      </c>
      <c r="H28" s="13">
        <f t="shared" si="7"/>
        <v>100</v>
      </c>
      <c r="I28" s="13">
        <f t="shared" si="7"/>
        <v>135</v>
      </c>
      <c r="J28" s="13">
        <f t="shared" si="7"/>
        <v>137</v>
      </c>
      <c r="K28" s="13">
        <f t="shared" si="7"/>
        <v>103</v>
      </c>
      <c r="L28" s="13">
        <f t="shared" si="7"/>
        <v>111</v>
      </c>
      <c r="M28" s="13">
        <f t="shared" si="7"/>
        <v>102</v>
      </c>
      <c r="N28" s="13">
        <f t="shared" si="7"/>
        <v>98</v>
      </c>
      <c r="O28" s="13">
        <f t="shared" si="7"/>
        <v>81</v>
      </c>
      <c r="P28" s="13">
        <f t="shared" si="7"/>
        <v>90</v>
      </c>
      <c r="Q28" s="13">
        <f t="shared" si="7"/>
        <v>93</v>
      </c>
      <c r="R28" s="13">
        <f t="shared" si="7"/>
        <v>108</v>
      </c>
      <c r="S28" s="13">
        <f t="shared" si="7"/>
        <v>111</v>
      </c>
      <c r="T28" s="13">
        <f t="shared" si="3"/>
        <v>1540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112</v>
      </c>
      <c r="F29" s="13">
        <f t="shared" si="8"/>
        <v>105</v>
      </c>
      <c r="G29" s="13">
        <f t="shared" si="8"/>
        <v>99</v>
      </c>
      <c r="H29" s="13">
        <f t="shared" si="8"/>
        <v>123</v>
      </c>
      <c r="I29" s="13">
        <f t="shared" si="8"/>
        <v>131</v>
      </c>
      <c r="J29" s="13">
        <f t="shared" si="8"/>
        <v>105</v>
      </c>
      <c r="K29" s="13">
        <f t="shared" si="8"/>
        <v>111</v>
      </c>
      <c r="L29" s="13">
        <f t="shared" si="8"/>
        <v>109</v>
      </c>
      <c r="M29" s="13">
        <f t="shared" si="8"/>
        <v>107</v>
      </c>
      <c r="N29" s="13">
        <f t="shared" si="8"/>
        <v>113</v>
      </c>
      <c r="O29" s="13">
        <f t="shared" si="8"/>
        <v>90</v>
      </c>
      <c r="P29" s="13">
        <f t="shared" si="8"/>
        <v>104</v>
      </c>
      <c r="Q29" s="13">
        <f t="shared" si="8"/>
        <v>108</v>
      </c>
      <c r="R29" s="13">
        <f t="shared" si="8"/>
        <v>102</v>
      </c>
      <c r="S29" s="13">
        <f t="shared" si="8"/>
        <v>107</v>
      </c>
      <c r="T29" s="13">
        <f t="shared" si="3"/>
        <v>1626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196</v>
      </c>
      <c r="F30" s="13">
        <f t="shared" si="9"/>
        <v>190</v>
      </c>
      <c r="G30" s="13">
        <f t="shared" si="9"/>
        <v>201</v>
      </c>
      <c r="H30" s="13">
        <f t="shared" si="9"/>
        <v>223</v>
      </c>
      <c r="I30" s="13">
        <f t="shared" si="9"/>
        <v>266</v>
      </c>
      <c r="J30" s="13">
        <f t="shared" si="9"/>
        <v>242</v>
      </c>
      <c r="K30" s="13">
        <f t="shared" si="9"/>
        <v>214</v>
      </c>
      <c r="L30" s="13">
        <f t="shared" si="9"/>
        <v>220</v>
      </c>
      <c r="M30" s="13">
        <f t="shared" si="9"/>
        <v>209</v>
      </c>
      <c r="N30" s="13">
        <f t="shared" si="9"/>
        <v>211</v>
      </c>
      <c r="O30" s="13">
        <f t="shared" si="9"/>
        <v>171</v>
      </c>
      <c r="P30" s="13">
        <f t="shared" si="9"/>
        <v>194</v>
      </c>
      <c r="Q30" s="13">
        <f t="shared" si="9"/>
        <v>201</v>
      </c>
      <c r="R30" s="13">
        <f t="shared" si="9"/>
        <v>210</v>
      </c>
      <c r="S30" s="13">
        <f t="shared" si="9"/>
        <v>218</v>
      </c>
      <c r="T30" s="13">
        <f t="shared" si="3"/>
        <v>3166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61"/>
    </row>
    <row r="32" ht="12.75" customHeight="1">
      <c r="A32" s="43" t="s">
        <v>25</v>
      </c>
      <c r="B32" s="14" t="s">
        <v>26</v>
      </c>
      <c r="C32" s="15"/>
      <c r="D32" s="16"/>
      <c r="E32" s="63" t="s">
        <v>70</v>
      </c>
      <c r="F32" s="63" t="s">
        <v>71</v>
      </c>
      <c r="G32" s="63" t="s">
        <v>72</v>
      </c>
      <c r="H32" s="63" t="s">
        <v>73</v>
      </c>
      <c r="I32" s="63" t="s">
        <v>74</v>
      </c>
      <c r="J32" s="63" t="s">
        <v>75</v>
      </c>
      <c r="K32" s="63" t="s">
        <v>77</v>
      </c>
      <c r="L32" s="63" t="s">
        <v>78</v>
      </c>
      <c r="M32" s="63" t="s">
        <v>79</v>
      </c>
      <c r="N32" s="63" t="s">
        <v>81</v>
      </c>
      <c r="O32" s="63" t="s">
        <v>82</v>
      </c>
      <c r="P32" s="63" t="s">
        <v>83</v>
      </c>
      <c r="Q32" s="63" t="s">
        <v>84</v>
      </c>
      <c r="R32" s="63" t="s">
        <v>86</v>
      </c>
      <c r="S32" s="63" t="s">
        <v>87</v>
      </c>
      <c r="T32" s="61"/>
    </row>
    <row r="33" ht="12.75" customHeight="1">
      <c r="A33" s="19">
        <v>1.0</v>
      </c>
      <c r="B33" s="20" t="s">
        <v>27</v>
      </c>
      <c r="C33" s="15"/>
      <c r="D33" s="16"/>
      <c r="E33" s="19">
        <v>231.0</v>
      </c>
      <c r="F33" s="19">
        <v>252.0</v>
      </c>
      <c r="G33" s="19">
        <v>244.0</v>
      </c>
      <c r="H33" s="19">
        <v>290.0</v>
      </c>
      <c r="I33" s="19">
        <v>289.0</v>
      </c>
      <c r="J33" s="19">
        <v>286.0</v>
      </c>
      <c r="K33" s="19">
        <v>281.0</v>
      </c>
      <c r="L33" s="19">
        <v>373.0</v>
      </c>
      <c r="M33" s="19">
        <v>238.0</v>
      </c>
      <c r="N33" s="19">
        <v>272.0</v>
      </c>
      <c r="O33" s="19">
        <v>231.0</v>
      </c>
      <c r="P33" s="19">
        <v>246.0</v>
      </c>
      <c r="Q33" s="19">
        <v>251.0</v>
      </c>
      <c r="R33" s="19">
        <v>262.0</v>
      </c>
      <c r="S33" s="19">
        <v>287.0</v>
      </c>
      <c r="T33" s="13">
        <f t="shared" ref="T33:T36" si="10">SUM(E33:S33)</f>
        <v>4033</v>
      </c>
    </row>
    <row r="34" ht="12.75" customHeight="1">
      <c r="A34" s="19">
        <v>2.0</v>
      </c>
      <c r="B34" s="20" t="s">
        <v>28</v>
      </c>
      <c r="C34" s="15"/>
      <c r="D34" s="16"/>
      <c r="E34" s="13">
        <v>196.0</v>
      </c>
      <c r="F34" s="13">
        <v>190.0</v>
      </c>
      <c r="G34" s="13">
        <v>201.0</v>
      </c>
      <c r="H34" s="13">
        <v>223.0</v>
      </c>
      <c r="I34" s="13">
        <v>266.0</v>
      </c>
      <c r="J34" s="13">
        <v>242.0</v>
      </c>
      <c r="K34" s="13">
        <v>214.0</v>
      </c>
      <c r="L34" s="13">
        <v>220.0</v>
      </c>
      <c r="M34" s="13">
        <v>209.0</v>
      </c>
      <c r="N34" s="13">
        <v>211.0</v>
      </c>
      <c r="O34" s="13">
        <v>171.0</v>
      </c>
      <c r="P34" s="13">
        <v>194.0</v>
      </c>
      <c r="Q34" s="13">
        <v>201.0</v>
      </c>
      <c r="R34" s="13">
        <v>210.0</v>
      </c>
      <c r="S34" s="13">
        <v>218.0</v>
      </c>
      <c r="T34" s="13">
        <f t="shared" si="10"/>
        <v>3166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2.0</v>
      </c>
      <c r="S35" s="19">
        <v>0.0</v>
      </c>
      <c r="T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35</v>
      </c>
      <c r="F36" s="13">
        <f t="shared" si="11"/>
        <v>62</v>
      </c>
      <c r="G36" s="13">
        <f t="shared" si="11"/>
        <v>43</v>
      </c>
      <c r="H36" s="13">
        <f t="shared" si="11"/>
        <v>67</v>
      </c>
      <c r="I36" s="13">
        <f t="shared" si="11"/>
        <v>23</v>
      </c>
      <c r="J36" s="13">
        <f t="shared" si="11"/>
        <v>44</v>
      </c>
      <c r="K36" s="13">
        <f t="shared" si="11"/>
        <v>67</v>
      </c>
      <c r="L36" s="13">
        <f t="shared" si="11"/>
        <v>153</v>
      </c>
      <c r="M36" s="13">
        <f t="shared" si="11"/>
        <v>29</v>
      </c>
      <c r="N36" s="13">
        <f t="shared" si="11"/>
        <v>61</v>
      </c>
      <c r="O36" s="13">
        <f t="shared" si="11"/>
        <v>60</v>
      </c>
      <c r="P36" s="13">
        <f t="shared" si="11"/>
        <v>52</v>
      </c>
      <c r="Q36" s="13">
        <f t="shared" si="11"/>
        <v>50</v>
      </c>
      <c r="R36" s="13">
        <f t="shared" si="11"/>
        <v>50</v>
      </c>
      <c r="S36" s="13">
        <f t="shared" si="11"/>
        <v>69</v>
      </c>
      <c r="T36" s="13">
        <f t="shared" si="10"/>
        <v>865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61"/>
    </row>
    <row r="38" ht="12.75" customHeight="1">
      <c r="A38" s="44" t="s">
        <v>31</v>
      </c>
      <c r="B38" s="14" t="s">
        <v>32</v>
      </c>
      <c r="C38" s="15"/>
      <c r="D38" s="16"/>
      <c r="E38" s="63" t="s">
        <v>70</v>
      </c>
      <c r="F38" s="63" t="s">
        <v>71</v>
      </c>
      <c r="G38" s="63" t="s">
        <v>72</v>
      </c>
      <c r="H38" s="63" t="s">
        <v>73</v>
      </c>
      <c r="I38" s="63" t="s">
        <v>74</v>
      </c>
      <c r="J38" s="63" t="s">
        <v>75</v>
      </c>
      <c r="K38" s="63" t="s">
        <v>77</v>
      </c>
      <c r="L38" s="63" t="s">
        <v>78</v>
      </c>
      <c r="M38" s="63" t="s">
        <v>79</v>
      </c>
      <c r="N38" s="63" t="s">
        <v>81</v>
      </c>
      <c r="O38" s="63" t="s">
        <v>82</v>
      </c>
      <c r="P38" s="63" t="s">
        <v>83</v>
      </c>
      <c r="Q38" s="63" t="s">
        <v>84</v>
      </c>
      <c r="R38" s="63" t="s">
        <v>86</v>
      </c>
      <c r="S38" s="63" t="s">
        <v>87</v>
      </c>
      <c r="T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3"/>
    </row>
    <row r="43" ht="12.75" customHeight="1">
      <c r="A43" s="44" t="s">
        <v>34</v>
      </c>
      <c r="B43" s="14" t="s">
        <v>35</v>
      </c>
      <c r="C43" s="15"/>
      <c r="D43" s="16"/>
      <c r="E43" s="63" t="s">
        <v>70</v>
      </c>
      <c r="F43" s="63" t="s">
        <v>71</v>
      </c>
      <c r="G43" s="63" t="s">
        <v>72</v>
      </c>
      <c r="H43" s="63" t="s">
        <v>73</v>
      </c>
      <c r="I43" s="63" t="s">
        <v>74</v>
      </c>
      <c r="J43" s="63" t="s">
        <v>75</v>
      </c>
      <c r="K43" s="63" t="s">
        <v>77</v>
      </c>
      <c r="L43" s="63" t="s">
        <v>78</v>
      </c>
      <c r="M43" s="63" t="s">
        <v>79</v>
      </c>
      <c r="N43" s="63" t="s">
        <v>81</v>
      </c>
      <c r="O43" s="63" t="s">
        <v>82</v>
      </c>
      <c r="P43" s="63" t="s">
        <v>83</v>
      </c>
      <c r="Q43" s="63" t="s">
        <v>84</v>
      </c>
      <c r="R43" s="63" t="s">
        <v>86</v>
      </c>
      <c r="S43" s="63" t="s">
        <v>87</v>
      </c>
      <c r="T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3"/>
    </row>
    <row r="45" ht="12.75" customHeight="1">
      <c r="A45" s="31"/>
      <c r="B45" s="49" t="s">
        <v>17</v>
      </c>
      <c r="C45" s="62" t="s">
        <v>38</v>
      </c>
      <c r="D45" s="16"/>
      <c r="E45" s="19">
        <v>11.0</v>
      </c>
      <c r="F45" s="19">
        <v>3.0</v>
      </c>
      <c r="G45" s="19">
        <v>7.0</v>
      </c>
      <c r="H45" s="19">
        <v>5.0</v>
      </c>
      <c r="I45" s="19">
        <v>13.0</v>
      </c>
      <c r="J45" s="19">
        <v>16.0</v>
      </c>
      <c r="K45" s="19">
        <v>21.0</v>
      </c>
      <c r="L45" s="19">
        <v>10.0</v>
      </c>
      <c r="M45" s="19">
        <v>24.0</v>
      </c>
      <c r="N45" s="19">
        <v>17.0</v>
      </c>
      <c r="O45" s="19">
        <v>6.0</v>
      </c>
      <c r="P45" s="19">
        <v>15.0</v>
      </c>
      <c r="Q45" s="19">
        <v>16.0</v>
      </c>
      <c r="R45" s="19">
        <v>19.0</v>
      </c>
      <c r="S45" s="19">
        <v>15.0</v>
      </c>
      <c r="T45" s="13">
        <f t="shared" ref="T45:T57" si="14">SUM(E45:S45)</f>
        <v>198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39.0</v>
      </c>
      <c r="F46" s="19">
        <v>33.0</v>
      </c>
      <c r="G46" s="19">
        <v>29.0</v>
      </c>
      <c r="H46" s="19">
        <v>29.0</v>
      </c>
      <c r="I46" s="19">
        <v>43.0</v>
      </c>
      <c r="J46" s="19">
        <v>41.0</v>
      </c>
      <c r="K46" s="19">
        <v>40.0</v>
      </c>
      <c r="L46" s="19">
        <v>41.0</v>
      </c>
      <c r="M46" s="19">
        <v>40.0</v>
      </c>
      <c r="N46" s="19">
        <v>41.0</v>
      </c>
      <c r="O46" s="19">
        <v>31.0</v>
      </c>
      <c r="P46" s="19">
        <v>41.0</v>
      </c>
      <c r="Q46" s="19">
        <v>40.0</v>
      </c>
      <c r="R46" s="19">
        <v>39.0</v>
      </c>
      <c r="S46" s="19">
        <v>51.0</v>
      </c>
      <c r="T46" s="13">
        <f t="shared" si="14"/>
        <v>578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8.0</v>
      </c>
      <c r="F47" s="19">
        <v>9.0</v>
      </c>
      <c r="G47" s="19">
        <v>11.0</v>
      </c>
      <c r="H47" s="19">
        <v>13.0</v>
      </c>
      <c r="I47" s="19">
        <v>17.0</v>
      </c>
      <c r="J47" s="19">
        <v>16.0</v>
      </c>
      <c r="K47" s="19">
        <v>15.0</v>
      </c>
      <c r="L47" s="19">
        <v>17.0</v>
      </c>
      <c r="M47" s="19">
        <v>9.0</v>
      </c>
      <c r="N47" s="19">
        <v>23.0</v>
      </c>
      <c r="O47" s="19">
        <v>6.0</v>
      </c>
      <c r="P47" s="19">
        <v>12.0</v>
      </c>
      <c r="Q47" s="19">
        <v>21.0</v>
      </c>
      <c r="R47" s="19">
        <v>14.0</v>
      </c>
      <c r="S47" s="19">
        <v>11.0</v>
      </c>
      <c r="T47" s="13">
        <f t="shared" si="14"/>
        <v>202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21.0</v>
      </c>
      <c r="F48" s="19">
        <v>19.0</v>
      </c>
      <c r="G48" s="19">
        <v>29.0</v>
      </c>
      <c r="H48" s="19">
        <v>20.0</v>
      </c>
      <c r="I48" s="19">
        <v>27.0</v>
      </c>
      <c r="J48" s="19">
        <v>21.0</v>
      </c>
      <c r="K48" s="19">
        <v>24.0</v>
      </c>
      <c r="L48" s="19">
        <v>30.0</v>
      </c>
      <c r="M48" s="19">
        <v>11.0</v>
      </c>
      <c r="N48" s="19">
        <v>23.0</v>
      </c>
      <c r="O48" s="19">
        <v>18.0</v>
      </c>
      <c r="P48" s="19">
        <v>22.0</v>
      </c>
      <c r="Q48" s="19">
        <v>27.0</v>
      </c>
      <c r="R48" s="19">
        <v>21.0</v>
      </c>
      <c r="S48" s="19">
        <v>25.0</v>
      </c>
      <c r="T48" s="13">
        <f t="shared" si="14"/>
        <v>338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29.0</v>
      </c>
      <c r="F49" s="19">
        <v>24.0</v>
      </c>
      <c r="G49" s="19">
        <v>37.0</v>
      </c>
      <c r="H49" s="19">
        <v>62.0</v>
      </c>
      <c r="I49" s="19">
        <v>22.0</v>
      </c>
      <c r="J49" s="19">
        <v>18.0</v>
      </c>
      <c r="K49" s="19">
        <v>22.0</v>
      </c>
      <c r="L49" s="19">
        <v>17.0</v>
      </c>
      <c r="M49" s="19">
        <v>19.0</v>
      </c>
      <c r="N49" s="19">
        <v>17.0</v>
      </c>
      <c r="O49" s="19">
        <v>21.0</v>
      </c>
      <c r="P49" s="19">
        <v>23.0</v>
      </c>
      <c r="Q49" s="19">
        <v>14.0</v>
      </c>
      <c r="R49" s="19">
        <v>20.0</v>
      </c>
      <c r="S49" s="19">
        <v>19.0</v>
      </c>
      <c r="T49" s="13">
        <f t="shared" si="14"/>
        <v>364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8.0</v>
      </c>
      <c r="F50" s="19">
        <v>10.0</v>
      </c>
      <c r="G50" s="19">
        <v>5.0</v>
      </c>
      <c r="H50" s="19">
        <v>10.0</v>
      </c>
      <c r="I50" s="19">
        <v>17.0</v>
      </c>
      <c r="J50" s="19">
        <v>11.0</v>
      </c>
      <c r="K50" s="19">
        <v>8.0</v>
      </c>
      <c r="L50" s="19">
        <v>11.0</v>
      </c>
      <c r="M50" s="19">
        <v>12.0</v>
      </c>
      <c r="N50" s="19">
        <v>13.0</v>
      </c>
      <c r="O50" s="19">
        <v>15.0</v>
      </c>
      <c r="P50" s="19">
        <v>8.0</v>
      </c>
      <c r="Q50" s="19">
        <v>8.0</v>
      </c>
      <c r="R50" s="19">
        <v>9.0</v>
      </c>
      <c r="S50" s="19">
        <v>14.0</v>
      </c>
      <c r="T50" s="13">
        <f t="shared" si="14"/>
        <v>159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8.0</v>
      </c>
      <c r="F51" s="19">
        <v>2.0</v>
      </c>
      <c r="G51" s="19">
        <v>0.0</v>
      </c>
      <c r="H51" s="19">
        <v>5.0</v>
      </c>
      <c r="I51" s="19">
        <v>8.0</v>
      </c>
      <c r="J51" s="19">
        <v>5.0</v>
      </c>
      <c r="K51" s="19">
        <v>6.0</v>
      </c>
      <c r="L51" s="19">
        <v>0.0</v>
      </c>
      <c r="M51" s="19">
        <v>2.0</v>
      </c>
      <c r="N51" s="19">
        <v>5.0</v>
      </c>
      <c r="O51" s="19">
        <v>2.0</v>
      </c>
      <c r="P51" s="19">
        <v>6.0</v>
      </c>
      <c r="Q51" s="19">
        <v>1.0</v>
      </c>
      <c r="R51" s="19">
        <v>2.0</v>
      </c>
      <c r="S51" s="19">
        <v>1.0</v>
      </c>
      <c r="T51" s="13">
        <f t="shared" si="14"/>
        <v>53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5.0</v>
      </c>
      <c r="F52" s="19">
        <v>3.0</v>
      </c>
      <c r="G52" s="19">
        <v>2.0</v>
      </c>
      <c r="H52" s="19">
        <v>5.0</v>
      </c>
      <c r="I52" s="19">
        <v>3.0</v>
      </c>
      <c r="J52" s="19">
        <v>1.0</v>
      </c>
      <c r="K52" s="19">
        <v>4.0</v>
      </c>
      <c r="L52" s="19">
        <v>7.0</v>
      </c>
      <c r="M52" s="19">
        <v>1.0</v>
      </c>
      <c r="N52" s="19">
        <v>2.0</v>
      </c>
      <c r="O52" s="19">
        <v>4.0</v>
      </c>
      <c r="P52" s="19">
        <v>2.0</v>
      </c>
      <c r="Q52" s="19">
        <v>3.0</v>
      </c>
      <c r="R52" s="19">
        <v>1.0</v>
      </c>
      <c r="S52" s="19">
        <v>4.0</v>
      </c>
      <c r="T52" s="13">
        <f t="shared" si="14"/>
        <v>47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1.0</v>
      </c>
      <c r="F53" s="19">
        <v>0.0</v>
      </c>
      <c r="G53" s="19">
        <v>1.0</v>
      </c>
      <c r="H53" s="19">
        <v>1.0</v>
      </c>
      <c r="I53" s="19">
        <v>2.0</v>
      </c>
      <c r="J53" s="19">
        <v>3.0</v>
      </c>
      <c r="K53" s="19">
        <v>1.0</v>
      </c>
      <c r="L53" s="19">
        <v>0.0</v>
      </c>
      <c r="M53" s="19">
        <v>0.0</v>
      </c>
      <c r="N53" s="19">
        <v>2.0</v>
      </c>
      <c r="O53" s="19">
        <v>0.0</v>
      </c>
      <c r="P53" s="19">
        <v>0.0</v>
      </c>
      <c r="Q53" s="19">
        <v>1.0</v>
      </c>
      <c r="R53" s="19">
        <v>3.0</v>
      </c>
      <c r="S53" s="19">
        <v>0.0</v>
      </c>
      <c r="T53" s="13">
        <f t="shared" si="14"/>
        <v>15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17.0</v>
      </c>
      <c r="F54" s="19">
        <v>27.0</v>
      </c>
      <c r="G54" s="19">
        <v>15.0</v>
      </c>
      <c r="H54" s="19">
        <v>15.0</v>
      </c>
      <c r="I54" s="19">
        <v>23.0</v>
      </c>
      <c r="J54" s="19">
        <v>25.0</v>
      </c>
      <c r="K54" s="19">
        <v>18.0</v>
      </c>
      <c r="L54" s="19">
        <v>18.0</v>
      </c>
      <c r="M54" s="19">
        <v>10.0</v>
      </c>
      <c r="N54" s="19">
        <v>11.0</v>
      </c>
      <c r="O54" s="19">
        <v>14.0</v>
      </c>
      <c r="P54" s="19">
        <v>11.0</v>
      </c>
      <c r="Q54" s="19">
        <v>12.0</v>
      </c>
      <c r="R54" s="19">
        <v>12.0</v>
      </c>
      <c r="S54" s="19">
        <v>11.0</v>
      </c>
      <c r="T54" s="13">
        <f t="shared" si="14"/>
        <v>239</v>
      </c>
    </row>
    <row r="55" ht="15.0" customHeight="1">
      <c r="A55" s="18"/>
      <c r="B55" s="49" t="s">
        <v>54</v>
      </c>
      <c r="C55" s="62" t="s">
        <v>55</v>
      </c>
      <c r="D55" s="16"/>
      <c r="E55" s="19">
        <v>1.0</v>
      </c>
      <c r="F55" s="19">
        <v>1.0</v>
      </c>
      <c r="G55" s="19">
        <v>0.0</v>
      </c>
      <c r="H55" s="19">
        <v>0.0</v>
      </c>
      <c r="I55" s="19">
        <v>1.0</v>
      </c>
      <c r="J55" s="19">
        <v>0.0</v>
      </c>
      <c r="K55" s="19">
        <v>1.0</v>
      </c>
      <c r="L55" s="19">
        <v>2.0</v>
      </c>
      <c r="M55" s="19">
        <v>2.0</v>
      </c>
      <c r="N55" s="19">
        <v>0.0</v>
      </c>
      <c r="O55" s="19">
        <v>3.0</v>
      </c>
      <c r="P55" s="19">
        <v>2.0</v>
      </c>
      <c r="Q55" s="19">
        <v>0.0</v>
      </c>
      <c r="R55" s="19">
        <v>2.0</v>
      </c>
      <c r="S55" s="19">
        <v>1.0</v>
      </c>
      <c r="T55" s="13">
        <f t="shared" si="14"/>
        <v>16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10.0</v>
      </c>
      <c r="F56" s="19">
        <v>11.0</v>
      </c>
      <c r="G56" s="19">
        <v>21.0</v>
      </c>
      <c r="H56" s="19">
        <v>18.0</v>
      </c>
      <c r="I56" s="19">
        <v>23.0</v>
      </c>
      <c r="J56" s="19">
        <v>14.0</v>
      </c>
      <c r="K56" s="19">
        <v>18.0</v>
      </c>
      <c r="L56" s="19">
        <v>15.0</v>
      </c>
      <c r="M56" s="19">
        <v>8.0</v>
      </c>
      <c r="N56" s="19">
        <v>23.0</v>
      </c>
      <c r="O56" s="19">
        <v>10.0</v>
      </c>
      <c r="P56" s="19">
        <v>21.0</v>
      </c>
      <c r="Q56" s="19">
        <v>19.0</v>
      </c>
      <c r="R56" s="19">
        <v>13.0</v>
      </c>
      <c r="S56" s="19">
        <v>14.0</v>
      </c>
      <c r="T56" s="13">
        <f t="shared" si="14"/>
        <v>238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1.0</v>
      </c>
      <c r="F57" s="19">
        <v>3.0</v>
      </c>
      <c r="G57" s="19">
        <v>2.0</v>
      </c>
      <c r="H57" s="19">
        <v>2.0</v>
      </c>
      <c r="I57" s="19">
        <v>4.0</v>
      </c>
      <c r="J57" s="19">
        <v>2.0</v>
      </c>
      <c r="K57" s="19">
        <v>2.0</v>
      </c>
      <c r="L57" s="19">
        <v>1.0</v>
      </c>
      <c r="M57" s="19">
        <v>1.0</v>
      </c>
      <c r="N57" s="19">
        <v>0.0</v>
      </c>
      <c r="O57" s="19">
        <v>5.0</v>
      </c>
      <c r="P57" s="19">
        <v>3.0</v>
      </c>
      <c r="Q57" s="19">
        <v>1.0</v>
      </c>
      <c r="R57" s="19">
        <v>1.0</v>
      </c>
      <c r="S57" s="19">
        <v>2.0</v>
      </c>
      <c r="T57" s="13">
        <f t="shared" si="14"/>
        <v>30</v>
      </c>
    </row>
    <row r="58" ht="12.75" customHeight="1">
      <c r="T58" s="13"/>
    </row>
    <row r="59" ht="12.75" customHeight="1">
      <c r="A59" s="44" t="s">
        <v>60</v>
      </c>
      <c r="B59" s="14" t="s">
        <v>61</v>
      </c>
      <c r="C59" s="15"/>
      <c r="D59" s="16"/>
      <c r="E59" s="63" t="s">
        <v>70</v>
      </c>
      <c r="F59" s="63" t="s">
        <v>71</v>
      </c>
      <c r="G59" s="63" t="s">
        <v>72</v>
      </c>
      <c r="H59" s="63" t="s">
        <v>73</v>
      </c>
      <c r="I59" s="63" t="s">
        <v>74</v>
      </c>
      <c r="J59" s="63" t="s">
        <v>75</v>
      </c>
      <c r="K59" s="63" t="s">
        <v>77</v>
      </c>
      <c r="L59" s="63" t="s">
        <v>78</v>
      </c>
      <c r="M59" s="63" t="s">
        <v>79</v>
      </c>
      <c r="N59" s="63" t="s">
        <v>81</v>
      </c>
      <c r="O59" s="63" t="s">
        <v>82</v>
      </c>
      <c r="P59" s="63" t="s">
        <v>83</v>
      </c>
      <c r="Q59" s="63" t="s">
        <v>84</v>
      </c>
      <c r="R59" s="63" t="s">
        <v>86</v>
      </c>
      <c r="S59" s="63" t="s">
        <v>87</v>
      </c>
      <c r="T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S60" si="15">SUM(E45:E57)</f>
        <v>159</v>
      </c>
      <c r="F60" s="19">
        <f t="shared" si="15"/>
        <v>145</v>
      </c>
      <c r="G60" s="19">
        <f t="shared" si="15"/>
        <v>159</v>
      </c>
      <c r="H60" s="19">
        <f t="shared" si="15"/>
        <v>185</v>
      </c>
      <c r="I60" s="19">
        <f t="shared" si="15"/>
        <v>203</v>
      </c>
      <c r="J60" s="19">
        <f t="shared" si="15"/>
        <v>173</v>
      </c>
      <c r="K60" s="19">
        <f t="shared" si="15"/>
        <v>180</v>
      </c>
      <c r="L60" s="19">
        <f t="shared" si="15"/>
        <v>169</v>
      </c>
      <c r="M60" s="19">
        <f t="shared" si="15"/>
        <v>139</v>
      </c>
      <c r="N60" s="19">
        <f t="shared" si="15"/>
        <v>177</v>
      </c>
      <c r="O60" s="19">
        <f t="shared" si="15"/>
        <v>135</v>
      </c>
      <c r="P60" s="19">
        <f t="shared" si="15"/>
        <v>166</v>
      </c>
      <c r="Q60" s="19">
        <f t="shared" si="15"/>
        <v>163</v>
      </c>
      <c r="R60" s="19">
        <f t="shared" si="15"/>
        <v>156</v>
      </c>
      <c r="S60" s="19">
        <f t="shared" si="15"/>
        <v>168</v>
      </c>
      <c r="T60" s="13">
        <f t="shared" ref="T60:T62" si="16">SUM(E60:S60)</f>
        <v>2477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37.0</v>
      </c>
      <c r="F61" s="19">
        <v>45.0</v>
      </c>
      <c r="G61" s="19">
        <v>42.0</v>
      </c>
      <c r="H61" s="19">
        <v>38.0</v>
      </c>
      <c r="I61" s="19">
        <v>63.0</v>
      </c>
      <c r="J61" s="19">
        <v>69.0</v>
      </c>
      <c r="K61" s="19">
        <v>34.0</v>
      </c>
      <c r="L61" s="19">
        <v>51.0</v>
      </c>
      <c r="M61" s="19">
        <v>70.0</v>
      </c>
      <c r="N61" s="19">
        <v>34.0</v>
      </c>
      <c r="O61" s="19">
        <v>36.0</v>
      </c>
      <c r="P61" s="19">
        <v>28.0</v>
      </c>
      <c r="Q61" s="19">
        <v>38.0</v>
      </c>
      <c r="R61" s="19">
        <v>54.0</v>
      </c>
      <c r="S61" s="19">
        <v>50.0</v>
      </c>
      <c r="T61" s="13">
        <f t="shared" si="16"/>
        <v>689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S62" si="17">SUM(E60:E61)</f>
        <v>196</v>
      </c>
      <c r="F62" s="13">
        <f t="shared" si="17"/>
        <v>190</v>
      </c>
      <c r="G62" s="13">
        <f t="shared" si="17"/>
        <v>201</v>
      </c>
      <c r="H62" s="13">
        <f t="shared" si="17"/>
        <v>223</v>
      </c>
      <c r="I62" s="13">
        <f t="shared" si="17"/>
        <v>266</v>
      </c>
      <c r="J62" s="13">
        <f t="shared" si="17"/>
        <v>242</v>
      </c>
      <c r="K62" s="13">
        <f t="shared" si="17"/>
        <v>214</v>
      </c>
      <c r="L62" s="13">
        <f t="shared" si="17"/>
        <v>220</v>
      </c>
      <c r="M62" s="13">
        <f t="shared" si="17"/>
        <v>209</v>
      </c>
      <c r="N62" s="13">
        <f t="shared" si="17"/>
        <v>211</v>
      </c>
      <c r="O62" s="13">
        <f t="shared" si="17"/>
        <v>171</v>
      </c>
      <c r="P62" s="13">
        <f t="shared" si="17"/>
        <v>194</v>
      </c>
      <c r="Q62" s="13">
        <f t="shared" si="17"/>
        <v>201</v>
      </c>
      <c r="R62" s="13">
        <f t="shared" si="17"/>
        <v>210</v>
      </c>
      <c r="S62" s="13">
        <f t="shared" si="17"/>
        <v>218</v>
      </c>
      <c r="T62" s="13">
        <f t="shared" si="16"/>
        <v>3166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U117" s="5"/>
      <c r="V117" s="5"/>
    </row>
    <row r="118" ht="12.75" customHeight="1">
      <c r="U118" s="5"/>
      <c r="V118" s="5"/>
    </row>
    <row r="119" ht="12.75" customHeight="1">
      <c r="U119" s="5"/>
      <c r="V119" s="5"/>
    </row>
    <row r="120" ht="12.75" customHeight="1">
      <c r="U120" s="5"/>
      <c r="V120" s="5"/>
    </row>
    <row r="121" ht="12.75" customHeight="1">
      <c r="U121" s="5"/>
      <c r="V121" s="5"/>
    </row>
    <row r="122" ht="12.75" customHeight="1">
      <c r="U122" s="5"/>
      <c r="V122" s="5"/>
    </row>
    <row r="123" ht="12.75" customHeight="1">
      <c r="U123" s="5"/>
      <c r="V123" s="5"/>
    </row>
    <row r="124" ht="12.75" customHeight="1">
      <c r="U124" s="5"/>
      <c r="V124" s="5"/>
    </row>
    <row r="125" ht="12.75" customHeight="1">
      <c r="U125" s="5"/>
      <c r="V125" s="5"/>
    </row>
    <row r="126" ht="12.75" customHeight="1">
      <c r="U126" s="5"/>
      <c r="V126" s="5"/>
    </row>
    <row r="127" ht="12.75" customHeight="1">
      <c r="U127" s="5"/>
      <c r="V127" s="5"/>
    </row>
    <row r="128" ht="12.75" customHeight="1">
      <c r="U128" s="5"/>
      <c r="V128" s="5"/>
    </row>
    <row r="129" ht="12.75" customHeight="1">
      <c r="U129" s="5"/>
      <c r="V129" s="5"/>
    </row>
    <row r="130" ht="12.75" customHeight="1">
      <c r="U130" s="1"/>
      <c r="V130" s="1"/>
    </row>
    <row r="131" ht="12.75" customHeight="1">
      <c r="U131" s="52"/>
      <c r="V131" s="52"/>
    </row>
    <row r="132" ht="12.75" customHeight="1">
      <c r="U132" s="5"/>
      <c r="V132" s="5"/>
    </row>
    <row r="133" ht="12.75" customHeight="1">
      <c r="U133" s="5"/>
      <c r="V133" s="5"/>
    </row>
    <row r="134" ht="12.75" customHeight="1">
      <c r="U134" s="5"/>
      <c r="V134" s="5"/>
    </row>
    <row r="135" ht="12.75" customHeight="1">
      <c r="U135" s="5"/>
      <c r="V135" s="5"/>
    </row>
    <row r="136" ht="12.75" customHeight="1">
      <c r="U136" s="5"/>
      <c r="V136" s="5"/>
    </row>
    <row r="137" ht="12.75" customHeight="1">
      <c r="U137" s="5"/>
      <c r="V137" s="5"/>
    </row>
    <row r="138" ht="12.75" customHeight="1">
      <c r="U138" s="5"/>
      <c r="V138" s="5"/>
    </row>
    <row r="139" ht="12.75" customHeight="1">
      <c r="U139" s="5"/>
      <c r="V139" s="5"/>
    </row>
    <row r="140" ht="12.75" customHeight="1">
      <c r="U140" s="5"/>
      <c r="V140" s="5"/>
    </row>
    <row r="141" ht="12.75" customHeight="1">
      <c r="U141" s="1"/>
      <c r="V141" s="1"/>
    </row>
    <row r="142" ht="12.75" customHeight="1">
      <c r="U142" s="52"/>
      <c r="V142" s="52"/>
    </row>
    <row r="143" ht="12.75" customHeight="1">
      <c r="U143" s="5"/>
      <c r="V143" s="5"/>
    </row>
    <row r="144" ht="12.75" customHeight="1">
      <c r="U144" s="5"/>
      <c r="V144" s="5"/>
    </row>
    <row r="145" ht="12.75" customHeight="1">
      <c r="U145" s="5"/>
      <c r="V145" s="5"/>
    </row>
    <row r="146" ht="12.75" customHeight="1">
      <c r="U146" s="5"/>
      <c r="V146" s="5"/>
    </row>
    <row r="147" ht="12.75" customHeight="1">
      <c r="U147" s="5"/>
      <c r="V147" s="5"/>
    </row>
    <row r="148" ht="12.75" customHeight="1">
      <c r="U148" s="5"/>
      <c r="V148" s="5"/>
    </row>
    <row r="149" ht="12.75" customHeight="1">
      <c r="U149" s="5"/>
      <c r="V149" s="5"/>
    </row>
    <row r="150" ht="12.75" customHeight="1">
      <c r="U150" s="5"/>
      <c r="V150" s="5"/>
    </row>
    <row r="151" ht="12.75" customHeight="1">
      <c r="U151" s="1"/>
      <c r="V151" s="1"/>
    </row>
    <row r="152" ht="12.75" customHeight="1">
      <c r="U152" s="52"/>
      <c r="V152" s="52"/>
    </row>
    <row r="153" ht="12.75" customHeight="1">
      <c r="U153" s="5"/>
      <c r="V153" s="5"/>
    </row>
    <row r="154" ht="12.75" customHeight="1">
      <c r="U154" s="5"/>
      <c r="V154" s="5"/>
    </row>
    <row r="155" ht="12.75" customHeight="1">
      <c r="U155" s="5"/>
      <c r="V155" s="5"/>
    </row>
    <row r="156" ht="12.75" customHeight="1">
      <c r="U156" s="5"/>
      <c r="V156" s="5"/>
    </row>
    <row r="157" ht="12.75" customHeight="1">
      <c r="U157" s="5"/>
      <c r="V157" s="5"/>
    </row>
    <row r="158" ht="12.75" customHeight="1">
      <c r="U158" s="5"/>
      <c r="V158" s="5"/>
    </row>
    <row r="159" ht="12.75" customHeight="1">
      <c r="U159" s="5"/>
      <c r="V159" s="5"/>
    </row>
    <row r="160" ht="12.75" customHeight="1">
      <c r="U160" s="5"/>
      <c r="V160" s="5"/>
    </row>
    <row r="161" ht="12.75" customHeight="1">
      <c r="U161" s="5"/>
      <c r="V161" s="5"/>
    </row>
    <row r="162" ht="12.75" customHeight="1">
      <c r="U162" s="5"/>
      <c r="V162" s="5"/>
    </row>
    <row r="163" ht="12.75" customHeight="1">
      <c r="U163" s="5"/>
      <c r="V163" s="5"/>
    </row>
    <row r="164" ht="12.75" customHeight="1">
      <c r="U164" s="5"/>
      <c r="V164" s="5"/>
    </row>
    <row r="165" ht="12.75" customHeight="1">
      <c r="U165" s="1"/>
      <c r="V165" s="1"/>
    </row>
    <row r="166" ht="12.75" customHeight="1">
      <c r="U166" s="52"/>
      <c r="V166" s="52"/>
    </row>
    <row r="167" ht="12.75" customHeight="1">
      <c r="U167" s="5"/>
      <c r="V167" s="5"/>
    </row>
    <row r="168" ht="12.75" customHeight="1">
      <c r="U168" s="5"/>
      <c r="V168" s="5"/>
    </row>
    <row r="169" ht="12.75" customHeight="1">
      <c r="U169" s="5"/>
      <c r="V169" s="5"/>
    </row>
    <row r="170" ht="12.75" customHeight="1">
      <c r="U170" s="5"/>
      <c r="V170" s="5"/>
    </row>
    <row r="171" ht="12.75" customHeight="1">
      <c r="U171" s="5"/>
      <c r="V171" s="5"/>
    </row>
    <row r="172" ht="12.75" customHeight="1">
      <c r="U172" s="5"/>
      <c r="V172" s="5"/>
    </row>
    <row r="173" ht="12.75" customHeight="1">
      <c r="U173" s="5"/>
      <c r="V173" s="5"/>
    </row>
    <row r="174" ht="12.75" customHeight="1">
      <c r="U174" s="5"/>
      <c r="V174" s="5"/>
    </row>
    <row r="175" ht="12.75" customHeight="1">
      <c r="U175" s="5"/>
      <c r="V175" s="5"/>
    </row>
    <row r="176" ht="12.75" customHeight="1">
      <c r="U176" s="1"/>
      <c r="V176" s="1"/>
    </row>
    <row r="177" ht="12.75" customHeight="1"/>
    <row r="178" ht="12.75" customHeight="1">
      <c r="U178" s="5"/>
      <c r="V178" s="5"/>
    </row>
    <row r="179" ht="12.75" customHeight="1">
      <c r="U179" s="5"/>
      <c r="V179" s="5"/>
    </row>
    <row r="180" ht="12.75" customHeight="1">
      <c r="U180" s="5"/>
      <c r="V180" s="5"/>
    </row>
    <row r="181" ht="12.75" customHeight="1">
      <c r="U181" s="5"/>
      <c r="V181" s="5"/>
    </row>
    <row r="182" ht="12.75" customHeight="1">
      <c r="U182" s="5"/>
      <c r="V182" s="5"/>
    </row>
    <row r="183" ht="12.75" customHeight="1">
      <c r="U183" s="5"/>
      <c r="V183" s="5"/>
    </row>
    <row r="184" ht="12.75" customHeight="1">
      <c r="U184" s="5"/>
      <c r="V184" s="5"/>
    </row>
    <row r="185" ht="12.75" customHeight="1">
      <c r="U185" s="5"/>
      <c r="V185" s="5"/>
    </row>
    <row r="186" ht="12.75" customHeight="1">
      <c r="U186" s="5"/>
      <c r="V186" s="5"/>
    </row>
    <row r="187" ht="12.75" customHeight="1">
      <c r="U187" s="1"/>
      <c r="V187" s="1"/>
    </row>
    <row r="188" ht="12.75" customHeight="1"/>
    <row r="189" ht="12.75" customHeight="1">
      <c r="U189" s="5"/>
      <c r="V189" s="5"/>
    </row>
    <row r="190" ht="12.75" customHeight="1">
      <c r="U190" s="5"/>
      <c r="V190" s="5"/>
    </row>
    <row r="191" ht="12.75" customHeight="1">
      <c r="U191" s="5"/>
      <c r="V191" s="5"/>
    </row>
    <row r="192" ht="12.75" customHeight="1">
      <c r="U192" s="5"/>
      <c r="V192" s="5"/>
    </row>
    <row r="193" ht="12.75" customHeight="1">
      <c r="U193" s="5"/>
      <c r="V193" s="5"/>
    </row>
    <row r="194" ht="12.75" customHeight="1">
      <c r="U194" s="5"/>
      <c r="V194" s="5"/>
    </row>
    <row r="195" ht="12.75" customHeight="1">
      <c r="U195" s="5"/>
      <c r="V195" s="5"/>
    </row>
    <row r="196" ht="12.75" customHeight="1">
      <c r="U196" s="1"/>
      <c r="V196" s="1"/>
    </row>
    <row r="197" ht="12.75" customHeight="1">
      <c r="U197" s="1"/>
      <c r="V197" s="1"/>
    </row>
    <row r="198" ht="12.75" customHeight="1">
      <c r="U198" s="1"/>
      <c r="V198" s="1"/>
    </row>
    <row r="199" ht="12.75" customHeight="1">
      <c r="U199" s="52"/>
      <c r="V199" s="52"/>
    </row>
    <row r="200" ht="12.75" customHeight="1">
      <c r="U200" s="5"/>
      <c r="V200" s="5"/>
    </row>
    <row r="201" ht="12.75" customHeight="1">
      <c r="U201" s="5"/>
      <c r="V201" s="5"/>
    </row>
    <row r="202" ht="12.75" customHeight="1">
      <c r="U202" s="5"/>
      <c r="V202" s="5"/>
    </row>
    <row r="203" ht="12.75" customHeight="1">
      <c r="U203" s="5"/>
      <c r="V203" s="5"/>
    </row>
    <row r="204" ht="12.75" customHeight="1">
      <c r="U204" s="5"/>
      <c r="V204" s="5"/>
    </row>
    <row r="205" ht="12.75" customHeight="1">
      <c r="U205" s="5"/>
      <c r="V205" s="5"/>
    </row>
    <row r="206" ht="12.75" customHeight="1">
      <c r="U206" s="5"/>
      <c r="V206" s="5"/>
    </row>
    <row r="207" ht="12.75" customHeight="1">
      <c r="U207" s="1"/>
      <c r="V207" s="1"/>
    </row>
    <row r="208" ht="12.75" customHeight="1">
      <c r="U208" s="52"/>
      <c r="V208" s="52"/>
    </row>
    <row r="209" ht="12.75" customHeight="1">
      <c r="U209" s="52"/>
      <c r="V209" s="52"/>
    </row>
    <row r="210" ht="12.75" customHeight="1">
      <c r="U210" s="52"/>
      <c r="V210" s="52"/>
    </row>
    <row r="211" ht="12.75" customHeight="1">
      <c r="U211" s="5"/>
      <c r="V211" s="5"/>
    </row>
    <row r="212" ht="12.75" customHeight="1">
      <c r="U212" s="5"/>
      <c r="V212" s="5"/>
    </row>
    <row r="213" ht="12.75" customHeight="1">
      <c r="U213" s="5"/>
      <c r="V213" s="5"/>
    </row>
    <row r="214" ht="12.75" customHeight="1">
      <c r="U214" s="5"/>
      <c r="V214" s="5"/>
    </row>
    <row r="215" ht="12.75" customHeight="1">
      <c r="U215" s="5"/>
      <c r="V215" s="5"/>
    </row>
    <row r="216" ht="12.75" customHeight="1">
      <c r="U216" s="5"/>
      <c r="V216" s="5"/>
    </row>
    <row r="217" ht="12.75" customHeight="1">
      <c r="U217" s="5"/>
      <c r="V217" s="5"/>
    </row>
    <row r="218" ht="12.75" customHeight="1">
      <c r="U218" s="1"/>
      <c r="V218" s="1"/>
    </row>
    <row r="219" ht="12.75" customHeight="1">
      <c r="U219" s="52"/>
      <c r="V219" s="52"/>
    </row>
    <row r="220" ht="12.75" customHeight="1">
      <c r="U220" s="5"/>
      <c r="V220" s="5"/>
    </row>
    <row r="221" ht="12.75" customHeight="1">
      <c r="U221" s="5"/>
      <c r="V221" s="5"/>
    </row>
    <row r="222" ht="12.75" customHeight="1">
      <c r="U222" s="5"/>
      <c r="V222" s="5"/>
    </row>
    <row r="223" ht="12.75" customHeight="1">
      <c r="U223" s="5"/>
      <c r="V223" s="5"/>
    </row>
    <row r="224" ht="12.75" customHeight="1">
      <c r="U224" s="5"/>
      <c r="V224" s="5"/>
    </row>
    <row r="225" ht="12.75" customHeight="1">
      <c r="U225" s="5"/>
      <c r="V225" s="5"/>
    </row>
    <row r="226" ht="12.75" customHeight="1">
      <c r="U226" s="5"/>
      <c r="V226" s="5"/>
    </row>
    <row r="227" ht="12.75" customHeight="1">
      <c r="U227" s="5"/>
      <c r="V227" s="5"/>
    </row>
    <row r="228" ht="12.75" customHeight="1">
      <c r="U228" s="5"/>
      <c r="V228" s="5"/>
    </row>
    <row r="229" ht="12.75" customHeight="1">
      <c r="U229" s="1"/>
      <c r="V229" s="1"/>
    </row>
    <row r="230" ht="12.75" customHeight="1">
      <c r="U230" s="52"/>
      <c r="V230" s="52"/>
    </row>
    <row r="231" ht="12.75" customHeight="1">
      <c r="U231" s="5"/>
      <c r="V231" s="5"/>
    </row>
    <row r="232" ht="12.75" customHeight="1">
      <c r="U232" s="5"/>
      <c r="V232" s="5"/>
    </row>
    <row r="233" ht="12.75" customHeight="1">
      <c r="U233" s="5"/>
      <c r="V233" s="5"/>
    </row>
    <row r="234" ht="12.75" customHeight="1">
      <c r="U234" s="5"/>
      <c r="V234" s="5"/>
    </row>
    <row r="235" ht="12.75" customHeight="1">
      <c r="U235" s="5"/>
      <c r="V235" s="5"/>
    </row>
    <row r="236" ht="12.75" customHeight="1">
      <c r="U236" s="5"/>
      <c r="V236" s="5"/>
    </row>
    <row r="237" ht="12.75" customHeight="1">
      <c r="U237" s="5"/>
      <c r="V237" s="5"/>
    </row>
    <row r="238" ht="12.75" customHeight="1">
      <c r="U238" s="5"/>
      <c r="V238" s="5"/>
    </row>
    <row r="239" ht="12.75" customHeight="1">
      <c r="U239" s="5"/>
      <c r="V239" s="5"/>
    </row>
    <row r="240" ht="12.75" customHeight="1">
      <c r="U240" s="1"/>
      <c r="V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45:S57">
    <cfRule type="containsBlanks" dxfId="1" priority="6">
      <formula>LEN(TRIM(E45))=0</formula>
    </cfRule>
  </conditionalFormatting>
  <conditionalFormatting sqref="E60:S61">
    <cfRule type="containsBlanks" dxfId="1" priority="7">
      <formula>LEN(TRIM(E60))=0</formula>
    </cfRule>
  </conditionalFormatting>
  <conditionalFormatting sqref="E34:S34">
    <cfRule type="expression" dxfId="2" priority="8">
      <formula>E30&lt;&gt;E34</formula>
    </cfRule>
  </conditionalFormatting>
  <conditionalFormatting sqref="E34:S34">
    <cfRule type="expression" dxfId="3" priority="9">
      <formula>E30=E34</formula>
    </cfRule>
  </conditionalFormatting>
  <conditionalFormatting sqref="E34:S34">
    <cfRule type="expression" dxfId="0" priority="10">
      <formula>E34&lt;&gt;E30</formula>
    </cfRule>
  </conditionalFormatting>
  <conditionalFormatting sqref="E34:S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13" t="s">
        <v>79</v>
      </c>
      <c r="N13" s="13" t="s">
        <v>81</v>
      </c>
      <c r="O13" s="13" t="s">
        <v>82</v>
      </c>
      <c r="P13" s="13" t="s">
        <v>83</v>
      </c>
      <c r="Q13" s="13" t="s">
        <v>84</v>
      </c>
      <c r="R13" s="13" t="s">
        <v>86</v>
      </c>
      <c r="S13" s="13" t="s">
        <v>87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128.0</v>
      </c>
      <c r="G14" s="19">
        <v>143.0</v>
      </c>
      <c r="H14" s="19">
        <v>143.0</v>
      </c>
      <c r="I14" s="19">
        <v>133.0</v>
      </c>
      <c r="J14" s="19">
        <v>148.0</v>
      </c>
      <c r="K14" s="19">
        <v>149.0</v>
      </c>
      <c r="L14" s="19">
        <v>139.0</v>
      </c>
      <c r="M14" s="19">
        <v>126.0</v>
      </c>
      <c r="N14" s="19">
        <v>141.0</v>
      </c>
      <c r="O14" s="19">
        <v>126.0</v>
      </c>
      <c r="P14" s="19">
        <v>141.0</v>
      </c>
      <c r="Q14" s="19">
        <v>124.0</v>
      </c>
      <c r="R14" s="19">
        <v>133.0</v>
      </c>
      <c r="S14" s="19">
        <v>137.0</v>
      </c>
      <c r="T14" s="13">
        <f t="shared" ref="T14:T16" si="1">SUM(E14:S14)</f>
        <v>2046</v>
      </c>
    </row>
    <row r="15" ht="12.75" customHeight="1">
      <c r="A15" s="18"/>
      <c r="B15" s="26"/>
      <c r="C15" s="27"/>
      <c r="D15" s="19" t="s">
        <v>13</v>
      </c>
      <c r="E15" s="19">
        <v>135.0</v>
      </c>
      <c r="F15" s="19">
        <v>144.0</v>
      </c>
      <c r="G15" s="19">
        <v>136.0</v>
      </c>
      <c r="H15" s="19">
        <v>145.0</v>
      </c>
      <c r="I15" s="19">
        <v>139.0</v>
      </c>
      <c r="J15" s="19">
        <v>139.0</v>
      </c>
      <c r="K15" s="19">
        <v>135.0</v>
      </c>
      <c r="L15" s="19">
        <v>135.0</v>
      </c>
      <c r="M15" s="19">
        <v>140.0</v>
      </c>
      <c r="N15" s="19">
        <v>146.0</v>
      </c>
      <c r="O15" s="19">
        <v>145.0</v>
      </c>
      <c r="P15" s="19">
        <v>138.0</v>
      </c>
      <c r="Q15" s="19">
        <v>148.0</v>
      </c>
      <c r="R15" s="19">
        <v>143.0</v>
      </c>
      <c r="S15" s="19">
        <v>159.0</v>
      </c>
      <c r="T15" s="13">
        <f t="shared" si="1"/>
        <v>2127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270</v>
      </c>
      <c r="F16" s="13">
        <f t="shared" si="2"/>
        <v>272</v>
      </c>
      <c r="G16" s="13">
        <f t="shared" si="2"/>
        <v>279</v>
      </c>
      <c r="H16" s="13">
        <f t="shared" si="2"/>
        <v>288</v>
      </c>
      <c r="I16" s="13">
        <f t="shared" si="2"/>
        <v>272</v>
      </c>
      <c r="J16" s="13">
        <f t="shared" si="2"/>
        <v>287</v>
      </c>
      <c r="K16" s="13">
        <f t="shared" si="2"/>
        <v>284</v>
      </c>
      <c r="L16" s="13">
        <f t="shared" si="2"/>
        <v>274</v>
      </c>
      <c r="M16" s="13">
        <f t="shared" si="2"/>
        <v>266</v>
      </c>
      <c r="N16" s="13">
        <f t="shared" si="2"/>
        <v>287</v>
      </c>
      <c r="O16" s="13">
        <f t="shared" si="2"/>
        <v>271</v>
      </c>
      <c r="P16" s="13">
        <f t="shared" si="2"/>
        <v>279</v>
      </c>
      <c r="Q16" s="13">
        <f t="shared" si="2"/>
        <v>272</v>
      </c>
      <c r="R16" s="13">
        <f t="shared" si="2"/>
        <v>276</v>
      </c>
      <c r="S16" s="13">
        <f t="shared" si="2"/>
        <v>296</v>
      </c>
      <c r="T16" s="13">
        <f t="shared" si="1"/>
        <v>4173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13" t="s">
        <v>77</v>
      </c>
      <c r="L18" s="13" t="s">
        <v>78</v>
      </c>
      <c r="M18" s="13" t="s">
        <v>79</v>
      </c>
      <c r="N18" s="13" t="s">
        <v>81</v>
      </c>
      <c r="O18" s="13" t="s">
        <v>82</v>
      </c>
      <c r="P18" s="13" t="s">
        <v>83</v>
      </c>
      <c r="Q18" s="13" t="s">
        <v>84</v>
      </c>
      <c r="R18" s="13" t="s">
        <v>86</v>
      </c>
      <c r="S18" s="13" t="s">
        <v>87</v>
      </c>
      <c r="T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104.0</v>
      </c>
      <c r="F19" s="19">
        <v>107.0</v>
      </c>
      <c r="G19" s="19">
        <v>115.0</v>
      </c>
      <c r="H19" s="19">
        <v>107.0</v>
      </c>
      <c r="I19" s="19">
        <v>87.0</v>
      </c>
      <c r="J19" s="19">
        <v>109.0</v>
      </c>
      <c r="K19" s="19">
        <v>123.0</v>
      </c>
      <c r="L19" s="19">
        <v>105.0</v>
      </c>
      <c r="M19" s="19">
        <v>88.0</v>
      </c>
      <c r="N19" s="19">
        <v>109.0</v>
      </c>
      <c r="O19" s="19">
        <v>95.0</v>
      </c>
      <c r="P19" s="19">
        <v>114.0</v>
      </c>
      <c r="Q19" s="19">
        <v>96.0</v>
      </c>
      <c r="R19" s="19">
        <v>100.0</v>
      </c>
      <c r="S19" s="19">
        <v>100.0</v>
      </c>
      <c r="T19" s="13">
        <f t="shared" ref="T19:T30" si="3">SUM(E19:S19)</f>
        <v>1559</v>
      </c>
    </row>
    <row r="20" ht="12.75" customHeight="1">
      <c r="A20" s="34"/>
      <c r="B20" s="27"/>
      <c r="C20" s="35"/>
      <c r="D20" s="19" t="s">
        <v>13</v>
      </c>
      <c r="E20" s="19">
        <v>113.0</v>
      </c>
      <c r="F20" s="19">
        <v>113.0</v>
      </c>
      <c r="G20" s="19">
        <v>113.0</v>
      </c>
      <c r="H20" s="19">
        <v>113.0</v>
      </c>
      <c r="I20" s="19">
        <v>107.0</v>
      </c>
      <c r="J20" s="19">
        <v>116.0</v>
      </c>
      <c r="K20" s="19">
        <v>117.0</v>
      </c>
      <c r="L20" s="19">
        <v>117.0</v>
      </c>
      <c r="M20" s="19">
        <v>112.0</v>
      </c>
      <c r="N20" s="19">
        <v>119.0</v>
      </c>
      <c r="O20" s="19">
        <v>117.0</v>
      </c>
      <c r="P20" s="19">
        <v>118.0</v>
      </c>
      <c r="Q20" s="19">
        <v>116.0</v>
      </c>
      <c r="R20" s="19">
        <v>120.0</v>
      </c>
      <c r="S20" s="19">
        <v>133.0</v>
      </c>
      <c r="T20" s="13">
        <f t="shared" si="3"/>
        <v>1744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217</v>
      </c>
      <c r="F21" s="13">
        <f t="shared" si="4"/>
        <v>220</v>
      </c>
      <c r="G21" s="13">
        <f t="shared" si="4"/>
        <v>228</v>
      </c>
      <c r="H21" s="13">
        <f t="shared" si="4"/>
        <v>220</v>
      </c>
      <c r="I21" s="13">
        <f t="shared" si="4"/>
        <v>194</v>
      </c>
      <c r="J21" s="13">
        <f t="shared" si="4"/>
        <v>225</v>
      </c>
      <c r="K21" s="13">
        <f t="shared" si="4"/>
        <v>240</v>
      </c>
      <c r="L21" s="13">
        <f t="shared" si="4"/>
        <v>222</v>
      </c>
      <c r="M21" s="13">
        <f t="shared" si="4"/>
        <v>200</v>
      </c>
      <c r="N21" s="13">
        <f t="shared" si="4"/>
        <v>228</v>
      </c>
      <c r="O21" s="13">
        <f t="shared" si="4"/>
        <v>212</v>
      </c>
      <c r="P21" s="13">
        <f t="shared" si="4"/>
        <v>232</v>
      </c>
      <c r="Q21" s="13">
        <f t="shared" si="4"/>
        <v>212</v>
      </c>
      <c r="R21" s="13">
        <f t="shared" si="4"/>
        <v>220</v>
      </c>
      <c r="S21" s="13">
        <f t="shared" si="4"/>
        <v>233</v>
      </c>
      <c r="T21" s="13">
        <f t="shared" si="3"/>
        <v>3303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4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1.0</v>
      </c>
      <c r="F25" s="19">
        <v>2.0</v>
      </c>
      <c r="G25" s="19">
        <v>0.0</v>
      </c>
      <c r="H25" s="19">
        <v>2.0</v>
      </c>
      <c r="I25" s="19">
        <v>2.0</v>
      </c>
      <c r="J25" s="19">
        <v>0.0</v>
      </c>
      <c r="K25" s="19">
        <v>3.0</v>
      </c>
      <c r="L25" s="19">
        <v>4.0</v>
      </c>
      <c r="M25" s="19">
        <v>3.0</v>
      </c>
      <c r="N25" s="19">
        <v>0.0</v>
      </c>
      <c r="O25" s="19">
        <v>1.0</v>
      </c>
      <c r="P25" s="19">
        <v>0.0</v>
      </c>
      <c r="Q25" s="19">
        <v>1.0</v>
      </c>
      <c r="R25" s="19">
        <v>0.0</v>
      </c>
      <c r="S25" s="19">
        <v>1.0</v>
      </c>
      <c r="T25" s="13">
        <f t="shared" si="3"/>
        <v>20</v>
      </c>
    </row>
    <row r="26" ht="12.75" customHeight="1">
      <c r="A26" s="34"/>
      <c r="B26" s="27"/>
      <c r="C26" s="35"/>
      <c r="D26" s="19" t="s">
        <v>13</v>
      </c>
      <c r="E26" s="19">
        <v>4.0</v>
      </c>
      <c r="F26" s="19">
        <v>1.0</v>
      </c>
      <c r="G26" s="19">
        <v>1.0</v>
      </c>
      <c r="H26" s="19">
        <v>5.0</v>
      </c>
      <c r="I26" s="19">
        <v>3.0</v>
      </c>
      <c r="J26" s="19">
        <v>0.0</v>
      </c>
      <c r="K26" s="19">
        <v>1.0</v>
      </c>
      <c r="L26" s="19">
        <v>8.0</v>
      </c>
      <c r="M26" s="19">
        <v>3.0</v>
      </c>
      <c r="N26" s="19">
        <v>1.0</v>
      </c>
      <c r="O26" s="19">
        <v>1.0</v>
      </c>
      <c r="P26" s="19">
        <v>0.0</v>
      </c>
      <c r="Q26" s="19">
        <v>1.0</v>
      </c>
      <c r="R26" s="19">
        <v>0.0</v>
      </c>
      <c r="S26" s="19">
        <v>0.0</v>
      </c>
      <c r="T26" s="13">
        <f t="shared" si="3"/>
        <v>29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5</v>
      </c>
      <c r="F27" s="13">
        <f t="shared" si="6"/>
        <v>3</v>
      </c>
      <c r="G27" s="13">
        <f t="shared" si="6"/>
        <v>1</v>
      </c>
      <c r="H27" s="13">
        <f t="shared" si="6"/>
        <v>7</v>
      </c>
      <c r="I27" s="13">
        <f t="shared" si="6"/>
        <v>5</v>
      </c>
      <c r="J27" s="13">
        <f t="shared" si="6"/>
        <v>0</v>
      </c>
      <c r="K27" s="13">
        <f t="shared" si="6"/>
        <v>4</v>
      </c>
      <c r="L27" s="13">
        <f t="shared" si="6"/>
        <v>12</v>
      </c>
      <c r="M27" s="13">
        <f t="shared" si="6"/>
        <v>6</v>
      </c>
      <c r="N27" s="13">
        <f t="shared" si="6"/>
        <v>1</v>
      </c>
      <c r="O27" s="13">
        <f t="shared" si="6"/>
        <v>2</v>
      </c>
      <c r="P27" s="13">
        <f t="shared" si="6"/>
        <v>0</v>
      </c>
      <c r="Q27" s="13">
        <f t="shared" si="6"/>
        <v>2</v>
      </c>
      <c r="R27" s="13">
        <f t="shared" si="6"/>
        <v>0</v>
      </c>
      <c r="S27" s="13">
        <f t="shared" si="6"/>
        <v>1</v>
      </c>
      <c r="T27" s="13">
        <f t="shared" si="3"/>
        <v>49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S28" si="7">SUM(E19,E22,E25)</f>
        <v>105</v>
      </c>
      <c r="F28" s="13">
        <f t="shared" si="7"/>
        <v>109</v>
      </c>
      <c r="G28" s="13">
        <f t="shared" si="7"/>
        <v>115</v>
      </c>
      <c r="H28" s="13">
        <f t="shared" si="7"/>
        <v>109</v>
      </c>
      <c r="I28" s="13">
        <f t="shared" si="7"/>
        <v>89</v>
      </c>
      <c r="J28" s="13">
        <f t="shared" si="7"/>
        <v>110</v>
      </c>
      <c r="K28" s="13">
        <f t="shared" si="7"/>
        <v>126</v>
      </c>
      <c r="L28" s="13">
        <f t="shared" si="7"/>
        <v>110</v>
      </c>
      <c r="M28" s="13">
        <f t="shared" si="7"/>
        <v>91</v>
      </c>
      <c r="N28" s="13">
        <f t="shared" si="7"/>
        <v>109</v>
      </c>
      <c r="O28" s="13">
        <f t="shared" si="7"/>
        <v>96</v>
      </c>
      <c r="P28" s="13">
        <f t="shared" si="7"/>
        <v>115</v>
      </c>
      <c r="Q28" s="13">
        <f t="shared" si="7"/>
        <v>97</v>
      </c>
      <c r="R28" s="13">
        <f t="shared" si="7"/>
        <v>100</v>
      </c>
      <c r="S28" s="13">
        <f t="shared" si="7"/>
        <v>101</v>
      </c>
      <c r="T28" s="13">
        <f t="shared" si="3"/>
        <v>1582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117</v>
      </c>
      <c r="F29" s="13">
        <f t="shared" si="8"/>
        <v>114</v>
      </c>
      <c r="G29" s="13">
        <f t="shared" si="8"/>
        <v>114</v>
      </c>
      <c r="H29" s="13">
        <f t="shared" si="8"/>
        <v>118</v>
      </c>
      <c r="I29" s="13">
        <f t="shared" si="8"/>
        <v>110</v>
      </c>
      <c r="J29" s="13">
        <f t="shared" si="8"/>
        <v>116</v>
      </c>
      <c r="K29" s="13">
        <f t="shared" si="8"/>
        <v>118</v>
      </c>
      <c r="L29" s="13">
        <f t="shared" si="8"/>
        <v>125</v>
      </c>
      <c r="M29" s="13">
        <f t="shared" si="8"/>
        <v>115</v>
      </c>
      <c r="N29" s="13">
        <f t="shared" si="8"/>
        <v>120</v>
      </c>
      <c r="O29" s="13">
        <f t="shared" si="8"/>
        <v>118</v>
      </c>
      <c r="P29" s="13">
        <f t="shared" si="8"/>
        <v>119</v>
      </c>
      <c r="Q29" s="13">
        <f t="shared" si="8"/>
        <v>117</v>
      </c>
      <c r="R29" s="13">
        <f t="shared" si="8"/>
        <v>120</v>
      </c>
      <c r="S29" s="13">
        <f t="shared" si="8"/>
        <v>133</v>
      </c>
      <c r="T29" s="13">
        <f t="shared" si="3"/>
        <v>1774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222</v>
      </c>
      <c r="F30" s="13">
        <f t="shared" si="9"/>
        <v>223</v>
      </c>
      <c r="G30" s="13">
        <f t="shared" si="9"/>
        <v>229</v>
      </c>
      <c r="H30" s="13">
        <f t="shared" si="9"/>
        <v>227</v>
      </c>
      <c r="I30" s="13">
        <f t="shared" si="9"/>
        <v>199</v>
      </c>
      <c r="J30" s="13">
        <f t="shared" si="9"/>
        <v>226</v>
      </c>
      <c r="K30" s="13">
        <f t="shared" si="9"/>
        <v>244</v>
      </c>
      <c r="L30" s="13">
        <f t="shared" si="9"/>
        <v>235</v>
      </c>
      <c r="M30" s="13">
        <f t="shared" si="9"/>
        <v>206</v>
      </c>
      <c r="N30" s="13">
        <f t="shared" si="9"/>
        <v>229</v>
      </c>
      <c r="O30" s="13">
        <f t="shared" si="9"/>
        <v>214</v>
      </c>
      <c r="P30" s="13">
        <f t="shared" si="9"/>
        <v>234</v>
      </c>
      <c r="Q30" s="13">
        <f t="shared" si="9"/>
        <v>214</v>
      </c>
      <c r="R30" s="13">
        <f t="shared" si="9"/>
        <v>220</v>
      </c>
      <c r="S30" s="13">
        <f t="shared" si="9"/>
        <v>234</v>
      </c>
      <c r="T30" s="13">
        <f t="shared" si="3"/>
        <v>3356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61"/>
    </row>
    <row r="32" ht="12.75" customHeight="1">
      <c r="A32" s="43" t="s">
        <v>25</v>
      </c>
      <c r="B32" s="14" t="s">
        <v>26</v>
      </c>
      <c r="C32" s="15"/>
      <c r="D32" s="16"/>
      <c r="E32" s="63" t="s">
        <v>70</v>
      </c>
      <c r="F32" s="63" t="s">
        <v>71</v>
      </c>
      <c r="G32" s="63" t="s">
        <v>72</v>
      </c>
      <c r="H32" s="63" t="s">
        <v>73</v>
      </c>
      <c r="I32" s="63" t="s">
        <v>74</v>
      </c>
      <c r="J32" s="63" t="s">
        <v>75</v>
      </c>
      <c r="K32" s="63" t="s">
        <v>77</v>
      </c>
      <c r="L32" s="63" t="s">
        <v>78</v>
      </c>
      <c r="M32" s="63" t="s">
        <v>79</v>
      </c>
      <c r="N32" s="63" t="s">
        <v>81</v>
      </c>
      <c r="O32" s="63" t="s">
        <v>82</v>
      </c>
      <c r="P32" s="63" t="s">
        <v>83</v>
      </c>
      <c r="Q32" s="63" t="s">
        <v>84</v>
      </c>
      <c r="R32" s="63" t="s">
        <v>86</v>
      </c>
      <c r="S32" s="63" t="s">
        <v>87</v>
      </c>
      <c r="T32" s="61"/>
    </row>
    <row r="33" ht="12.75" customHeight="1">
      <c r="A33" s="19">
        <v>1.0</v>
      </c>
      <c r="B33" s="20" t="s">
        <v>27</v>
      </c>
      <c r="C33" s="15"/>
      <c r="D33" s="16"/>
      <c r="E33" s="19">
        <v>276.0</v>
      </c>
      <c r="F33" s="19">
        <v>272.0</v>
      </c>
      <c r="G33" s="19">
        <v>278.0</v>
      </c>
      <c r="H33" s="19">
        <v>288.0</v>
      </c>
      <c r="I33" s="19">
        <v>310.0</v>
      </c>
      <c r="J33" s="19">
        <v>293.0</v>
      </c>
      <c r="K33" s="19">
        <v>292.0</v>
      </c>
      <c r="L33" s="19">
        <v>276.0</v>
      </c>
      <c r="M33" s="19">
        <v>270.0</v>
      </c>
      <c r="N33" s="19">
        <v>294.0</v>
      </c>
      <c r="O33" s="19">
        <v>273.0</v>
      </c>
      <c r="P33" s="19">
        <v>279.0</v>
      </c>
      <c r="Q33" s="19">
        <v>277.0</v>
      </c>
      <c r="R33" s="19">
        <v>282.0</v>
      </c>
      <c r="S33" s="19">
        <v>303.0</v>
      </c>
      <c r="T33" s="13">
        <f t="shared" ref="T33:T36" si="10">SUM(E33:S33)</f>
        <v>4263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223.0</v>
      </c>
      <c r="G34" s="13">
        <v>229.0</v>
      </c>
      <c r="H34" s="13">
        <v>227.0</v>
      </c>
      <c r="I34" s="13">
        <v>199.0</v>
      </c>
      <c r="J34" s="13">
        <v>226.0</v>
      </c>
      <c r="K34" s="13">
        <v>244.0</v>
      </c>
      <c r="L34" s="13">
        <v>235.0</v>
      </c>
      <c r="M34" s="13">
        <v>206.0</v>
      </c>
      <c r="N34" s="13">
        <v>229.0</v>
      </c>
      <c r="O34" s="13">
        <v>214.0</v>
      </c>
      <c r="P34" s="13">
        <v>234.0</v>
      </c>
      <c r="Q34" s="13">
        <v>214.0</v>
      </c>
      <c r="R34" s="13">
        <v>220.0</v>
      </c>
      <c r="S34" s="13">
        <v>234.0</v>
      </c>
      <c r="T34" s="13">
        <f t="shared" si="10"/>
        <v>3356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37.0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1.0</v>
      </c>
      <c r="S35" s="19">
        <v>1.0</v>
      </c>
      <c r="T35" s="13">
        <f t="shared" si="10"/>
        <v>40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54</v>
      </c>
      <c r="F36" s="13">
        <f t="shared" si="11"/>
        <v>49</v>
      </c>
      <c r="G36" s="13">
        <f t="shared" si="11"/>
        <v>49</v>
      </c>
      <c r="H36" s="13">
        <f t="shared" si="11"/>
        <v>61</v>
      </c>
      <c r="I36" s="13">
        <f t="shared" si="11"/>
        <v>74</v>
      </c>
      <c r="J36" s="13">
        <f t="shared" si="11"/>
        <v>67</v>
      </c>
      <c r="K36" s="13">
        <f t="shared" si="11"/>
        <v>48</v>
      </c>
      <c r="L36" s="13">
        <f t="shared" si="11"/>
        <v>41</v>
      </c>
      <c r="M36" s="13">
        <f t="shared" si="11"/>
        <v>64</v>
      </c>
      <c r="N36" s="13">
        <f t="shared" si="11"/>
        <v>64</v>
      </c>
      <c r="O36" s="13">
        <f t="shared" si="11"/>
        <v>59</v>
      </c>
      <c r="P36" s="13">
        <f t="shared" si="11"/>
        <v>45</v>
      </c>
      <c r="Q36" s="13">
        <f t="shared" si="11"/>
        <v>63</v>
      </c>
      <c r="R36" s="13">
        <f t="shared" si="11"/>
        <v>61</v>
      </c>
      <c r="S36" s="13">
        <f t="shared" si="11"/>
        <v>68</v>
      </c>
      <c r="T36" s="13">
        <f t="shared" si="10"/>
        <v>867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61"/>
    </row>
    <row r="38" ht="12.75" customHeight="1">
      <c r="A38" s="44" t="s">
        <v>31</v>
      </c>
      <c r="B38" s="14" t="s">
        <v>32</v>
      </c>
      <c r="C38" s="15"/>
      <c r="D38" s="16"/>
      <c r="E38" s="63" t="s">
        <v>70</v>
      </c>
      <c r="F38" s="63" t="s">
        <v>71</v>
      </c>
      <c r="G38" s="63" t="s">
        <v>72</v>
      </c>
      <c r="H38" s="63" t="s">
        <v>73</v>
      </c>
      <c r="I38" s="63" t="s">
        <v>74</v>
      </c>
      <c r="J38" s="63" t="s">
        <v>75</v>
      </c>
      <c r="K38" s="63" t="s">
        <v>77</v>
      </c>
      <c r="L38" s="63" t="s">
        <v>78</v>
      </c>
      <c r="M38" s="63" t="s">
        <v>79</v>
      </c>
      <c r="N38" s="63" t="s">
        <v>81</v>
      </c>
      <c r="O38" s="63" t="s">
        <v>82</v>
      </c>
      <c r="P38" s="63" t="s">
        <v>83</v>
      </c>
      <c r="Q38" s="63" t="s">
        <v>84</v>
      </c>
      <c r="R38" s="63" t="s">
        <v>86</v>
      </c>
      <c r="S38" s="63" t="s">
        <v>87</v>
      </c>
      <c r="T38" s="61"/>
    </row>
    <row r="39" ht="12.75" customHeight="1">
      <c r="A39" s="31"/>
      <c r="B39" s="45" t="s">
        <v>33</v>
      </c>
      <c r="C39" s="23"/>
      <c r="D39" s="19" t="s">
        <v>12</v>
      </c>
      <c r="E39" s="19">
        <v>2.0</v>
      </c>
      <c r="F39" s="19">
        <v>0.0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5</v>
      </c>
    </row>
    <row r="40" ht="12.75" customHeight="1">
      <c r="A40" s="34"/>
      <c r="C40" s="27"/>
      <c r="D40" s="19" t="s">
        <v>13</v>
      </c>
      <c r="E40" s="19">
        <v>2.0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4</v>
      </c>
    </row>
    <row r="41" ht="12.75" customHeight="1">
      <c r="A41" s="43"/>
      <c r="B41" s="46"/>
      <c r="C41" s="28"/>
      <c r="D41" s="13" t="s">
        <v>14</v>
      </c>
      <c r="E41" s="13">
        <f t="shared" ref="E41:S41" si="13">SUM(E39:E40)</f>
        <v>4</v>
      </c>
      <c r="F41" s="13">
        <f t="shared" si="13"/>
        <v>0</v>
      </c>
      <c r="G41" s="13">
        <f t="shared" si="13"/>
        <v>1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9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3"/>
    </row>
    <row r="43" ht="12.75" customHeight="1">
      <c r="A43" s="44" t="s">
        <v>34</v>
      </c>
      <c r="B43" s="14" t="s">
        <v>35</v>
      </c>
      <c r="C43" s="15"/>
      <c r="D43" s="16"/>
      <c r="E43" s="63" t="s">
        <v>70</v>
      </c>
      <c r="F43" s="63" t="s">
        <v>71</v>
      </c>
      <c r="G43" s="63" t="s">
        <v>72</v>
      </c>
      <c r="H43" s="63" t="s">
        <v>73</v>
      </c>
      <c r="I43" s="63" t="s">
        <v>74</v>
      </c>
      <c r="J43" s="63" t="s">
        <v>75</v>
      </c>
      <c r="K43" s="63" t="s">
        <v>77</v>
      </c>
      <c r="L43" s="63" t="s">
        <v>78</v>
      </c>
      <c r="M43" s="63" t="s">
        <v>79</v>
      </c>
      <c r="N43" s="63" t="s">
        <v>81</v>
      </c>
      <c r="O43" s="63" t="s">
        <v>82</v>
      </c>
      <c r="P43" s="63" t="s">
        <v>83</v>
      </c>
      <c r="Q43" s="63" t="s">
        <v>84</v>
      </c>
      <c r="R43" s="63" t="s">
        <v>86</v>
      </c>
      <c r="S43" s="63" t="s">
        <v>87</v>
      </c>
      <c r="T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3"/>
    </row>
    <row r="45" ht="12.75" customHeight="1">
      <c r="A45" s="31"/>
      <c r="B45" s="49" t="s">
        <v>17</v>
      </c>
      <c r="C45" s="62" t="s">
        <v>38</v>
      </c>
      <c r="D45" s="16"/>
      <c r="E45" s="19">
        <v>16.0</v>
      </c>
      <c r="F45" s="19">
        <v>20.0</v>
      </c>
      <c r="G45" s="19">
        <v>30.0</v>
      </c>
      <c r="H45" s="19">
        <v>20.0</v>
      </c>
      <c r="I45" s="19">
        <v>16.0</v>
      </c>
      <c r="J45" s="19">
        <v>17.0</v>
      </c>
      <c r="K45" s="19">
        <v>27.0</v>
      </c>
      <c r="L45" s="19">
        <v>22.0</v>
      </c>
      <c r="M45" s="19">
        <v>20.0</v>
      </c>
      <c r="N45" s="19">
        <v>21.0</v>
      </c>
      <c r="O45" s="19">
        <v>26.0</v>
      </c>
      <c r="P45" s="19">
        <v>26.0</v>
      </c>
      <c r="Q45" s="19">
        <v>7.0</v>
      </c>
      <c r="R45" s="19">
        <v>11.0</v>
      </c>
      <c r="S45" s="19">
        <v>10.0</v>
      </c>
      <c r="T45" s="13">
        <f t="shared" ref="T45:T57" si="14">SUM(E45:S45)</f>
        <v>289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49.0</v>
      </c>
      <c r="F46" s="19">
        <v>40.0</v>
      </c>
      <c r="G46" s="19">
        <v>40.0</v>
      </c>
      <c r="H46" s="19">
        <v>51.0</v>
      </c>
      <c r="I46" s="19">
        <v>40.0</v>
      </c>
      <c r="J46" s="19">
        <v>30.0</v>
      </c>
      <c r="K46" s="19">
        <v>32.0</v>
      </c>
      <c r="L46" s="19">
        <v>36.0</v>
      </c>
      <c r="M46" s="19">
        <v>28.0</v>
      </c>
      <c r="N46" s="19">
        <v>36.0</v>
      </c>
      <c r="O46" s="19">
        <v>23.0</v>
      </c>
      <c r="P46" s="19">
        <v>48.0</v>
      </c>
      <c r="Q46" s="19">
        <v>35.0</v>
      </c>
      <c r="R46" s="19">
        <v>56.0</v>
      </c>
      <c r="S46" s="19">
        <v>28.0</v>
      </c>
      <c r="T46" s="13">
        <f t="shared" si="14"/>
        <v>572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11.0</v>
      </c>
      <c r="F47" s="19">
        <v>15.0</v>
      </c>
      <c r="G47" s="19">
        <v>18.0</v>
      </c>
      <c r="H47" s="19">
        <v>12.0</v>
      </c>
      <c r="I47" s="19">
        <v>13.0</v>
      </c>
      <c r="J47" s="19">
        <v>11.0</v>
      </c>
      <c r="K47" s="19">
        <v>9.0</v>
      </c>
      <c r="L47" s="19">
        <v>14.0</v>
      </c>
      <c r="M47" s="19">
        <v>16.0</v>
      </c>
      <c r="N47" s="19">
        <v>8.0</v>
      </c>
      <c r="O47" s="19">
        <v>14.0</v>
      </c>
      <c r="P47" s="19">
        <v>15.0</v>
      </c>
      <c r="Q47" s="19">
        <v>6.0</v>
      </c>
      <c r="R47" s="19">
        <v>15.0</v>
      </c>
      <c r="S47" s="19">
        <v>2.0</v>
      </c>
      <c r="T47" s="13">
        <f t="shared" si="14"/>
        <v>179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14.0</v>
      </c>
      <c r="F48" s="19">
        <v>18.0</v>
      </c>
      <c r="G48" s="19">
        <v>23.0</v>
      </c>
      <c r="H48" s="19">
        <v>28.0</v>
      </c>
      <c r="I48" s="19">
        <v>22.0</v>
      </c>
      <c r="J48" s="19">
        <v>35.0</v>
      </c>
      <c r="K48" s="19">
        <v>29.0</v>
      </c>
      <c r="L48" s="19">
        <v>43.0</v>
      </c>
      <c r="M48" s="19">
        <v>22.0</v>
      </c>
      <c r="N48" s="19">
        <v>17.0</v>
      </c>
      <c r="O48" s="19">
        <v>18.0</v>
      </c>
      <c r="P48" s="19">
        <v>19.0</v>
      </c>
      <c r="Q48" s="19">
        <v>18.0</v>
      </c>
      <c r="R48" s="19">
        <v>16.0</v>
      </c>
      <c r="S48" s="19">
        <v>23.0</v>
      </c>
      <c r="T48" s="13">
        <f t="shared" si="14"/>
        <v>345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29.0</v>
      </c>
      <c r="F49" s="19">
        <v>17.0</v>
      </c>
      <c r="G49" s="19">
        <v>20.0</v>
      </c>
      <c r="H49" s="19">
        <v>18.0</v>
      </c>
      <c r="I49" s="19">
        <v>17.0</v>
      </c>
      <c r="J49" s="19">
        <v>19.0</v>
      </c>
      <c r="K49" s="19">
        <v>21.0</v>
      </c>
      <c r="L49" s="19">
        <v>28.0</v>
      </c>
      <c r="M49" s="19">
        <v>28.0</v>
      </c>
      <c r="N49" s="19">
        <v>28.0</v>
      </c>
      <c r="O49" s="19">
        <v>20.0</v>
      </c>
      <c r="P49" s="19">
        <v>35.0</v>
      </c>
      <c r="Q49" s="19">
        <v>26.0</v>
      </c>
      <c r="R49" s="19">
        <v>24.0</v>
      </c>
      <c r="S49" s="19">
        <v>37.0</v>
      </c>
      <c r="T49" s="13">
        <f t="shared" si="14"/>
        <v>367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9.0</v>
      </c>
      <c r="F50" s="19">
        <v>8.0</v>
      </c>
      <c r="G50" s="19">
        <v>8.0</v>
      </c>
      <c r="H50" s="19">
        <v>15.0</v>
      </c>
      <c r="I50" s="19">
        <v>12.0</v>
      </c>
      <c r="J50" s="19">
        <v>15.0</v>
      </c>
      <c r="K50" s="19">
        <v>16.0</v>
      </c>
      <c r="L50" s="19">
        <v>16.0</v>
      </c>
      <c r="M50" s="19">
        <v>14.0</v>
      </c>
      <c r="N50" s="19">
        <v>8.0</v>
      </c>
      <c r="O50" s="19">
        <v>8.0</v>
      </c>
      <c r="P50" s="19">
        <v>14.0</v>
      </c>
      <c r="Q50" s="19">
        <v>12.0</v>
      </c>
      <c r="R50" s="19">
        <v>12.0</v>
      </c>
      <c r="S50" s="19">
        <v>13.0</v>
      </c>
      <c r="T50" s="13">
        <f t="shared" si="14"/>
        <v>180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1.0</v>
      </c>
      <c r="F51" s="19">
        <v>2.0</v>
      </c>
      <c r="G51" s="19">
        <v>2.0</v>
      </c>
      <c r="H51" s="19">
        <v>4.0</v>
      </c>
      <c r="I51" s="19">
        <v>1.0</v>
      </c>
      <c r="J51" s="19">
        <v>0.0</v>
      </c>
      <c r="K51" s="19">
        <v>3.0</v>
      </c>
      <c r="L51" s="19">
        <v>1.0</v>
      </c>
      <c r="M51" s="19">
        <v>0.0</v>
      </c>
      <c r="N51" s="19">
        <v>2.0</v>
      </c>
      <c r="O51" s="19">
        <v>0.0</v>
      </c>
      <c r="P51" s="19">
        <v>1.0</v>
      </c>
      <c r="Q51" s="19">
        <v>1.0</v>
      </c>
      <c r="R51" s="19">
        <v>5.0</v>
      </c>
      <c r="S51" s="19">
        <v>4.0</v>
      </c>
      <c r="T51" s="13">
        <f t="shared" si="14"/>
        <v>27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4.0</v>
      </c>
      <c r="F52" s="19">
        <v>2.0</v>
      </c>
      <c r="G52" s="19">
        <v>3.0</v>
      </c>
      <c r="H52" s="19">
        <v>4.0</v>
      </c>
      <c r="I52" s="19">
        <v>3.0</v>
      </c>
      <c r="J52" s="19">
        <v>3.0</v>
      </c>
      <c r="K52" s="19">
        <v>9.0</v>
      </c>
      <c r="L52" s="19">
        <v>4.0</v>
      </c>
      <c r="M52" s="19">
        <v>3.0</v>
      </c>
      <c r="N52" s="19">
        <v>1.0</v>
      </c>
      <c r="O52" s="19">
        <v>0.0</v>
      </c>
      <c r="P52" s="19">
        <v>3.0</v>
      </c>
      <c r="Q52" s="19">
        <v>3.0</v>
      </c>
      <c r="R52" s="19">
        <v>1.0</v>
      </c>
      <c r="S52" s="19">
        <v>7.0</v>
      </c>
      <c r="T52" s="13">
        <f t="shared" si="14"/>
        <v>50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0.0</v>
      </c>
      <c r="F53" s="19">
        <v>1.0</v>
      </c>
      <c r="G53" s="19">
        <v>0.0</v>
      </c>
      <c r="H53" s="19">
        <v>0.0</v>
      </c>
      <c r="I53" s="19">
        <v>0.0</v>
      </c>
      <c r="J53" s="19">
        <v>0.0</v>
      </c>
      <c r="K53" s="19">
        <v>1.0</v>
      </c>
      <c r="L53" s="19">
        <v>0.0</v>
      </c>
      <c r="M53" s="19">
        <v>1.0</v>
      </c>
      <c r="N53" s="19">
        <v>0.0</v>
      </c>
      <c r="O53" s="19">
        <v>0.0</v>
      </c>
      <c r="P53" s="19">
        <v>0.0</v>
      </c>
      <c r="Q53" s="19">
        <v>1.0</v>
      </c>
      <c r="R53" s="19">
        <v>2.0</v>
      </c>
      <c r="S53" s="19">
        <v>1.0</v>
      </c>
      <c r="T53" s="13">
        <f t="shared" si="14"/>
        <v>7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10.0</v>
      </c>
      <c r="F54" s="19">
        <v>26.0</v>
      </c>
      <c r="G54" s="19">
        <v>17.0</v>
      </c>
      <c r="H54" s="19">
        <v>17.0</v>
      </c>
      <c r="I54" s="19">
        <v>14.0</v>
      </c>
      <c r="J54" s="19">
        <v>27.0</v>
      </c>
      <c r="K54" s="19">
        <v>24.0</v>
      </c>
      <c r="L54" s="19">
        <v>20.0</v>
      </c>
      <c r="M54" s="19">
        <v>22.0</v>
      </c>
      <c r="N54" s="19">
        <v>14.0</v>
      </c>
      <c r="O54" s="19">
        <v>19.0</v>
      </c>
      <c r="P54" s="19">
        <v>17.0</v>
      </c>
      <c r="Q54" s="19">
        <v>42.0</v>
      </c>
      <c r="R54" s="19">
        <v>22.0</v>
      </c>
      <c r="S54" s="19">
        <v>40.0</v>
      </c>
      <c r="T54" s="13">
        <f t="shared" si="14"/>
        <v>331</v>
      </c>
    </row>
    <row r="55" ht="15.0" customHeight="1">
      <c r="A55" s="18"/>
      <c r="B55" s="49" t="s">
        <v>54</v>
      </c>
      <c r="C55" s="62" t="s">
        <v>55</v>
      </c>
      <c r="D55" s="16"/>
      <c r="E55" s="19">
        <v>0.0</v>
      </c>
      <c r="F55" s="19">
        <v>1.0</v>
      </c>
      <c r="G55" s="19">
        <v>1.0</v>
      </c>
      <c r="H55" s="19">
        <v>3.0</v>
      </c>
      <c r="I55" s="19">
        <v>0.0</v>
      </c>
      <c r="J55" s="19">
        <v>1.0</v>
      </c>
      <c r="K55" s="19">
        <v>1.0</v>
      </c>
      <c r="L55" s="19">
        <v>0.0</v>
      </c>
      <c r="M55" s="19">
        <v>0.0</v>
      </c>
      <c r="N55" s="19">
        <v>2.0</v>
      </c>
      <c r="O55" s="19">
        <v>1.0</v>
      </c>
      <c r="P55" s="19">
        <v>0.0</v>
      </c>
      <c r="Q55" s="19">
        <v>5.0</v>
      </c>
      <c r="R55" s="19">
        <v>1.0</v>
      </c>
      <c r="S55" s="19">
        <v>5.0</v>
      </c>
      <c r="T55" s="13">
        <f t="shared" si="14"/>
        <v>21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25.0</v>
      </c>
      <c r="F56" s="19">
        <v>17.0</v>
      </c>
      <c r="G56" s="19">
        <v>26.0</v>
      </c>
      <c r="H56" s="19">
        <v>11.0</v>
      </c>
      <c r="I56" s="19">
        <v>21.0</v>
      </c>
      <c r="J56" s="19">
        <v>21.0</v>
      </c>
      <c r="K56" s="19">
        <v>23.0</v>
      </c>
      <c r="L56" s="19">
        <v>23.0</v>
      </c>
      <c r="M56" s="19">
        <v>21.0</v>
      </c>
      <c r="N56" s="19">
        <v>22.0</v>
      </c>
      <c r="O56" s="19">
        <v>15.0</v>
      </c>
      <c r="P56" s="19">
        <v>16.0</v>
      </c>
      <c r="Q56" s="19">
        <v>15.0</v>
      </c>
      <c r="R56" s="19">
        <v>11.0</v>
      </c>
      <c r="S56" s="19">
        <v>21.0</v>
      </c>
      <c r="T56" s="13">
        <f t="shared" si="14"/>
        <v>288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3.0</v>
      </c>
      <c r="F57" s="19">
        <v>1.0</v>
      </c>
      <c r="G57" s="19">
        <v>1.0</v>
      </c>
      <c r="H57" s="19">
        <v>1.0</v>
      </c>
      <c r="I57" s="19">
        <v>3.0</v>
      </c>
      <c r="J57" s="19">
        <v>4.0</v>
      </c>
      <c r="K57" s="19">
        <v>1.0</v>
      </c>
      <c r="L57" s="19">
        <v>2.0</v>
      </c>
      <c r="M57" s="19">
        <v>0.0</v>
      </c>
      <c r="N57" s="19">
        <v>1.0</v>
      </c>
      <c r="O57" s="19">
        <v>1.0</v>
      </c>
      <c r="P57" s="19">
        <v>1.0</v>
      </c>
      <c r="Q57" s="19">
        <v>1.0</v>
      </c>
      <c r="R57" s="19">
        <v>2.0</v>
      </c>
      <c r="S57" s="19">
        <v>4.0</v>
      </c>
      <c r="T57" s="13">
        <f t="shared" si="14"/>
        <v>26</v>
      </c>
    </row>
    <row r="58" ht="12.75" customHeight="1">
      <c r="T58" s="13"/>
    </row>
    <row r="59" ht="12.75" customHeight="1">
      <c r="A59" s="44" t="s">
        <v>60</v>
      </c>
      <c r="B59" s="14" t="s">
        <v>61</v>
      </c>
      <c r="C59" s="15"/>
      <c r="D59" s="16"/>
      <c r="E59" s="63" t="s">
        <v>70</v>
      </c>
      <c r="F59" s="63" t="s">
        <v>71</v>
      </c>
      <c r="G59" s="63" t="s">
        <v>72</v>
      </c>
      <c r="H59" s="63" t="s">
        <v>73</v>
      </c>
      <c r="I59" s="63" t="s">
        <v>74</v>
      </c>
      <c r="J59" s="63" t="s">
        <v>75</v>
      </c>
      <c r="K59" s="63" t="s">
        <v>77</v>
      </c>
      <c r="L59" s="63" t="s">
        <v>78</v>
      </c>
      <c r="M59" s="63" t="s">
        <v>79</v>
      </c>
      <c r="N59" s="63" t="s">
        <v>81</v>
      </c>
      <c r="O59" s="63" t="s">
        <v>82</v>
      </c>
      <c r="P59" s="63" t="s">
        <v>83</v>
      </c>
      <c r="Q59" s="63" t="s">
        <v>84</v>
      </c>
      <c r="R59" s="63" t="s">
        <v>86</v>
      </c>
      <c r="S59" s="63" t="s">
        <v>87</v>
      </c>
      <c r="T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S60" si="15">SUM(E45:E57)</f>
        <v>171</v>
      </c>
      <c r="F60" s="19">
        <f t="shared" si="15"/>
        <v>168</v>
      </c>
      <c r="G60" s="19">
        <f t="shared" si="15"/>
        <v>189</v>
      </c>
      <c r="H60" s="19">
        <f t="shared" si="15"/>
        <v>184</v>
      </c>
      <c r="I60" s="19">
        <f t="shared" si="15"/>
        <v>162</v>
      </c>
      <c r="J60" s="19">
        <f t="shared" si="15"/>
        <v>183</v>
      </c>
      <c r="K60" s="19">
        <f t="shared" si="15"/>
        <v>196</v>
      </c>
      <c r="L60" s="19">
        <f t="shared" si="15"/>
        <v>209</v>
      </c>
      <c r="M60" s="19">
        <f t="shared" si="15"/>
        <v>175</v>
      </c>
      <c r="N60" s="19">
        <f t="shared" si="15"/>
        <v>160</v>
      </c>
      <c r="O60" s="19">
        <f t="shared" si="15"/>
        <v>145</v>
      </c>
      <c r="P60" s="19">
        <f t="shared" si="15"/>
        <v>195</v>
      </c>
      <c r="Q60" s="19">
        <f t="shared" si="15"/>
        <v>172</v>
      </c>
      <c r="R60" s="19">
        <f t="shared" si="15"/>
        <v>178</v>
      </c>
      <c r="S60" s="19">
        <f t="shared" si="15"/>
        <v>195</v>
      </c>
      <c r="T60" s="13">
        <f t="shared" ref="T60:T62" si="16">SUM(E60:S60)</f>
        <v>2682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51.0</v>
      </c>
      <c r="F61" s="19">
        <v>55.0</v>
      </c>
      <c r="G61" s="19">
        <v>40.0</v>
      </c>
      <c r="H61" s="19">
        <v>43.0</v>
      </c>
      <c r="I61" s="19">
        <v>37.0</v>
      </c>
      <c r="J61" s="19">
        <v>43.0</v>
      </c>
      <c r="K61" s="19">
        <v>48.0</v>
      </c>
      <c r="L61" s="19">
        <v>26.0</v>
      </c>
      <c r="M61" s="19">
        <v>31.0</v>
      </c>
      <c r="N61" s="19">
        <v>69.0</v>
      </c>
      <c r="O61" s="19">
        <v>69.0</v>
      </c>
      <c r="P61" s="19">
        <v>39.0</v>
      </c>
      <c r="Q61" s="19">
        <v>42.0</v>
      </c>
      <c r="R61" s="19">
        <v>42.0</v>
      </c>
      <c r="S61" s="19">
        <v>39.0</v>
      </c>
      <c r="T61" s="13">
        <f t="shared" si="16"/>
        <v>674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S62" si="17">SUM(E60:E61)</f>
        <v>222</v>
      </c>
      <c r="F62" s="13">
        <f t="shared" si="17"/>
        <v>223</v>
      </c>
      <c r="G62" s="13">
        <f t="shared" si="17"/>
        <v>229</v>
      </c>
      <c r="H62" s="13">
        <f t="shared" si="17"/>
        <v>227</v>
      </c>
      <c r="I62" s="13">
        <f t="shared" si="17"/>
        <v>199</v>
      </c>
      <c r="J62" s="13">
        <f t="shared" si="17"/>
        <v>226</v>
      </c>
      <c r="K62" s="13">
        <f t="shared" si="17"/>
        <v>244</v>
      </c>
      <c r="L62" s="13">
        <f t="shared" si="17"/>
        <v>235</v>
      </c>
      <c r="M62" s="13">
        <f t="shared" si="17"/>
        <v>206</v>
      </c>
      <c r="N62" s="13">
        <f t="shared" si="17"/>
        <v>229</v>
      </c>
      <c r="O62" s="13">
        <f t="shared" si="17"/>
        <v>214</v>
      </c>
      <c r="P62" s="13">
        <f t="shared" si="17"/>
        <v>234</v>
      </c>
      <c r="Q62" s="13">
        <f t="shared" si="17"/>
        <v>214</v>
      </c>
      <c r="R62" s="13">
        <f t="shared" si="17"/>
        <v>220</v>
      </c>
      <c r="S62" s="13">
        <f t="shared" si="17"/>
        <v>234</v>
      </c>
      <c r="T62" s="13">
        <f t="shared" si="16"/>
        <v>3356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U117" s="5"/>
      <c r="V117" s="5"/>
    </row>
    <row r="118" ht="12.75" customHeight="1">
      <c r="U118" s="5"/>
      <c r="V118" s="5"/>
    </row>
    <row r="119" ht="12.75" customHeight="1">
      <c r="U119" s="5"/>
      <c r="V119" s="5"/>
    </row>
    <row r="120" ht="12.75" customHeight="1">
      <c r="U120" s="5"/>
      <c r="V120" s="5"/>
    </row>
    <row r="121" ht="12.75" customHeight="1">
      <c r="U121" s="5"/>
      <c r="V121" s="5"/>
    </row>
    <row r="122" ht="12.75" customHeight="1">
      <c r="U122" s="5"/>
      <c r="V122" s="5"/>
    </row>
    <row r="123" ht="12.75" customHeight="1">
      <c r="U123" s="5"/>
      <c r="V123" s="5"/>
    </row>
    <row r="124" ht="12.75" customHeight="1">
      <c r="U124" s="5"/>
      <c r="V124" s="5"/>
    </row>
    <row r="125" ht="12.75" customHeight="1">
      <c r="U125" s="5"/>
      <c r="V125" s="5"/>
    </row>
    <row r="126" ht="12.75" customHeight="1">
      <c r="U126" s="5"/>
      <c r="V126" s="5"/>
    </row>
    <row r="127" ht="12.75" customHeight="1">
      <c r="U127" s="5"/>
      <c r="V127" s="5"/>
    </row>
    <row r="128" ht="12.75" customHeight="1">
      <c r="U128" s="5"/>
      <c r="V128" s="5"/>
    </row>
    <row r="129" ht="12.75" customHeight="1">
      <c r="U129" s="5"/>
      <c r="V129" s="5"/>
    </row>
    <row r="130" ht="12.75" customHeight="1">
      <c r="U130" s="1"/>
      <c r="V130" s="1"/>
    </row>
    <row r="131" ht="12.75" customHeight="1">
      <c r="U131" s="52"/>
      <c r="V131" s="52"/>
    </row>
    <row r="132" ht="12.75" customHeight="1">
      <c r="U132" s="5"/>
      <c r="V132" s="5"/>
    </row>
    <row r="133" ht="12.75" customHeight="1">
      <c r="U133" s="5"/>
      <c r="V133" s="5"/>
    </row>
    <row r="134" ht="12.75" customHeight="1">
      <c r="U134" s="5"/>
      <c r="V134" s="5"/>
    </row>
    <row r="135" ht="12.75" customHeight="1">
      <c r="U135" s="5"/>
      <c r="V135" s="5"/>
    </row>
    <row r="136" ht="12.75" customHeight="1">
      <c r="U136" s="5"/>
      <c r="V136" s="5"/>
    </row>
    <row r="137" ht="12.75" customHeight="1">
      <c r="U137" s="5"/>
      <c r="V137" s="5"/>
    </row>
    <row r="138" ht="12.75" customHeight="1">
      <c r="U138" s="5"/>
      <c r="V138" s="5"/>
    </row>
    <row r="139" ht="12.75" customHeight="1">
      <c r="U139" s="5"/>
      <c r="V139" s="5"/>
    </row>
    <row r="140" ht="12.75" customHeight="1">
      <c r="U140" s="5"/>
      <c r="V140" s="5"/>
    </row>
    <row r="141" ht="12.75" customHeight="1">
      <c r="U141" s="1"/>
      <c r="V141" s="1"/>
    </row>
    <row r="142" ht="12.75" customHeight="1">
      <c r="U142" s="52"/>
      <c r="V142" s="52"/>
    </row>
    <row r="143" ht="12.75" customHeight="1">
      <c r="U143" s="5"/>
      <c r="V143" s="5"/>
    </row>
    <row r="144" ht="12.75" customHeight="1">
      <c r="U144" s="5"/>
      <c r="V144" s="5"/>
    </row>
    <row r="145" ht="12.75" customHeight="1">
      <c r="U145" s="5"/>
      <c r="V145" s="5"/>
    </row>
    <row r="146" ht="12.75" customHeight="1">
      <c r="U146" s="5"/>
      <c r="V146" s="5"/>
    </row>
    <row r="147" ht="12.75" customHeight="1">
      <c r="U147" s="5"/>
      <c r="V147" s="5"/>
    </row>
    <row r="148" ht="12.75" customHeight="1">
      <c r="U148" s="5"/>
      <c r="V148" s="5"/>
    </row>
    <row r="149" ht="12.75" customHeight="1">
      <c r="U149" s="5"/>
      <c r="V149" s="5"/>
    </row>
    <row r="150" ht="12.75" customHeight="1">
      <c r="U150" s="5"/>
      <c r="V150" s="5"/>
    </row>
    <row r="151" ht="12.75" customHeight="1">
      <c r="U151" s="1"/>
      <c r="V151" s="1"/>
    </row>
    <row r="152" ht="12.75" customHeight="1">
      <c r="U152" s="52"/>
      <c r="V152" s="52"/>
    </row>
    <row r="153" ht="12.75" customHeight="1">
      <c r="U153" s="5"/>
      <c r="V153" s="5"/>
    </row>
    <row r="154" ht="12.75" customHeight="1">
      <c r="U154" s="5"/>
      <c r="V154" s="5"/>
    </row>
    <row r="155" ht="12.75" customHeight="1">
      <c r="U155" s="5"/>
      <c r="V155" s="5"/>
    </row>
    <row r="156" ht="12.75" customHeight="1">
      <c r="U156" s="5"/>
      <c r="V156" s="5"/>
    </row>
    <row r="157" ht="12.75" customHeight="1">
      <c r="U157" s="5"/>
      <c r="V157" s="5"/>
    </row>
    <row r="158" ht="12.75" customHeight="1">
      <c r="U158" s="5"/>
      <c r="V158" s="5"/>
    </row>
    <row r="159" ht="12.75" customHeight="1">
      <c r="U159" s="5"/>
      <c r="V159" s="5"/>
    </row>
    <row r="160" ht="12.75" customHeight="1">
      <c r="U160" s="5"/>
      <c r="V160" s="5"/>
    </row>
    <row r="161" ht="12.75" customHeight="1">
      <c r="U161" s="5"/>
      <c r="V161" s="5"/>
    </row>
    <row r="162" ht="12.75" customHeight="1">
      <c r="U162" s="5"/>
      <c r="V162" s="5"/>
    </row>
    <row r="163" ht="12.75" customHeight="1">
      <c r="U163" s="5"/>
      <c r="V163" s="5"/>
    </row>
    <row r="164" ht="12.75" customHeight="1">
      <c r="U164" s="5"/>
      <c r="V164" s="5"/>
    </row>
    <row r="165" ht="12.75" customHeight="1">
      <c r="U165" s="1"/>
      <c r="V165" s="1"/>
    </row>
    <row r="166" ht="12.75" customHeight="1">
      <c r="U166" s="52"/>
      <c r="V166" s="52"/>
    </row>
    <row r="167" ht="12.75" customHeight="1">
      <c r="U167" s="5"/>
      <c r="V167" s="5"/>
    </row>
    <row r="168" ht="12.75" customHeight="1">
      <c r="U168" s="5"/>
      <c r="V168" s="5"/>
    </row>
    <row r="169" ht="12.75" customHeight="1">
      <c r="U169" s="5"/>
      <c r="V169" s="5"/>
    </row>
    <row r="170" ht="12.75" customHeight="1">
      <c r="U170" s="5"/>
      <c r="V170" s="5"/>
    </row>
    <row r="171" ht="12.75" customHeight="1">
      <c r="U171" s="5"/>
      <c r="V171" s="5"/>
    </row>
    <row r="172" ht="12.75" customHeight="1">
      <c r="U172" s="5"/>
      <c r="V172" s="5"/>
    </row>
    <row r="173" ht="12.75" customHeight="1">
      <c r="U173" s="5"/>
      <c r="V173" s="5"/>
    </row>
    <row r="174" ht="12.75" customHeight="1">
      <c r="U174" s="5"/>
      <c r="V174" s="5"/>
    </row>
    <row r="175" ht="12.75" customHeight="1">
      <c r="U175" s="5"/>
      <c r="V175" s="5"/>
    </row>
    <row r="176" ht="12.75" customHeight="1">
      <c r="U176" s="1"/>
      <c r="V176" s="1"/>
    </row>
    <row r="177" ht="12.75" customHeight="1"/>
    <row r="178" ht="12.75" customHeight="1">
      <c r="U178" s="5"/>
      <c r="V178" s="5"/>
    </row>
    <row r="179" ht="12.75" customHeight="1">
      <c r="U179" s="5"/>
      <c r="V179" s="5"/>
    </row>
    <row r="180" ht="12.75" customHeight="1">
      <c r="U180" s="5"/>
      <c r="V180" s="5"/>
    </row>
    <row r="181" ht="12.75" customHeight="1">
      <c r="U181" s="5"/>
      <c r="V181" s="5"/>
    </row>
    <row r="182" ht="12.75" customHeight="1">
      <c r="U182" s="5"/>
      <c r="V182" s="5"/>
    </row>
    <row r="183" ht="12.75" customHeight="1">
      <c r="U183" s="5"/>
      <c r="V183" s="5"/>
    </row>
    <row r="184" ht="12.75" customHeight="1">
      <c r="U184" s="5"/>
      <c r="V184" s="5"/>
    </row>
    <row r="185" ht="12.75" customHeight="1">
      <c r="U185" s="5"/>
      <c r="V185" s="5"/>
    </row>
    <row r="186" ht="12.75" customHeight="1">
      <c r="U186" s="5"/>
      <c r="V186" s="5"/>
    </row>
    <row r="187" ht="12.75" customHeight="1">
      <c r="U187" s="1"/>
      <c r="V187" s="1"/>
    </row>
    <row r="188" ht="12.75" customHeight="1"/>
    <row r="189" ht="12.75" customHeight="1">
      <c r="U189" s="5"/>
      <c r="V189" s="5"/>
    </row>
    <row r="190" ht="12.75" customHeight="1">
      <c r="U190" s="5"/>
      <c r="V190" s="5"/>
    </row>
    <row r="191" ht="12.75" customHeight="1">
      <c r="U191" s="5"/>
      <c r="V191" s="5"/>
    </row>
    <row r="192" ht="12.75" customHeight="1">
      <c r="U192" s="5"/>
      <c r="V192" s="5"/>
    </row>
    <row r="193" ht="12.75" customHeight="1">
      <c r="U193" s="5"/>
      <c r="V193" s="5"/>
    </row>
    <row r="194" ht="12.75" customHeight="1">
      <c r="U194" s="5"/>
      <c r="V194" s="5"/>
    </row>
    <row r="195" ht="12.75" customHeight="1">
      <c r="U195" s="5"/>
      <c r="V195" s="5"/>
    </row>
    <row r="196" ht="12.75" customHeight="1">
      <c r="U196" s="1"/>
      <c r="V196" s="1"/>
    </row>
    <row r="197" ht="12.75" customHeight="1">
      <c r="U197" s="1"/>
      <c r="V197" s="1"/>
    </row>
    <row r="198" ht="12.75" customHeight="1">
      <c r="U198" s="1"/>
      <c r="V198" s="1"/>
    </row>
    <row r="199" ht="12.75" customHeight="1">
      <c r="U199" s="52"/>
      <c r="V199" s="52"/>
    </row>
    <row r="200" ht="12.75" customHeight="1">
      <c r="U200" s="5"/>
      <c r="V200" s="5"/>
    </row>
    <row r="201" ht="12.75" customHeight="1">
      <c r="U201" s="5"/>
      <c r="V201" s="5"/>
    </row>
    <row r="202" ht="12.75" customHeight="1">
      <c r="U202" s="5"/>
      <c r="V202" s="5"/>
    </row>
    <row r="203" ht="12.75" customHeight="1">
      <c r="U203" s="5"/>
      <c r="V203" s="5"/>
    </row>
    <row r="204" ht="12.75" customHeight="1">
      <c r="U204" s="5"/>
      <c r="V204" s="5"/>
    </row>
    <row r="205" ht="12.75" customHeight="1">
      <c r="U205" s="5"/>
      <c r="V205" s="5"/>
    </row>
    <row r="206" ht="12.75" customHeight="1">
      <c r="U206" s="5"/>
      <c r="V206" s="5"/>
    </row>
    <row r="207" ht="12.75" customHeight="1">
      <c r="U207" s="1"/>
      <c r="V207" s="1"/>
    </row>
    <row r="208" ht="12.75" customHeight="1">
      <c r="U208" s="52"/>
      <c r="V208" s="52"/>
    </row>
    <row r="209" ht="12.75" customHeight="1">
      <c r="U209" s="52"/>
      <c r="V209" s="52"/>
    </row>
    <row r="210" ht="12.75" customHeight="1">
      <c r="U210" s="52"/>
      <c r="V210" s="52"/>
    </row>
    <row r="211" ht="12.75" customHeight="1">
      <c r="U211" s="5"/>
      <c r="V211" s="5"/>
    </row>
    <row r="212" ht="12.75" customHeight="1">
      <c r="U212" s="5"/>
      <c r="V212" s="5"/>
    </row>
    <row r="213" ht="12.75" customHeight="1">
      <c r="U213" s="5"/>
      <c r="V213" s="5"/>
    </row>
    <row r="214" ht="12.75" customHeight="1">
      <c r="U214" s="5"/>
      <c r="V214" s="5"/>
    </row>
    <row r="215" ht="12.75" customHeight="1">
      <c r="U215" s="5"/>
      <c r="V215" s="5"/>
    </row>
    <row r="216" ht="12.75" customHeight="1">
      <c r="U216" s="5"/>
      <c r="V216" s="5"/>
    </row>
    <row r="217" ht="12.75" customHeight="1">
      <c r="U217" s="5"/>
      <c r="V217" s="5"/>
    </row>
    <row r="218" ht="12.75" customHeight="1">
      <c r="U218" s="1"/>
      <c r="V218" s="1"/>
    </row>
    <row r="219" ht="12.75" customHeight="1">
      <c r="U219" s="52"/>
      <c r="V219" s="52"/>
    </row>
    <row r="220" ht="12.75" customHeight="1">
      <c r="U220" s="5"/>
      <c r="V220" s="5"/>
    </row>
    <row r="221" ht="12.75" customHeight="1">
      <c r="U221" s="5"/>
      <c r="V221" s="5"/>
    </row>
    <row r="222" ht="12.75" customHeight="1">
      <c r="U222" s="5"/>
      <c r="V222" s="5"/>
    </row>
    <row r="223" ht="12.75" customHeight="1">
      <c r="U223" s="5"/>
      <c r="V223" s="5"/>
    </row>
    <row r="224" ht="12.75" customHeight="1">
      <c r="U224" s="5"/>
      <c r="V224" s="5"/>
    </row>
    <row r="225" ht="12.75" customHeight="1">
      <c r="U225" s="5"/>
      <c r="V225" s="5"/>
    </row>
    <row r="226" ht="12.75" customHeight="1">
      <c r="U226" s="5"/>
      <c r="V226" s="5"/>
    </row>
    <row r="227" ht="12.75" customHeight="1">
      <c r="U227" s="5"/>
      <c r="V227" s="5"/>
    </row>
    <row r="228" ht="12.75" customHeight="1">
      <c r="U228" s="5"/>
      <c r="V228" s="5"/>
    </row>
    <row r="229" ht="12.75" customHeight="1">
      <c r="U229" s="1"/>
      <c r="V229" s="1"/>
    </row>
    <row r="230" ht="12.75" customHeight="1">
      <c r="U230" s="52"/>
      <c r="V230" s="52"/>
    </row>
    <row r="231" ht="12.75" customHeight="1">
      <c r="U231" s="5"/>
      <c r="V231" s="5"/>
    </row>
    <row r="232" ht="12.75" customHeight="1">
      <c r="U232" s="5"/>
      <c r="V232" s="5"/>
    </row>
    <row r="233" ht="12.75" customHeight="1">
      <c r="U233" s="5"/>
      <c r="V233" s="5"/>
    </row>
    <row r="234" ht="12.75" customHeight="1">
      <c r="U234" s="5"/>
      <c r="V234" s="5"/>
    </row>
    <row r="235" ht="12.75" customHeight="1">
      <c r="U235" s="5"/>
      <c r="V235" s="5"/>
    </row>
    <row r="236" ht="12.75" customHeight="1">
      <c r="U236" s="5"/>
      <c r="V236" s="5"/>
    </row>
    <row r="237" ht="12.75" customHeight="1">
      <c r="U237" s="5"/>
      <c r="V237" s="5"/>
    </row>
    <row r="238" ht="12.75" customHeight="1">
      <c r="U238" s="5"/>
      <c r="V238" s="5"/>
    </row>
    <row r="239" ht="12.75" customHeight="1">
      <c r="U239" s="5"/>
      <c r="V239" s="5"/>
    </row>
    <row r="240" ht="12.75" customHeight="1">
      <c r="U240" s="1"/>
      <c r="V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45:S57">
    <cfRule type="containsBlanks" dxfId="1" priority="6">
      <formula>LEN(TRIM(E45))=0</formula>
    </cfRule>
  </conditionalFormatting>
  <conditionalFormatting sqref="E60:S61">
    <cfRule type="containsBlanks" dxfId="1" priority="7">
      <formula>LEN(TRIM(E60))=0</formula>
    </cfRule>
  </conditionalFormatting>
  <conditionalFormatting sqref="E34:S34">
    <cfRule type="expression" dxfId="2" priority="8">
      <formula>E30&lt;&gt;E34</formula>
    </cfRule>
  </conditionalFormatting>
  <conditionalFormatting sqref="E34:S34">
    <cfRule type="expression" dxfId="3" priority="9">
      <formula>E30=E34</formula>
    </cfRule>
  </conditionalFormatting>
  <conditionalFormatting sqref="E34:S34">
    <cfRule type="expression" dxfId="0" priority="10">
      <formula>E34&lt;&gt;E30</formula>
    </cfRule>
  </conditionalFormatting>
  <conditionalFormatting sqref="E34:S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13" t="s">
        <v>79</v>
      </c>
      <c r="N13" s="13" t="s">
        <v>81</v>
      </c>
      <c r="O13" s="13" t="s">
        <v>82</v>
      </c>
      <c r="P13" s="13" t="s">
        <v>83</v>
      </c>
      <c r="Q13" s="13" t="s">
        <v>84</v>
      </c>
      <c r="R13" s="13" t="s">
        <v>86</v>
      </c>
      <c r="S13" s="13" t="s">
        <v>87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132.0</v>
      </c>
      <c r="G14" s="19">
        <v>126.0</v>
      </c>
      <c r="H14" s="19">
        <v>116.0</v>
      </c>
      <c r="I14" s="19">
        <v>129.0</v>
      </c>
      <c r="J14" s="19">
        <v>127.0</v>
      </c>
      <c r="K14" s="19">
        <v>140.0</v>
      </c>
      <c r="L14" s="19">
        <v>127.0</v>
      </c>
      <c r="M14" s="19">
        <v>103.0</v>
      </c>
      <c r="N14" s="19">
        <v>120.0</v>
      </c>
      <c r="O14" s="19">
        <v>137.0</v>
      </c>
      <c r="P14" s="19">
        <v>152.0</v>
      </c>
      <c r="Q14" s="19">
        <v>140.0</v>
      </c>
      <c r="R14" s="19">
        <v>131.0</v>
      </c>
      <c r="S14" s="19">
        <v>152.0</v>
      </c>
      <c r="T14" s="13">
        <f t="shared" ref="T14:T16" si="1">SUM(E14:S14)</f>
        <v>1953</v>
      </c>
    </row>
    <row r="15" ht="12.75" customHeight="1">
      <c r="A15" s="18"/>
      <c r="B15" s="26"/>
      <c r="C15" s="27"/>
      <c r="D15" s="19" t="s">
        <v>13</v>
      </c>
      <c r="E15" s="19">
        <v>152.0</v>
      </c>
      <c r="F15" s="19">
        <v>131.0</v>
      </c>
      <c r="G15" s="19">
        <v>143.0</v>
      </c>
      <c r="H15" s="19">
        <v>124.0</v>
      </c>
      <c r="I15" s="19">
        <v>131.0</v>
      </c>
      <c r="J15" s="19">
        <v>132.0</v>
      </c>
      <c r="K15" s="19">
        <v>144.0</v>
      </c>
      <c r="L15" s="19">
        <v>128.0</v>
      </c>
      <c r="M15" s="19">
        <v>120.0</v>
      </c>
      <c r="N15" s="19">
        <v>119.0</v>
      </c>
      <c r="O15" s="19">
        <v>146.0</v>
      </c>
      <c r="P15" s="19">
        <v>137.0</v>
      </c>
      <c r="Q15" s="19">
        <v>151.0</v>
      </c>
      <c r="R15" s="19">
        <v>142.0</v>
      </c>
      <c r="S15" s="19">
        <v>137.0</v>
      </c>
      <c r="T15" s="13">
        <f t="shared" si="1"/>
        <v>2037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273</v>
      </c>
      <c r="F16" s="13">
        <f t="shared" si="2"/>
        <v>263</v>
      </c>
      <c r="G16" s="13">
        <f t="shared" si="2"/>
        <v>269</v>
      </c>
      <c r="H16" s="13">
        <f t="shared" si="2"/>
        <v>240</v>
      </c>
      <c r="I16" s="13">
        <f t="shared" si="2"/>
        <v>260</v>
      </c>
      <c r="J16" s="13">
        <f t="shared" si="2"/>
        <v>259</v>
      </c>
      <c r="K16" s="13">
        <f t="shared" si="2"/>
        <v>284</v>
      </c>
      <c r="L16" s="13">
        <f t="shared" si="2"/>
        <v>255</v>
      </c>
      <c r="M16" s="13">
        <f t="shared" si="2"/>
        <v>223</v>
      </c>
      <c r="N16" s="13">
        <f t="shared" si="2"/>
        <v>239</v>
      </c>
      <c r="O16" s="13">
        <f t="shared" si="2"/>
        <v>283</v>
      </c>
      <c r="P16" s="13">
        <f t="shared" si="2"/>
        <v>289</v>
      </c>
      <c r="Q16" s="13">
        <f t="shared" si="2"/>
        <v>291</v>
      </c>
      <c r="R16" s="13">
        <f t="shared" si="2"/>
        <v>273</v>
      </c>
      <c r="S16" s="13">
        <f t="shared" si="2"/>
        <v>289</v>
      </c>
      <c r="T16" s="13">
        <f t="shared" si="1"/>
        <v>3990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13" t="s">
        <v>77</v>
      </c>
      <c r="L18" s="13" t="s">
        <v>78</v>
      </c>
      <c r="M18" s="13" t="s">
        <v>79</v>
      </c>
      <c r="N18" s="13" t="s">
        <v>81</v>
      </c>
      <c r="O18" s="13" t="s">
        <v>82</v>
      </c>
      <c r="P18" s="13" t="s">
        <v>83</v>
      </c>
      <c r="Q18" s="13" t="s">
        <v>84</v>
      </c>
      <c r="R18" s="13" t="s">
        <v>86</v>
      </c>
      <c r="S18" s="13" t="s">
        <v>87</v>
      </c>
      <c r="T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86.0</v>
      </c>
      <c r="F19" s="19">
        <v>91.0</v>
      </c>
      <c r="G19" s="19">
        <v>87.0</v>
      </c>
      <c r="H19" s="19">
        <v>85.0</v>
      </c>
      <c r="I19" s="19">
        <v>108.0</v>
      </c>
      <c r="J19" s="19">
        <v>93.0</v>
      </c>
      <c r="K19" s="19">
        <v>108.0</v>
      </c>
      <c r="L19" s="19">
        <v>86.0</v>
      </c>
      <c r="M19" s="19">
        <v>78.0</v>
      </c>
      <c r="N19" s="19">
        <v>85.0</v>
      </c>
      <c r="O19" s="19">
        <v>114.0</v>
      </c>
      <c r="P19" s="19">
        <v>108.0</v>
      </c>
      <c r="Q19" s="19">
        <v>107.0</v>
      </c>
      <c r="R19" s="19">
        <v>105.0</v>
      </c>
      <c r="S19" s="19">
        <v>126.0</v>
      </c>
      <c r="T19" s="13">
        <f t="shared" ref="T19:T30" si="3">SUM(E19:S19)</f>
        <v>1467</v>
      </c>
    </row>
    <row r="20" ht="12.75" customHeight="1">
      <c r="A20" s="34"/>
      <c r="B20" s="27"/>
      <c r="C20" s="35"/>
      <c r="D20" s="19" t="s">
        <v>13</v>
      </c>
      <c r="E20" s="19">
        <v>121.0</v>
      </c>
      <c r="F20" s="19">
        <v>110.0</v>
      </c>
      <c r="G20" s="19">
        <v>115.0</v>
      </c>
      <c r="H20" s="19">
        <v>103.0</v>
      </c>
      <c r="I20" s="19">
        <v>89.0</v>
      </c>
      <c r="J20" s="19">
        <v>104.0</v>
      </c>
      <c r="K20" s="19">
        <v>117.0</v>
      </c>
      <c r="L20" s="19">
        <v>112.0</v>
      </c>
      <c r="M20" s="19">
        <v>103.0</v>
      </c>
      <c r="N20" s="19">
        <v>98.0</v>
      </c>
      <c r="O20" s="19">
        <v>121.0</v>
      </c>
      <c r="P20" s="19">
        <v>111.0</v>
      </c>
      <c r="Q20" s="19">
        <v>121.0</v>
      </c>
      <c r="R20" s="19">
        <v>124.0</v>
      </c>
      <c r="S20" s="19">
        <v>124.0</v>
      </c>
      <c r="T20" s="13">
        <f t="shared" si="3"/>
        <v>1673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207</v>
      </c>
      <c r="F21" s="13">
        <f t="shared" si="4"/>
        <v>201</v>
      </c>
      <c r="G21" s="13">
        <f t="shared" si="4"/>
        <v>202</v>
      </c>
      <c r="H21" s="13">
        <f t="shared" si="4"/>
        <v>188</v>
      </c>
      <c r="I21" s="13">
        <f t="shared" si="4"/>
        <v>197</v>
      </c>
      <c r="J21" s="13">
        <f t="shared" si="4"/>
        <v>197</v>
      </c>
      <c r="K21" s="13">
        <f t="shared" si="4"/>
        <v>225</v>
      </c>
      <c r="L21" s="13">
        <f t="shared" si="4"/>
        <v>198</v>
      </c>
      <c r="M21" s="13">
        <f t="shared" si="4"/>
        <v>181</v>
      </c>
      <c r="N21" s="13">
        <f t="shared" si="4"/>
        <v>183</v>
      </c>
      <c r="O21" s="13">
        <f t="shared" si="4"/>
        <v>235</v>
      </c>
      <c r="P21" s="13">
        <f t="shared" si="4"/>
        <v>219</v>
      </c>
      <c r="Q21" s="13">
        <f t="shared" si="4"/>
        <v>228</v>
      </c>
      <c r="R21" s="13">
        <f t="shared" si="4"/>
        <v>229</v>
      </c>
      <c r="S21" s="13">
        <f t="shared" si="4"/>
        <v>250</v>
      </c>
      <c r="T21" s="13">
        <f t="shared" si="3"/>
        <v>3140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1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3"/>
        <v>1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S28" si="7">SUM(E19,E22,E25)</f>
        <v>86</v>
      </c>
      <c r="F28" s="13">
        <f t="shared" si="7"/>
        <v>91</v>
      </c>
      <c r="G28" s="13">
        <f t="shared" si="7"/>
        <v>87</v>
      </c>
      <c r="H28" s="13">
        <f t="shared" si="7"/>
        <v>86</v>
      </c>
      <c r="I28" s="13">
        <f t="shared" si="7"/>
        <v>108</v>
      </c>
      <c r="J28" s="13">
        <f t="shared" si="7"/>
        <v>93</v>
      </c>
      <c r="K28" s="13">
        <f t="shared" si="7"/>
        <v>108</v>
      </c>
      <c r="L28" s="13">
        <f t="shared" si="7"/>
        <v>86</v>
      </c>
      <c r="M28" s="13">
        <f t="shared" si="7"/>
        <v>78</v>
      </c>
      <c r="N28" s="13">
        <f t="shared" si="7"/>
        <v>85</v>
      </c>
      <c r="O28" s="13">
        <f t="shared" si="7"/>
        <v>114</v>
      </c>
      <c r="P28" s="13">
        <f t="shared" si="7"/>
        <v>108</v>
      </c>
      <c r="Q28" s="13">
        <f t="shared" si="7"/>
        <v>107</v>
      </c>
      <c r="R28" s="13">
        <f t="shared" si="7"/>
        <v>105</v>
      </c>
      <c r="S28" s="13">
        <f t="shared" si="7"/>
        <v>126</v>
      </c>
      <c r="T28" s="13">
        <f t="shared" si="3"/>
        <v>1468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122</v>
      </c>
      <c r="F29" s="13">
        <f t="shared" si="8"/>
        <v>110</v>
      </c>
      <c r="G29" s="13">
        <f t="shared" si="8"/>
        <v>115</v>
      </c>
      <c r="H29" s="13">
        <f t="shared" si="8"/>
        <v>103</v>
      </c>
      <c r="I29" s="13">
        <f t="shared" si="8"/>
        <v>89</v>
      </c>
      <c r="J29" s="13">
        <f t="shared" si="8"/>
        <v>104</v>
      </c>
      <c r="K29" s="13">
        <f t="shared" si="8"/>
        <v>117</v>
      </c>
      <c r="L29" s="13">
        <f t="shared" si="8"/>
        <v>112</v>
      </c>
      <c r="M29" s="13">
        <f t="shared" si="8"/>
        <v>103</v>
      </c>
      <c r="N29" s="13">
        <f t="shared" si="8"/>
        <v>98</v>
      </c>
      <c r="O29" s="13">
        <f t="shared" si="8"/>
        <v>121</v>
      </c>
      <c r="P29" s="13">
        <f t="shared" si="8"/>
        <v>111</v>
      </c>
      <c r="Q29" s="13">
        <f t="shared" si="8"/>
        <v>121</v>
      </c>
      <c r="R29" s="13">
        <f t="shared" si="8"/>
        <v>124</v>
      </c>
      <c r="S29" s="13">
        <f t="shared" si="8"/>
        <v>124</v>
      </c>
      <c r="T29" s="13">
        <f t="shared" si="3"/>
        <v>1674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208</v>
      </c>
      <c r="F30" s="13">
        <f t="shared" si="9"/>
        <v>201</v>
      </c>
      <c r="G30" s="13">
        <f t="shared" si="9"/>
        <v>202</v>
      </c>
      <c r="H30" s="13">
        <f t="shared" si="9"/>
        <v>189</v>
      </c>
      <c r="I30" s="13">
        <f t="shared" si="9"/>
        <v>197</v>
      </c>
      <c r="J30" s="13">
        <f t="shared" si="9"/>
        <v>197</v>
      </c>
      <c r="K30" s="13">
        <f t="shared" si="9"/>
        <v>225</v>
      </c>
      <c r="L30" s="13">
        <f t="shared" si="9"/>
        <v>198</v>
      </c>
      <c r="M30" s="13">
        <f t="shared" si="9"/>
        <v>181</v>
      </c>
      <c r="N30" s="13">
        <f t="shared" si="9"/>
        <v>183</v>
      </c>
      <c r="O30" s="13">
        <f t="shared" si="9"/>
        <v>235</v>
      </c>
      <c r="P30" s="13">
        <f t="shared" si="9"/>
        <v>219</v>
      </c>
      <c r="Q30" s="13">
        <f t="shared" si="9"/>
        <v>228</v>
      </c>
      <c r="R30" s="13">
        <f t="shared" si="9"/>
        <v>229</v>
      </c>
      <c r="S30" s="13">
        <f t="shared" si="9"/>
        <v>250</v>
      </c>
      <c r="T30" s="13">
        <f t="shared" si="3"/>
        <v>3142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61"/>
    </row>
    <row r="32" ht="12.75" customHeight="1">
      <c r="A32" s="43" t="s">
        <v>25</v>
      </c>
      <c r="B32" s="14" t="s">
        <v>26</v>
      </c>
      <c r="C32" s="15"/>
      <c r="D32" s="16"/>
      <c r="E32" s="63" t="s">
        <v>70</v>
      </c>
      <c r="F32" s="63" t="s">
        <v>71</v>
      </c>
      <c r="G32" s="63" t="s">
        <v>72</v>
      </c>
      <c r="H32" s="63" t="s">
        <v>73</v>
      </c>
      <c r="I32" s="63" t="s">
        <v>74</v>
      </c>
      <c r="J32" s="63" t="s">
        <v>75</v>
      </c>
      <c r="K32" s="63" t="s">
        <v>77</v>
      </c>
      <c r="L32" s="63" t="s">
        <v>78</v>
      </c>
      <c r="M32" s="63" t="s">
        <v>79</v>
      </c>
      <c r="N32" s="63" t="s">
        <v>81</v>
      </c>
      <c r="O32" s="63" t="s">
        <v>82</v>
      </c>
      <c r="P32" s="63" t="s">
        <v>83</v>
      </c>
      <c r="Q32" s="63" t="s">
        <v>84</v>
      </c>
      <c r="R32" s="63" t="s">
        <v>86</v>
      </c>
      <c r="S32" s="63" t="s">
        <v>87</v>
      </c>
      <c r="T32" s="61"/>
    </row>
    <row r="33" ht="12.75" customHeight="1">
      <c r="A33" s="19">
        <v>1.0</v>
      </c>
      <c r="B33" s="20" t="s">
        <v>27</v>
      </c>
      <c r="C33" s="15"/>
      <c r="D33" s="16"/>
      <c r="E33" s="19">
        <v>279.0</v>
      </c>
      <c r="F33" s="19">
        <v>274.0</v>
      </c>
      <c r="G33" s="19">
        <v>276.0</v>
      </c>
      <c r="H33" s="19">
        <v>245.0</v>
      </c>
      <c r="I33" s="19">
        <v>266.0</v>
      </c>
      <c r="J33" s="19">
        <v>266.0</v>
      </c>
      <c r="K33" s="19">
        <v>290.0</v>
      </c>
      <c r="L33" s="19">
        <v>261.0</v>
      </c>
      <c r="M33" s="19">
        <v>228.0</v>
      </c>
      <c r="N33" s="19">
        <v>244.0</v>
      </c>
      <c r="O33" s="19">
        <v>290.0</v>
      </c>
      <c r="P33" s="19">
        <v>295.0</v>
      </c>
      <c r="Q33" s="19">
        <v>299.0</v>
      </c>
      <c r="R33" s="19">
        <v>279.0</v>
      </c>
      <c r="S33" s="19">
        <v>295.0</v>
      </c>
      <c r="T33" s="13">
        <f t="shared" ref="T33:T36" si="10">SUM(E33:S33)</f>
        <v>4087</v>
      </c>
    </row>
    <row r="34" ht="12.75" customHeight="1">
      <c r="A34" s="19">
        <v>2.0</v>
      </c>
      <c r="B34" s="20" t="s">
        <v>28</v>
      </c>
      <c r="C34" s="15"/>
      <c r="D34" s="16"/>
      <c r="E34" s="13">
        <v>208.0</v>
      </c>
      <c r="F34" s="13">
        <v>201.0</v>
      </c>
      <c r="G34" s="13">
        <v>202.0</v>
      </c>
      <c r="H34" s="13">
        <v>189.0</v>
      </c>
      <c r="I34" s="13">
        <v>197.0</v>
      </c>
      <c r="J34" s="13">
        <v>197.0</v>
      </c>
      <c r="K34" s="13">
        <v>225.0</v>
      </c>
      <c r="L34" s="13">
        <v>198.0</v>
      </c>
      <c r="M34" s="13">
        <v>181.0</v>
      </c>
      <c r="N34" s="13">
        <v>183.0</v>
      </c>
      <c r="O34" s="13">
        <v>235.0</v>
      </c>
      <c r="P34" s="13">
        <v>219.0</v>
      </c>
      <c r="Q34" s="13">
        <v>228.0</v>
      </c>
      <c r="R34" s="13">
        <v>229.0</v>
      </c>
      <c r="S34" s="13">
        <v>250.0</v>
      </c>
      <c r="T34" s="13">
        <f t="shared" si="10"/>
        <v>3142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38.0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38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71</v>
      </c>
      <c r="F36" s="13">
        <f t="shared" si="11"/>
        <v>73</v>
      </c>
      <c r="G36" s="13">
        <f t="shared" si="11"/>
        <v>74</v>
      </c>
      <c r="H36" s="13">
        <f t="shared" si="11"/>
        <v>56</v>
      </c>
      <c r="I36" s="13">
        <f t="shared" si="11"/>
        <v>69</v>
      </c>
      <c r="J36" s="13">
        <f t="shared" si="11"/>
        <v>69</v>
      </c>
      <c r="K36" s="13">
        <f t="shared" si="11"/>
        <v>65</v>
      </c>
      <c r="L36" s="13">
        <f t="shared" si="11"/>
        <v>25</v>
      </c>
      <c r="M36" s="13">
        <f t="shared" si="11"/>
        <v>47</v>
      </c>
      <c r="N36" s="13">
        <f t="shared" si="11"/>
        <v>61</v>
      </c>
      <c r="O36" s="13">
        <f t="shared" si="11"/>
        <v>55</v>
      </c>
      <c r="P36" s="13">
        <f t="shared" si="11"/>
        <v>76</v>
      </c>
      <c r="Q36" s="13">
        <f t="shared" si="11"/>
        <v>71</v>
      </c>
      <c r="R36" s="13">
        <f t="shared" si="11"/>
        <v>50</v>
      </c>
      <c r="S36" s="13">
        <f t="shared" si="11"/>
        <v>45</v>
      </c>
      <c r="T36" s="13">
        <f t="shared" si="10"/>
        <v>907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61"/>
    </row>
    <row r="38" ht="12.75" customHeight="1">
      <c r="A38" s="44" t="s">
        <v>31</v>
      </c>
      <c r="B38" s="14" t="s">
        <v>32</v>
      </c>
      <c r="C38" s="15"/>
      <c r="D38" s="16"/>
      <c r="E38" s="63" t="s">
        <v>70</v>
      </c>
      <c r="F38" s="63" t="s">
        <v>71</v>
      </c>
      <c r="G38" s="63" t="s">
        <v>72</v>
      </c>
      <c r="H38" s="63" t="s">
        <v>73</v>
      </c>
      <c r="I38" s="63" t="s">
        <v>74</v>
      </c>
      <c r="J38" s="63" t="s">
        <v>75</v>
      </c>
      <c r="K38" s="63" t="s">
        <v>77</v>
      </c>
      <c r="L38" s="63" t="s">
        <v>78</v>
      </c>
      <c r="M38" s="63" t="s">
        <v>79</v>
      </c>
      <c r="N38" s="63" t="s">
        <v>81</v>
      </c>
      <c r="O38" s="63" t="s">
        <v>82</v>
      </c>
      <c r="P38" s="63" t="s">
        <v>83</v>
      </c>
      <c r="Q38" s="63" t="s">
        <v>84</v>
      </c>
      <c r="R38" s="63" t="s">
        <v>86</v>
      </c>
      <c r="S38" s="63" t="s">
        <v>87</v>
      </c>
      <c r="T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3"/>
    </row>
    <row r="43" ht="12.75" customHeight="1">
      <c r="A43" s="44" t="s">
        <v>34</v>
      </c>
      <c r="B43" s="14" t="s">
        <v>35</v>
      </c>
      <c r="C43" s="15"/>
      <c r="D43" s="16"/>
      <c r="E43" s="63" t="s">
        <v>70</v>
      </c>
      <c r="F43" s="63" t="s">
        <v>71</v>
      </c>
      <c r="G43" s="63" t="s">
        <v>72</v>
      </c>
      <c r="H43" s="63" t="s">
        <v>73</v>
      </c>
      <c r="I43" s="63" t="s">
        <v>74</v>
      </c>
      <c r="J43" s="63" t="s">
        <v>75</v>
      </c>
      <c r="K43" s="63" t="s">
        <v>77</v>
      </c>
      <c r="L43" s="63" t="s">
        <v>78</v>
      </c>
      <c r="M43" s="63" t="s">
        <v>79</v>
      </c>
      <c r="N43" s="63" t="s">
        <v>81</v>
      </c>
      <c r="O43" s="63" t="s">
        <v>82</v>
      </c>
      <c r="P43" s="63" t="s">
        <v>83</v>
      </c>
      <c r="Q43" s="63" t="s">
        <v>84</v>
      </c>
      <c r="R43" s="63" t="s">
        <v>86</v>
      </c>
      <c r="S43" s="63" t="s">
        <v>87</v>
      </c>
      <c r="T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3"/>
    </row>
    <row r="45" ht="12.75" customHeight="1">
      <c r="A45" s="31"/>
      <c r="B45" s="49" t="s">
        <v>17</v>
      </c>
      <c r="C45" s="62" t="s">
        <v>38</v>
      </c>
      <c r="D45" s="16"/>
      <c r="E45" s="19">
        <v>18.0</v>
      </c>
      <c r="F45" s="19">
        <v>19.0</v>
      </c>
      <c r="G45" s="19">
        <v>17.0</v>
      </c>
      <c r="H45" s="19">
        <v>18.0</v>
      </c>
      <c r="I45" s="19">
        <v>19.0</v>
      </c>
      <c r="J45" s="19">
        <v>8.0</v>
      </c>
      <c r="K45" s="19">
        <v>20.0</v>
      </c>
      <c r="L45" s="19">
        <v>12.0</v>
      </c>
      <c r="M45" s="19">
        <v>14.0</v>
      </c>
      <c r="N45" s="19">
        <v>15.0</v>
      </c>
      <c r="O45" s="19">
        <v>11.0</v>
      </c>
      <c r="P45" s="19">
        <v>13.0</v>
      </c>
      <c r="Q45" s="19">
        <v>9.0</v>
      </c>
      <c r="R45" s="19">
        <v>15.0</v>
      </c>
      <c r="S45" s="19">
        <v>21.0</v>
      </c>
      <c r="T45" s="13">
        <f t="shared" ref="T45:T57" si="14">SUM(E45:S45)</f>
        <v>229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37.0</v>
      </c>
      <c r="F46" s="19">
        <v>43.0</v>
      </c>
      <c r="G46" s="19">
        <v>35.0</v>
      </c>
      <c r="H46" s="19">
        <v>34.0</v>
      </c>
      <c r="I46" s="19">
        <v>27.0</v>
      </c>
      <c r="J46" s="19">
        <v>37.0</v>
      </c>
      <c r="K46" s="19">
        <v>32.0</v>
      </c>
      <c r="L46" s="19">
        <v>33.0</v>
      </c>
      <c r="M46" s="19">
        <v>25.0</v>
      </c>
      <c r="N46" s="19">
        <v>31.0</v>
      </c>
      <c r="O46" s="19">
        <v>57.0</v>
      </c>
      <c r="P46" s="19">
        <v>52.0</v>
      </c>
      <c r="Q46" s="19">
        <v>71.0</v>
      </c>
      <c r="R46" s="19">
        <v>44.0</v>
      </c>
      <c r="S46" s="19">
        <v>64.0</v>
      </c>
      <c r="T46" s="13">
        <f t="shared" si="14"/>
        <v>622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11.0</v>
      </c>
      <c r="F47" s="19">
        <v>9.0</v>
      </c>
      <c r="G47" s="19">
        <v>16.0</v>
      </c>
      <c r="H47" s="19">
        <v>14.0</v>
      </c>
      <c r="I47" s="19">
        <v>9.0</v>
      </c>
      <c r="J47" s="19">
        <v>7.0</v>
      </c>
      <c r="K47" s="19">
        <v>24.0</v>
      </c>
      <c r="L47" s="19">
        <v>10.0</v>
      </c>
      <c r="M47" s="19">
        <v>12.0</v>
      </c>
      <c r="N47" s="19">
        <v>14.0</v>
      </c>
      <c r="O47" s="19">
        <v>19.0</v>
      </c>
      <c r="P47" s="19">
        <v>27.0</v>
      </c>
      <c r="Q47" s="19">
        <v>24.0</v>
      </c>
      <c r="R47" s="19">
        <v>10.0</v>
      </c>
      <c r="S47" s="19">
        <v>24.0</v>
      </c>
      <c r="T47" s="13">
        <f t="shared" si="14"/>
        <v>230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25.0</v>
      </c>
      <c r="F48" s="19">
        <v>19.0</v>
      </c>
      <c r="G48" s="19">
        <v>25.0</v>
      </c>
      <c r="H48" s="19">
        <v>18.0</v>
      </c>
      <c r="I48" s="19">
        <v>24.0</v>
      </c>
      <c r="J48" s="19">
        <v>27.0</v>
      </c>
      <c r="K48" s="19">
        <v>24.0</v>
      </c>
      <c r="L48" s="19">
        <v>29.0</v>
      </c>
      <c r="M48" s="19">
        <v>40.0</v>
      </c>
      <c r="N48" s="19">
        <v>20.0</v>
      </c>
      <c r="O48" s="19">
        <v>33.0</v>
      </c>
      <c r="P48" s="19">
        <v>22.0</v>
      </c>
      <c r="Q48" s="19">
        <v>24.0</v>
      </c>
      <c r="R48" s="19">
        <v>25.0</v>
      </c>
      <c r="S48" s="19">
        <v>15.0</v>
      </c>
      <c r="T48" s="13">
        <f t="shared" si="14"/>
        <v>370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16.0</v>
      </c>
      <c r="F49" s="19">
        <v>22.0</v>
      </c>
      <c r="G49" s="19">
        <v>23.0</v>
      </c>
      <c r="H49" s="19">
        <v>25.0</v>
      </c>
      <c r="I49" s="19">
        <v>19.0</v>
      </c>
      <c r="J49" s="19">
        <v>19.0</v>
      </c>
      <c r="K49" s="19">
        <v>18.0</v>
      </c>
      <c r="L49" s="19">
        <v>26.0</v>
      </c>
      <c r="M49" s="19">
        <v>8.0</v>
      </c>
      <c r="N49" s="19">
        <v>15.0</v>
      </c>
      <c r="O49" s="19">
        <v>31.0</v>
      </c>
      <c r="P49" s="19">
        <v>19.0</v>
      </c>
      <c r="Q49" s="19">
        <v>16.0</v>
      </c>
      <c r="R49" s="19">
        <v>25.0</v>
      </c>
      <c r="S49" s="19">
        <v>21.0</v>
      </c>
      <c r="T49" s="13">
        <f t="shared" si="14"/>
        <v>303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11.0</v>
      </c>
      <c r="F50" s="19">
        <v>9.0</v>
      </c>
      <c r="G50" s="19">
        <v>12.0</v>
      </c>
      <c r="H50" s="19">
        <v>13.0</v>
      </c>
      <c r="I50" s="19">
        <v>21.0</v>
      </c>
      <c r="J50" s="19">
        <v>15.0</v>
      </c>
      <c r="K50" s="19">
        <v>14.0</v>
      </c>
      <c r="L50" s="19">
        <v>12.0</v>
      </c>
      <c r="M50" s="19">
        <v>16.0</v>
      </c>
      <c r="N50" s="19">
        <v>11.0</v>
      </c>
      <c r="O50" s="19">
        <v>12.0</v>
      </c>
      <c r="P50" s="19">
        <v>13.0</v>
      </c>
      <c r="Q50" s="19">
        <v>14.0</v>
      </c>
      <c r="R50" s="19">
        <v>14.0</v>
      </c>
      <c r="S50" s="19">
        <v>27.0</v>
      </c>
      <c r="T50" s="13">
        <f t="shared" si="14"/>
        <v>214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2.0</v>
      </c>
      <c r="F51" s="19">
        <v>2.0</v>
      </c>
      <c r="G51" s="19">
        <v>1.0</v>
      </c>
      <c r="H51" s="19">
        <v>4.0</v>
      </c>
      <c r="I51" s="19">
        <v>2.0</v>
      </c>
      <c r="J51" s="19">
        <v>4.0</v>
      </c>
      <c r="K51" s="19">
        <v>3.0</v>
      </c>
      <c r="L51" s="19">
        <v>2.0</v>
      </c>
      <c r="M51" s="19">
        <v>0.0</v>
      </c>
      <c r="N51" s="19">
        <v>1.0</v>
      </c>
      <c r="O51" s="19">
        <v>3.0</v>
      </c>
      <c r="P51" s="19">
        <v>2.0</v>
      </c>
      <c r="Q51" s="19">
        <v>2.0</v>
      </c>
      <c r="R51" s="19">
        <v>1.0</v>
      </c>
      <c r="S51" s="19">
        <v>2.0</v>
      </c>
      <c r="T51" s="13">
        <f t="shared" si="14"/>
        <v>31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1.0</v>
      </c>
      <c r="F52" s="19">
        <v>2.0</v>
      </c>
      <c r="G52" s="19">
        <v>2.0</v>
      </c>
      <c r="H52" s="19">
        <v>3.0</v>
      </c>
      <c r="I52" s="19">
        <v>2.0</v>
      </c>
      <c r="J52" s="19">
        <v>4.0</v>
      </c>
      <c r="K52" s="19">
        <v>2.0</v>
      </c>
      <c r="L52" s="19">
        <v>0.0</v>
      </c>
      <c r="M52" s="19">
        <v>3.0</v>
      </c>
      <c r="N52" s="19">
        <v>0.0</v>
      </c>
      <c r="O52" s="19">
        <v>1.0</v>
      </c>
      <c r="P52" s="19">
        <v>4.0</v>
      </c>
      <c r="Q52" s="19">
        <v>1.0</v>
      </c>
      <c r="R52" s="19">
        <v>0.0</v>
      </c>
      <c r="S52" s="19">
        <v>3.0</v>
      </c>
      <c r="T52" s="13">
        <f t="shared" si="14"/>
        <v>28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1.0</v>
      </c>
      <c r="F53" s="19">
        <v>1.0</v>
      </c>
      <c r="G53" s="19">
        <v>2.0</v>
      </c>
      <c r="H53" s="19">
        <v>0.0</v>
      </c>
      <c r="I53" s="19">
        <v>0.0</v>
      </c>
      <c r="J53" s="19">
        <v>0.0</v>
      </c>
      <c r="K53" s="19">
        <v>0.0</v>
      </c>
      <c r="L53" s="19">
        <v>1.0</v>
      </c>
      <c r="M53" s="19">
        <v>0.0</v>
      </c>
      <c r="N53" s="19">
        <v>0.0</v>
      </c>
      <c r="O53" s="19">
        <v>1.0</v>
      </c>
      <c r="P53" s="19">
        <v>0.0</v>
      </c>
      <c r="Q53" s="19">
        <v>1.0</v>
      </c>
      <c r="R53" s="19">
        <v>1.0</v>
      </c>
      <c r="S53" s="19">
        <v>0.0</v>
      </c>
      <c r="T53" s="13">
        <f t="shared" si="14"/>
        <v>8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22.0</v>
      </c>
      <c r="F54" s="19">
        <v>12.0</v>
      </c>
      <c r="G54" s="19">
        <v>25.0</v>
      </c>
      <c r="H54" s="19">
        <v>12.0</v>
      </c>
      <c r="I54" s="19">
        <v>17.0</v>
      </c>
      <c r="J54" s="19">
        <v>17.0</v>
      </c>
      <c r="K54" s="19">
        <v>13.0</v>
      </c>
      <c r="L54" s="19">
        <v>16.0</v>
      </c>
      <c r="M54" s="19">
        <v>12.0</v>
      </c>
      <c r="N54" s="19">
        <v>20.0</v>
      </c>
      <c r="O54" s="19">
        <v>15.0</v>
      </c>
      <c r="P54" s="19">
        <v>14.0</v>
      </c>
      <c r="Q54" s="19">
        <v>25.0</v>
      </c>
      <c r="R54" s="19">
        <v>25.0</v>
      </c>
      <c r="S54" s="19">
        <v>18.0</v>
      </c>
      <c r="T54" s="13">
        <f t="shared" si="14"/>
        <v>263</v>
      </c>
    </row>
    <row r="55" ht="15.0" customHeight="1">
      <c r="A55" s="18"/>
      <c r="B55" s="49" t="s">
        <v>54</v>
      </c>
      <c r="C55" s="62" t="s">
        <v>55</v>
      </c>
      <c r="D55" s="16"/>
      <c r="E55" s="19">
        <v>2.0</v>
      </c>
      <c r="F55" s="19">
        <v>0.0</v>
      </c>
      <c r="G55" s="19">
        <v>0.0</v>
      </c>
      <c r="H55" s="19">
        <v>0.0</v>
      </c>
      <c r="I55" s="19">
        <v>2.0</v>
      </c>
      <c r="J55" s="19">
        <v>0.0</v>
      </c>
      <c r="K55" s="19">
        <v>0.0</v>
      </c>
      <c r="L55" s="19">
        <v>1.0</v>
      </c>
      <c r="M55" s="19">
        <v>2.0</v>
      </c>
      <c r="N55" s="19">
        <v>2.0</v>
      </c>
      <c r="O55" s="19">
        <v>0.0</v>
      </c>
      <c r="P55" s="19">
        <v>3.0</v>
      </c>
      <c r="Q55" s="19">
        <v>0.0</v>
      </c>
      <c r="R55" s="19">
        <v>1.0</v>
      </c>
      <c r="S55" s="19">
        <v>0.0</v>
      </c>
      <c r="T55" s="13">
        <f t="shared" si="14"/>
        <v>13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10.0</v>
      </c>
      <c r="F56" s="19">
        <v>24.0</v>
      </c>
      <c r="G56" s="19">
        <v>9.0</v>
      </c>
      <c r="H56" s="19">
        <v>13.0</v>
      </c>
      <c r="I56" s="19">
        <v>23.0</v>
      </c>
      <c r="J56" s="19">
        <v>15.0</v>
      </c>
      <c r="K56" s="19">
        <v>25.0</v>
      </c>
      <c r="L56" s="19">
        <v>14.0</v>
      </c>
      <c r="M56" s="19">
        <v>14.0</v>
      </c>
      <c r="N56" s="19">
        <v>15.0</v>
      </c>
      <c r="O56" s="19">
        <v>12.0</v>
      </c>
      <c r="P56" s="19">
        <v>17.0</v>
      </c>
      <c r="Q56" s="19">
        <v>12.0</v>
      </c>
      <c r="R56" s="19">
        <v>18.0</v>
      </c>
      <c r="S56" s="19">
        <v>16.0</v>
      </c>
      <c r="T56" s="13">
        <f t="shared" si="14"/>
        <v>237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2.0</v>
      </c>
      <c r="F57" s="19">
        <v>3.0</v>
      </c>
      <c r="G57" s="19">
        <v>0.0</v>
      </c>
      <c r="H57" s="19">
        <v>0.0</v>
      </c>
      <c r="I57" s="19">
        <v>2.0</v>
      </c>
      <c r="J57" s="19">
        <v>1.0</v>
      </c>
      <c r="K57" s="19">
        <v>7.0</v>
      </c>
      <c r="L57" s="19">
        <v>4.0</v>
      </c>
      <c r="M57" s="19">
        <v>0.0</v>
      </c>
      <c r="N57" s="19">
        <v>2.0</v>
      </c>
      <c r="O57" s="19">
        <v>1.0</v>
      </c>
      <c r="P57" s="19">
        <v>2.0</v>
      </c>
      <c r="Q57" s="19">
        <v>2.0</v>
      </c>
      <c r="R57" s="19">
        <v>3.0</v>
      </c>
      <c r="S57" s="19">
        <v>0.0</v>
      </c>
      <c r="T57" s="13">
        <f t="shared" si="14"/>
        <v>29</v>
      </c>
    </row>
    <row r="58" ht="12.75" customHeight="1">
      <c r="T58" s="13"/>
    </row>
    <row r="59" ht="12.75" customHeight="1">
      <c r="A59" s="44" t="s">
        <v>60</v>
      </c>
      <c r="B59" s="14" t="s">
        <v>61</v>
      </c>
      <c r="C59" s="15"/>
      <c r="D59" s="16"/>
      <c r="E59" s="63" t="s">
        <v>70</v>
      </c>
      <c r="F59" s="63" t="s">
        <v>71</v>
      </c>
      <c r="G59" s="63" t="s">
        <v>72</v>
      </c>
      <c r="H59" s="63" t="s">
        <v>73</v>
      </c>
      <c r="I59" s="63" t="s">
        <v>74</v>
      </c>
      <c r="J59" s="63" t="s">
        <v>75</v>
      </c>
      <c r="K59" s="63" t="s">
        <v>77</v>
      </c>
      <c r="L59" s="63" t="s">
        <v>78</v>
      </c>
      <c r="M59" s="63" t="s">
        <v>79</v>
      </c>
      <c r="N59" s="63" t="s">
        <v>81</v>
      </c>
      <c r="O59" s="63" t="s">
        <v>82</v>
      </c>
      <c r="P59" s="63" t="s">
        <v>83</v>
      </c>
      <c r="Q59" s="63" t="s">
        <v>84</v>
      </c>
      <c r="R59" s="63" t="s">
        <v>86</v>
      </c>
      <c r="S59" s="63" t="s">
        <v>87</v>
      </c>
      <c r="T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S60" si="15">SUM(E45:E57)</f>
        <v>158</v>
      </c>
      <c r="F60" s="19">
        <f t="shared" si="15"/>
        <v>165</v>
      </c>
      <c r="G60" s="19">
        <f t="shared" si="15"/>
        <v>167</v>
      </c>
      <c r="H60" s="19">
        <f t="shared" si="15"/>
        <v>154</v>
      </c>
      <c r="I60" s="19">
        <f t="shared" si="15"/>
        <v>167</v>
      </c>
      <c r="J60" s="19">
        <f t="shared" si="15"/>
        <v>154</v>
      </c>
      <c r="K60" s="19">
        <f t="shared" si="15"/>
        <v>182</v>
      </c>
      <c r="L60" s="19">
        <f t="shared" si="15"/>
        <v>160</v>
      </c>
      <c r="M60" s="19">
        <f t="shared" si="15"/>
        <v>146</v>
      </c>
      <c r="N60" s="19">
        <f t="shared" si="15"/>
        <v>146</v>
      </c>
      <c r="O60" s="19">
        <f t="shared" si="15"/>
        <v>196</v>
      </c>
      <c r="P60" s="19">
        <f t="shared" si="15"/>
        <v>188</v>
      </c>
      <c r="Q60" s="19">
        <f t="shared" si="15"/>
        <v>201</v>
      </c>
      <c r="R60" s="19">
        <f t="shared" si="15"/>
        <v>182</v>
      </c>
      <c r="S60" s="19">
        <f t="shared" si="15"/>
        <v>211</v>
      </c>
      <c r="T60" s="13">
        <f t="shared" ref="T60:T62" si="16">SUM(E60:S60)</f>
        <v>2577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50.0</v>
      </c>
      <c r="F61" s="19">
        <v>36.0</v>
      </c>
      <c r="G61" s="19">
        <v>35.0</v>
      </c>
      <c r="H61" s="19">
        <v>35.0</v>
      </c>
      <c r="I61" s="19">
        <v>30.0</v>
      </c>
      <c r="J61" s="19">
        <v>43.0</v>
      </c>
      <c r="K61" s="19">
        <v>47.0</v>
      </c>
      <c r="L61" s="19">
        <v>38.0</v>
      </c>
      <c r="M61" s="19">
        <v>35.0</v>
      </c>
      <c r="N61" s="19">
        <v>37.0</v>
      </c>
      <c r="O61" s="19">
        <v>39.0</v>
      </c>
      <c r="P61" s="19">
        <v>31.0</v>
      </c>
      <c r="Q61" s="19">
        <v>27.0</v>
      </c>
      <c r="R61" s="19">
        <v>47.0</v>
      </c>
      <c r="S61" s="19">
        <v>37.0</v>
      </c>
      <c r="T61" s="13">
        <f t="shared" si="16"/>
        <v>567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S62" si="17">SUM(E60:E61)</f>
        <v>208</v>
      </c>
      <c r="F62" s="13">
        <f t="shared" si="17"/>
        <v>201</v>
      </c>
      <c r="G62" s="13">
        <f t="shared" si="17"/>
        <v>202</v>
      </c>
      <c r="H62" s="13">
        <f t="shared" si="17"/>
        <v>189</v>
      </c>
      <c r="I62" s="13">
        <f t="shared" si="17"/>
        <v>197</v>
      </c>
      <c r="J62" s="13">
        <f t="shared" si="17"/>
        <v>197</v>
      </c>
      <c r="K62" s="13">
        <f t="shared" si="17"/>
        <v>229</v>
      </c>
      <c r="L62" s="13">
        <f t="shared" si="17"/>
        <v>198</v>
      </c>
      <c r="M62" s="13">
        <f t="shared" si="17"/>
        <v>181</v>
      </c>
      <c r="N62" s="13">
        <f t="shared" si="17"/>
        <v>183</v>
      </c>
      <c r="O62" s="13">
        <f t="shared" si="17"/>
        <v>235</v>
      </c>
      <c r="P62" s="13">
        <f t="shared" si="17"/>
        <v>219</v>
      </c>
      <c r="Q62" s="13">
        <f t="shared" si="17"/>
        <v>228</v>
      </c>
      <c r="R62" s="13">
        <f t="shared" si="17"/>
        <v>229</v>
      </c>
      <c r="S62" s="13">
        <f t="shared" si="17"/>
        <v>248</v>
      </c>
      <c r="T62" s="13">
        <f t="shared" si="16"/>
        <v>3144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U117" s="5"/>
      <c r="V117" s="5"/>
    </row>
    <row r="118" ht="12.75" customHeight="1">
      <c r="U118" s="5"/>
      <c r="V118" s="5"/>
    </row>
    <row r="119" ht="12.75" customHeight="1">
      <c r="U119" s="5"/>
      <c r="V119" s="5"/>
    </row>
    <row r="120" ht="12.75" customHeight="1">
      <c r="U120" s="5"/>
      <c r="V120" s="5"/>
    </row>
    <row r="121" ht="12.75" customHeight="1">
      <c r="U121" s="5"/>
      <c r="V121" s="5"/>
    </row>
    <row r="122" ht="12.75" customHeight="1">
      <c r="U122" s="5"/>
      <c r="V122" s="5"/>
    </row>
    <row r="123" ht="12.75" customHeight="1">
      <c r="U123" s="5"/>
      <c r="V123" s="5"/>
    </row>
    <row r="124" ht="12.75" customHeight="1">
      <c r="U124" s="5"/>
      <c r="V124" s="5"/>
    </row>
    <row r="125" ht="12.75" customHeight="1">
      <c r="U125" s="5"/>
      <c r="V125" s="5"/>
    </row>
    <row r="126" ht="12.75" customHeight="1">
      <c r="U126" s="5"/>
      <c r="V126" s="5"/>
    </row>
    <row r="127" ht="12.75" customHeight="1">
      <c r="U127" s="5"/>
      <c r="V127" s="5"/>
    </row>
    <row r="128" ht="12.75" customHeight="1">
      <c r="U128" s="5"/>
      <c r="V128" s="5"/>
    </row>
    <row r="129" ht="12.75" customHeight="1">
      <c r="U129" s="5"/>
      <c r="V129" s="5"/>
    </row>
    <row r="130" ht="12.75" customHeight="1">
      <c r="U130" s="1"/>
      <c r="V130" s="1"/>
    </row>
    <row r="131" ht="12.75" customHeight="1">
      <c r="U131" s="52"/>
      <c r="V131" s="52"/>
    </row>
    <row r="132" ht="12.75" customHeight="1">
      <c r="U132" s="5"/>
      <c r="V132" s="5"/>
    </row>
    <row r="133" ht="12.75" customHeight="1">
      <c r="U133" s="5"/>
      <c r="V133" s="5"/>
    </row>
    <row r="134" ht="12.75" customHeight="1">
      <c r="U134" s="5"/>
      <c r="V134" s="5"/>
    </row>
    <row r="135" ht="12.75" customHeight="1">
      <c r="U135" s="5"/>
      <c r="V135" s="5"/>
    </row>
    <row r="136" ht="12.75" customHeight="1">
      <c r="U136" s="5"/>
      <c r="V136" s="5"/>
    </row>
    <row r="137" ht="12.75" customHeight="1">
      <c r="U137" s="5"/>
      <c r="V137" s="5"/>
    </row>
    <row r="138" ht="12.75" customHeight="1">
      <c r="U138" s="5"/>
      <c r="V138" s="5"/>
    </row>
    <row r="139" ht="12.75" customHeight="1">
      <c r="U139" s="5"/>
      <c r="V139" s="5"/>
    </row>
    <row r="140" ht="12.75" customHeight="1">
      <c r="U140" s="5"/>
      <c r="V140" s="5"/>
    </row>
    <row r="141" ht="12.75" customHeight="1">
      <c r="U141" s="1"/>
      <c r="V141" s="1"/>
    </row>
    <row r="142" ht="12.75" customHeight="1">
      <c r="U142" s="52"/>
      <c r="V142" s="52"/>
    </row>
    <row r="143" ht="12.75" customHeight="1">
      <c r="U143" s="5"/>
      <c r="V143" s="5"/>
    </row>
    <row r="144" ht="12.75" customHeight="1">
      <c r="U144" s="5"/>
      <c r="V144" s="5"/>
    </row>
    <row r="145" ht="12.75" customHeight="1">
      <c r="U145" s="5"/>
      <c r="V145" s="5"/>
    </row>
    <row r="146" ht="12.75" customHeight="1">
      <c r="U146" s="5"/>
      <c r="V146" s="5"/>
    </row>
    <row r="147" ht="12.75" customHeight="1">
      <c r="U147" s="5"/>
      <c r="V147" s="5"/>
    </row>
    <row r="148" ht="12.75" customHeight="1">
      <c r="U148" s="5"/>
      <c r="V148" s="5"/>
    </row>
    <row r="149" ht="12.75" customHeight="1">
      <c r="U149" s="5"/>
      <c r="V149" s="5"/>
    </row>
    <row r="150" ht="12.75" customHeight="1">
      <c r="U150" s="5"/>
      <c r="V150" s="5"/>
    </row>
    <row r="151" ht="12.75" customHeight="1">
      <c r="U151" s="1"/>
      <c r="V151" s="1"/>
    </row>
    <row r="152" ht="12.75" customHeight="1">
      <c r="U152" s="52"/>
      <c r="V152" s="52"/>
    </row>
    <row r="153" ht="12.75" customHeight="1">
      <c r="U153" s="5"/>
      <c r="V153" s="5"/>
    </row>
    <row r="154" ht="12.75" customHeight="1">
      <c r="U154" s="5"/>
      <c r="V154" s="5"/>
    </row>
    <row r="155" ht="12.75" customHeight="1">
      <c r="U155" s="5"/>
      <c r="V155" s="5"/>
    </row>
    <row r="156" ht="12.75" customHeight="1">
      <c r="U156" s="5"/>
      <c r="V156" s="5"/>
    </row>
    <row r="157" ht="12.75" customHeight="1">
      <c r="U157" s="5"/>
      <c r="V157" s="5"/>
    </row>
    <row r="158" ht="12.75" customHeight="1">
      <c r="U158" s="5"/>
      <c r="V158" s="5"/>
    </row>
    <row r="159" ht="12.75" customHeight="1">
      <c r="U159" s="5"/>
      <c r="V159" s="5"/>
    </row>
    <row r="160" ht="12.75" customHeight="1">
      <c r="U160" s="5"/>
      <c r="V160" s="5"/>
    </row>
    <row r="161" ht="12.75" customHeight="1">
      <c r="U161" s="5"/>
      <c r="V161" s="5"/>
    </row>
    <row r="162" ht="12.75" customHeight="1">
      <c r="U162" s="5"/>
      <c r="V162" s="5"/>
    </row>
    <row r="163" ht="12.75" customHeight="1">
      <c r="U163" s="5"/>
      <c r="V163" s="5"/>
    </row>
    <row r="164" ht="12.75" customHeight="1">
      <c r="U164" s="5"/>
      <c r="V164" s="5"/>
    </row>
    <row r="165" ht="12.75" customHeight="1">
      <c r="U165" s="1"/>
      <c r="V165" s="1"/>
    </row>
    <row r="166" ht="12.75" customHeight="1">
      <c r="U166" s="52"/>
      <c r="V166" s="52"/>
    </row>
    <row r="167" ht="12.75" customHeight="1">
      <c r="U167" s="5"/>
      <c r="V167" s="5"/>
    </row>
    <row r="168" ht="12.75" customHeight="1">
      <c r="U168" s="5"/>
      <c r="V168" s="5"/>
    </row>
    <row r="169" ht="12.75" customHeight="1">
      <c r="U169" s="5"/>
      <c r="V169" s="5"/>
    </row>
    <row r="170" ht="12.75" customHeight="1">
      <c r="U170" s="5"/>
      <c r="V170" s="5"/>
    </row>
    <row r="171" ht="12.75" customHeight="1">
      <c r="U171" s="5"/>
      <c r="V171" s="5"/>
    </row>
    <row r="172" ht="12.75" customHeight="1">
      <c r="U172" s="5"/>
      <c r="V172" s="5"/>
    </row>
    <row r="173" ht="12.75" customHeight="1">
      <c r="U173" s="5"/>
      <c r="V173" s="5"/>
    </row>
    <row r="174" ht="12.75" customHeight="1">
      <c r="U174" s="5"/>
      <c r="V174" s="5"/>
    </row>
    <row r="175" ht="12.75" customHeight="1">
      <c r="U175" s="5"/>
      <c r="V175" s="5"/>
    </row>
    <row r="176" ht="12.75" customHeight="1">
      <c r="U176" s="1"/>
      <c r="V176" s="1"/>
    </row>
    <row r="177" ht="12.75" customHeight="1"/>
    <row r="178" ht="12.75" customHeight="1">
      <c r="U178" s="5"/>
      <c r="V178" s="5"/>
    </row>
    <row r="179" ht="12.75" customHeight="1">
      <c r="U179" s="5"/>
      <c r="V179" s="5"/>
    </row>
    <row r="180" ht="12.75" customHeight="1">
      <c r="U180" s="5"/>
      <c r="V180" s="5"/>
    </row>
    <row r="181" ht="12.75" customHeight="1">
      <c r="U181" s="5"/>
      <c r="V181" s="5"/>
    </row>
    <row r="182" ht="12.75" customHeight="1">
      <c r="U182" s="5"/>
      <c r="V182" s="5"/>
    </row>
    <row r="183" ht="12.75" customHeight="1">
      <c r="U183" s="5"/>
      <c r="V183" s="5"/>
    </row>
    <row r="184" ht="12.75" customHeight="1">
      <c r="U184" s="5"/>
      <c r="V184" s="5"/>
    </row>
    <row r="185" ht="12.75" customHeight="1">
      <c r="U185" s="5"/>
      <c r="V185" s="5"/>
    </row>
    <row r="186" ht="12.75" customHeight="1">
      <c r="U186" s="5"/>
      <c r="V186" s="5"/>
    </row>
    <row r="187" ht="12.75" customHeight="1">
      <c r="U187" s="1"/>
      <c r="V187" s="1"/>
    </row>
    <row r="188" ht="12.75" customHeight="1"/>
    <row r="189" ht="12.75" customHeight="1">
      <c r="U189" s="5"/>
      <c r="V189" s="5"/>
    </row>
    <row r="190" ht="12.75" customHeight="1">
      <c r="U190" s="5"/>
      <c r="V190" s="5"/>
    </row>
    <row r="191" ht="12.75" customHeight="1">
      <c r="U191" s="5"/>
      <c r="V191" s="5"/>
    </row>
    <row r="192" ht="12.75" customHeight="1">
      <c r="U192" s="5"/>
      <c r="V192" s="5"/>
    </row>
    <row r="193" ht="12.75" customHeight="1">
      <c r="U193" s="5"/>
      <c r="V193" s="5"/>
    </row>
    <row r="194" ht="12.75" customHeight="1">
      <c r="U194" s="5"/>
      <c r="V194" s="5"/>
    </row>
    <row r="195" ht="12.75" customHeight="1">
      <c r="U195" s="5"/>
      <c r="V195" s="5"/>
    </row>
    <row r="196" ht="12.75" customHeight="1">
      <c r="U196" s="1"/>
      <c r="V196" s="1"/>
    </row>
    <row r="197" ht="12.75" customHeight="1">
      <c r="U197" s="1"/>
      <c r="V197" s="1"/>
    </row>
    <row r="198" ht="12.75" customHeight="1">
      <c r="U198" s="1"/>
      <c r="V198" s="1"/>
    </row>
    <row r="199" ht="12.75" customHeight="1">
      <c r="U199" s="52"/>
      <c r="V199" s="52"/>
    </row>
    <row r="200" ht="12.75" customHeight="1">
      <c r="U200" s="5"/>
      <c r="V200" s="5"/>
    </row>
    <row r="201" ht="12.75" customHeight="1">
      <c r="U201" s="5"/>
      <c r="V201" s="5"/>
    </row>
    <row r="202" ht="12.75" customHeight="1">
      <c r="U202" s="5"/>
      <c r="V202" s="5"/>
    </row>
    <row r="203" ht="12.75" customHeight="1">
      <c r="U203" s="5"/>
      <c r="V203" s="5"/>
    </row>
    <row r="204" ht="12.75" customHeight="1">
      <c r="U204" s="5"/>
      <c r="V204" s="5"/>
    </row>
    <row r="205" ht="12.75" customHeight="1">
      <c r="U205" s="5"/>
      <c r="V205" s="5"/>
    </row>
    <row r="206" ht="12.75" customHeight="1">
      <c r="U206" s="5"/>
      <c r="V206" s="5"/>
    </row>
    <row r="207" ht="12.75" customHeight="1">
      <c r="U207" s="1"/>
      <c r="V207" s="1"/>
    </row>
    <row r="208" ht="12.75" customHeight="1">
      <c r="U208" s="52"/>
      <c r="V208" s="52"/>
    </row>
    <row r="209" ht="12.75" customHeight="1">
      <c r="U209" s="52"/>
      <c r="V209" s="52"/>
    </row>
    <row r="210" ht="12.75" customHeight="1">
      <c r="U210" s="52"/>
      <c r="V210" s="52"/>
    </row>
    <row r="211" ht="12.75" customHeight="1">
      <c r="U211" s="5"/>
      <c r="V211" s="5"/>
    </row>
    <row r="212" ht="12.75" customHeight="1">
      <c r="U212" s="5"/>
      <c r="V212" s="5"/>
    </row>
    <row r="213" ht="12.75" customHeight="1">
      <c r="U213" s="5"/>
      <c r="V213" s="5"/>
    </row>
    <row r="214" ht="12.75" customHeight="1">
      <c r="U214" s="5"/>
      <c r="V214" s="5"/>
    </row>
    <row r="215" ht="12.75" customHeight="1">
      <c r="U215" s="5"/>
      <c r="V215" s="5"/>
    </row>
    <row r="216" ht="12.75" customHeight="1">
      <c r="U216" s="5"/>
      <c r="V216" s="5"/>
    </row>
    <row r="217" ht="12.75" customHeight="1">
      <c r="U217" s="5"/>
      <c r="V217" s="5"/>
    </row>
    <row r="218" ht="12.75" customHeight="1">
      <c r="U218" s="1"/>
      <c r="V218" s="1"/>
    </row>
    <row r="219" ht="12.75" customHeight="1">
      <c r="U219" s="52"/>
      <c r="V219" s="52"/>
    </row>
    <row r="220" ht="12.75" customHeight="1">
      <c r="U220" s="5"/>
      <c r="V220" s="5"/>
    </row>
    <row r="221" ht="12.75" customHeight="1">
      <c r="U221" s="5"/>
      <c r="V221" s="5"/>
    </row>
    <row r="222" ht="12.75" customHeight="1">
      <c r="U222" s="5"/>
      <c r="V222" s="5"/>
    </row>
    <row r="223" ht="12.75" customHeight="1">
      <c r="U223" s="5"/>
      <c r="V223" s="5"/>
    </row>
    <row r="224" ht="12.75" customHeight="1">
      <c r="U224" s="5"/>
      <c r="V224" s="5"/>
    </row>
    <row r="225" ht="12.75" customHeight="1">
      <c r="U225" s="5"/>
      <c r="V225" s="5"/>
    </row>
    <row r="226" ht="12.75" customHeight="1">
      <c r="U226" s="5"/>
      <c r="V226" s="5"/>
    </row>
    <row r="227" ht="12.75" customHeight="1">
      <c r="U227" s="5"/>
      <c r="V227" s="5"/>
    </row>
    <row r="228" ht="12.75" customHeight="1">
      <c r="U228" s="5"/>
      <c r="V228" s="5"/>
    </row>
    <row r="229" ht="12.75" customHeight="1">
      <c r="U229" s="1"/>
      <c r="V229" s="1"/>
    </row>
    <row r="230" ht="12.75" customHeight="1">
      <c r="U230" s="52"/>
      <c r="V230" s="52"/>
    </row>
    <row r="231" ht="12.75" customHeight="1">
      <c r="U231" s="5"/>
      <c r="V231" s="5"/>
    </row>
    <row r="232" ht="12.75" customHeight="1">
      <c r="U232" s="5"/>
      <c r="V232" s="5"/>
    </row>
    <row r="233" ht="12.75" customHeight="1">
      <c r="U233" s="5"/>
      <c r="V233" s="5"/>
    </row>
    <row r="234" ht="12.75" customHeight="1">
      <c r="U234" s="5"/>
      <c r="V234" s="5"/>
    </row>
    <row r="235" ht="12.75" customHeight="1">
      <c r="U235" s="5"/>
      <c r="V235" s="5"/>
    </row>
    <row r="236" ht="12.75" customHeight="1">
      <c r="U236" s="5"/>
      <c r="V236" s="5"/>
    </row>
    <row r="237" ht="12.75" customHeight="1">
      <c r="U237" s="5"/>
      <c r="V237" s="5"/>
    </row>
    <row r="238" ht="12.75" customHeight="1">
      <c r="U238" s="5"/>
      <c r="V238" s="5"/>
    </row>
    <row r="239" ht="12.75" customHeight="1">
      <c r="U239" s="5"/>
      <c r="V239" s="5"/>
    </row>
    <row r="240" ht="12.75" customHeight="1">
      <c r="U240" s="1"/>
      <c r="V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45:S57">
    <cfRule type="containsBlanks" dxfId="1" priority="6">
      <formula>LEN(TRIM(E45))=0</formula>
    </cfRule>
  </conditionalFormatting>
  <conditionalFormatting sqref="E60:S61">
    <cfRule type="containsBlanks" dxfId="1" priority="7">
      <formula>LEN(TRIM(E60))=0</formula>
    </cfRule>
  </conditionalFormatting>
  <conditionalFormatting sqref="E34:S34">
    <cfRule type="expression" dxfId="2" priority="8">
      <formula>E30&lt;&gt;E34</formula>
    </cfRule>
  </conditionalFormatting>
  <conditionalFormatting sqref="E34:S34">
    <cfRule type="expression" dxfId="3" priority="9">
      <formula>E30=E34</formula>
    </cfRule>
  </conditionalFormatting>
  <conditionalFormatting sqref="E34:S34">
    <cfRule type="expression" dxfId="0" priority="10">
      <formula>E34&lt;&gt;E30</formula>
    </cfRule>
  </conditionalFormatting>
  <conditionalFormatting sqref="E34:S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13" t="s">
        <v>79</v>
      </c>
      <c r="N13" s="13" t="s">
        <v>81</v>
      </c>
      <c r="O13" s="37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144.0</v>
      </c>
      <c r="G14" s="19">
        <v>147.0</v>
      </c>
      <c r="H14" s="19">
        <v>146.0</v>
      </c>
      <c r="I14" s="19">
        <v>104.0</v>
      </c>
      <c r="J14" s="19">
        <v>123.0</v>
      </c>
      <c r="K14" s="19">
        <v>133.0</v>
      </c>
      <c r="L14" s="19">
        <v>130.0</v>
      </c>
      <c r="M14" s="19">
        <v>121.0</v>
      </c>
      <c r="N14" s="19">
        <v>132.0</v>
      </c>
      <c r="O14" s="13">
        <f t="shared" ref="O14:O16" si="1">SUM(E14:N14)</f>
        <v>1305</v>
      </c>
    </row>
    <row r="15" ht="12.75" customHeight="1">
      <c r="A15" s="18"/>
      <c r="B15" s="26"/>
      <c r="C15" s="27"/>
      <c r="D15" s="19" t="s">
        <v>13</v>
      </c>
      <c r="E15" s="19">
        <v>127.0</v>
      </c>
      <c r="F15" s="19">
        <v>125.0</v>
      </c>
      <c r="G15" s="19">
        <v>108.0</v>
      </c>
      <c r="H15" s="19">
        <v>137.0</v>
      </c>
      <c r="I15" s="19">
        <v>112.0</v>
      </c>
      <c r="J15" s="19">
        <v>133.0</v>
      </c>
      <c r="K15" s="19">
        <v>134.0</v>
      </c>
      <c r="L15" s="19">
        <v>133.0</v>
      </c>
      <c r="M15" s="19">
        <v>126.0</v>
      </c>
      <c r="N15" s="19">
        <v>128.0</v>
      </c>
      <c r="O15" s="13">
        <f t="shared" si="1"/>
        <v>1263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252</v>
      </c>
      <c r="F16" s="13">
        <f t="shared" si="2"/>
        <v>269</v>
      </c>
      <c r="G16" s="13">
        <f t="shared" si="2"/>
        <v>255</v>
      </c>
      <c r="H16" s="13">
        <f t="shared" si="2"/>
        <v>283</v>
      </c>
      <c r="I16" s="13">
        <f t="shared" si="2"/>
        <v>216</v>
      </c>
      <c r="J16" s="13">
        <f t="shared" si="2"/>
        <v>256</v>
      </c>
      <c r="K16" s="13">
        <f t="shared" si="2"/>
        <v>267</v>
      </c>
      <c r="L16" s="13">
        <f t="shared" si="2"/>
        <v>263</v>
      </c>
      <c r="M16" s="13">
        <f t="shared" si="2"/>
        <v>247</v>
      </c>
      <c r="N16" s="13">
        <f t="shared" si="2"/>
        <v>260</v>
      </c>
      <c r="O16" s="13">
        <f t="shared" si="1"/>
        <v>2568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13" t="s">
        <v>77</v>
      </c>
      <c r="L18" s="13" t="s">
        <v>78</v>
      </c>
      <c r="M18" s="13" t="s">
        <v>79</v>
      </c>
      <c r="N18" s="13" t="s">
        <v>81</v>
      </c>
      <c r="O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106.0</v>
      </c>
      <c r="F19" s="19">
        <v>112.0</v>
      </c>
      <c r="G19" s="19">
        <v>103.0</v>
      </c>
      <c r="H19" s="19">
        <v>122.0</v>
      </c>
      <c r="I19" s="19">
        <v>98.0</v>
      </c>
      <c r="J19" s="19">
        <v>111.0</v>
      </c>
      <c r="K19" s="19">
        <v>110.0</v>
      </c>
      <c r="L19" s="19">
        <v>109.0</v>
      </c>
      <c r="M19" s="19">
        <v>101.0</v>
      </c>
      <c r="N19" s="19">
        <v>113.0</v>
      </c>
      <c r="O19" s="13">
        <f t="shared" ref="O19:O30" si="3">SUM(E19:N19)</f>
        <v>1085</v>
      </c>
    </row>
    <row r="20" ht="12.75" customHeight="1">
      <c r="A20" s="34"/>
      <c r="B20" s="27"/>
      <c r="C20" s="35"/>
      <c r="D20" s="19" t="s">
        <v>13</v>
      </c>
      <c r="E20" s="19">
        <v>116.0</v>
      </c>
      <c r="F20" s="19">
        <v>111.0</v>
      </c>
      <c r="G20" s="19">
        <v>123.0</v>
      </c>
      <c r="H20" s="19">
        <v>125.0</v>
      </c>
      <c r="I20" s="19">
        <v>107.0</v>
      </c>
      <c r="J20" s="19">
        <v>123.0</v>
      </c>
      <c r="K20" s="19">
        <v>117.0</v>
      </c>
      <c r="L20" s="19">
        <v>116.0</v>
      </c>
      <c r="M20" s="19">
        <v>115.0</v>
      </c>
      <c r="N20" s="19">
        <v>114.0</v>
      </c>
      <c r="O20" s="13">
        <f t="shared" si="3"/>
        <v>1167</v>
      </c>
    </row>
    <row r="21" ht="12.75" customHeight="1">
      <c r="A21" s="36"/>
      <c r="B21" s="28"/>
      <c r="C21" s="37"/>
      <c r="D21" s="13" t="s">
        <v>14</v>
      </c>
      <c r="E21" s="13">
        <f t="shared" ref="E21:N21" si="4">SUM(E19:E20)</f>
        <v>222</v>
      </c>
      <c r="F21" s="13">
        <f t="shared" si="4"/>
        <v>223</v>
      </c>
      <c r="G21" s="13">
        <f t="shared" si="4"/>
        <v>226</v>
      </c>
      <c r="H21" s="13">
        <f t="shared" si="4"/>
        <v>247</v>
      </c>
      <c r="I21" s="13">
        <f t="shared" si="4"/>
        <v>205</v>
      </c>
      <c r="J21" s="13">
        <f t="shared" si="4"/>
        <v>234</v>
      </c>
      <c r="K21" s="13">
        <f t="shared" si="4"/>
        <v>227</v>
      </c>
      <c r="L21" s="13">
        <f t="shared" si="4"/>
        <v>225</v>
      </c>
      <c r="M21" s="13">
        <f t="shared" si="4"/>
        <v>216</v>
      </c>
      <c r="N21" s="13">
        <f t="shared" si="4"/>
        <v>227</v>
      </c>
      <c r="O21" s="13">
        <f t="shared" si="3"/>
        <v>2252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1.0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2.0</v>
      </c>
      <c r="L23" s="19">
        <v>2.0</v>
      </c>
      <c r="M23" s="19">
        <v>0.0</v>
      </c>
      <c r="N23" s="19">
        <v>2.0</v>
      </c>
      <c r="O23" s="13">
        <f t="shared" si="3"/>
        <v>9</v>
      </c>
    </row>
    <row r="24" ht="12.75" customHeight="1">
      <c r="A24" s="36"/>
      <c r="B24" s="28"/>
      <c r="C24" s="37"/>
      <c r="D24" s="13" t="s">
        <v>14</v>
      </c>
      <c r="E24" s="13">
        <f t="shared" ref="E24:N24" si="5">SUM(E22:E23)</f>
        <v>1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3</v>
      </c>
      <c r="L24" s="13">
        <f t="shared" si="5"/>
        <v>2</v>
      </c>
      <c r="M24" s="13">
        <f t="shared" si="5"/>
        <v>0</v>
      </c>
      <c r="N24" s="13">
        <f t="shared" si="5"/>
        <v>2</v>
      </c>
      <c r="O24" s="13">
        <f t="shared" si="3"/>
        <v>12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1.0</v>
      </c>
      <c r="G26" s="19">
        <v>2.0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3">
        <f t="shared" si="3"/>
        <v>3</v>
      </c>
    </row>
    <row r="27" ht="12.75" customHeight="1">
      <c r="A27" s="36"/>
      <c r="B27" s="28"/>
      <c r="C27" s="37"/>
      <c r="D27" s="13" t="s">
        <v>14</v>
      </c>
      <c r="E27" s="13">
        <f t="shared" ref="E27:N27" si="6">SUM(E25:E26)</f>
        <v>0</v>
      </c>
      <c r="F27" s="13">
        <f t="shared" si="6"/>
        <v>1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3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N28" si="7">SUM(E19,E22,E25)</f>
        <v>106</v>
      </c>
      <c r="F28" s="13">
        <f t="shared" si="7"/>
        <v>113</v>
      </c>
      <c r="G28" s="13">
        <f t="shared" si="7"/>
        <v>103</v>
      </c>
      <c r="H28" s="13">
        <f t="shared" si="7"/>
        <v>122</v>
      </c>
      <c r="I28" s="13">
        <f t="shared" si="7"/>
        <v>98</v>
      </c>
      <c r="J28" s="13">
        <f t="shared" si="7"/>
        <v>112</v>
      </c>
      <c r="K28" s="13">
        <f t="shared" si="7"/>
        <v>111</v>
      </c>
      <c r="L28" s="13">
        <f t="shared" si="7"/>
        <v>109</v>
      </c>
      <c r="M28" s="13">
        <f t="shared" si="7"/>
        <v>101</v>
      </c>
      <c r="N28" s="13">
        <f t="shared" si="7"/>
        <v>113</v>
      </c>
      <c r="O28" s="13">
        <f t="shared" si="3"/>
        <v>1088</v>
      </c>
    </row>
    <row r="29" ht="12.75" customHeight="1">
      <c r="A29" s="36"/>
      <c r="B29" s="27"/>
      <c r="C29" s="35"/>
      <c r="D29" s="13" t="s">
        <v>13</v>
      </c>
      <c r="E29" s="13">
        <f t="shared" ref="E29:N29" si="8">SUM(E20,E23,E26)</f>
        <v>117</v>
      </c>
      <c r="F29" s="13">
        <f t="shared" si="8"/>
        <v>114</v>
      </c>
      <c r="G29" s="13">
        <f t="shared" si="8"/>
        <v>125</v>
      </c>
      <c r="H29" s="13">
        <f t="shared" si="8"/>
        <v>125</v>
      </c>
      <c r="I29" s="13">
        <f t="shared" si="8"/>
        <v>107</v>
      </c>
      <c r="J29" s="13">
        <f t="shared" si="8"/>
        <v>123</v>
      </c>
      <c r="K29" s="13">
        <f t="shared" si="8"/>
        <v>119</v>
      </c>
      <c r="L29" s="13">
        <f t="shared" si="8"/>
        <v>118</v>
      </c>
      <c r="M29" s="13">
        <f t="shared" si="8"/>
        <v>115</v>
      </c>
      <c r="N29" s="13">
        <f t="shared" si="8"/>
        <v>116</v>
      </c>
      <c r="O29" s="13">
        <f t="shared" si="3"/>
        <v>1179</v>
      </c>
    </row>
    <row r="30" ht="12.75" customHeight="1">
      <c r="A30" s="36"/>
      <c r="B30" s="28"/>
      <c r="C30" s="37"/>
      <c r="D30" s="13" t="s">
        <v>14</v>
      </c>
      <c r="E30" s="13">
        <f t="shared" ref="E30:N30" si="9">SUM(E28:E29)</f>
        <v>223</v>
      </c>
      <c r="F30" s="13">
        <f t="shared" si="9"/>
        <v>227</v>
      </c>
      <c r="G30" s="13">
        <f t="shared" si="9"/>
        <v>228</v>
      </c>
      <c r="H30" s="13">
        <f t="shared" si="9"/>
        <v>247</v>
      </c>
      <c r="I30" s="13">
        <f t="shared" si="9"/>
        <v>205</v>
      </c>
      <c r="J30" s="13">
        <f t="shared" si="9"/>
        <v>235</v>
      </c>
      <c r="K30" s="13">
        <f t="shared" si="9"/>
        <v>230</v>
      </c>
      <c r="L30" s="13">
        <f t="shared" si="9"/>
        <v>227</v>
      </c>
      <c r="M30" s="13">
        <f t="shared" si="9"/>
        <v>216</v>
      </c>
      <c r="N30" s="13">
        <f t="shared" si="9"/>
        <v>229</v>
      </c>
      <c r="O30" s="13">
        <f t="shared" si="3"/>
        <v>2267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61"/>
    </row>
    <row r="32" ht="12.75" customHeight="1">
      <c r="A32" s="43" t="s">
        <v>25</v>
      </c>
      <c r="B32" s="14" t="s">
        <v>26</v>
      </c>
      <c r="C32" s="15"/>
      <c r="D32" s="16"/>
      <c r="E32" s="63" t="s">
        <v>70</v>
      </c>
      <c r="F32" s="63" t="s">
        <v>71</v>
      </c>
      <c r="G32" s="63" t="s">
        <v>72</v>
      </c>
      <c r="H32" s="63" t="s">
        <v>73</v>
      </c>
      <c r="I32" s="63" t="s">
        <v>74</v>
      </c>
      <c r="J32" s="63" t="s">
        <v>75</v>
      </c>
      <c r="K32" s="63" t="s">
        <v>77</v>
      </c>
      <c r="L32" s="63" t="s">
        <v>78</v>
      </c>
      <c r="M32" s="63" t="s">
        <v>79</v>
      </c>
      <c r="N32" s="63" t="s">
        <v>81</v>
      </c>
      <c r="O32" s="61"/>
    </row>
    <row r="33" ht="12.75" customHeight="1">
      <c r="A33" s="19">
        <v>1.0</v>
      </c>
      <c r="B33" s="20" t="s">
        <v>27</v>
      </c>
      <c r="C33" s="15"/>
      <c r="D33" s="16"/>
      <c r="E33" s="19">
        <v>258.0</v>
      </c>
      <c r="F33" s="19">
        <v>276.0</v>
      </c>
      <c r="G33" s="19">
        <v>261.0</v>
      </c>
      <c r="H33" s="19">
        <v>290.0</v>
      </c>
      <c r="I33" s="19">
        <v>221.0</v>
      </c>
      <c r="J33" s="19">
        <v>262.0</v>
      </c>
      <c r="K33" s="19">
        <v>274.0</v>
      </c>
      <c r="L33" s="19">
        <v>271.0</v>
      </c>
      <c r="M33" s="19">
        <v>252.0</v>
      </c>
      <c r="N33" s="19">
        <v>266.0</v>
      </c>
      <c r="O33" s="13">
        <f t="shared" ref="O33:O36" si="10">SUM(E33:N33)</f>
        <v>2631</v>
      </c>
    </row>
    <row r="34" ht="12.75" customHeight="1">
      <c r="A34" s="19">
        <v>2.0</v>
      </c>
      <c r="B34" s="20" t="s">
        <v>28</v>
      </c>
      <c r="C34" s="15"/>
      <c r="D34" s="16"/>
      <c r="E34" s="13">
        <v>223.0</v>
      </c>
      <c r="F34" s="13">
        <v>227.0</v>
      </c>
      <c r="G34" s="13">
        <v>228.0</v>
      </c>
      <c r="H34" s="13">
        <v>247.0</v>
      </c>
      <c r="I34" s="13">
        <v>205.0</v>
      </c>
      <c r="J34" s="13">
        <v>235.0</v>
      </c>
      <c r="K34" s="13">
        <v>230.0</v>
      </c>
      <c r="L34" s="13">
        <v>227.0</v>
      </c>
      <c r="M34" s="13">
        <v>216.0</v>
      </c>
      <c r="N34" s="13">
        <v>229.0</v>
      </c>
      <c r="O34" s="13">
        <f t="shared" si="10"/>
        <v>2267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35</v>
      </c>
      <c r="F36" s="13">
        <f t="shared" si="11"/>
        <v>49</v>
      </c>
      <c r="G36" s="13">
        <f t="shared" si="11"/>
        <v>33</v>
      </c>
      <c r="H36" s="13">
        <f t="shared" si="11"/>
        <v>43</v>
      </c>
      <c r="I36" s="13">
        <f t="shared" si="11"/>
        <v>16</v>
      </c>
      <c r="J36" s="13">
        <f t="shared" si="11"/>
        <v>27</v>
      </c>
      <c r="K36" s="13">
        <f t="shared" si="11"/>
        <v>44</v>
      </c>
      <c r="L36" s="13">
        <f t="shared" si="11"/>
        <v>44</v>
      </c>
      <c r="M36" s="13">
        <f t="shared" si="11"/>
        <v>36</v>
      </c>
      <c r="N36" s="13">
        <f t="shared" si="11"/>
        <v>37</v>
      </c>
      <c r="O36" s="13">
        <f t="shared" si="10"/>
        <v>364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61"/>
    </row>
    <row r="38" ht="12.75" customHeight="1">
      <c r="A38" s="44" t="s">
        <v>31</v>
      </c>
      <c r="B38" s="14" t="s">
        <v>32</v>
      </c>
      <c r="C38" s="15"/>
      <c r="D38" s="16"/>
      <c r="E38" s="63" t="s">
        <v>70</v>
      </c>
      <c r="F38" s="63" t="s">
        <v>71</v>
      </c>
      <c r="G38" s="63" t="s">
        <v>72</v>
      </c>
      <c r="H38" s="63" t="s">
        <v>73</v>
      </c>
      <c r="I38" s="63" t="s">
        <v>74</v>
      </c>
      <c r="J38" s="63" t="s">
        <v>75</v>
      </c>
      <c r="K38" s="63" t="s">
        <v>77</v>
      </c>
      <c r="L38" s="63" t="s">
        <v>78</v>
      </c>
      <c r="M38" s="63" t="s">
        <v>79</v>
      </c>
      <c r="N38" s="63" t="s">
        <v>81</v>
      </c>
      <c r="O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2.0</v>
      </c>
      <c r="K39" s="19">
        <v>1.0</v>
      </c>
      <c r="L39" s="19">
        <v>0.0</v>
      </c>
      <c r="M39" s="19">
        <v>0.0</v>
      </c>
      <c r="N39" s="19">
        <v>0.0</v>
      </c>
      <c r="O39" s="13">
        <f t="shared" ref="O39:O41" si="12">SUM(E39:N39)</f>
        <v>4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6.0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3">
        <f t="shared" si="12"/>
        <v>7</v>
      </c>
    </row>
    <row r="41" ht="12.75" customHeight="1">
      <c r="A41" s="43"/>
      <c r="B41" s="46"/>
      <c r="C41" s="28"/>
      <c r="D41" s="13" t="s">
        <v>14</v>
      </c>
      <c r="E41" s="13">
        <f t="shared" ref="E41:N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7</v>
      </c>
      <c r="I41" s="13">
        <f t="shared" si="13"/>
        <v>0</v>
      </c>
      <c r="J41" s="13">
        <f t="shared" si="13"/>
        <v>2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11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3"/>
    </row>
    <row r="43" ht="12.75" customHeight="1">
      <c r="A43" s="44" t="s">
        <v>34</v>
      </c>
      <c r="B43" s="14" t="s">
        <v>35</v>
      </c>
      <c r="C43" s="15"/>
      <c r="D43" s="16"/>
      <c r="E43" s="63" t="s">
        <v>70</v>
      </c>
      <c r="F43" s="63" t="s">
        <v>71</v>
      </c>
      <c r="G43" s="63" t="s">
        <v>72</v>
      </c>
      <c r="H43" s="63" t="s">
        <v>73</v>
      </c>
      <c r="I43" s="63" t="s">
        <v>74</v>
      </c>
      <c r="J43" s="63" t="s">
        <v>75</v>
      </c>
      <c r="K43" s="63" t="s">
        <v>77</v>
      </c>
      <c r="L43" s="63" t="s">
        <v>78</v>
      </c>
      <c r="M43" s="63" t="s">
        <v>79</v>
      </c>
      <c r="N43" s="63" t="s">
        <v>81</v>
      </c>
      <c r="O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3"/>
    </row>
    <row r="45" ht="12.75" customHeight="1">
      <c r="A45" s="31"/>
      <c r="B45" s="49" t="s">
        <v>17</v>
      </c>
      <c r="C45" s="62" t="s">
        <v>38</v>
      </c>
      <c r="D45" s="16"/>
      <c r="E45" s="19">
        <v>20.0</v>
      </c>
      <c r="F45" s="19">
        <v>22.0</v>
      </c>
      <c r="G45" s="19">
        <v>32.0</v>
      </c>
      <c r="H45" s="19">
        <v>25.0</v>
      </c>
      <c r="I45" s="19">
        <v>20.0</v>
      </c>
      <c r="J45" s="19">
        <v>23.0</v>
      </c>
      <c r="K45" s="19">
        <v>13.0</v>
      </c>
      <c r="L45" s="19">
        <v>15.0</v>
      </c>
      <c r="M45" s="19">
        <v>17.0</v>
      </c>
      <c r="N45" s="19">
        <v>19.0</v>
      </c>
      <c r="O45" s="13">
        <f t="shared" ref="O45:O57" si="14">SUM(E45:N45)</f>
        <v>206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48.0</v>
      </c>
      <c r="F46" s="19">
        <v>35.0</v>
      </c>
      <c r="G46" s="19">
        <v>40.0</v>
      </c>
      <c r="H46" s="19">
        <v>42.0</v>
      </c>
      <c r="I46" s="19">
        <v>43.0</v>
      </c>
      <c r="J46" s="19">
        <v>57.0</v>
      </c>
      <c r="K46" s="19">
        <v>51.0</v>
      </c>
      <c r="L46" s="19">
        <v>52.0</v>
      </c>
      <c r="M46" s="19">
        <v>32.0</v>
      </c>
      <c r="N46" s="19">
        <v>65.0</v>
      </c>
      <c r="O46" s="13">
        <f t="shared" si="14"/>
        <v>465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14.0</v>
      </c>
      <c r="F47" s="19">
        <v>13.0</v>
      </c>
      <c r="G47" s="19">
        <v>16.0</v>
      </c>
      <c r="H47" s="19">
        <v>11.0</v>
      </c>
      <c r="I47" s="19">
        <v>10.0</v>
      </c>
      <c r="J47" s="19">
        <v>19.0</v>
      </c>
      <c r="K47" s="19">
        <v>16.0</v>
      </c>
      <c r="L47" s="19">
        <v>15.0</v>
      </c>
      <c r="M47" s="19">
        <v>18.0</v>
      </c>
      <c r="N47" s="19">
        <v>14.0</v>
      </c>
      <c r="O47" s="13">
        <f t="shared" si="14"/>
        <v>146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28.0</v>
      </c>
      <c r="F48" s="19">
        <v>20.0</v>
      </c>
      <c r="G48" s="19">
        <v>23.0</v>
      </c>
      <c r="H48" s="19">
        <v>24.0</v>
      </c>
      <c r="I48" s="19">
        <v>17.0</v>
      </c>
      <c r="J48" s="19">
        <v>22.0</v>
      </c>
      <c r="K48" s="19">
        <v>15.0</v>
      </c>
      <c r="L48" s="19">
        <v>20.0</v>
      </c>
      <c r="M48" s="19">
        <v>37.0</v>
      </c>
      <c r="N48" s="19">
        <v>20.0</v>
      </c>
      <c r="O48" s="13">
        <f t="shared" si="14"/>
        <v>226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21.0</v>
      </c>
      <c r="F49" s="19">
        <v>21.0</v>
      </c>
      <c r="G49" s="19">
        <v>12.0</v>
      </c>
      <c r="H49" s="19">
        <v>23.0</v>
      </c>
      <c r="I49" s="19">
        <v>16.0</v>
      </c>
      <c r="J49" s="19">
        <v>12.0</v>
      </c>
      <c r="K49" s="19">
        <v>19.0</v>
      </c>
      <c r="L49" s="19">
        <v>15.0</v>
      </c>
      <c r="M49" s="19">
        <v>19.0</v>
      </c>
      <c r="N49" s="19">
        <v>13.0</v>
      </c>
      <c r="O49" s="13">
        <f t="shared" si="14"/>
        <v>171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16.0</v>
      </c>
      <c r="F50" s="19">
        <v>19.0</v>
      </c>
      <c r="G50" s="19">
        <v>24.0</v>
      </c>
      <c r="H50" s="19">
        <v>30.0</v>
      </c>
      <c r="I50" s="19">
        <v>34.0</v>
      </c>
      <c r="J50" s="19">
        <v>19.0</v>
      </c>
      <c r="K50" s="19">
        <v>15.0</v>
      </c>
      <c r="L50" s="19">
        <v>18.0</v>
      </c>
      <c r="M50" s="19">
        <v>14.0</v>
      </c>
      <c r="N50" s="19">
        <v>12.0</v>
      </c>
      <c r="O50" s="13">
        <f t="shared" si="14"/>
        <v>201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3.0</v>
      </c>
      <c r="F51" s="19">
        <v>1.0</v>
      </c>
      <c r="G51" s="19">
        <v>1.0</v>
      </c>
      <c r="H51" s="19">
        <v>1.0</v>
      </c>
      <c r="I51" s="19">
        <v>0.0</v>
      </c>
      <c r="J51" s="19">
        <v>3.0</v>
      </c>
      <c r="K51" s="19">
        <v>4.0</v>
      </c>
      <c r="L51" s="19">
        <v>3.0</v>
      </c>
      <c r="M51" s="19">
        <v>3.0</v>
      </c>
      <c r="N51" s="19">
        <v>2.0</v>
      </c>
      <c r="O51" s="13">
        <f t="shared" si="14"/>
        <v>21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2.0</v>
      </c>
      <c r="F52" s="19">
        <v>2.0</v>
      </c>
      <c r="G52" s="19">
        <v>0.0</v>
      </c>
      <c r="H52" s="19">
        <v>1.0</v>
      </c>
      <c r="I52" s="19">
        <v>1.0</v>
      </c>
      <c r="J52" s="19">
        <v>1.0</v>
      </c>
      <c r="K52" s="19">
        <v>4.0</v>
      </c>
      <c r="L52" s="19">
        <v>8.0</v>
      </c>
      <c r="M52" s="19">
        <v>2.0</v>
      </c>
      <c r="N52" s="19">
        <v>1.0</v>
      </c>
      <c r="O52" s="13">
        <f t="shared" si="14"/>
        <v>22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1.0</v>
      </c>
      <c r="F53" s="19">
        <v>0.0</v>
      </c>
      <c r="G53" s="19">
        <v>0.0</v>
      </c>
      <c r="H53" s="19">
        <v>2.0</v>
      </c>
      <c r="I53" s="19">
        <v>2.0</v>
      </c>
      <c r="J53" s="19">
        <v>1.0</v>
      </c>
      <c r="K53" s="19">
        <v>0.0</v>
      </c>
      <c r="L53" s="19">
        <v>1.0</v>
      </c>
      <c r="M53" s="19">
        <v>1.0</v>
      </c>
      <c r="N53" s="19">
        <v>0.0</v>
      </c>
      <c r="O53" s="13">
        <f t="shared" si="14"/>
        <v>8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20.0</v>
      </c>
      <c r="F54" s="19">
        <v>8.0</v>
      </c>
      <c r="G54" s="19">
        <v>14.0</v>
      </c>
      <c r="H54" s="19">
        <v>7.0</v>
      </c>
      <c r="I54" s="19">
        <v>9.0</v>
      </c>
      <c r="J54" s="19">
        <v>10.0</v>
      </c>
      <c r="K54" s="19">
        <v>26.0</v>
      </c>
      <c r="L54" s="19">
        <v>13.0</v>
      </c>
      <c r="M54" s="19">
        <v>17.0</v>
      </c>
      <c r="N54" s="19">
        <v>13.0</v>
      </c>
      <c r="O54" s="13">
        <f t="shared" si="14"/>
        <v>137</v>
      </c>
    </row>
    <row r="55" ht="15.0" customHeight="1">
      <c r="A55" s="18"/>
      <c r="B55" s="49" t="s">
        <v>54</v>
      </c>
      <c r="C55" s="62" t="s">
        <v>55</v>
      </c>
      <c r="D55" s="16"/>
      <c r="E55" s="19">
        <v>1.0</v>
      </c>
      <c r="F55" s="19">
        <v>0.0</v>
      </c>
      <c r="G55" s="19">
        <v>0.0</v>
      </c>
      <c r="H55" s="19">
        <v>0.0</v>
      </c>
      <c r="I55" s="19">
        <v>3.0</v>
      </c>
      <c r="J55" s="19">
        <v>0.0</v>
      </c>
      <c r="K55" s="19">
        <v>1.0</v>
      </c>
      <c r="L55" s="19">
        <v>2.0</v>
      </c>
      <c r="M55" s="19">
        <v>0.0</v>
      </c>
      <c r="N55" s="19">
        <v>1.0</v>
      </c>
      <c r="O55" s="13">
        <f t="shared" si="14"/>
        <v>8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17.0</v>
      </c>
      <c r="F56" s="19">
        <v>11.0</v>
      </c>
      <c r="G56" s="19">
        <v>15.0</v>
      </c>
      <c r="H56" s="19">
        <v>13.0</v>
      </c>
      <c r="I56" s="19">
        <v>17.0</v>
      </c>
      <c r="J56" s="19">
        <v>11.0</v>
      </c>
      <c r="K56" s="19">
        <v>20.0</v>
      </c>
      <c r="L56" s="19">
        <v>28.0</v>
      </c>
      <c r="M56" s="19">
        <v>21.0</v>
      </c>
      <c r="N56" s="19">
        <v>12.0</v>
      </c>
      <c r="O56" s="13">
        <f t="shared" si="14"/>
        <v>165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2.0</v>
      </c>
      <c r="F57" s="19">
        <v>1.0</v>
      </c>
      <c r="G57" s="19">
        <v>3.0</v>
      </c>
      <c r="H57" s="19">
        <v>3.0</v>
      </c>
      <c r="I57" s="19">
        <v>1.0</v>
      </c>
      <c r="J57" s="19">
        <v>1.0</v>
      </c>
      <c r="K57" s="19">
        <v>2.0</v>
      </c>
      <c r="L57" s="19">
        <v>4.0</v>
      </c>
      <c r="M57" s="19">
        <v>1.0</v>
      </c>
      <c r="N57" s="19">
        <v>3.0</v>
      </c>
      <c r="O57" s="13">
        <f t="shared" si="14"/>
        <v>21</v>
      </c>
    </row>
    <row r="58" ht="12.75" customHeight="1">
      <c r="O58" s="13"/>
    </row>
    <row r="59" ht="12.75" customHeight="1">
      <c r="A59" s="44" t="s">
        <v>60</v>
      </c>
      <c r="B59" s="14" t="s">
        <v>61</v>
      </c>
      <c r="C59" s="15"/>
      <c r="D59" s="16"/>
      <c r="E59" s="63" t="s">
        <v>70</v>
      </c>
      <c r="F59" s="63" t="s">
        <v>71</v>
      </c>
      <c r="G59" s="63" t="s">
        <v>72</v>
      </c>
      <c r="H59" s="63" t="s">
        <v>73</v>
      </c>
      <c r="I59" s="63" t="s">
        <v>74</v>
      </c>
      <c r="J59" s="63" t="s">
        <v>75</v>
      </c>
      <c r="K59" s="63" t="s">
        <v>77</v>
      </c>
      <c r="L59" s="63" t="s">
        <v>78</v>
      </c>
      <c r="M59" s="63" t="s">
        <v>79</v>
      </c>
      <c r="N59" s="63" t="s">
        <v>81</v>
      </c>
      <c r="O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N60" si="15">SUM(E45:E57)</f>
        <v>193</v>
      </c>
      <c r="F60" s="19">
        <f t="shared" si="15"/>
        <v>153</v>
      </c>
      <c r="G60" s="19">
        <f t="shared" si="15"/>
        <v>180</v>
      </c>
      <c r="H60" s="19">
        <f t="shared" si="15"/>
        <v>182</v>
      </c>
      <c r="I60" s="19">
        <f t="shared" si="15"/>
        <v>173</v>
      </c>
      <c r="J60" s="19">
        <f t="shared" si="15"/>
        <v>179</v>
      </c>
      <c r="K60" s="19">
        <f t="shared" si="15"/>
        <v>186</v>
      </c>
      <c r="L60" s="19">
        <f t="shared" si="15"/>
        <v>194</v>
      </c>
      <c r="M60" s="19">
        <f t="shared" si="15"/>
        <v>182</v>
      </c>
      <c r="N60" s="19">
        <f t="shared" si="15"/>
        <v>175</v>
      </c>
      <c r="O60" s="13">
        <f t="shared" ref="O60:O62" si="16">SUM(E60:N60)</f>
        <v>1797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30.0</v>
      </c>
      <c r="F61" s="19">
        <v>74.0</v>
      </c>
      <c r="G61" s="19">
        <v>48.0</v>
      </c>
      <c r="H61" s="19">
        <v>65.0</v>
      </c>
      <c r="I61" s="19">
        <v>32.0</v>
      </c>
      <c r="J61" s="19">
        <v>53.0</v>
      </c>
      <c r="K61" s="19">
        <v>44.0</v>
      </c>
      <c r="L61" s="19">
        <v>33.0</v>
      </c>
      <c r="M61" s="19">
        <v>34.0</v>
      </c>
      <c r="N61" s="19">
        <v>54.0</v>
      </c>
      <c r="O61" s="13">
        <f t="shared" si="16"/>
        <v>467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N62" si="17">SUM(E60:E61)</f>
        <v>223</v>
      </c>
      <c r="F62" s="13">
        <f t="shared" si="17"/>
        <v>227</v>
      </c>
      <c r="G62" s="13">
        <f t="shared" si="17"/>
        <v>228</v>
      </c>
      <c r="H62" s="13">
        <f t="shared" si="17"/>
        <v>247</v>
      </c>
      <c r="I62" s="13">
        <f t="shared" si="17"/>
        <v>205</v>
      </c>
      <c r="J62" s="13">
        <f t="shared" si="17"/>
        <v>232</v>
      </c>
      <c r="K62" s="13">
        <f t="shared" si="17"/>
        <v>230</v>
      </c>
      <c r="L62" s="13">
        <f t="shared" si="17"/>
        <v>227</v>
      </c>
      <c r="M62" s="13">
        <f t="shared" si="17"/>
        <v>216</v>
      </c>
      <c r="N62" s="13">
        <f t="shared" si="17"/>
        <v>229</v>
      </c>
      <c r="O62" s="13">
        <f t="shared" si="16"/>
        <v>2264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P117" s="5"/>
      <c r="Q117" s="5"/>
    </row>
    <row r="118" ht="12.75" customHeight="1">
      <c r="P118" s="5"/>
      <c r="Q118" s="5"/>
    </row>
    <row r="119" ht="12.75" customHeight="1">
      <c r="P119" s="5"/>
      <c r="Q119" s="5"/>
    </row>
    <row r="120" ht="12.75" customHeight="1">
      <c r="P120" s="5"/>
      <c r="Q120" s="5"/>
    </row>
    <row r="121" ht="12.75" customHeight="1">
      <c r="P121" s="5"/>
      <c r="Q121" s="5"/>
    </row>
    <row r="122" ht="12.75" customHeight="1">
      <c r="P122" s="5"/>
      <c r="Q122" s="5"/>
    </row>
    <row r="123" ht="12.75" customHeight="1">
      <c r="P123" s="5"/>
      <c r="Q123" s="5"/>
    </row>
    <row r="124" ht="12.75" customHeight="1">
      <c r="P124" s="5"/>
      <c r="Q124" s="5"/>
    </row>
    <row r="125" ht="12.75" customHeight="1">
      <c r="P125" s="5"/>
      <c r="Q125" s="5"/>
    </row>
    <row r="126" ht="12.75" customHeight="1">
      <c r="P126" s="5"/>
      <c r="Q126" s="5"/>
    </row>
    <row r="127" ht="12.75" customHeight="1">
      <c r="P127" s="5"/>
      <c r="Q127" s="5"/>
    </row>
    <row r="128" ht="12.75" customHeight="1">
      <c r="P128" s="5"/>
      <c r="Q128" s="5"/>
    </row>
    <row r="129" ht="12.75" customHeight="1">
      <c r="P129" s="5"/>
      <c r="Q129" s="5"/>
    </row>
    <row r="130" ht="12.75" customHeight="1">
      <c r="P130" s="1"/>
      <c r="Q130" s="1"/>
    </row>
    <row r="131" ht="12.75" customHeight="1">
      <c r="P131" s="52"/>
      <c r="Q131" s="52"/>
    </row>
    <row r="132" ht="12.75" customHeight="1">
      <c r="P132" s="5"/>
      <c r="Q132" s="5"/>
    </row>
    <row r="133" ht="12.75" customHeight="1">
      <c r="P133" s="5"/>
      <c r="Q133" s="5"/>
    </row>
    <row r="134" ht="12.75" customHeight="1">
      <c r="P134" s="5"/>
      <c r="Q134" s="5"/>
    </row>
    <row r="135" ht="12.75" customHeight="1">
      <c r="P135" s="5"/>
      <c r="Q135" s="5"/>
    </row>
    <row r="136" ht="12.75" customHeight="1">
      <c r="P136" s="5"/>
      <c r="Q136" s="5"/>
    </row>
    <row r="137" ht="12.75" customHeight="1">
      <c r="P137" s="5"/>
      <c r="Q137" s="5"/>
    </row>
    <row r="138" ht="12.75" customHeight="1">
      <c r="P138" s="5"/>
      <c r="Q138" s="5"/>
    </row>
    <row r="139" ht="12.75" customHeight="1">
      <c r="P139" s="5"/>
      <c r="Q139" s="5"/>
    </row>
    <row r="140" ht="12.75" customHeight="1">
      <c r="P140" s="5"/>
      <c r="Q140" s="5"/>
    </row>
    <row r="141" ht="12.75" customHeight="1">
      <c r="P141" s="1"/>
      <c r="Q141" s="1"/>
    </row>
    <row r="142" ht="12.75" customHeight="1">
      <c r="P142" s="52"/>
      <c r="Q142" s="52"/>
    </row>
    <row r="143" ht="12.75" customHeight="1">
      <c r="P143" s="5"/>
      <c r="Q143" s="5"/>
    </row>
    <row r="144" ht="12.75" customHeight="1">
      <c r="P144" s="5"/>
      <c r="Q144" s="5"/>
    </row>
    <row r="145" ht="12.75" customHeight="1">
      <c r="P145" s="5"/>
      <c r="Q145" s="5"/>
    </row>
    <row r="146" ht="12.75" customHeight="1">
      <c r="P146" s="5"/>
      <c r="Q146" s="5"/>
    </row>
    <row r="147" ht="12.75" customHeight="1">
      <c r="P147" s="5"/>
      <c r="Q147" s="5"/>
    </row>
    <row r="148" ht="12.75" customHeight="1">
      <c r="P148" s="5"/>
      <c r="Q148" s="5"/>
    </row>
    <row r="149" ht="12.75" customHeight="1">
      <c r="P149" s="5"/>
      <c r="Q149" s="5"/>
    </row>
    <row r="150" ht="12.75" customHeight="1">
      <c r="P150" s="5"/>
      <c r="Q150" s="5"/>
    </row>
    <row r="151" ht="12.75" customHeight="1">
      <c r="P151" s="1"/>
      <c r="Q151" s="1"/>
    </row>
    <row r="152" ht="12.75" customHeight="1">
      <c r="P152" s="52"/>
      <c r="Q152" s="52"/>
    </row>
    <row r="153" ht="12.75" customHeight="1">
      <c r="P153" s="5"/>
      <c r="Q153" s="5"/>
    </row>
    <row r="154" ht="12.75" customHeight="1">
      <c r="P154" s="5"/>
      <c r="Q154" s="5"/>
    </row>
    <row r="155" ht="12.75" customHeight="1">
      <c r="P155" s="5"/>
      <c r="Q155" s="5"/>
    </row>
    <row r="156" ht="12.75" customHeight="1">
      <c r="P156" s="5"/>
      <c r="Q156" s="5"/>
    </row>
    <row r="157" ht="12.75" customHeight="1">
      <c r="P157" s="5"/>
      <c r="Q157" s="5"/>
    </row>
    <row r="158" ht="12.75" customHeight="1">
      <c r="P158" s="5"/>
      <c r="Q158" s="5"/>
    </row>
    <row r="159" ht="12.75" customHeight="1">
      <c r="P159" s="5"/>
      <c r="Q159" s="5"/>
    </row>
    <row r="160" ht="12.75" customHeight="1">
      <c r="P160" s="5"/>
      <c r="Q160" s="5"/>
    </row>
    <row r="161" ht="12.75" customHeight="1">
      <c r="P161" s="5"/>
      <c r="Q161" s="5"/>
    </row>
    <row r="162" ht="12.75" customHeight="1">
      <c r="P162" s="5"/>
      <c r="Q162" s="5"/>
    </row>
    <row r="163" ht="12.75" customHeight="1">
      <c r="P163" s="5"/>
      <c r="Q163" s="5"/>
    </row>
    <row r="164" ht="12.75" customHeight="1">
      <c r="P164" s="5"/>
      <c r="Q164" s="5"/>
    </row>
    <row r="165" ht="12.75" customHeight="1">
      <c r="P165" s="1"/>
      <c r="Q165" s="1"/>
    </row>
    <row r="166" ht="12.75" customHeight="1">
      <c r="P166" s="52"/>
      <c r="Q166" s="52"/>
    </row>
    <row r="167" ht="12.75" customHeight="1">
      <c r="P167" s="5"/>
      <c r="Q167" s="5"/>
    </row>
    <row r="168" ht="12.75" customHeight="1">
      <c r="P168" s="5"/>
      <c r="Q168" s="5"/>
    </row>
    <row r="169" ht="12.75" customHeight="1">
      <c r="P169" s="5"/>
      <c r="Q169" s="5"/>
    </row>
    <row r="170" ht="12.75" customHeight="1">
      <c r="P170" s="5"/>
      <c r="Q170" s="5"/>
    </row>
    <row r="171" ht="12.75" customHeight="1">
      <c r="P171" s="5"/>
      <c r="Q171" s="5"/>
    </row>
    <row r="172" ht="12.75" customHeight="1">
      <c r="P172" s="5"/>
      <c r="Q172" s="5"/>
    </row>
    <row r="173" ht="12.75" customHeight="1">
      <c r="P173" s="5"/>
      <c r="Q173" s="5"/>
    </row>
    <row r="174" ht="12.75" customHeight="1">
      <c r="P174" s="5"/>
      <c r="Q174" s="5"/>
    </row>
    <row r="175" ht="12.75" customHeight="1">
      <c r="P175" s="5"/>
      <c r="Q175" s="5"/>
    </row>
    <row r="176" ht="12.75" customHeight="1">
      <c r="P176" s="1"/>
      <c r="Q176" s="1"/>
    </row>
    <row r="177" ht="12.75" customHeight="1"/>
    <row r="178" ht="12.75" customHeight="1">
      <c r="P178" s="5"/>
      <c r="Q178" s="5"/>
    </row>
    <row r="179" ht="12.75" customHeight="1">
      <c r="P179" s="5"/>
      <c r="Q179" s="5"/>
    </row>
    <row r="180" ht="12.75" customHeight="1">
      <c r="P180" s="5"/>
      <c r="Q180" s="5"/>
    </row>
    <row r="181" ht="12.75" customHeight="1">
      <c r="P181" s="5"/>
      <c r="Q181" s="5"/>
    </row>
    <row r="182" ht="12.75" customHeight="1">
      <c r="P182" s="5"/>
      <c r="Q182" s="5"/>
    </row>
    <row r="183" ht="12.75" customHeight="1">
      <c r="P183" s="5"/>
      <c r="Q183" s="5"/>
    </row>
    <row r="184" ht="12.75" customHeight="1">
      <c r="P184" s="5"/>
      <c r="Q184" s="5"/>
    </row>
    <row r="185" ht="12.75" customHeight="1">
      <c r="P185" s="5"/>
      <c r="Q185" s="5"/>
    </row>
    <row r="186" ht="12.75" customHeight="1">
      <c r="P186" s="5"/>
      <c r="Q186" s="5"/>
    </row>
    <row r="187" ht="12.75" customHeight="1">
      <c r="P187" s="1"/>
      <c r="Q187" s="1"/>
    </row>
    <row r="188" ht="12.75" customHeight="1"/>
    <row r="189" ht="12.75" customHeight="1">
      <c r="P189" s="5"/>
      <c r="Q189" s="5"/>
    </row>
    <row r="190" ht="12.75" customHeight="1">
      <c r="P190" s="5"/>
      <c r="Q190" s="5"/>
    </row>
    <row r="191" ht="12.75" customHeight="1">
      <c r="P191" s="5"/>
      <c r="Q191" s="5"/>
    </row>
    <row r="192" ht="12.75" customHeight="1">
      <c r="P192" s="5"/>
      <c r="Q192" s="5"/>
    </row>
    <row r="193" ht="12.75" customHeight="1">
      <c r="P193" s="5"/>
      <c r="Q193" s="5"/>
    </row>
    <row r="194" ht="12.75" customHeight="1">
      <c r="P194" s="5"/>
      <c r="Q194" s="5"/>
    </row>
    <row r="195" ht="12.75" customHeight="1">
      <c r="P195" s="5"/>
      <c r="Q195" s="5"/>
    </row>
    <row r="196" ht="12.75" customHeight="1">
      <c r="P196" s="1"/>
      <c r="Q196" s="1"/>
    </row>
    <row r="197" ht="12.75" customHeight="1">
      <c r="P197" s="1"/>
      <c r="Q197" s="1"/>
    </row>
    <row r="198" ht="12.75" customHeight="1">
      <c r="P198" s="1"/>
      <c r="Q198" s="1"/>
    </row>
    <row r="199" ht="12.75" customHeight="1">
      <c r="P199" s="52"/>
      <c r="Q199" s="52"/>
    </row>
    <row r="200" ht="12.75" customHeight="1">
      <c r="P200" s="5"/>
      <c r="Q200" s="5"/>
    </row>
    <row r="201" ht="12.75" customHeight="1">
      <c r="P201" s="5"/>
      <c r="Q201" s="5"/>
    </row>
    <row r="202" ht="12.75" customHeight="1">
      <c r="P202" s="5"/>
      <c r="Q202" s="5"/>
    </row>
    <row r="203" ht="12.75" customHeight="1">
      <c r="P203" s="5"/>
      <c r="Q203" s="5"/>
    </row>
    <row r="204" ht="12.75" customHeight="1">
      <c r="P204" s="5"/>
      <c r="Q204" s="5"/>
    </row>
    <row r="205" ht="12.75" customHeight="1">
      <c r="P205" s="5"/>
      <c r="Q205" s="5"/>
    </row>
    <row r="206" ht="12.75" customHeight="1">
      <c r="P206" s="5"/>
      <c r="Q206" s="5"/>
    </row>
    <row r="207" ht="12.75" customHeight="1">
      <c r="P207" s="1"/>
      <c r="Q207" s="1"/>
    </row>
    <row r="208" ht="12.75" customHeight="1">
      <c r="P208" s="52"/>
      <c r="Q208" s="52"/>
    </row>
    <row r="209" ht="12.75" customHeight="1">
      <c r="P209" s="52"/>
      <c r="Q209" s="52"/>
    </row>
    <row r="210" ht="12.75" customHeight="1">
      <c r="P210" s="52"/>
      <c r="Q210" s="52"/>
    </row>
    <row r="211" ht="12.75" customHeight="1">
      <c r="P211" s="5"/>
      <c r="Q211" s="5"/>
    </row>
    <row r="212" ht="12.75" customHeight="1">
      <c r="P212" s="5"/>
      <c r="Q212" s="5"/>
    </row>
    <row r="213" ht="12.75" customHeight="1">
      <c r="P213" s="5"/>
      <c r="Q213" s="5"/>
    </row>
    <row r="214" ht="12.75" customHeight="1">
      <c r="P214" s="5"/>
      <c r="Q214" s="5"/>
    </row>
    <row r="215" ht="12.75" customHeight="1">
      <c r="P215" s="5"/>
      <c r="Q215" s="5"/>
    </row>
    <row r="216" ht="12.75" customHeight="1">
      <c r="P216" s="5"/>
      <c r="Q216" s="5"/>
    </row>
    <row r="217" ht="12.75" customHeight="1">
      <c r="P217" s="5"/>
      <c r="Q217" s="5"/>
    </row>
    <row r="218" ht="12.75" customHeight="1">
      <c r="P218" s="1"/>
      <c r="Q218" s="1"/>
    </row>
    <row r="219" ht="12.75" customHeight="1">
      <c r="P219" s="52"/>
      <c r="Q219" s="52"/>
    </row>
    <row r="220" ht="12.75" customHeight="1">
      <c r="P220" s="5"/>
      <c r="Q220" s="5"/>
    </row>
    <row r="221" ht="12.75" customHeight="1">
      <c r="P221" s="5"/>
      <c r="Q221" s="5"/>
    </row>
    <row r="222" ht="12.75" customHeight="1">
      <c r="P222" s="5"/>
      <c r="Q222" s="5"/>
    </row>
    <row r="223" ht="12.75" customHeight="1">
      <c r="P223" s="5"/>
      <c r="Q223" s="5"/>
    </row>
    <row r="224" ht="12.75" customHeight="1">
      <c r="P224" s="5"/>
      <c r="Q224" s="5"/>
    </row>
    <row r="225" ht="12.75" customHeight="1">
      <c r="P225" s="5"/>
      <c r="Q225" s="5"/>
    </row>
    <row r="226" ht="12.75" customHeight="1">
      <c r="P226" s="5"/>
      <c r="Q226" s="5"/>
    </row>
    <row r="227" ht="12.75" customHeight="1">
      <c r="P227" s="5"/>
      <c r="Q227" s="5"/>
    </row>
    <row r="228" ht="12.75" customHeight="1">
      <c r="P228" s="5"/>
      <c r="Q228" s="5"/>
    </row>
    <row r="229" ht="12.75" customHeight="1">
      <c r="P229" s="1"/>
      <c r="Q229" s="1"/>
    </row>
    <row r="230" ht="12.75" customHeight="1">
      <c r="P230" s="52"/>
      <c r="Q230" s="52"/>
    </row>
    <row r="231" ht="12.75" customHeight="1">
      <c r="P231" s="5"/>
      <c r="Q231" s="5"/>
    </row>
    <row r="232" ht="12.75" customHeight="1">
      <c r="P232" s="5"/>
      <c r="Q232" s="5"/>
    </row>
    <row r="233" ht="12.75" customHeight="1">
      <c r="P233" s="5"/>
      <c r="Q233" s="5"/>
    </row>
    <row r="234" ht="12.75" customHeight="1">
      <c r="P234" s="5"/>
      <c r="Q234" s="5"/>
    </row>
    <row r="235" ht="12.75" customHeight="1">
      <c r="P235" s="5"/>
      <c r="Q235" s="5"/>
    </row>
    <row r="236" ht="12.75" customHeight="1">
      <c r="P236" s="5"/>
      <c r="Q236" s="5"/>
    </row>
    <row r="237" ht="12.75" customHeight="1">
      <c r="P237" s="5"/>
      <c r="Q237" s="5"/>
    </row>
    <row r="238" ht="12.75" customHeight="1">
      <c r="P238" s="5"/>
      <c r="Q238" s="5"/>
    </row>
    <row r="239" ht="12.75" customHeight="1">
      <c r="P239" s="5"/>
      <c r="Q239" s="5"/>
    </row>
    <row r="240" ht="12.75" customHeight="1">
      <c r="P240" s="1"/>
      <c r="Q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45:N57">
    <cfRule type="containsBlanks" dxfId="1" priority="6">
      <formula>LEN(TRIM(E45))=0</formula>
    </cfRule>
  </conditionalFormatting>
  <conditionalFormatting sqref="E60:N61">
    <cfRule type="containsBlanks" dxfId="1" priority="7">
      <formula>LEN(TRIM(E60))=0</formula>
    </cfRule>
  </conditionalFormatting>
  <conditionalFormatting sqref="E34:N34">
    <cfRule type="expression" dxfId="2" priority="8">
      <formula>E30&lt;&gt;E34</formula>
    </cfRule>
  </conditionalFormatting>
  <conditionalFormatting sqref="E34:N34">
    <cfRule type="expression" dxfId="3" priority="9">
      <formula>E30=E34</formula>
    </cfRule>
  </conditionalFormatting>
  <conditionalFormatting sqref="E34:N34">
    <cfRule type="expression" dxfId="0" priority="10">
      <formula>E34&lt;&gt;E30</formula>
    </cfRule>
  </conditionalFormatting>
  <conditionalFormatting sqref="E34:N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  <col customWidth="1" min="32" max="3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13" t="s">
        <v>79</v>
      </c>
      <c r="N13" s="13" t="s">
        <v>81</v>
      </c>
      <c r="O13" s="13" t="s">
        <v>82</v>
      </c>
      <c r="P13" s="13" t="s">
        <v>83</v>
      </c>
      <c r="Q13" s="13" t="s">
        <v>84</v>
      </c>
      <c r="R13" s="13" t="s">
        <v>86</v>
      </c>
      <c r="S13" s="13" t="s">
        <v>87</v>
      </c>
      <c r="T13" s="13" t="s">
        <v>88</v>
      </c>
      <c r="U13" s="13" t="s">
        <v>89</v>
      </c>
      <c r="V13" s="13" t="s">
        <v>90</v>
      </c>
      <c r="W13" s="13" t="s">
        <v>91</v>
      </c>
      <c r="X13" s="13" t="s">
        <v>97</v>
      </c>
      <c r="Y13" s="13" t="s">
        <v>98</v>
      </c>
      <c r="Z13" s="13" t="s">
        <v>99</v>
      </c>
      <c r="AA13" s="13" t="s">
        <v>100</v>
      </c>
      <c r="AB13" s="13" t="s">
        <v>101</v>
      </c>
      <c r="AC13" s="13" t="s">
        <v>102</v>
      </c>
      <c r="AD13" s="13" t="s">
        <v>103</v>
      </c>
      <c r="AE13" s="37"/>
    </row>
    <row r="14" ht="12.75" customHeight="1">
      <c r="A14" s="18"/>
      <c r="B14" s="22" t="s">
        <v>11</v>
      </c>
      <c r="C14" s="23"/>
      <c r="D14" s="19" t="s">
        <v>12</v>
      </c>
      <c r="E14" s="19">
        <v>112.0</v>
      </c>
      <c r="F14" s="19">
        <v>131.0</v>
      </c>
      <c r="G14" s="19">
        <v>133.0</v>
      </c>
      <c r="H14" s="19">
        <v>135.0</v>
      </c>
      <c r="I14" s="19">
        <v>137.0</v>
      </c>
      <c r="J14" s="19">
        <v>138.0</v>
      </c>
      <c r="K14" s="19">
        <v>129.0</v>
      </c>
      <c r="L14" s="19">
        <v>147.0</v>
      </c>
      <c r="M14" s="19">
        <v>117.0</v>
      </c>
      <c r="N14" s="19">
        <v>154.0</v>
      </c>
      <c r="O14" s="19">
        <v>158.0</v>
      </c>
      <c r="P14" s="19">
        <v>136.0</v>
      </c>
      <c r="Q14" s="19">
        <v>136.0</v>
      </c>
      <c r="R14" s="19">
        <v>130.0</v>
      </c>
      <c r="S14" s="19">
        <v>142.0</v>
      </c>
      <c r="T14" s="19">
        <v>140.0</v>
      </c>
      <c r="U14" s="19">
        <v>135.0</v>
      </c>
      <c r="V14" s="19">
        <v>125.0</v>
      </c>
      <c r="W14" s="19">
        <v>136.0</v>
      </c>
      <c r="X14" s="19">
        <v>134.0</v>
      </c>
      <c r="Y14" s="19">
        <v>137.0</v>
      </c>
      <c r="Z14" s="19">
        <v>135.0</v>
      </c>
      <c r="AA14" s="19">
        <v>128.0</v>
      </c>
      <c r="AB14" s="19">
        <v>134.0</v>
      </c>
      <c r="AC14" s="19">
        <v>143.0</v>
      </c>
      <c r="AD14" s="19">
        <v>146.0</v>
      </c>
      <c r="AE14" s="13">
        <f t="shared" ref="AE14:AE16" si="1">SUM(E14:AD14)</f>
        <v>3528</v>
      </c>
    </row>
    <row r="15" ht="12.75" customHeight="1">
      <c r="A15" s="18"/>
      <c r="B15" s="26"/>
      <c r="C15" s="27"/>
      <c r="D15" s="19" t="s">
        <v>13</v>
      </c>
      <c r="E15" s="19">
        <v>98.0</v>
      </c>
      <c r="F15" s="19">
        <v>128.0</v>
      </c>
      <c r="G15" s="19">
        <v>133.0</v>
      </c>
      <c r="H15" s="19">
        <v>132.0</v>
      </c>
      <c r="I15" s="19">
        <v>131.0</v>
      </c>
      <c r="J15" s="19">
        <v>130.0</v>
      </c>
      <c r="K15" s="19">
        <v>136.0</v>
      </c>
      <c r="L15" s="19">
        <v>125.0</v>
      </c>
      <c r="M15" s="19">
        <v>115.0</v>
      </c>
      <c r="N15" s="19">
        <v>134.0</v>
      </c>
      <c r="O15" s="19">
        <v>141.0</v>
      </c>
      <c r="P15" s="19">
        <v>128.0</v>
      </c>
      <c r="Q15" s="19">
        <v>137.0</v>
      </c>
      <c r="R15" s="19">
        <v>133.0</v>
      </c>
      <c r="S15" s="19">
        <v>130.0</v>
      </c>
      <c r="T15" s="19">
        <v>136.0</v>
      </c>
      <c r="U15" s="19">
        <v>126.0</v>
      </c>
      <c r="V15" s="19">
        <v>139.0</v>
      </c>
      <c r="W15" s="19">
        <v>135.0</v>
      </c>
      <c r="X15" s="19">
        <v>136.0</v>
      </c>
      <c r="Y15" s="19">
        <v>133.0</v>
      </c>
      <c r="Z15" s="19">
        <v>131.0</v>
      </c>
      <c r="AA15" s="19">
        <v>136.0</v>
      </c>
      <c r="AB15" s="19">
        <v>133.0</v>
      </c>
      <c r="AC15" s="19">
        <v>137.0</v>
      </c>
      <c r="AD15" s="19">
        <v>145.0</v>
      </c>
      <c r="AE15" s="13">
        <f t="shared" si="1"/>
        <v>3418</v>
      </c>
    </row>
    <row r="16" ht="12.75" customHeight="1">
      <c r="A16" s="25"/>
      <c r="B16" s="21"/>
      <c r="C16" s="28"/>
      <c r="D16" s="13" t="s">
        <v>14</v>
      </c>
      <c r="E16" s="13">
        <f t="shared" ref="E16:AD16" si="2">SUM(E14:E15)</f>
        <v>210</v>
      </c>
      <c r="F16" s="13">
        <f t="shared" si="2"/>
        <v>259</v>
      </c>
      <c r="G16" s="13">
        <f t="shared" si="2"/>
        <v>266</v>
      </c>
      <c r="H16" s="13">
        <f t="shared" si="2"/>
        <v>267</v>
      </c>
      <c r="I16" s="13">
        <f t="shared" si="2"/>
        <v>268</v>
      </c>
      <c r="J16" s="13">
        <f t="shared" si="2"/>
        <v>268</v>
      </c>
      <c r="K16" s="13">
        <f t="shared" si="2"/>
        <v>265</v>
      </c>
      <c r="L16" s="13">
        <f t="shared" si="2"/>
        <v>272</v>
      </c>
      <c r="M16" s="13">
        <f t="shared" si="2"/>
        <v>232</v>
      </c>
      <c r="N16" s="13">
        <f t="shared" si="2"/>
        <v>288</v>
      </c>
      <c r="O16" s="13">
        <f t="shared" si="2"/>
        <v>299</v>
      </c>
      <c r="P16" s="13">
        <f t="shared" si="2"/>
        <v>264</v>
      </c>
      <c r="Q16" s="13">
        <f t="shared" si="2"/>
        <v>273</v>
      </c>
      <c r="R16" s="13">
        <f t="shared" si="2"/>
        <v>263</v>
      </c>
      <c r="S16" s="13">
        <f t="shared" si="2"/>
        <v>272</v>
      </c>
      <c r="T16" s="13">
        <f t="shared" si="2"/>
        <v>276</v>
      </c>
      <c r="U16" s="13">
        <f t="shared" si="2"/>
        <v>261</v>
      </c>
      <c r="V16" s="13">
        <f t="shared" si="2"/>
        <v>264</v>
      </c>
      <c r="W16" s="13">
        <f t="shared" si="2"/>
        <v>271</v>
      </c>
      <c r="X16" s="13">
        <f t="shared" si="2"/>
        <v>270</v>
      </c>
      <c r="Y16" s="13">
        <f t="shared" si="2"/>
        <v>270</v>
      </c>
      <c r="Z16" s="13">
        <f t="shared" si="2"/>
        <v>266</v>
      </c>
      <c r="AA16" s="13">
        <f t="shared" si="2"/>
        <v>264</v>
      </c>
      <c r="AB16" s="13">
        <f t="shared" si="2"/>
        <v>267</v>
      </c>
      <c r="AC16" s="13">
        <f t="shared" si="2"/>
        <v>280</v>
      </c>
      <c r="AD16" s="13">
        <f t="shared" si="2"/>
        <v>291</v>
      </c>
      <c r="AE16" s="13">
        <f t="shared" si="1"/>
        <v>6946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4"/>
      <c r="Y17" s="19"/>
      <c r="Z17" s="19"/>
      <c r="AA17" s="19"/>
      <c r="AB17" s="19"/>
      <c r="AC17" s="64"/>
      <c r="AD17" s="19"/>
      <c r="AE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13" t="s">
        <v>77</v>
      </c>
      <c r="L18" s="13" t="s">
        <v>78</v>
      </c>
      <c r="M18" s="13" t="s">
        <v>79</v>
      </c>
      <c r="N18" s="13" t="s">
        <v>81</v>
      </c>
      <c r="O18" s="13" t="s">
        <v>82</v>
      </c>
      <c r="P18" s="13" t="s">
        <v>83</v>
      </c>
      <c r="Q18" s="13" t="s">
        <v>84</v>
      </c>
      <c r="R18" s="13" t="s">
        <v>86</v>
      </c>
      <c r="S18" s="13" t="s">
        <v>87</v>
      </c>
      <c r="T18" s="13" t="s">
        <v>88</v>
      </c>
      <c r="U18" s="13" t="s">
        <v>89</v>
      </c>
      <c r="V18" s="13" t="s">
        <v>90</v>
      </c>
      <c r="W18" s="13" t="s">
        <v>91</v>
      </c>
      <c r="X18" s="13" t="s">
        <v>97</v>
      </c>
      <c r="Y18" s="13" t="s">
        <v>98</v>
      </c>
      <c r="Z18" s="13" t="s">
        <v>99</v>
      </c>
      <c r="AA18" s="13" t="s">
        <v>100</v>
      </c>
      <c r="AB18" s="13" t="s">
        <v>101</v>
      </c>
      <c r="AC18" s="13" t="s">
        <v>102</v>
      </c>
      <c r="AD18" s="13" t="s">
        <v>103</v>
      </c>
      <c r="AE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69.0</v>
      </c>
      <c r="F19" s="19">
        <v>95.0</v>
      </c>
      <c r="G19" s="19">
        <v>102.0</v>
      </c>
      <c r="H19" s="19">
        <v>111.0</v>
      </c>
      <c r="I19" s="19">
        <v>101.0</v>
      </c>
      <c r="J19" s="19">
        <v>97.0</v>
      </c>
      <c r="K19" s="19">
        <v>103.0</v>
      </c>
      <c r="L19" s="19">
        <v>105.0</v>
      </c>
      <c r="M19" s="19">
        <v>77.0</v>
      </c>
      <c r="N19" s="19">
        <v>118.0</v>
      </c>
      <c r="O19" s="19">
        <v>118.0</v>
      </c>
      <c r="P19" s="19">
        <v>105.0</v>
      </c>
      <c r="Q19" s="19">
        <v>100.0</v>
      </c>
      <c r="R19" s="19">
        <v>96.0</v>
      </c>
      <c r="S19" s="19">
        <v>119.0</v>
      </c>
      <c r="T19" s="19">
        <v>107.0</v>
      </c>
      <c r="U19" s="19">
        <v>93.0</v>
      </c>
      <c r="V19" s="19">
        <v>98.0</v>
      </c>
      <c r="W19" s="19">
        <v>94.0</v>
      </c>
      <c r="X19" s="19">
        <v>93.0</v>
      </c>
      <c r="Y19" s="19">
        <v>87.0</v>
      </c>
      <c r="Z19" s="19">
        <v>91.0</v>
      </c>
      <c r="AA19" s="19">
        <v>79.0</v>
      </c>
      <c r="AB19" s="19">
        <v>107.0</v>
      </c>
      <c r="AC19" s="19">
        <v>99.0</v>
      </c>
      <c r="AD19" s="19">
        <v>98.0</v>
      </c>
      <c r="AE19" s="13">
        <f t="shared" ref="AE19:AE30" si="3">SUM(E19:AD19)</f>
        <v>2562</v>
      </c>
    </row>
    <row r="20" ht="12.75" customHeight="1">
      <c r="A20" s="34"/>
      <c r="B20" s="27"/>
      <c r="C20" s="35"/>
      <c r="D20" s="19" t="s">
        <v>13</v>
      </c>
      <c r="E20" s="19">
        <v>66.0</v>
      </c>
      <c r="F20" s="19">
        <v>102.0</v>
      </c>
      <c r="G20" s="19">
        <v>110.0</v>
      </c>
      <c r="H20" s="19">
        <v>106.0</v>
      </c>
      <c r="I20" s="19">
        <v>108.0</v>
      </c>
      <c r="J20" s="19">
        <v>106.0</v>
      </c>
      <c r="K20" s="19">
        <v>106.0</v>
      </c>
      <c r="L20" s="19">
        <v>101.0</v>
      </c>
      <c r="M20" s="19">
        <v>95.0</v>
      </c>
      <c r="N20" s="19">
        <v>102.0</v>
      </c>
      <c r="O20" s="19">
        <v>107.0</v>
      </c>
      <c r="P20" s="19">
        <v>102.0</v>
      </c>
      <c r="Q20" s="19">
        <v>115.0</v>
      </c>
      <c r="R20" s="19">
        <v>107.0</v>
      </c>
      <c r="S20" s="19">
        <v>108.0</v>
      </c>
      <c r="T20" s="19">
        <v>111.0</v>
      </c>
      <c r="U20" s="19">
        <v>100.0</v>
      </c>
      <c r="V20" s="19">
        <v>109.0</v>
      </c>
      <c r="W20" s="19">
        <v>105.0</v>
      </c>
      <c r="X20" s="19">
        <v>105.0</v>
      </c>
      <c r="Y20" s="19">
        <v>100.0</v>
      </c>
      <c r="Z20" s="19">
        <v>96.0</v>
      </c>
      <c r="AA20" s="19">
        <v>97.0</v>
      </c>
      <c r="AB20" s="19">
        <v>110.0</v>
      </c>
      <c r="AC20" s="19">
        <v>108.0</v>
      </c>
      <c r="AD20" s="19">
        <v>101.0</v>
      </c>
      <c r="AE20" s="13">
        <f t="shared" si="3"/>
        <v>2683</v>
      </c>
    </row>
    <row r="21" ht="12.75" customHeight="1">
      <c r="A21" s="36"/>
      <c r="B21" s="28"/>
      <c r="C21" s="37"/>
      <c r="D21" s="13" t="s">
        <v>14</v>
      </c>
      <c r="E21" s="13">
        <f t="shared" ref="E21:AD21" si="4">SUM(E19:E20)</f>
        <v>135</v>
      </c>
      <c r="F21" s="13">
        <f t="shared" si="4"/>
        <v>197</v>
      </c>
      <c r="G21" s="13">
        <f t="shared" si="4"/>
        <v>212</v>
      </c>
      <c r="H21" s="13">
        <f t="shared" si="4"/>
        <v>217</v>
      </c>
      <c r="I21" s="13">
        <f t="shared" si="4"/>
        <v>209</v>
      </c>
      <c r="J21" s="13">
        <f t="shared" si="4"/>
        <v>203</v>
      </c>
      <c r="K21" s="13">
        <f t="shared" si="4"/>
        <v>209</v>
      </c>
      <c r="L21" s="13">
        <f t="shared" si="4"/>
        <v>206</v>
      </c>
      <c r="M21" s="13">
        <f t="shared" si="4"/>
        <v>172</v>
      </c>
      <c r="N21" s="13">
        <f t="shared" si="4"/>
        <v>220</v>
      </c>
      <c r="O21" s="13">
        <f t="shared" si="4"/>
        <v>225</v>
      </c>
      <c r="P21" s="13">
        <f t="shared" si="4"/>
        <v>207</v>
      </c>
      <c r="Q21" s="13">
        <f t="shared" si="4"/>
        <v>215</v>
      </c>
      <c r="R21" s="13">
        <f t="shared" si="4"/>
        <v>203</v>
      </c>
      <c r="S21" s="13">
        <f t="shared" si="4"/>
        <v>227</v>
      </c>
      <c r="T21" s="13">
        <f t="shared" si="4"/>
        <v>218</v>
      </c>
      <c r="U21" s="13">
        <f t="shared" si="4"/>
        <v>193</v>
      </c>
      <c r="V21" s="13">
        <f t="shared" si="4"/>
        <v>207</v>
      </c>
      <c r="W21" s="13">
        <f t="shared" si="4"/>
        <v>199</v>
      </c>
      <c r="X21" s="13">
        <f t="shared" si="4"/>
        <v>198</v>
      </c>
      <c r="Y21" s="13">
        <f t="shared" si="4"/>
        <v>187</v>
      </c>
      <c r="Z21" s="13">
        <f t="shared" si="4"/>
        <v>187</v>
      </c>
      <c r="AA21" s="13">
        <f t="shared" si="4"/>
        <v>176</v>
      </c>
      <c r="AB21" s="13">
        <f t="shared" si="4"/>
        <v>217</v>
      </c>
      <c r="AC21" s="13">
        <f t="shared" si="4"/>
        <v>207</v>
      </c>
      <c r="AD21" s="13">
        <f t="shared" si="4"/>
        <v>199</v>
      </c>
      <c r="AE21" s="13">
        <f t="shared" si="3"/>
        <v>5245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2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2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3.0</v>
      </c>
      <c r="H25" s="19">
        <v>1.0</v>
      </c>
      <c r="I25" s="19">
        <v>2.0</v>
      </c>
      <c r="J25" s="19">
        <v>2.0</v>
      </c>
      <c r="K25" s="19">
        <v>3.0</v>
      </c>
      <c r="L25" s="19">
        <v>0.0</v>
      </c>
      <c r="M25" s="19">
        <v>1.0</v>
      </c>
      <c r="N25" s="19">
        <v>0.0</v>
      </c>
      <c r="O25" s="19">
        <v>0.0</v>
      </c>
      <c r="P25" s="19">
        <v>1.0</v>
      </c>
      <c r="Q25" s="19">
        <v>0.0</v>
      </c>
      <c r="R25" s="19">
        <v>0.0</v>
      </c>
      <c r="S25" s="19">
        <v>0.0</v>
      </c>
      <c r="T25" s="19">
        <v>1.0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1.0</v>
      </c>
      <c r="AA25" s="19">
        <v>0.0</v>
      </c>
      <c r="AB25" s="19">
        <v>0.0</v>
      </c>
      <c r="AC25" s="19">
        <v>0.0</v>
      </c>
      <c r="AD25" s="19">
        <v>0.0</v>
      </c>
      <c r="AE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1.0</v>
      </c>
      <c r="G26" s="19">
        <v>4.0</v>
      </c>
      <c r="H26" s="19">
        <v>0.0</v>
      </c>
      <c r="I26" s="19">
        <v>6.0</v>
      </c>
      <c r="J26" s="19">
        <v>5.0</v>
      </c>
      <c r="K26" s="19">
        <v>2.0</v>
      </c>
      <c r="L26" s="19">
        <v>0.0</v>
      </c>
      <c r="M26" s="19">
        <v>3.0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2.0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3">
        <f t="shared" si="3"/>
        <v>23</v>
      </c>
    </row>
    <row r="27" ht="12.75" customHeight="1">
      <c r="A27" s="36"/>
      <c r="B27" s="28"/>
      <c r="C27" s="37"/>
      <c r="D27" s="13" t="s">
        <v>14</v>
      </c>
      <c r="E27" s="13">
        <f t="shared" ref="E27:AD27" si="6">SUM(E25:E26)</f>
        <v>0</v>
      </c>
      <c r="F27" s="13">
        <f t="shared" si="6"/>
        <v>1</v>
      </c>
      <c r="G27" s="13">
        <f t="shared" si="6"/>
        <v>7</v>
      </c>
      <c r="H27" s="13">
        <f t="shared" si="6"/>
        <v>1</v>
      </c>
      <c r="I27" s="13">
        <f t="shared" si="6"/>
        <v>8</v>
      </c>
      <c r="J27" s="13">
        <f t="shared" si="6"/>
        <v>7</v>
      </c>
      <c r="K27" s="13">
        <f t="shared" si="6"/>
        <v>5</v>
      </c>
      <c r="L27" s="13">
        <f t="shared" si="6"/>
        <v>0</v>
      </c>
      <c r="M27" s="13">
        <f t="shared" si="6"/>
        <v>4</v>
      </c>
      <c r="N27" s="13">
        <f t="shared" si="6"/>
        <v>0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3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3"/>
        <v>38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D28" si="7">SUM(E19,E22,E25)</f>
        <v>69</v>
      </c>
      <c r="F28" s="13">
        <f t="shared" si="7"/>
        <v>95</v>
      </c>
      <c r="G28" s="13">
        <f t="shared" si="7"/>
        <v>105</v>
      </c>
      <c r="H28" s="13">
        <f t="shared" si="7"/>
        <v>112</v>
      </c>
      <c r="I28" s="13">
        <f t="shared" si="7"/>
        <v>103</v>
      </c>
      <c r="J28" s="13">
        <f t="shared" si="7"/>
        <v>99</v>
      </c>
      <c r="K28" s="13">
        <f t="shared" si="7"/>
        <v>106</v>
      </c>
      <c r="L28" s="13">
        <f t="shared" si="7"/>
        <v>105</v>
      </c>
      <c r="M28" s="13">
        <f t="shared" si="7"/>
        <v>78</v>
      </c>
      <c r="N28" s="13">
        <f t="shared" si="7"/>
        <v>118</v>
      </c>
      <c r="O28" s="13">
        <f t="shared" si="7"/>
        <v>118</v>
      </c>
      <c r="P28" s="13">
        <f t="shared" si="7"/>
        <v>106</v>
      </c>
      <c r="Q28" s="13">
        <f t="shared" si="7"/>
        <v>100</v>
      </c>
      <c r="R28" s="13">
        <f t="shared" si="7"/>
        <v>97</v>
      </c>
      <c r="S28" s="13">
        <f t="shared" si="7"/>
        <v>119</v>
      </c>
      <c r="T28" s="13">
        <f t="shared" si="7"/>
        <v>108</v>
      </c>
      <c r="U28" s="13">
        <f t="shared" si="7"/>
        <v>93</v>
      </c>
      <c r="V28" s="13">
        <f t="shared" si="7"/>
        <v>98</v>
      </c>
      <c r="W28" s="13">
        <f t="shared" si="7"/>
        <v>94</v>
      </c>
      <c r="X28" s="13">
        <f t="shared" si="7"/>
        <v>93</v>
      </c>
      <c r="Y28" s="13">
        <f t="shared" si="7"/>
        <v>87</v>
      </c>
      <c r="Z28" s="13">
        <f t="shared" si="7"/>
        <v>92</v>
      </c>
      <c r="AA28" s="13">
        <f t="shared" si="7"/>
        <v>79</v>
      </c>
      <c r="AB28" s="13">
        <f t="shared" si="7"/>
        <v>107</v>
      </c>
      <c r="AC28" s="13">
        <f t="shared" si="7"/>
        <v>99</v>
      </c>
      <c r="AD28" s="13">
        <f t="shared" si="7"/>
        <v>98</v>
      </c>
      <c r="AE28" s="13">
        <f t="shared" si="3"/>
        <v>2578</v>
      </c>
    </row>
    <row r="29" ht="12.75" customHeight="1">
      <c r="A29" s="36"/>
      <c r="B29" s="27"/>
      <c r="C29" s="35"/>
      <c r="D29" s="13" t="s">
        <v>13</v>
      </c>
      <c r="E29" s="13">
        <f t="shared" ref="E29:AD29" si="8">SUM(E20,E23,E26)</f>
        <v>66</v>
      </c>
      <c r="F29" s="13">
        <f t="shared" si="8"/>
        <v>103</v>
      </c>
      <c r="G29" s="13">
        <f t="shared" si="8"/>
        <v>114</v>
      </c>
      <c r="H29" s="13">
        <f t="shared" si="8"/>
        <v>106</v>
      </c>
      <c r="I29" s="13">
        <f t="shared" si="8"/>
        <v>114</v>
      </c>
      <c r="J29" s="13">
        <f t="shared" si="8"/>
        <v>111</v>
      </c>
      <c r="K29" s="13">
        <f t="shared" si="8"/>
        <v>108</v>
      </c>
      <c r="L29" s="13">
        <f t="shared" si="8"/>
        <v>101</v>
      </c>
      <c r="M29" s="13">
        <f t="shared" si="8"/>
        <v>98</v>
      </c>
      <c r="N29" s="13">
        <f t="shared" si="8"/>
        <v>102</v>
      </c>
      <c r="O29" s="13">
        <f t="shared" si="8"/>
        <v>107</v>
      </c>
      <c r="P29" s="13">
        <f t="shared" si="8"/>
        <v>102</v>
      </c>
      <c r="Q29" s="13">
        <f t="shared" si="8"/>
        <v>115</v>
      </c>
      <c r="R29" s="13">
        <f t="shared" si="8"/>
        <v>108</v>
      </c>
      <c r="S29" s="13">
        <f t="shared" si="8"/>
        <v>108</v>
      </c>
      <c r="T29" s="13">
        <f t="shared" si="8"/>
        <v>113</v>
      </c>
      <c r="U29" s="13">
        <f t="shared" si="8"/>
        <v>100</v>
      </c>
      <c r="V29" s="13">
        <f t="shared" si="8"/>
        <v>109</v>
      </c>
      <c r="W29" s="13">
        <f t="shared" si="8"/>
        <v>105</v>
      </c>
      <c r="X29" s="13">
        <f t="shared" si="8"/>
        <v>105</v>
      </c>
      <c r="Y29" s="13">
        <f t="shared" si="8"/>
        <v>100</v>
      </c>
      <c r="Z29" s="13">
        <f t="shared" si="8"/>
        <v>96</v>
      </c>
      <c r="AA29" s="13">
        <f t="shared" si="8"/>
        <v>97</v>
      </c>
      <c r="AB29" s="13">
        <f t="shared" si="8"/>
        <v>110</v>
      </c>
      <c r="AC29" s="13">
        <f t="shared" si="8"/>
        <v>108</v>
      </c>
      <c r="AD29" s="13">
        <f t="shared" si="8"/>
        <v>101</v>
      </c>
      <c r="AE29" s="13">
        <f t="shared" si="3"/>
        <v>2707</v>
      </c>
    </row>
    <row r="30" ht="12.75" customHeight="1">
      <c r="A30" s="36"/>
      <c r="B30" s="28"/>
      <c r="C30" s="37"/>
      <c r="D30" s="13" t="s">
        <v>14</v>
      </c>
      <c r="E30" s="13">
        <f t="shared" ref="E30:AD30" si="9">SUM(E28:E29)</f>
        <v>135</v>
      </c>
      <c r="F30" s="13">
        <f t="shared" si="9"/>
        <v>198</v>
      </c>
      <c r="G30" s="13">
        <f t="shared" si="9"/>
        <v>219</v>
      </c>
      <c r="H30" s="13">
        <f t="shared" si="9"/>
        <v>218</v>
      </c>
      <c r="I30" s="13">
        <f t="shared" si="9"/>
        <v>217</v>
      </c>
      <c r="J30" s="13">
        <f t="shared" si="9"/>
        <v>210</v>
      </c>
      <c r="K30" s="13">
        <f t="shared" si="9"/>
        <v>214</v>
      </c>
      <c r="L30" s="13">
        <f t="shared" si="9"/>
        <v>206</v>
      </c>
      <c r="M30" s="13">
        <f t="shared" si="9"/>
        <v>176</v>
      </c>
      <c r="N30" s="13">
        <f t="shared" si="9"/>
        <v>220</v>
      </c>
      <c r="O30" s="13">
        <f t="shared" si="9"/>
        <v>225</v>
      </c>
      <c r="P30" s="13">
        <f t="shared" si="9"/>
        <v>208</v>
      </c>
      <c r="Q30" s="13">
        <f t="shared" si="9"/>
        <v>215</v>
      </c>
      <c r="R30" s="13">
        <f t="shared" si="9"/>
        <v>205</v>
      </c>
      <c r="S30" s="13">
        <f t="shared" si="9"/>
        <v>227</v>
      </c>
      <c r="T30" s="13">
        <f t="shared" si="9"/>
        <v>221</v>
      </c>
      <c r="U30" s="13">
        <f t="shared" si="9"/>
        <v>193</v>
      </c>
      <c r="V30" s="13">
        <f t="shared" si="9"/>
        <v>207</v>
      </c>
      <c r="W30" s="13">
        <f t="shared" si="9"/>
        <v>199</v>
      </c>
      <c r="X30" s="13">
        <f t="shared" si="9"/>
        <v>198</v>
      </c>
      <c r="Y30" s="13">
        <f t="shared" si="9"/>
        <v>187</v>
      </c>
      <c r="Z30" s="13">
        <f t="shared" si="9"/>
        <v>188</v>
      </c>
      <c r="AA30" s="13">
        <f t="shared" si="9"/>
        <v>176</v>
      </c>
      <c r="AB30" s="13">
        <f t="shared" si="9"/>
        <v>217</v>
      </c>
      <c r="AC30" s="13">
        <f t="shared" si="9"/>
        <v>207</v>
      </c>
      <c r="AD30" s="13">
        <f t="shared" si="9"/>
        <v>199</v>
      </c>
      <c r="AE30" s="13">
        <f t="shared" si="3"/>
        <v>5285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4"/>
      <c r="Y31" s="19"/>
      <c r="Z31" s="19"/>
      <c r="AA31" s="19"/>
      <c r="AB31" s="19"/>
      <c r="AC31" s="64"/>
      <c r="AD31" s="19"/>
      <c r="AE31" s="61"/>
    </row>
    <row r="32" ht="12.75" customHeight="1">
      <c r="A32" s="43" t="s">
        <v>25</v>
      </c>
      <c r="B32" s="14" t="s">
        <v>26</v>
      </c>
      <c r="C32" s="15"/>
      <c r="D32" s="16"/>
      <c r="E32" s="63" t="s">
        <v>70</v>
      </c>
      <c r="F32" s="63" t="s">
        <v>71</v>
      </c>
      <c r="G32" s="63" t="s">
        <v>72</v>
      </c>
      <c r="H32" s="63" t="s">
        <v>73</v>
      </c>
      <c r="I32" s="63" t="s">
        <v>74</v>
      </c>
      <c r="J32" s="63" t="s">
        <v>75</v>
      </c>
      <c r="K32" s="63" t="s">
        <v>77</v>
      </c>
      <c r="L32" s="63" t="s">
        <v>78</v>
      </c>
      <c r="M32" s="63" t="s">
        <v>79</v>
      </c>
      <c r="N32" s="63" t="s">
        <v>81</v>
      </c>
      <c r="O32" s="63" t="s">
        <v>82</v>
      </c>
      <c r="P32" s="63" t="s">
        <v>83</v>
      </c>
      <c r="Q32" s="63" t="s">
        <v>84</v>
      </c>
      <c r="R32" s="63" t="s">
        <v>86</v>
      </c>
      <c r="S32" s="63" t="s">
        <v>87</v>
      </c>
      <c r="T32" s="63" t="s">
        <v>88</v>
      </c>
      <c r="U32" s="63" t="s">
        <v>89</v>
      </c>
      <c r="V32" s="63" t="s">
        <v>90</v>
      </c>
      <c r="W32" s="63" t="s">
        <v>91</v>
      </c>
      <c r="X32" s="63" t="s">
        <v>97</v>
      </c>
      <c r="Y32" s="63" t="s">
        <v>98</v>
      </c>
      <c r="Z32" s="63" t="s">
        <v>99</v>
      </c>
      <c r="AA32" s="63" t="s">
        <v>100</v>
      </c>
      <c r="AB32" s="63" t="s">
        <v>101</v>
      </c>
      <c r="AC32" s="63" t="s">
        <v>102</v>
      </c>
      <c r="AD32" s="63" t="s">
        <v>103</v>
      </c>
      <c r="AE32" s="61"/>
    </row>
    <row r="33" ht="12.75" customHeight="1">
      <c r="A33" s="19">
        <v>1.0</v>
      </c>
      <c r="B33" s="20" t="s">
        <v>27</v>
      </c>
      <c r="C33" s="15"/>
      <c r="D33" s="16"/>
      <c r="E33" s="19">
        <v>215.0</v>
      </c>
      <c r="F33" s="19">
        <v>266.0</v>
      </c>
      <c r="G33" s="19">
        <v>273.0</v>
      </c>
      <c r="H33" s="19">
        <v>273.0</v>
      </c>
      <c r="I33" s="19">
        <v>274.0</v>
      </c>
      <c r="J33" s="19">
        <v>274.0</v>
      </c>
      <c r="K33" s="19">
        <v>271.0</v>
      </c>
      <c r="L33" s="19">
        <v>278.0</v>
      </c>
      <c r="M33" s="19">
        <v>238.0</v>
      </c>
      <c r="N33" s="19">
        <v>294.0</v>
      </c>
      <c r="O33" s="19">
        <v>305.0</v>
      </c>
      <c r="P33" s="19">
        <v>271.0</v>
      </c>
      <c r="Q33" s="19">
        <v>278.0</v>
      </c>
      <c r="R33" s="19">
        <v>269.0</v>
      </c>
      <c r="S33" s="19">
        <v>278.0</v>
      </c>
      <c r="T33" s="19">
        <v>283.0</v>
      </c>
      <c r="U33" s="19">
        <v>268.0</v>
      </c>
      <c r="V33" s="19">
        <v>270.0</v>
      </c>
      <c r="W33" s="19">
        <v>277.0</v>
      </c>
      <c r="X33" s="19">
        <v>276.0</v>
      </c>
      <c r="Y33" s="19">
        <v>278.0</v>
      </c>
      <c r="Z33" s="19">
        <v>273.0</v>
      </c>
      <c r="AA33" s="19">
        <v>272.0</v>
      </c>
      <c r="AB33" s="19">
        <v>273.0</v>
      </c>
      <c r="AC33" s="19">
        <v>287.0</v>
      </c>
      <c r="AD33" s="19">
        <v>297.0</v>
      </c>
      <c r="AE33" s="13">
        <f t="shared" ref="AE33:AE36" si="10">SUM(E33:AD33)</f>
        <v>7111</v>
      </c>
    </row>
    <row r="34" ht="12.75" customHeight="1">
      <c r="A34" s="19">
        <v>2.0</v>
      </c>
      <c r="B34" s="20" t="s">
        <v>28</v>
      </c>
      <c r="C34" s="15"/>
      <c r="D34" s="16"/>
      <c r="E34" s="13">
        <v>135.0</v>
      </c>
      <c r="F34" s="13">
        <v>198.0</v>
      </c>
      <c r="G34" s="13">
        <v>219.0</v>
      </c>
      <c r="H34" s="13">
        <v>218.0</v>
      </c>
      <c r="I34" s="13">
        <v>217.0</v>
      </c>
      <c r="J34" s="13">
        <v>210.0</v>
      </c>
      <c r="K34" s="13">
        <v>214.0</v>
      </c>
      <c r="L34" s="13">
        <v>206.0</v>
      </c>
      <c r="M34" s="13">
        <v>176.0</v>
      </c>
      <c r="N34" s="13">
        <v>220.0</v>
      </c>
      <c r="O34" s="13">
        <v>225.0</v>
      </c>
      <c r="P34" s="13">
        <v>208.0</v>
      </c>
      <c r="Q34" s="13">
        <v>215.0</v>
      </c>
      <c r="R34" s="13">
        <v>205.0</v>
      </c>
      <c r="S34" s="13">
        <v>227.0</v>
      </c>
      <c r="T34" s="13">
        <v>221.0</v>
      </c>
      <c r="U34" s="13">
        <v>193.0</v>
      </c>
      <c r="V34" s="13">
        <v>207.0</v>
      </c>
      <c r="W34" s="13">
        <v>199.0</v>
      </c>
      <c r="X34" s="13">
        <v>198.0</v>
      </c>
      <c r="Y34" s="13">
        <v>187.0</v>
      </c>
      <c r="Z34" s="13">
        <v>188.0</v>
      </c>
      <c r="AA34" s="13">
        <v>176.0</v>
      </c>
      <c r="AB34" s="13">
        <v>217.0</v>
      </c>
      <c r="AC34" s="13">
        <v>207.0</v>
      </c>
      <c r="AD34" s="13">
        <v>199.0</v>
      </c>
      <c r="AE34" s="13">
        <f t="shared" si="10"/>
        <v>5285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D36" si="11">E33-(E34+E35)</f>
        <v>80</v>
      </c>
      <c r="F36" s="13">
        <f t="shared" si="11"/>
        <v>68</v>
      </c>
      <c r="G36" s="13">
        <f t="shared" si="11"/>
        <v>53</v>
      </c>
      <c r="H36" s="13">
        <f t="shared" si="11"/>
        <v>55</v>
      </c>
      <c r="I36" s="13">
        <f t="shared" si="11"/>
        <v>57</v>
      </c>
      <c r="J36" s="13">
        <f t="shared" si="11"/>
        <v>64</v>
      </c>
      <c r="K36" s="13">
        <f t="shared" si="11"/>
        <v>57</v>
      </c>
      <c r="L36" s="13">
        <f t="shared" si="11"/>
        <v>72</v>
      </c>
      <c r="M36" s="13">
        <f t="shared" si="11"/>
        <v>62</v>
      </c>
      <c r="N36" s="13">
        <f t="shared" si="11"/>
        <v>74</v>
      </c>
      <c r="O36" s="13">
        <f t="shared" si="11"/>
        <v>80</v>
      </c>
      <c r="P36" s="13">
        <f t="shared" si="11"/>
        <v>63</v>
      </c>
      <c r="Q36" s="13">
        <f t="shared" si="11"/>
        <v>63</v>
      </c>
      <c r="R36" s="13">
        <f t="shared" si="11"/>
        <v>64</v>
      </c>
      <c r="S36" s="13">
        <f t="shared" si="11"/>
        <v>51</v>
      </c>
      <c r="T36" s="13">
        <f t="shared" si="11"/>
        <v>62</v>
      </c>
      <c r="U36" s="13">
        <f t="shared" si="11"/>
        <v>75</v>
      </c>
      <c r="V36" s="13">
        <f t="shared" si="11"/>
        <v>63</v>
      </c>
      <c r="W36" s="13">
        <f t="shared" si="11"/>
        <v>78</v>
      </c>
      <c r="X36" s="13">
        <f t="shared" si="11"/>
        <v>78</v>
      </c>
      <c r="Y36" s="13">
        <f t="shared" si="11"/>
        <v>91</v>
      </c>
      <c r="Z36" s="13">
        <f t="shared" si="11"/>
        <v>85</v>
      </c>
      <c r="AA36" s="13">
        <f t="shared" si="11"/>
        <v>96</v>
      </c>
      <c r="AB36" s="13">
        <f t="shared" si="11"/>
        <v>56</v>
      </c>
      <c r="AC36" s="13">
        <f t="shared" si="11"/>
        <v>80</v>
      </c>
      <c r="AD36" s="13">
        <f t="shared" si="11"/>
        <v>98</v>
      </c>
      <c r="AE36" s="13">
        <f t="shared" si="10"/>
        <v>1825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4"/>
      <c r="Y37" s="19"/>
      <c r="Z37" s="19"/>
      <c r="AA37" s="19"/>
      <c r="AB37" s="19"/>
      <c r="AC37" s="64"/>
      <c r="AD37" s="19"/>
      <c r="AE37" s="61"/>
    </row>
    <row r="38" ht="12.75" customHeight="1">
      <c r="A38" s="44" t="s">
        <v>31</v>
      </c>
      <c r="B38" s="14" t="s">
        <v>32</v>
      </c>
      <c r="C38" s="15"/>
      <c r="D38" s="16"/>
      <c r="E38" s="63" t="s">
        <v>70</v>
      </c>
      <c r="F38" s="63" t="s">
        <v>71</v>
      </c>
      <c r="G38" s="63" t="s">
        <v>72</v>
      </c>
      <c r="H38" s="63" t="s">
        <v>73</v>
      </c>
      <c r="I38" s="63" t="s">
        <v>74</v>
      </c>
      <c r="J38" s="63" t="s">
        <v>75</v>
      </c>
      <c r="K38" s="63" t="s">
        <v>77</v>
      </c>
      <c r="L38" s="63" t="s">
        <v>78</v>
      </c>
      <c r="M38" s="63" t="s">
        <v>79</v>
      </c>
      <c r="N38" s="63" t="s">
        <v>81</v>
      </c>
      <c r="O38" s="63" t="s">
        <v>82</v>
      </c>
      <c r="P38" s="63" t="s">
        <v>83</v>
      </c>
      <c r="Q38" s="63" t="s">
        <v>84</v>
      </c>
      <c r="R38" s="63" t="s">
        <v>86</v>
      </c>
      <c r="S38" s="63" t="s">
        <v>87</v>
      </c>
      <c r="T38" s="63" t="s">
        <v>88</v>
      </c>
      <c r="U38" s="63" t="s">
        <v>89</v>
      </c>
      <c r="V38" s="63" t="s">
        <v>90</v>
      </c>
      <c r="W38" s="63" t="s">
        <v>91</v>
      </c>
      <c r="X38" s="63" t="s">
        <v>97</v>
      </c>
      <c r="Y38" s="63" t="s">
        <v>98</v>
      </c>
      <c r="Z38" s="63" t="s">
        <v>99</v>
      </c>
      <c r="AA38" s="63" t="s">
        <v>100</v>
      </c>
      <c r="AB38" s="63" t="s">
        <v>101</v>
      </c>
      <c r="AC38" s="63" t="s">
        <v>102</v>
      </c>
      <c r="AD38" s="63" t="s">
        <v>103</v>
      </c>
      <c r="AE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119.0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3">
        <f t="shared" ref="AE39:AE41" si="12">SUM(E39:AD39)</f>
        <v>119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108.0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3">
        <f t="shared" si="12"/>
        <v>108</v>
      </c>
    </row>
    <row r="41" ht="12.75" customHeight="1">
      <c r="A41" s="43"/>
      <c r="B41" s="46"/>
      <c r="C41" s="28"/>
      <c r="D41" s="13" t="s">
        <v>14</v>
      </c>
      <c r="E41" s="13">
        <f t="shared" ref="E41:AD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227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2"/>
        <v>227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64"/>
      <c r="Y42" s="19"/>
      <c r="Z42" s="19"/>
      <c r="AA42" s="19"/>
      <c r="AB42" s="19"/>
      <c r="AC42" s="64"/>
      <c r="AD42" s="19"/>
      <c r="AE42" s="13"/>
    </row>
    <row r="43" ht="12.75" customHeight="1">
      <c r="A43" s="44" t="s">
        <v>34</v>
      </c>
      <c r="B43" s="14" t="s">
        <v>35</v>
      </c>
      <c r="C43" s="15"/>
      <c r="D43" s="16"/>
      <c r="E43" s="63" t="s">
        <v>70</v>
      </c>
      <c r="F43" s="63" t="s">
        <v>71</v>
      </c>
      <c r="G43" s="63" t="s">
        <v>72</v>
      </c>
      <c r="H43" s="63" t="s">
        <v>73</v>
      </c>
      <c r="I43" s="63" t="s">
        <v>74</v>
      </c>
      <c r="J43" s="63" t="s">
        <v>75</v>
      </c>
      <c r="K43" s="63" t="s">
        <v>77</v>
      </c>
      <c r="L43" s="63" t="s">
        <v>78</v>
      </c>
      <c r="M43" s="63" t="s">
        <v>79</v>
      </c>
      <c r="N43" s="63" t="s">
        <v>81</v>
      </c>
      <c r="O43" s="63" t="s">
        <v>82</v>
      </c>
      <c r="P43" s="63" t="s">
        <v>83</v>
      </c>
      <c r="Q43" s="63" t="s">
        <v>84</v>
      </c>
      <c r="R43" s="63" t="s">
        <v>86</v>
      </c>
      <c r="S43" s="63" t="s">
        <v>87</v>
      </c>
      <c r="T43" s="63" t="s">
        <v>88</v>
      </c>
      <c r="U43" s="63" t="s">
        <v>89</v>
      </c>
      <c r="V43" s="63" t="s">
        <v>90</v>
      </c>
      <c r="W43" s="63" t="s">
        <v>91</v>
      </c>
      <c r="X43" s="63" t="s">
        <v>97</v>
      </c>
      <c r="Y43" s="63" t="s">
        <v>98</v>
      </c>
      <c r="Z43" s="63" t="s">
        <v>99</v>
      </c>
      <c r="AA43" s="63" t="s">
        <v>100</v>
      </c>
      <c r="AB43" s="63" t="s">
        <v>101</v>
      </c>
      <c r="AC43" s="63" t="s">
        <v>102</v>
      </c>
      <c r="AD43" s="63" t="s">
        <v>103</v>
      </c>
      <c r="AE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9"/>
      <c r="W44" s="19"/>
      <c r="X44" s="64"/>
      <c r="Y44" s="19"/>
      <c r="Z44" s="19"/>
      <c r="AA44" s="19"/>
      <c r="AB44" s="19"/>
      <c r="AC44" s="64"/>
      <c r="AD44" s="19"/>
      <c r="AE44" s="13"/>
    </row>
    <row r="45" ht="12.75" customHeight="1">
      <c r="A45" s="31"/>
      <c r="B45" s="49" t="s">
        <v>17</v>
      </c>
      <c r="C45" s="62" t="s">
        <v>38</v>
      </c>
      <c r="D45" s="16"/>
      <c r="E45" s="19">
        <v>19.0</v>
      </c>
      <c r="F45" s="19">
        <v>9.0</v>
      </c>
      <c r="G45" s="19">
        <v>5.0</v>
      </c>
      <c r="H45" s="19">
        <v>3.0</v>
      </c>
      <c r="I45" s="19">
        <v>5.0</v>
      </c>
      <c r="J45" s="19">
        <v>8.0</v>
      </c>
      <c r="K45" s="19">
        <v>24.0</v>
      </c>
      <c r="L45" s="19">
        <v>21.0</v>
      </c>
      <c r="M45" s="19">
        <v>9.0</v>
      </c>
      <c r="N45" s="19">
        <v>10.0</v>
      </c>
      <c r="O45" s="19">
        <v>10.0</v>
      </c>
      <c r="P45" s="19">
        <v>19.0</v>
      </c>
      <c r="Q45" s="19">
        <v>28.0</v>
      </c>
      <c r="R45" s="19">
        <v>17.0</v>
      </c>
      <c r="S45" s="19">
        <v>14.0</v>
      </c>
      <c r="T45" s="19">
        <v>19.0</v>
      </c>
      <c r="U45" s="19">
        <v>15.0</v>
      </c>
      <c r="V45" s="19">
        <v>17.0</v>
      </c>
      <c r="W45" s="19">
        <v>20.0</v>
      </c>
      <c r="X45" s="19">
        <v>20.0</v>
      </c>
      <c r="Y45" s="19">
        <v>12.0</v>
      </c>
      <c r="Z45" s="19">
        <v>12.0</v>
      </c>
      <c r="AA45" s="19">
        <v>45.0</v>
      </c>
      <c r="AB45" s="19">
        <v>19.0</v>
      </c>
      <c r="AC45" s="19">
        <v>14.0</v>
      </c>
      <c r="AD45" s="19">
        <v>22.0</v>
      </c>
      <c r="AE45" s="13">
        <f t="shared" ref="AE45:AE57" si="14">SUM(E45:AD45)</f>
        <v>416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15.0</v>
      </c>
      <c r="F46" s="19">
        <v>25.0</v>
      </c>
      <c r="G46" s="19">
        <v>29.0</v>
      </c>
      <c r="H46" s="19">
        <v>33.0</v>
      </c>
      <c r="I46" s="19">
        <v>44.0</v>
      </c>
      <c r="J46" s="19">
        <v>27.0</v>
      </c>
      <c r="K46" s="19">
        <v>24.0</v>
      </c>
      <c r="L46" s="19">
        <v>31.0</v>
      </c>
      <c r="M46" s="19">
        <v>25.0</v>
      </c>
      <c r="N46" s="19">
        <v>31.0</v>
      </c>
      <c r="O46" s="19">
        <v>41.0</v>
      </c>
      <c r="P46" s="19">
        <v>43.0</v>
      </c>
      <c r="Q46" s="19">
        <v>41.0</v>
      </c>
      <c r="R46" s="19">
        <v>23.0</v>
      </c>
      <c r="S46" s="19">
        <v>29.0</v>
      </c>
      <c r="T46" s="19">
        <v>18.0</v>
      </c>
      <c r="U46" s="19">
        <v>35.0</v>
      </c>
      <c r="V46" s="19">
        <v>36.0</v>
      </c>
      <c r="W46" s="19">
        <v>33.0</v>
      </c>
      <c r="X46" s="19">
        <v>40.0</v>
      </c>
      <c r="Y46" s="19">
        <v>44.0</v>
      </c>
      <c r="Z46" s="19">
        <v>38.0</v>
      </c>
      <c r="AA46" s="19">
        <v>31.0</v>
      </c>
      <c r="AB46" s="19">
        <v>29.0</v>
      </c>
      <c r="AC46" s="19">
        <v>33.0</v>
      </c>
      <c r="AD46" s="19">
        <v>46.0</v>
      </c>
      <c r="AE46" s="13">
        <f t="shared" si="14"/>
        <v>844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11.0</v>
      </c>
      <c r="F47" s="19">
        <v>18.0</v>
      </c>
      <c r="G47" s="19">
        <v>10.0</v>
      </c>
      <c r="H47" s="19">
        <v>12.0</v>
      </c>
      <c r="I47" s="19">
        <v>14.0</v>
      </c>
      <c r="J47" s="19">
        <v>15.0</v>
      </c>
      <c r="K47" s="19">
        <v>13.0</v>
      </c>
      <c r="L47" s="19">
        <v>17.0</v>
      </c>
      <c r="M47" s="19">
        <v>16.0</v>
      </c>
      <c r="N47" s="19">
        <v>13.0</v>
      </c>
      <c r="O47" s="19">
        <v>14.0</v>
      </c>
      <c r="P47" s="19">
        <v>15.0</v>
      </c>
      <c r="Q47" s="19">
        <v>17.0</v>
      </c>
      <c r="R47" s="19">
        <v>17.0</v>
      </c>
      <c r="S47" s="19">
        <v>18.0</v>
      </c>
      <c r="T47" s="19">
        <v>15.0</v>
      </c>
      <c r="U47" s="19">
        <v>8.0</v>
      </c>
      <c r="V47" s="19">
        <v>19.0</v>
      </c>
      <c r="W47" s="19">
        <v>19.0</v>
      </c>
      <c r="X47" s="19">
        <v>20.0</v>
      </c>
      <c r="Y47" s="19">
        <v>18.0</v>
      </c>
      <c r="Z47" s="19">
        <v>13.0</v>
      </c>
      <c r="AA47" s="19">
        <v>16.0</v>
      </c>
      <c r="AB47" s="19">
        <v>16.0</v>
      </c>
      <c r="AC47" s="19">
        <v>16.0</v>
      </c>
      <c r="AD47" s="19">
        <v>13.0</v>
      </c>
      <c r="AE47" s="13">
        <f t="shared" si="14"/>
        <v>393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7.0</v>
      </c>
      <c r="F48" s="19">
        <v>18.0</v>
      </c>
      <c r="G48" s="19">
        <v>18.0</v>
      </c>
      <c r="H48" s="19">
        <v>17.0</v>
      </c>
      <c r="I48" s="19">
        <v>15.0</v>
      </c>
      <c r="J48" s="19">
        <v>17.0</v>
      </c>
      <c r="K48" s="19">
        <v>17.0</v>
      </c>
      <c r="L48" s="19">
        <v>9.0</v>
      </c>
      <c r="M48" s="19">
        <v>19.0</v>
      </c>
      <c r="N48" s="19">
        <v>14.0</v>
      </c>
      <c r="O48" s="19">
        <v>10.0</v>
      </c>
      <c r="P48" s="19">
        <v>13.0</v>
      </c>
      <c r="Q48" s="19">
        <v>17.0</v>
      </c>
      <c r="R48" s="19">
        <v>27.0</v>
      </c>
      <c r="S48" s="19">
        <v>14.0</v>
      </c>
      <c r="T48" s="19">
        <v>10.0</v>
      </c>
      <c r="U48" s="19">
        <v>10.0</v>
      </c>
      <c r="V48" s="19">
        <v>9.0</v>
      </c>
      <c r="W48" s="19">
        <v>20.0</v>
      </c>
      <c r="X48" s="19">
        <v>16.0</v>
      </c>
      <c r="Y48" s="19">
        <v>20.0</v>
      </c>
      <c r="Z48" s="19">
        <v>16.0</v>
      </c>
      <c r="AA48" s="19">
        <v>15.0</v>
      </c>
      <c r="AB48" s="19">
        <v>16.0</v>
      </c>
      <c r="AC48" s="19">
        <v>18.0</v>
      </c>
      <c r="AD48" s="19">
        <v>18.0</v>
      </c>
      <c r="AE48" s="13">
        <f t="shared" si="14"/>
        <v>400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7.0</v>
      </c>
      <c r="F49" s="19">
        <v>15.0</v>
      </c>
      <c r="G49" s="19">
        <v>10.0</v>
      </c>
      <c r="H49" s="19">
        <v>18.0</v>
      </c>
      <c r="I49" s="19">
        <v>20.0</v>
      </c>
      <c r="J49" s="19">
        <v>34.0</v>
      </c>
      <c r="K49" s="19">
        <v>25.0</v>
      </c>
      <c r="L49" s="19">
        <v>19.0</v>
      </c>
      <c r="M49" s="19">
        <v>16.0</v>
      </c>
      <c r="N49" s="19">
        <v>14.0</v>
      </c>
      <c r="O49" s="19">
        <v>20.0</v>
      </c>
      <c r="P49" s="19">
        <v>17.0</v>
      </c>
      <c r="Q49" s="19">
        <v>18.0</v>
      </c>
      <c r="R49" s="19">
        <v>22.0</v>
      </c>
      <c r="S49" s="19">
        <v>7.0</v>
      </c>
      <c r="T49" s="19">
        <v>15.0</v>
      </c>
      <c r="U49" s="19">
        <v>17.0</v>
      </c>
      <c r="V49" s="19">
        <v>15.0</v>
      </c>
      <c r="W49" s="19">
        <v>21.0</v>
      </c>
      <c r="X49" s="19">
        <v>11.0</v>
      </c>
      <c r="Y49" s="19">
        <v>22.0</v>
      </c>
      <c r="Z49" s="19">
        <v>17.0</v>
      </c>
      <c r="AA49" s="19">
        <v>9.0</v>
      </c>
      <c r="AB49" s="19">
        <v>18.0</v>
      </c>
      <c r="AC49" s="19">
        <v>24.0</v>
      </c>
      <c r="AD49" s="19">
        <v>11.0</v>
      </c>
      <c r="AE49" s="13">
        <f t="shared" si="14"/>
        <v>442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13.0</v>
      </c>
      <c r="F50" s="19">
        <v>8.0</v>
      </c>
      <c r="G50" s="19">
        <v>5.0</v>
      </c>
      <c r="H50" s="19">
        <v>10.0</v>
      </c>
      <c r="I50" s="19">
        <v>17.0</v>
      </c>
      <c r="J50" s="19">
        <v>15.0</v>
      </c>
      <c r="K50" s="19">
        <v>19.0</v>
      </c>
      <c r="L50" s="19">
        <v>12.0</v>
      </c>
      <c r="M50" s="19">
        <v>12.0</v>
      </c>
      <c r="N50" s="19">
        <v>10.0</v>
      </c>
      <c r="O50" s="19">
        <v>22.0</v>
      </c>
      <c r="P50" s="19">
        <v>17.0</v>
      </c>
      <c r="Q50" s="19">
        <v>14.0</v>
      </c>
      <c r="R50" s="19">
        <v>15.0</v>
      </c>
      <c r="S50" s="19">
        <v>12.0</v>
      </c>
      <c r="T50" s="19">
        <v>9.0</v>
      </c>
      <c r="U50" s="19">
        <v>18.0</v>
      </c>
      <c r="V50" s="19">
        <v>17.0</v>
      </c>
      <c r="W50" s="19">
        <v>16.0</v>
      </c>
      <c r="X50" s="19">
        <v>15.0</v>
      </c>
      <c r="Y50" s="19">
        <v>10.0</v>
      </c>
      <c r="Z50" s="19">
        <v>14.0</v>
      </c>
      <c r="AA50" s="19">
        <v>9.0</v>
      </c>
      <c r="AB50" s="19">
        <v>15.0</v>
      </c>
      <c r="AC50" s="19">
        <v>12.0</v>
      </c>
      <c r="AD50" s="19">
        <v>6.0</v>
      </c>
      <c r="AE50" s="13">
        <f t="shared" si="14"/>
        <v>342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0.0</v>
      </c>
      <c r="F51" s="19">
        <v>6.0</v>
      </c>
      <c r="G51" s="19">
        <v>1.0</v>
      </c>
      <c r="H51" s="19">
        <v>2.0</v>
      </c>
      <c r="I51" s="19">
        <v>4.0</v>
      </c>
      <c r="J51" s="19">
        <v>3.0</v>
      </c>
      <c r="K51" s="19">
        <v>4.0</v>
      </c>
      <c r="L51" s="19">
        <v>0.0</v>
      </c>
      <c r="M51" s="19">
        <v>2.0</v>
      </c>
      <c r="N51" s="19">
        <v>0.0</v>
      </c>
      <c r="O51" s="19">
        <v>0.0</v>
      </c>
      <c r="P51" s="19">
        <v>1.0</v>
      </c>
      <c r="Q51" s="19">
        <v>1.0</v>
      </c>
      <c r="R51" s="19">
        <v>1.0</v>
      </c>
      <c r="S51" s="19">
        <v>1.0</v>
      </c>
      <c r="T51" s="19">
        <v>2.0</v>
      </c>
      <c r="U51" s="19">
        <v>2.0</v>
      </c>
      <c r="V51" s="19">
        <v>5.0</v>
      </c>
      <c r="W51" s="19">
        <v>3.0</v>
      </c>
      <c r="X51" s="19">
        <v>2.0</v>
      </c>
      <c r="Y51" s="19">
        <v>6.0</v>
      </c>
      <c r="Z51" s="19">
        <v>1.0</v>
      </c>
      <c r="AA51" s="19">
        <v>1.0</v>
      </c>
      <c r="AB51" s="19">
        <v>2.0</v>
      </c>
      <c r="AC51" s="19">
        <v>2.0</v>
      </c>
      <c r="AD51" s="19">
        <v>3.0</v>
      </c>
      <c r="AE51" s="13">
        <f t="shared" si="14"/>
        <v>55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1.0</v>
      </c>
      <c r="F52" s="19">
        <v>0.0</v>
      </c>
      <c r="G52" s="19">
        <v>2.0</v>
      </c>
      <c r="H52" s="19">
        <v>0.0</v>
      </c>
      <c r="I52" s="19">
        <v>2.0</v>
      </c>
      <c r="J52" s="19">
        <v>2.0</v>
      </c>
      <c r="K52" s="19">
        <v>2.0</v>
      </c>
      <c r="L52" s="19">
        <v>2.0</v>
      </c>
      <c r="M52" s="19">
        <v>1.0</v>
      </c>
      <c r="N52" s="19">
        <v>2.0</v>
      </c>
      <c r="O52" s="19">
        <v>1.0</v>
      </c>
      <c r="P52" s="19">
        <v>1.0</v>
      </c>
      <c r="Q52" s="19">
        <v>1.0</v>
      </c>
      <c r="R52" s="19">
        <v>0.0</v>
      </c>
      <c r="S52" s="19">
        <v>0.0</v>
      </c>
      <c r="T52" s="19">
        <v>7.0</v>
      </c>
      <c r="U52" s="19">
        <v>1.0</v>
      </c>
      <c r="V52" s="19">
        <v>1.0</v>
      </c>
      <c r="W52" s="19">
        <v>1.0</v>
      </c>
      <c r="X52" s="19">
        <v>2.0</v>
      </c>
      <c r="Y52" s="19">
        <v>1.0</v>
      </c>
      <c r="Z52" s="19">
        <v>4.0</v>
      </c>
      <c r="AA52" s="19">
        <v>2.0</v>
      </c>
      <c r="AB52" s="19">
        <v>1.0</v>
      </c>
      <c r="AC52" s="19">
        <v>2.0</v>
      </c>
      <c r="AD52" s="19">
        <v>0.0</v>
      </c>
      <c r="AE52" s="13">
        <f t="shared" si="14"/>
        <v>39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0.0</v>
      </c>
      <c r="F53" s="19">
        <v>0.0</v>
      </c>
      <c r="G53" s="19">
        <v>1.0</v>
      </c>
      <c r="H53" s="19">
        <v>1.0</v>
      </c>
      <c r="I53" s="19">
        <v>1.0</v>
      </c>
      <c r="J53" s="19">
        <v>0.0</v>
      </c>
      <c r="K53" s="19">
        <v>0.0</v>
      </c>
      <c r="L53" s="19">
        <v>2.0</v>
      </c>
      <c r="M53" s="19">
        <v>0.0</v>
      </c>
      <c r="N53" s="19">
        <v>0.0</v>
      </c>
      <c r="O53" s="19">
        <v>0.0</v>
      </c>
      <c r="P53" s="19">
        <v>0.0</v>
      </c>
      <c r="Q53" s="19">
        <v>2.0</v>
      </c>
      <c r="R53" s="19">
        <v>0.0</v>
      </c>
      <c r="S53" s="19">
        <v>1.0</v>
      </c>
      <c r="T53" s="19">
        <v>1.0</v>
      </c>
      <c r="U53" s="19">
        <v>0.0</v>
      </c>
      <c r="V53" s="19">
        <v>1.0</v>
      </c>
      <c r="W53" s="19">
        <v>0.0</v>
      </c>
      <c r="X53" s="19">
        <v>1.0</v>
      </c>
      <c r="Y53" s="19">
        <v>0.0</v>
      </c>
      <c r="Z53" s="19">
        <v>0.0</v>
      </c>
      <c r="AA53" s="19">
        <v>1.0</v>
      </c>
      <c r="AB53" s="19">
        <v>1.0</v>
      </c>
      <c r="AC53" s="19">
        <v>0.0</v>
      </c>
      <c r="AD53" s="19">
        <v>1.0</v>
      </c>
      <c r="AE53" s="13">
        <f t="shared" si="14"/>
        <v>14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7.0</v>
      </c>
      <c r="F54" s="19">
        <v>13.0</v>
      </c>
      <c r="G54" s="19">
        <v>16.0</v>
      </c>
      <c r="H54" s="19">
        <v>20.0</v>
      </c>
      <c r="I54" s="19">
        <v>12.0</v>
      </c>
      <c r="J54" s="19">
        <v>15.0</v>
      </c>
      <c r="K54" s="19">
        <v>25.0</v>
      </c>
      <c r="L54" s="19">
        <v>16.0</v>
      </c>
      <c r="M54" s="19">
        <v>6.0</v>
      </c>
      <c r="N54" s="19">
        <v>17.0</v>
      </c>
      <c r="O54" s="19">
        <v>20.0</v>
      </c>
      <c r="P54" s="19">
        <v>16.0</v>
      </c>
      <c r="Q54" s="19">
        <v>17.0</v>
      </c>
      <c r="R54" s="19">
        <v>14.0</v>
      </c>
      <c r="S54" s="19">
        <v>25.0</v>
      </c>
      <c r="T54" s="19">
        <v>10.0</v>
      </c>
      <c r="U54" s="19">
        <v>22.0</v>
      </c>
      <c r="V54" s="19">
        <v>9.0</v>
      </c>
      <c r="W54" s="19">
        <v>16.0</v>
      </c>
      <c r="X54" s="19">
        <v>24.0</v>
      </c>
      <c r="Y54" s="19">
        <v>18.0</v>
      </c>
      <c r="Z54" s="19">
        <v>18.0</v>
      </c>
      <c r="AA54" s="19">
        <v>14.0</v>
      </c>
      <c r="AB54" s="19">
        <v>5.0</v>
      </c>
      <c r="AC54" s="19">
        <v>16.0</v>
      </c>
      <c r="AD54" s="19">
        <v>20.0</v>
      </c>
      <c r="AE54" s="13">
        <f t="shared" si="14"/>
        <v>411</v>
      </c>
    </row>
    <row r="55" ht="15.0" customHeight="1">
      <c r="A55" s="18"/>
      <c r="B55" s="49" t="s">
        <v>54</v>
      </c>
      <c r="C55" s="62" t="s">
        <v>55</v>
      </c>
      <c r="D55" s="16"/>
      <c r="E55" s="19">
        <v>1.0</v>
      </c>
      <c r="F55" s="19">
        <v>2.0</v>
      </c>
      <c r="G55" s="19">
        <v>1.0</v>
      </c>
      <c r="H55" s="19">
        <v>0.0</v>
      </c>
      <c r="I55" s="19">
        <v>2.0</v>
      </c>
      <c r="J55" s="19">
        <v>0.0</v>
      </c>
      <c r="K55" s="19">
        <v>1.0</v>
      </c>
      <c r="L55" s="19">
        <v>2.0</v>
      </c>
      <c r="M55" s="19">
        <v>2.0</v>
      </c>
      <c r="N55" s="19">
        <v>1.0</v>
      </c>
      <c r="O55" s="19">
        <v>1.0</v>
      </c>
      <c r="P55" s="19">
        <v>0.0</v>
      </c>
      <c r="Q55" s="19">
        <v>0.0</v>
      </c>
      <c r="R55" s="19">
        <v>2.0</v>
      </c>
      <c r="S55" s="19">
        <v>3.0</v>
      </c>
      <c r="T55" s="19">
        <v>1.0</v>
      </c>
      <c r="U55" s="19">
        <v>2.0</v>
      </c>
      <c r="V55" s="19">
        <v>1.0</v>
      </c>
      <c r="W55" s="19">
        <v>0.0</v>
      </c>
      <c r="X55" s="19">
        <v>3.0</v>
      </c>
      <c r="Y55" s="19">
        <v>0.0</v>
      </c>
      <c r="Z55" s="19">
        <v>0.0</v>
      </c>
      <c r="AA55" s="19">
        <v>0.0</v>
      </c>
      <c r="AB55" s="19">
        <v>2.0</v>
      </c>
      <c r="AC55" s="19">
        <v>2.0</v>
      </c>
      <c r="AD55" s="19">
        <v>1.0</v>
      </c>
      <c r="AE55" s="13">
        <f t="shared" si="14"/>
        <v>30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16.0</v>
      </c>
      <c r="F56" s="19">
        <v>13.0</v>
      </c>
      <c r="G56" s="19">
        <v>12.0</v>
      </c>
      <c r="H56" s="19">
        <v>13.0</v>
      </c>
      <c r="I56" s="19">
        <v>17.0</v>
      </c>
      <c r="J56" s="19">
        <v>22.0</v>
      </c>
      <c r="K56" s="19">
        <v>11.0</v>
      </c>
      <c r="L56" s="19">
        <v>25.0</v>
      </c>
      <c r="M56" s="19">
        <v>31.0</v>
      </c>
      <c r="N56" s="19">
        <v>67.0</v>
      </c>
      <c r="O56" s="19">
        <v>33.0</v>
      </c>
      <c r="P56" s="19">
        <v>26.0</v>
      </c>
      <c r="Q56" s="19">
        <v>15.0</v>
      </c>
      <c r="R56" s="19">
        <v>27.0</v>
      </c>
      <c r="S56" s="19">
        <v>19.0</v>
      </c>
      <c r="T56" s="19">
        <v>20.0</v>
      </c>
      <c r="U56" s="19">
        <v>14.0</v>
      </c>
      <c r="V56" s="19">
        <v>12.0</v>
      </c>
      <c r="W56" s="19">
        <v>15.0</v>
      </c>
      <c r="X56" s="19">
        <v>19.0</v>
      </c>
      <c r="Y56" s="19">
        <v>18.0</v>
      </c>
      <c r="Z56" s="19">
        <v>18.0</v>
      </c>
      <c r="AA56" s="19">
        <v>15.0</v>
      </c>
      <c r="AB56" s="19">
        <v>19.0</v>
      </c>
      <c r="AC56" s="19">
        <v>20.0</v>
      </c>
      <c r="AD56" s="19">
        <v>25.0</v>
      </c>
      <c r="AE56" s="13">
        <f t="shared" si="14"/>
        <v>542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0.0</v>
      </c>
      <c r="F57" s="19">
        <v>5.0</v>
      </c>
      <c r="G57" s="19">
        <v>1.0</v>
      </c>
      <c r="H57" s="19">
        <v>3.0</v>
      </c>
      <c r="I57" s="19">
        <v>3.0</v>
      </c>
      <c r="J57" s="19">
        <v>2.0</v>
      </c>
      <c r="K57" s="19">
        <v>0.0</v>
      </c>
      <c r="L57" s="19">
        <v>1.0</v>
      </c>
      <c r="M57" s="19">
        <v>1.0</v>
      </c>
      <c r="N57" s="19">
        <v>2.0</v>
      </c>
      <c r="O57" s="19">
        <v>2.0</v>
      </c>
      <c r="P57" s="19">
        <v>0.0</v>
      </c>
      <c r="Q57" s="19">
        <v>1.0</v>
      </c>
      <c r="R57" s="19">
        <v>1.0</v>
      </c>
      <c r="S57" s="19">
        <v>2.0</v>
      </c>
      <c r="T57" s="19">
        <v>2.0</v>
      </c>
      <c r="U57" s="19">
        <v>2.0</v>
      </c>
      <c r="V57" s="19">
        <v>0.0</v>
      </c>
      <c r="W57" s="19">
        <v>3.0</v>
      </c>
      <c r="X57" s="19">
        <v>4.0</v>
      </c>
      <c r="Y57" s="19">
        <v>6.0</v>
      </c>
      <c r="Z57" s="19">
        <v>3.0</v>
      </c>
      <c r="AA57" s="19">
        <v>0.0</v>
      </c>
      <c r="AB57" s="19">
        <v>2.0</v>
      </c>
      <c r="AC57" s="19">
        <v>4.0</v>
      </c>
      <c r="AD57" s="19">
        <v>3.0</v>
      </c>
      <c r="AE57" s="13">
        <f t="shared" si="14"/>
        <v>53</v>
      </c>
    </row>
    <row r="58" ht="12.75" customHeight="1">
      <c r="AE58" s="13"/>
    </row>
    <row r="59" ht="12.75" customHeight="1">
      <c r="A59" s="44" t="s">
        <v>60</v>
      </c>
      <c r="B59" s="14" t="s">
        <v>61</v>
      </c>
      <c r="C59" s="15"/>
      <c r="D59" s="16"/>
      <c r="E59" s="63" t="s">
        <v>70</v>
      </c>
      <c r="F59" s="63" t="s">
        <v>71</v>
      </c>
      <c r="G59" s="63" t="s">
        <v>72</v>
      </c>
      <c r="H59" s="63" t="s">
        <v>73</v>
      </c>
      <c r="I59" s="63" t="s">
        <v>74</v>
      </c>
      <c r="J59" s="63" t="s">
        <v>75</v>
      </c>
      <c r="K59" s="63" t="s">
        <v>77</v>
      </c>
      <c r="L59" s="63" t="s">
        <v>78</v>
      </c>
      <c r="M59" s="63" t="s">
        <v>79</v>
      </c>
      <c r="N59" s="63" t="s">
        <v>81</v>
      </c>
      <c r="O59" s="63" t="s">
        <v>82</v>
      </c>
      <c r="P59" s="63" t="s">
        <v>83</v>
      </c>
      <c r="Q59" s="63" t="s">
        <v>84</v>
      </c>
      <c r="R59" s="63" t="s">
        <v>86</v>
      </c>
      <c r="S59" s="63" t="s">
        <v>87</v>
      </c>
      <c r="T59" s="63" t="s">
        <v>88</v>
      </c>
      <c r="U59" s="63" t="s">
        <v>89</v>
      </c>
      <c r="V59" s="63" t="s">
        <v>90</v>
      </c>
      <c r="W59" s="63" t="s">
        <v>91</v>
      </c>
      <c r="X59" s="63" t="s">
        <v>97</v>
      </c>
      <c r="Y59" s="63" t="s">
        <v>98</v>
      </c>
      <c r="Z59" s="63" t="s">
        <v>99</v>
      </c>
      <c r="AA59" s="63" t="s">
        <v>100</v>
      </c>
      <c r="AB59" s="63" t="s">
        <v>101</v>
      </c>
      <c r="AC59" s="63" t="s">
        <v>102</v>
      </c>
      <c r="AD59" s="63" t="s">
        <v>103</v>
      </c>
      <c r="AE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AD60" si="15">SUM(E45:E57)</f>
        <v>97</v>
      </c>
      <c r="F60" s="19">
        <f t="shared" si="15"/>
        <v>132</v>
      </c>
      <c r="G60" s="19">
        <f t="shared" si="15"/>
        <v>111</v>
      </c>
      <c r="H60" s="19">
        <f t="shared" si="15"/>
        <v>132</v>
      </c>
      <c r="I60" s="19">
        <f t="shared" si="15"/>
        <v>156</v>
      </c>
      <c r="J60" s="19">
        <f t="shared" si="15"/>
        <v>160</v>
      </c>
      <c r="K60" s="19">
        <f t="shared" si="15"/>
        <v>165</v>
      </c>
      <c r="L60" s="19">
        <f t="shared" si="15"/>
        <v>157</v>
      </c>
      <c r="M60" s="19">
        <f t="shared" si="15"/>
        <v>140</v>
      </c>
      <c r="N60" s="19">
        <f t="shared" si="15"/>
        <v>181</v>
      </c>
      <c r="O60" s="19">
        <f t="shared" si="15"/>
        <v>174</v>
      </c>
      <c r="P60" s="19">
        <f t="shared" si="15"/>
        <v>168</v>
      </c>
      <c r="Q60" s="19">
        <f t="shared" si="15"/>
        <v>172</v>
      </c>
      <c r="R60" s="19">
        <f t="shared" si="15"/>
        <v>166</v>
      </c>
      <c r="S60" s="19">
        <f t="shared" si="15"/>
        <v>145</v>
      </c>
      <c r="T60" s="19">
        <f t="shared" si="15"/>
        <v>129</v>
      </c>
      <c r="U60" s="19">
        <f t="shared" si="15"/>
        <v>146</v>
      </c>
      <c r="V60" s="19">
        <f t="shared" si="15"/>
        <v>142</v>
      </c>
      <c r="W60" s="19">
        <f t="shared" si="15"/>
        <v>167</v>
      </c>
      <c r="X60" s="19">
        <f t="shared" si="15"/>
        <v>177</v>
      </c>
      <c r="Y60" s="19">
        <f t="shared" si="15"/>
        <v>175</v>
      </c>
      <c r="Z60" s="19">
        <f t="shared" si="15"/>
        <v>154</v>
      </c>
      <c r="AA60" s="19">
        <f t="shared" si="15"/>
        <v>158</v>
      </c>
      <c r="AB60" s="19">
        <f t="shared" si="15"/>
        <v>145</v>
      </c>
      <c r="AC60" s="19">
        <f t="shared" si="15"/>
        <v>163</v>
      </c>
      <c r="AD60" s="19">
        <f t="shared" si="15"/>
        <v>169</v>
      </c>
      <c r="AE60" s="13">
        <f t="shared" ref="AE60:AE62" si="16">SUM(E60:AD60)</f>
        <v>3981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38.0</v>
      </c>
      <c r="F61" s="19">
        <v>66.0</v>
      </c>
      <c r="G61" s="19">
        <v>108.0</v>
      </c>
      <c r="H61" s="19">
        <v>86.0</v>
      </c>
      <c r="I61" s="19">
        <v>61.0</v>
      </c>
      <c r="J61" s="19">
        <v>50.0</v>
      </c>
      <c r="K61" s="19">
        <v>49.0</v>
      </c>
      <c r="L61" s="19">
        <v>49.0</v>
      </c>
      <c r="M61" s="19">
        <v>36.0</v>
      </c>
      <c r="N61" s="19">
        <v>39.0</v>
      </c>
      <c r="O61" s="19">
        <v>51.0</v>
      </c>
      <c r="P61" s="19">
        <v>38.0</v>
      </c>
      <c r="Q61" s="19">
        <v>45.0</v>
      </c>
      <c r="R61" s="19">
        <v>38.0</v>
      </c>
      <c r="S61" s="19">
        <v>83.0</v>
      </c>
      <c r="T61" s="19">
        <v>92.0</v>
      </c>
      <c r="U61" s="19">
        <v>47.0</v>
      </c>
      <c r="V61" s="19">
        <v>65.0</v>
      </c>
      <c r="W61" s="19">
        <v>32.0</v>
      </c>
      <c r="X61" s="19">
        <v>21.0</v>
      </c>
      <c r="Y61" s="19">
        <v>12.0</v>
      </c>
      <c r="Z61" s="19">
        <v>34.0</v>
      </c>
      <c r="AA61" s="19">
        <v>18.0</v>
      </c>
      <c r="AB61" s="19">
        <v>72.0</v>
      </c>
      <c r="AC61" s="19">
        <v>44.0</v>
      </c>
      <c r="AD61" s="19">
        <v>30.0</v>
      </c>
      <c r="AE61" s="13">
        <f t="shared" si="16"/>
        <v>1304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AD62" si="17">SUM(E60:E61)</f>
        <v>135</v>
      </c>
      <c r="F62" s="13">
        <f t="shared" si="17"/>
        <v>198</v>
      </c>
      <c r="G62" s="13">
        <f t="shared" si="17"/>
        <v>219</v>
      </c>
      <c r="H62" s="13">
        <f t="shared" si="17"/>
        <v>218</v>
      </c>
      <c r="I62" s="13">
        <f t="shared" si="17"/>
        <v>217</v>
      </c>
      <c r="J62" s="13">
        <f t="shared" si="17"/>
        <v>210</v>
      </c>
      <c r="K62" s="13">
        <f t="shared" si="17"/>
        <v>214</v>
      </c>
      <c r="L62" s="13">
        <f t="shared" si="17"/>
        <v>206</v>
      </c>
      <c r="M62" s="13">
        <f t="shared" si="17"/>
        <v>176</v>
      </c>
      <c r="N62" s="13">
        <f t="shared" si="17"/>
        <v>220</v>
      </c>
      <c r="O62" s="13">
        <f t="shared" si="17"/>
        <v>225</v>
      </c>
      <c r="P62" s="13">
        <f t="shared" si="17"/>
        <v>206</v>
      </c>
      <c r="Q62" s="13">
        <f t="shared" si="17"/>
        <v>217</v>
      </c>
      <c r="R62" s="13">
        <f t="shared" si="17"/>
        <v>204</v>
      </c>
      <c r="S62" s="13">
        <f t="shared" si="17"/>
        <v>228</v>
      </c>
      <c r="T62" s="13">
        <f t="shared" si="17"/>
        <v>221</v>
      </c>
      <c r="U62" s="13">
        <f t="shared" si="17"/>
        <v>193</v>
      </c>
      <c r="V62" s="13">
        <f t="shared" si="17"/>
        <v>207</v>
      </c>
      <c r="W62" s="13">
        <f t="shared" si="17"/>
        <v>199</v>
      </c>
      <c r="X62" s="13">
        <f t="shared" si="17"/>
        <v>198</v>
      </c>
      <c r="Y62" s="13">
        <f t="shared" si="17"/>
        <v>187</v>
      </c>
      <c r="Z62" s="13">
        <f t="shared" si="17"/>
        <v>188</v>
      </c>
      <c r="AA62" s="13">
        <f t="shared" si="17"/>
        <v>176</v>
      </c>
      <c r="AB62" s="13">
        <f t="shared" si="17"/>
        <v>217</v>
      </c>
      <c r="AC62" s="13">
        <f t="shared" si="17"/>
        <v>207</v>
      </c>
      <c r="AD62" s="13">
        <f t="shared" si="17"/>
        <v>199</v>
      </c>
      <c r="AE62" s="13">
        <f t="shared" si="16"/>
        <v>5285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G117" s="5"/>
    </row>
    <row r="118" ht="12.75" customHeight="1">
      <c r="AG118" s="5"/>
    </row>
    <row r="119" ht="12.75" customHeight="1">
      <c r="AG119" s="5"/>
    </row>
    <row r="120" ht="12.75" customHeight="1">
      <c r="AG120" s="5"/>
    </row>
    <row r="121" ht="12.75" customHeight="1">
      <c r="AG121" s="5"/>
    </row>
    <row r="122" ht="12.75" customHeight="1">
      <c r="AG122" s="5"/>
    </row>
    <row r="123" ht="12.75" customHeight="1">
      <c r="AG123" s="5"/>
    </row>
    <row r="124" ht="12.75" customHeight="1">
      <c r="AG124" s="5"/>
    </row>
    <row r="125" ht="12.75" customHeight="1">
      <c r="AG125" s="5"/>
    </row>
    <row r="126" ht="12.75" customHeight="1">
      <c r="AG126" s="5"/>
    </row>
    <row r="127" ht="12.75" customHeight="1">
      <c r="AG127" s="5"/>
    </row>
    <row r="128" ht="12.75" customHeight="1">
      <c r="AG128" s="5"/>
    </row>
    <row r="129" ht="12.75" customHeight="1">
      <c r="AG129" s="5"/>
    </row>
    <row r="130" ht="12.75" customHeight="1">
      <c r="AG130" s="1"/>
    </row>
    <row r="131" ht="12.75" customHeight="1">
      <c r="AG131" s="52"/>
    </row>
    <row r="132" ht="12.75" customHeight="1">
      <c r="AG132" s="5"/>
    </row>
    <row r="133" ht="12.75" customHeight="1">
      <c r="AG133" s="5"/>
    </row>
    <row r="134" ht="12.75" customHeight="1">
      <c r="AG134" s="5"/>
    </row>
    <row r="135" ht="12.75" customHeight="1">
      <c r="AG135" s="5"/>
    </row>
    <row r="136" ht="12.75" customHeight="1">
      <c r="AG136" s="5"/>
    </row>
    <row r="137" ht="12.75" customHeight="1">
      <c r="AG137" s="5"/>
    </row>
    <row r="138" ht="12.75" customHeight="1">
      <c r="AG138" s="5"/>
    </row>
    <row r="139" ht="12.75" customHeight="1">
      <c r="AG139" s="5"/>
    </row>
    <row r="140" ht="12.75" customHeight="1">
      <c r="AG140" s="5"/>
    </row>
    <row r="141" ht="12.75" customHeight="1">
      <c r="AG141" s="1"/>
    </row>
    <row r="142" ht="12.75" customHeight="1">
      <c r="AG142" s="52"/>
    </row>
    <row r="143" ht="12.75" customHeight="1">
      <c r="AG143" s="5"/>
    </row>
    <row r="144" ht="12.75" customHeight="1">
      <c r="AG144" s="5"/>
    </row>
    <row r="145" ht="12.75" customHeight="1">
      <c r="AG145" s="5"/>
    </row>
    <row r="146" ht="12.75" customHeight="1">
      <c r="AG146" s="5"/>
    </row>
    <row r="147" ht="12.75" customHeight="1">
      <c r="AG147" s="5"/>
    </row>
    <row r="148" ht="12.75" customHeight="1">
      <c r="AG148" s="5"/>
    </row>
    <row r="149" ht="12.75" customHeight="1">
      <c r="AG149" s="5"/>
    </row>
    <row r="150" ht="12.75" customHeight="1">
      <c r="AG150" s="5"/>
    </row>
    <row r="151" ht="12.75" customHeight="1">
      <c r="AG151" s="1"/>
    </row>
    <row r="152" ht="12.75" customHeight="1">
      <c r="AG152" s="52"/>
    </row>
    <row r="153" ht="12.75" customHeight="1">
      <c r="AG153" s="5"/>
    </row>
    <row r="154" ht="12.75" customHeight="1">
      <c r="AG154" s="5"/>
    </row>
    <row r="155" ht="12.75" customHeight="1">
      <c r="AG155" s="5"/>
    </row>
    <row r="156" ht="12.75" customHeight="1">
      <c r="AG156" s="5"/>
    </row>
    <row r="157" ht="12.75" customHeight="1">
      <c r="AG157" s="5"/>
    </row>
    <row r="158" ht="12.75" customHeight="1">
      <c r="AG158" s="5"/>
    </row>
    <row r="159" ht="12.75" customHeight="1">
      <c r="AG159" s="5"/>
    </row>
    <row r="160" ht="12.75" customHeight="1">
      <c r="AG160" s="5"/>
    </row>
    <row r="161" ht="12.75" customHeight="1">
      <c r="AG161" s="5"/>
    </row>
    <row r="162" ht="12.75" customHeight="1">
      <c r="AG162" s="5"/>
    </row>
    <row r="163" ht="12.75" customHeight="1">
      <c r="AG163" s="5"/>
    </row>
    <row r="164" ht="12.75" customHeight="1">
      <c r="AG164" s="5"/>
    </row>
    <row r="165" ht="12.75" customHeight="1">
      <c r="AG165" s="1"/>
    </row>
    <row r="166" ht="12.75" customHeight="1">
      <c r="AG166" s="52"/>
    </row>
    <row r="167" ht="12.75" customHeight="1">
      <c r="AG167" s="5"/>
    </row>
    <row r="168" ht="12.75" customHeight="1">
      <c r="AG168" s="5"/>
    </row>
    <row r="169" ht="12.75" customHeight="1">
      <c r="AG169" s="5"/>
    </row>
    <row r="170" ht="12.75" customHeight="1">
      <c r="AG170" s="5"/>
    </row>
    <row r="171" ht="12.75" customHeight="1">
      <c r="AG171" s="5"/>
    </row>
    <row r="172" ht="12.75" customHeight="1">
      <c r="AG172" s="5"/>
    </row>
    <row r="173" ht="12.75" customHeight="1">
      <c r="AG173" s="5"/>
    </row>
    <row r="174" ht="12.75" customHeight="1">
      <c r="AG174" s="5"/>
    </row>
    <row r="175" ht="12.75" customHeight="1">
      <c r="AG175" s="5"/>
    </row>
    <row r="176" ht="12.75" customHeight="1">
      <c r="AG176" s="1"/>
    </row>
    <row r="177" ht="12.75" customHeight="1"/>
    <row r="178" ht="12.75" customHeight="1">
      <c r="AG178" s="5"/>
    </row>
    <row r="179" ht="12.75" customHeight="1">
      <c r="AG179" s="5"/>
    </row>
    <row r="180" ht="12.75" customHeight="1">
      <c r="AG180" s="5"/>
    </row>
    <row r="181" ht="12.75" customHeight="1">
      <c r="AG181" s="5"/>
    </row>
    <row r="182" ht="12.75" customHeight="1">
      <c r="AG182" s="5"/>
    </row>
    <row r="183" ht="12.75" customHeight="1">
      <c r="AG183" s="5"/>
    </row>
    <row r="184" ht="12.75" customHeight="1">
      <c r="AG184" s="5"/>
    </row>
    <row r="185" ht="12.75" customHeight="1">
      <c r="AG185" s="5"/>
    </row>
    <row r="186" ht="12.75" customHeight="1">
      <c r="AG186" s="5"/>
    </row>
    <row r="187" ht="12.75" customHeight="1">
      <c r="AG187" s="1"/>
    </row>
    <row r="188" ht="12.75" customHeight="1"/>
    <row r="189" ht="12.75" customHeight="1">
      <c r="AG189" s="5"/>
    </row>
    <row r="190" ht="12.75" customHeight="1">
      <c r="AG190" s="5"/>
    </row>
    <row r="191" ht="12.75" customHeight="1">
      <c r="AG191" s="5"/>
    </row>
    <row r="192" ht="12.75" customHeight="1">
      <c r="AG192" s="5"/>
    </row>
    <row r="193" ht="12.75" customHeight="1">
      <c r="AG193" s="5"/>
    </row>
    <row r="194" ht="12.75" customHeight="1">
      <c r="AG194" s="5"/>
    </row>
    <row r="195" ht="12.75" customHeight="1">
      <c r="AG195" s="5"/>
    </row>
    <row r="196" ht="12.75" customHeight="1">
      <c r="AG196" s="1"/>
    </row>
    <row r="197" ht="12.75" customHeight="1">
      <c r="AG197" s="1"/>
    </row>
    <row r="198" ht="12.75" customHeight="1">
      <c r="AG198" s="1"/>
    </row>
    <row r="199" ht="12.75" customHeight="1">
      <c r="AG199" s="52"/>
    </row>
    <row r="200" ht="12.75" customHeight="1">
      <c r="AG200" s="5"/>
    </row>
    <row r="201" ht="12.75" customHeight="1">
      <c r="AG201" s="5"/>
    </row>
    <row r="202" ht="12.75" customHeight="1">
      <c r="AG202" s="5"/>
    </row>
    <row r="203" ht="12.75" customHeight="1">
      <c r="AG203" s="5"/>
    </row>
    <row r="204" ht="12.75" customHeight="1">
      <c r="AG204" s="5"/>
    </row>
    <row r="205" ht="12.75" customHeight="1">
      <c r="AG205" s="5"/>
    </row>
    <row r="206" ht="12.75" customHeight="1">
      <c r="AG206" s="5"/>
    </row>
    <row r="207" ht="12.75" customHeight="1">
      <c r="AG207" s="1"/>
    </row>
    <row r="208" ht="12.75" customHeight="1">
      <c r="AG208" s="52"/>
    </row>
    <row r="209" ht="12.75" customHeight="1">
      <c r="AG209" s="52"/>
    </row>
    <row r="210" ht="12.75" customHeight="1">
      <c r="AG210" s="52"/>
    </row>
    <row r="211" ht="12.75" customHeight="1">
      <c r="AG211" s="5"/>
    </row>
    <row r="212" ht="12.75" customHeight="1">
      <c r="AG212" s="5"/>
    </row>
    <row r="213" ht="12.75" customHeight="1">
      <c r="AG213" s="5"/>
    </row>
    <row r="214" ht="12.75" customHeight="1">
      <c r="AG214" s="5"/>
    </row>
    <row r="215" ht="12.75" customHeight="1">
      <c r="AG215" s="5"/>
    </row>
    <row r="216" ht="12.75" customHeight="1">
      <c r="AG216" s="5"/>
    </row>
    <row r="217" ht="12.75" customHeight="1">
      <c r="AG217" s="5"/>
    </row>
    <row r="218" ht="12.75" customHeight="1">
      <c r="AG218" s="1"/>
    </row>
    <row r="219" ht="12.75" customHeight="1">
      <c r="AG219" s="52"/>
    </row>
    <row r="220" ht="12.75" customHeight="1">
      <c r="AG220" s="5"/>
    </row>
    <row r="221" ht="12.75" customHeight="1">
      <c r="AG221" s="5"/>
    </row>
    <row r="222" ht="12.75" customHeight="1">
      <c r="AG222" s="5"/>
    </row>
    <row r="223" ht="12.75" customHeight="1">
      <c r="AG223" s="5"/>
    </row>
    <row r="224" ht="12.75" customHeight="1">
      <c r="AG224" s="5"/>
    </row>
    <row r="225" ht="12.75" customHeight="1">
      <c r="AG225" s="5"/>
    </row>
    <row r="226" ht="12.75" customHeight="1">
      <c r="AG226" s="5"/>
    </row>
    <row r="227" ht="12.75" customHeight="1">
      <c r="AG227" s="5"/>
    </row>
    <row r="228" ht="12.75" customHeight="1">
      <c r="AG228" s="5"/>
    </row>
    <row r="229" ht="12.75" customHeight="1">
      <c r="AG229" s="1"/>
    </row>
    <row r="230" ht="12.75" customHeight="1">
      <c r="AG230" s="52"/>
    </row>
    <row r="231" ht="12.75" customHeight="1">
      <c r="AG231" s="5"/>
    </row>
    <row r="232" ht="12.75" customHeight="1">
      <c r="AG232" s="5"/>
    </row>
    <row r="233" ht="12.75" customHeight="1">
      <c r="AG233" s="5"/>
    </row>
    <row r="234" ht="12.75" customHeight="1">
      <c r="AG234" s="5"/>
    </row>
    <row r="235" ht="12.75" customHeight="1">
      <c r="AG235" s="5"/>
    </row>
    <row r="236" ht="12.75" customHeight="1">
      <c r="AG236" s="5"/>
    </row>
    <row r="237" ht="12.75" customHeight="1">
      <c r="AG237" s="5"/>
    </row>
    <row r="238" ht="12.75" customHeight="1">
      <c r="AG238" s="5"/>
    </row>
    <row r="239" ht="12.75" customHeight="1">
      <c r="AG239" s="5"/>
    </row>
    <row r="240" ht="12.75" customHeight="1">
      <c r="AG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D15">
    <cfRule type="containsBlanks" dxfId="1" priority="1">
      <formula>LEN(TRIM(E14))=0</formula>
    </cfRule>
  </conditionalFormatting>
  <conditionalFormatting sqref="E19:AD20">
    <cfRule type="containsBlanks" dxfId="1" priority="2">
      <formula>LEN(TRIM(E19))=0</formula>
    </cfRule>
  </conditionalFormatting>
  <conditionalFormatting sqref="E22:AD23 E25:AD26 E33:AD33 E35:AD35 E39:AD40">
    <cfRule type="containsBlanks" dxfId="1" priority="3">
      <formula>LEN(TRIM(E22))=0</formula>
    </cfRule>
  </conditionalFormatting>
  <conditionalFormatting sqref="E30:AD30">
    <cfRule type="expression" dxfId="0" priority="4">
      <formula>E30&lt;&gt;E47</formula>
    </cfRule>
  </conditionalFormatting>
  <conditionalFormatting sqref="E30:AD30">
    <cfRule type="expression" dxfId="0" priority="5">
      <formula>E30&lt;&gt;E34</formula>
    </cfRule>
  </conditionalFormatting>
  <conditionalFormatting sqref="E45:AD57">
    <cfRule type="containsBlanks" dxfId="1" priority="6">
      <formula>LEN(TRIM(E45))=0</formula>
    </cfRule>
  </conditionalFormatting>
  <conditionalFormatting sqref="E60:AD61">
    <cfRule type="containsBlanks" dxfId="1" priority="7">
      <formula>LEN(TRIM(E60))=0</formula>
    </cfRule>
  </conditionalFormatting>
  <conditionalFormatting sqref="E34:AD34">
    <cfRule type="expression" dxfId="2" priority="8">
      <formula>E30&lt;&gt;E34</formula>
    </cfRule>
  </conditionalFormatting>
  <conditionalFormatting sqref="E34:AD34">
    <cfRule type="expression" dxfId="3" priority="9">
      <formula>E30=E34</formula>
    </cfRule>
  </conditionalFormatting>
  <conditionalFormatting sqref="E34:AD34">
    <cfRule type="expression" dxfId="0" priority="10">
      <formula>E34&lt;&gt;E30</formula>
    </cfRule>
  </conditionalFormatting>
  <conditionalFormatting sqref="E34:AD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13" t="s">
        <v>79</v>
      </c>
      <c r="N13" s="13" t="s">
        <v>81</v>
      </c>
      <c r="O13" s="13" t="s">
        <v>82</v>
      </c>
      <c r="P13" s="13" t="s">
        <v>83</v>
      </c>
      <c r="Q13" s="13" t="s">
        <v>84</v>
      </c>
      <c r="R13" s="13" t="s">
        <v>86</v>
      </c>
      <c r="S13" s="13" t="s">
        <v>87</v>
      </c>
      <c r="T13" s="13" t="s">
        <v>88</v>
      </c>
      <c r="U13" s="13" t="s">
        <v>89</v>
      </c>
      <c r="V13" s="37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149.0</v>
      </c>
      <c r="G14" s="19">
        <v>146.0</v>
      </c>
      <c r="H14" s="19">
        <v>142.0</v>
      </c>
      <c r="I14" s="19">
        <v>149.0</v>
      </c>
      <c r="J14" s="19">
        <v>127.0</v>
      </c>
      <c r="K14" s="19">
        <v>131.0</v>
      </c>
      <c r="L14" s="19">
        <v>138.0</v>
      </c>
      <c r="M14" s="19">
        <v>144.0</v>
      </c>
      <c r="N14" s="19">
        <v>153.0</v>
      </c>
      <c r="O14" s="19">
        <v>138.0</v>
      </c>
      <c r="P14" s="19">
        <v>137.0</v>
      </c>
      <c r="Q14" s="19">
        <v>152.0</v>
      </c>
      <c r="R14" s="19">
        <v>140.0</v>
      </c>
      <c r="S14" s="19">
        <v>152.0</v>
      </c>
      <c r="T14" s="19">
        <v>147.0</v>
      </c>
      <c r="U14" s="19">
        <v>152.0</v>
      </c>
      <c r="V14" s="13">
        <f t="shared" ref="V14:V16" si="1">SUM(E14:U14)</f>
        <v>2440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144.0</v>
      </c>
      <c r="G15" s="19">
        <v>146.0</v>
      </c>
      <c r="H15" s="19">
        <v>137.0</v>
      </c>
      <c r="I15" s="19">
        <v>147.0</v>
      </c>
      <c r="J15" s="19">
        <v>129.0</v>
      </c>
      <c r="K15" s="19">
        <v>150.0</v>
      </c>
      <c r="L15" s="19">
        <v>142.0</v>
      </c>
      <c r="M15" s="19">
        <v>145.0</v>
      </c>
      <c r="N15" s="19">
        <v>121.0</v>
      </c>
      <c r="O15" s="19">
        <v>153.0</v>
      </c>
      <c r="P15" s="19">
        <v>132.0</v>
      </c>
      <c r="Q15" s="19">
        <v>143.0</v>
      </c>
      <c r="R15" s="19">
        <v>135.0</v>
      </c>
      <c r="S15" s="19">
        <v>140.0</v>
      </c>
      <c r="T15" s="19">
        <v>144.0</v>
      </c>
      <c r="U15" s="19">
        <v>145.0</v>
      </c>
      <c r="V15" s="13">
        <f t="shared" si="1"/>
        <v>2387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277</v>
      </c>
      <c r="F16" s="13">
        <f t="shared" si="2"/>
        <v>293</v>
      </c>
      <c r="G16" s="13">
        <f t="shared" si="2"/>
        <v>292</v>
      </c>
      <c r="H16" s="13">
        <f t="shared" si="2"/>
        <v>279</v>
      </c>
      <c r="I16" s="13">
        <f t="shared" si="2"/>
        <v>296</v>
      </c>
      <c r="J16" s="13">
        <f t="shared" si="2"/>
        <v>256</v>
      </c>
      <c r="K16" s="13">
        <f t="shared" si="2"/>
        <v>281</v>
      </c>
      <c r="L16" s="13">
        <f t="shared" si="2"/>
        <v>280</v>
      </c>
      <c r="M16" s="13">
        <f t="shared" si="2"/>
        <v>289</v>
      </c>
      <c r="N16" s="13">
        <f t="shared" si="2"/>
        <v>274</v>
      </c>
      <c r="O16" s="13">
        <f t="shared" si="2"/>
        <v>291</v>
      </c>
      <c r="P16" s="13">
        <f t="shared" si="2"/>
        <v>269</v>
      </c>
      <c r="Q16" s="13">
        <f t="shared" si="2"/>
        <v>295</v>
      </c>
      <c r="R16" s="13">
        <f t="shared" si="2"/>
        <v>275</v>
      </c>
      <c r="S16" s="13">
        <f t="shared" si="2"/>
        <v>292</v>
      </c>
      <c r="T16" s="13">
        <f t="shared" si="2"/>
        <v>291</v>
      </c>
      <c r="U16" s="13">
        <f t="shared" si="2"/>
        <v>297</v>
      </c>
      <c r="V16" s="13">
        <f t="shared" si="1"/>
        <v>4827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13" t="s">
        <v>77</v>
      </c>
      <c r="L18" s="13" t="s">
        <v>78</v>
      </c>
      <c r="M18" s="13" t="s">
        <v>79</v>
      </c>
      <c r="N18" s="13" t="s">
        <v>81</v>
      </c>
      <c r="O18" s="13" t="s">
        <v>82</v>
      </c>
      <c r="P18" s="13" t="s">
        <v>83</v>
      </c>
      <c r="Q18" s="13" t="s">
        <v>84</v>
      </c>
      <c r="R18" s="13" t="s">
        <v>86</v>
      </c>
      <c r="S18" s="13" t="s">
        <v>87</v>
      </c>
      <c r="T18" s="13" t="s">
        <v>88</v>
      </c>
      <c r="U18" s="13" t="s">
        <v>89</v>
      </c>
      <c r="V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100.0</v>
      </c>
      <c r="F19" s="19">
        <v>113.0</v>
      </c>
      <c r="G19" s="19">
        <v>125.0</v>
      </c>
      <c r="H19" s="19">
        <v>112.0</v>
      </c>
      <c r="I19" s="19">
        <v>102.0</v>
      </c>
      <c r="J19" s="19">
        <v>112.0</v>
      </c>
      <c r="K19" s="19">
        <v>96.0</v>
      </c>
      <c r="L19" s="19">
        <v>108.0</v>
      </c>
      <c r="M19" s="19">
        <v>108.0</v>
      </c>
      <c r="N19" s="19">
        <v>113.0</v>
      </c>
      <c r="O19" s="19">
        <v>115.0</v>
      </c>
      <c r="P19" s="19">
        <v>102.0</v>
      </c>
      <c r="Q19" s="19">
        <v>116.0</v>
      </c>
      <c r="R19" s="19">
        <v>101.0</v>
      </c>
      <c r="S19" s="19">
        <v>114.0</v>
      </c>
      <c r="T19" s="19">
        <v>95.0</v>
      </c>
      <c r="U19" s="19">
        <v>110.0</v>
      </c>
      <c r="V19" s="13">
        <f t="shared" ref="V19:V30" si="3">SUM(E19:U19)</f>
        <v>1842</v>
      </c>
    </row>
    <row r="20" ht="12.75" customHeight="1">
      <c r="A20" s="34"/>
      <c r="B20" s="27"/>
      <c r="C20" s="35"/>
      <c r="D20" s="19" t="s">
        <v>13</v>
      </c>
      <c r="E20" s="19">
        <v>106.0</v>
      </c>
      <c r="F20" s="19">
        <v>116.0</v>
      </c>
      <c r="G20" s="19">
        <v>132.0</v>
      </c>
      <c r="H20" s="19">
        <v>118.0</v>
      </c>
      <c r="I20" s="19">
        <v>123.0</v>
      </c>
      <c r="J20" s="19">
        <v>116.0</v>
      </c>
      <c r="K20" s="19">
        <v>124.0</v>
      </c>
      <c r="L20" s="19">
        <v>114.0</v>
      </c>
      <c r="M20" s="19">
        <v>121.0</v>
      </c>
      <c r="N20" s="19">
        <v>111.0</v>
      </c>
      <c r="O20" s="19">
        <v>138.0</v>
      </c>
      <c r="P20" s="19">
        <v>96.0</v>
      </c>
      <c r="Q20" s="19">
        <v>107.0</v>
      </c>
      <c r="R20" s="19">
        <v>102.0</v>
      </c>
      <c r="S20" s="19">
        <v>119.0</v>
      </c>
      <c r="T20" s="19">
        <v>127.0</v>
      </c>
      <c r="U20" s="19">
        <v>119.0</v>
      </c>
      <c r="V20" s="13">
        <f t="shared" si="3"/>
        <v>1989</v>
      </c>
    </row>
    <row r="21" ht="12.75" customHeight="1">
      <c r="A21" s="36"/>
      <c r="B21" s="28"/>
      <c r="C21" s="37"/>
      <c r="D21" s="13" t="s">
        <v>14</v>
      </c>
      <c r="E21" s="13">
        <f t="shared" ref="E21:U21" si="4">SUM(E19:E20)</f>
        <v>206</v>
      </c>
      <c r="F21" s="13">
        <f t="shared" si="4"/>
        <v>229</v>
      </c>
      <c r="G21" s="13">
        <f t="shared" si="4"/>
        <v>257</v>
      </c>
      <c r="H21" s="13">
        <f t="shared" si="4"/>
        <v>230</v>
      </c>
      <c r="I21" s="13">
        <f t="shared" si="4"/>
        <v>225</v>
      </c>
      <c r="J21" s="13">
        <f t="shared" si="4"/>
        <v>228</v>
      </c>
      <c r="K21" s="13">
        <f t="shared" si="4"/>
        <v>220</v>
      </c>
      <c r="L21" s="13">
        <f t="shared" si="4"/>
        <v>222</v>
      </c>
      <c r="M21" s="13">
        <f t="shared" si="4"/>
        <v>229</v>
      </c>
      <c r="N21" s="13">
        <f t="shared" si="4"/>
        <v>224</v>
      </c>
      <c r="O21" s="13">
        <f t="shared" si="4"/>
        <v>253</v>
      </c>
      <c r="P21" s="13">
        <f t="shared" si="4"/>
        <v>198</v>
      </c>
      <c r="Q21" s="13">
        <f t="shared" si="4"/>
        <v>223</v>
      </c>
      <c r="R21" s="13">
        <f t="shared" si="4"/>
        <v>203</v>
      </c>
      <c r="S21" s="13">
        <f t="shared" si="4"/>
        <v>233</v>
      </c>
      <c r="T21" s="13">
        <f t="shared" si="4"/>
        <v>222</v>
      </c>
      <c r="U21" s="13">
        <f t="shared" si="4"/>
        <v>229</v>
      </c>
      <c r="V21" s="13">
        <f t="shared" si="3"/>
        <v>3831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3.0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3.0</v>
      </c>
      <c r="O23" s="19">
        <v>9.0</v>
      </c>
      <c r="P23" s="19">
        <v>11.0</v>
      </c>
      <c r="Q23" s="19">
        <v>6.0</v>
      </c>
      <c r="R23" s="19">
        <v>2.0</v>
      </c>
      <c r="S23" s="19">
        <v>0.0</v>
      </c>
      <c r="T23" s="19">
        <v>0.0</v>
      </c>
      <c r="U23" s="19">
        <v>0.0</v>
      </c>
      <c r="V23" s="13">
        <f t="shared" si="3"/>
        <v>32</v>
      </c>
    </row>
    <row r="24" ht="12.75" customHeight="1">
      <c r="A24" s="36"/>
      <c r="B24" s="28"/>
      <c r="C24" s="37"/>
      <c r="D24" s="13" t="s">
        <v>14</v>
      </c>
      <c r="E24" s="13">
        <f t="shared" ref="E24:U24" si="5">SUM(E22:E23)</f>
        <v>4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9</v>
      </c>
      <c r="P24" s="13">
        <f t="shared" si="5"/>
        <v>11</v>
      </c>
      <c r="Q24" s="13">
        <f t="shared" si="5"/>
        <v>6</v>
      </c>
      <c r="R24" s="13">
        <f t="shared" si="5"/>
        <v>2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35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1.0</v>
      </c>
      <c r="I25" s="19">
        <v>0.0</v>
      </c>
      <c r="J25" s="19">
        <v>0.0</v>
      </c>
      <c r="K25" s="19">
        <v>0.0</v>
      </c>
      <c r="L25" s="19">
        <v>4.0</v>
      </c>
      <c r="M25" s="19">
        <v>0.0</v>
      </c>
      <c r="N25" s="19">
        <v>1.0</v>
      </c>
      <c r="O25" s="19">
        <v>0.0</v>
      </c>
      <c r="P25" s="19">
        <v>1.0</v>
      </c>
      <c r="Q25" s="19">
        <v>2.0</v>
      </c>
      <c r="R25" s="19">
        <v>0.0</v>
      </c>
      <c r="S25" s="19">
        <v>2.0</v>
      </c>
      <c r="T25" s="19">
        <v>0.0</v>
      </c>
      <c r="U25" s="19">
        <v>5.0</v>
      </c>
      <c r="V25" s="13">
        <f t="shared" si="3"/>
        <v>17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1.0</v>
      </c>
      <c r="H26" s="19">
        <v>2.0</v>
      </c>
      <c r="I26" s="19">
        <v>1.0</v>
      </c>
      <c r="J26" s="19">
        <v>1.0</v>
      </c>
      <c r="K26" s="19">
        <v>3.0</v>
      </c>
      <c r="L26" s="19">
        <v>1.0</v>
      </c>
      <c r="M26" s="19">
        <v>1.0</v>
      </c>
      <c r="N26" s="19">
        <v>1.0</v>
      </c>
      <c r="O26" s="19">
        <v>0.0</v>
      </c>
      <c r="P26" s="19">
        <v>2.0</v>
      </c>
      <c r="Q26" s="19">
        <v>2.0</v>
      </c>
      <c r="R26" s="19">
        <v>0.0</v>
      </c>
      <c r="S26" s="19">
        <v>0.0</v>
      </c>
      <c r="T26" s="19">
        <v>0.0</v>
      </c>
      <c r="U26" s="19">
        <v>5.0</v>
      </c>
      <c r="V26" s="13">
        <f t="shared" si="3"/>
        <v>20</v>
      </c>
    </row>
    <row r="27" ht="12.75" customHeight="1">
      <c r="A27" s="36"/>
      <c r="B27" s="28"/>
      <c r="C27" s="37"/>
      <c r="D27" s="13" t="s">
        <v>14</v>
      </c>
      <c r="E27" s="13">
        <f t="shared" ref="E27:U27" si="6">SUM(E25:E26)</f>
        <v>0</v>
      </c>
      <c r="F27" s="13">
        <f t="shared" si="6"/>
        <v>0</v>
      </c>
      <c r="G27" s="13">
        <f t="shared" si="6"/>
        <v>2</v>
      </c>
      <c r="H27" s="13">
        <f t="shared" si="6"/>
        <v>3</v>
      </c>
      <c r="I27" s="13">
        <f t="shared" si="6"/>
        <v>1</v>
      </c>
      <c r="J27" s="13">
        <f t="shared" si="6"/>
        <v>1</v>
      </c>
      <c r="K27" s="13">
        <f t="shared" si="6"/>
        <v>3</v>
      </c>
      <c r="L27" s="13">
        <f t="shared" si="6"/>
        <v>5</v>
      </c>
      <c r="M27" s="13">
        <f t="shared" si="6"/>
        <v>1</v>
      </c>
      <c r="N27" s="13">
        <f t="shared" si="6"/>
        <v>2</v>
      </c>
      <c r="O27" s="13">
        <f t="shared" si="6"/>
        <v>0</v>
      </c>
      <c r="P27" s="13">
        <f t="shared" si="6"/>
        <v>3</v>
      </c>
      <c r="Q27" s="13">
        <f t="shared" si="6"/>
        <v>4</v>
      </c>
      <c r="R27" s="13">
        <f t="shared" si="6"/>
        <v>0</v>
      </c>
      <c r="S27" s="13">
        <f t="shared" si="6"/>
        <v>2</v>
      </c>
      <c r="T27" s="13">
        <f t="shared" si="6"/>
        <v>0</v>
      </c>
      <c r="U27" s="13">
        <f t="shared" si="6"/>
        <v>10</v>
      </c>
      <c r="V27" s="13">
        <f t="shared" si="3"/>
        <v>37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U28" si="7">SUM(E19,E22,E25)</f>
        <v>103</v>
      </c>
      <c r="F28" s="13">
        <f t="shared" si="7"/>
        <v>113</v>
      </c>
      <c r="G28" s="13">
        <f t="shared" si="7"/>
        <v>126</v>
      </c>
      <c r="H28" s="13">
        <f t="shared" si="7"/>
        <v>113</v>
      </c>
      <c r="I28" s="13">
        <f t="shared" si="7"/>
        <v>102</v>
      </c>
      <c r="J28" s="13">
        <f t="shared" si="7"/>
        <v>112</v>
      </c>
      <c r="K28" s="13">
        <f t="shared" si="7"/>
        <v>96</v>
      </c>
      <c r="L28" s="13">
        <f t="shared" si="7"/>
        <v>112</v>
      </c>
      <c r="M28" s="13">
        <f t="shared" si="7"/>
        <v>108</v>
      </c>
      <c r="N28" s="13">
        <f t="shared" si="7"/>
        <v>114</v>
      </c>
      <c r="O28" s="13">
        <f t="shared" si="7"/>
        <v>115</v>
      </c>
      <c r="P28" s="13">
        <f t="shared" si="7"/>
        <v>103</v>
      </c>
      <c r="Q28" s="13">
        <f t="shared" si="7"/>
        <v>118</v>
      </c>
      <c r="R28" s="13">
        <f t="shared" si="7"/>
        <v>101</v>
      </c>
      <c r="S28" s="13">
        <f t="shared" si="7"/>
        <v>116</v>
      </c>
      <c r="T28" s="13">
        <f t="shared" si="7"/>
        <v>95</v>
      </c>
      <c r="U28" s="13">
        <f t="shared" si="7"/>
        <v>115</v>
      </c>
      <c r="V28" s="13">
        <f t="shared" si="3"/>
        <v>1862</v>
      </c>
    </row>
    <row r="29" ht="12.75" customHeight="1">
      <c r="A29" s="36"/>
      <c r="B29" s="27"/>
      <c r="C29" s="35"/>
      <c r="D29" s="13" t="s">
        <v>13</v>
      </c>
      <c r="E29" s="13">
        <f t="shared" ref="E29:U29" si="8">SUM(E20,E23,E26)</f>
        <v>107</v>
      </c>
      <c r="F29" s="13">
        <f t="shared" si="8"/>
        <v>116</v>
      </c>
      <c r="G29" s="13">
        <f t="shared" si="8"/>
        <v>133</v>
      </c>
      <c r="H29" s="13">
        <f t="shared" si="8"/>
        <v>120</v>
      </c>
      <c r="I29" s="13">
        <f t="shared" si="8"/>
        <v>124</v>
      </c>
      <c r="J29" s="13">
        <f t="shared" si="8"/>
        <v>117</v>
      </c>
      <c r="K29" s="13">
        <f t="shared" si="8"/>
        <v>127</v>
      </c>
      <c r="L29" s="13">
        <f t="shared" si="8"/>
        <v>115</v>
      </c>
      <c r="M29" s="13">
        <f t="shared" si="8"/>
        <v>122</v>
      </c>
      <c r="N29" s="13">
        <f t="shared" si="8"/>
        <v>115</v>
      </c>
      <c r="O29" s="13">
        <f t="shared" si="8"/>
        <v>147</v>
      </c>
      <c r="P29" s="13">
        <f t="shared" si="8"/>
        <v>109</v>
      </c>
      <c r="Q29" s="13">
        <f t="shared" si="8"/>
        <v>115</v>
      </c>
      <c r="R29" s="13">
        <f t="shared" si="8"/>
        <v>104</v>
      </c>
      <c r="S29" s="13">
        <f t="shared" si="8"/>
        <v>119</v>
      </c>
      <c r="T29" s="13">
        <f t="shared" si="8"/>
        <v>127</v>
      </c>
      <c r="U29" s="13">
        <f t="shared" si="8"/>
        <v>124</v>
      </c>
      <c r="V29" s="13">
        <f t="shared" si="3"/>
        <v>2041</v>
      </c>
    </row>
    <row r="30" ht="12.75" customHeight="1">
      <c r="A30" s="36"/>
      <c r="B30" s="28"/>
      <c r="C30" s="37"/>
      <c r="D30" s="13" t="s">
        <v>14</v>
      </c>
      <c r="E30" s="13">
        <f t="shared" ref="E30:U30" si="9">SUM(E28:E29)</f>
        <v>210</v>
      </c>
      <c r="F30" s="13">
        <f t="shared" si="9"/>
        <v>229</v>
      </c>
      <c r="G30" s="13">
        <f t="shared" si="9"/>
        <v>259</v>
      </c>
      <c r="H30" s="13">
        <f t="shared" si="9"/>
        <v>233</v>
      </c>
      <c r="I30" s="13">
        <f t="shared" si="9"/>
        <v>226</v>
      </c>
      <c r="J30" s="13">
        <f t="shared" si="9"/>
        <v>229</v>
      </c>
      <c r="K30" s="13">
        <f t="shared" si="9"/>
        <v>223</v>
      </c>
      <c r="L30" s="13">
        <f t="shared" si="9"/>
        <v>227</v>
      </c>
      <c r="M30" s="13">
        <f t="shared" si="9"/>
        <v>230</v>
      </c>
      <c r="N30" s="13">
        <f t="shared" si="9"/>
        <v>229</v>
      </c>
      <c r="O30" s="13">
        <f t="shared" si="9"/>
        <v>262</v>
      </c>
      <c r="P30" s="13">
        <f t="shared" si="9"/>
        <v>212</v>
      </c>
      <c r="Q30" s="13">
        <f t="shared" si="9"/>
        <v>233</v>
      </c>
      <c r="R30" s="13">
        <f t="shared" si="9"/>
        <v>205</v>
      </c>
      <c r="S30" s="13">
        <f t="shared" si="9"/>
        <v>235</v>
      </c>
      <c r="T30" s="13">
        <f t="shared" si="9"/>
        <v>222</v>
      </c>
      <c r="U30" s="13">
        <f t="shared" si="9"/>
        <v>239</v>
      </c>
      <c r="V30" s="13">
        <f t="shared" si="3"/>
        <v>3903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61"/>
    </row>
    <row r="32" ht="12.75" customHeight="1">
      <c r="A32" s="43" t="s">
        <v>25</v>
      </c>
      <c r="B32" s="14" t="s">
        <v>26</v>
      </c>
      <c r="C32" s="15"/>
      <c r="D32" s="16"/>
      <c r="E32" s="63" t="s">
        <v>70</v>
      </c>
      <c r="F32" s="63" t="s">
        <v>71</v>
      </c>
      <c r="G32" s="63" t="s">
        <v>72</v>
      </c>
      <c r="H32" s="63" t="s">
        <v>73</v>
      </c>
      <c r="I32" s="63" t="s">
        <v>74</v>
      </c>
      <c r="J32" s="63" t="s">
        <v>75</v>
      </c>
      <c r="K32" s="63" t="s">
        <v>77</v>
      </c>
      <c r="L32" s="63" t="s">
        <v>78</v>
      </c>
      <c r="M32" s="63" t="s">
        <v>79</v>
      </c>
      <c r="N32" s="63" t="s">
        <v>81</v>
      </c>
      <c r="O32" s="63" t="s">
        <v>82</v>
      </c>
      <c r="P32" s="63" t="s">
        <v>83</v>
      </c>
      <c r="Q32" s="63" t="s">
        <v>84</v>
      </c>
      <c r="R32" s="63" t="s">
        <v>86</v>
      </c>
      <c r="S32" s="63" t="s">
        <v>87</v>
      </c>
      <c r="T32" s="63" t="s">
        <v>88</v>
      </c>
      <c r="U32" s="63" t="s">
        <v>89</v>
      </c>
      <c r="V32" s="61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299.0</v>
      </c>
      <c r="G33" s="19">
        <v>298.0</v>
      </c>
      <c r="H33" s="19">
        <v>248.0</v>
      </c>
      <c r="I33" s="19">
        <v>302.0</v>
      </c>
      <c r="J33" s="19">
        <v>265.0</v>
      </c>
      <c r="K33" s="19">
        <v>287.0</v>
      </c>
      <c r="L33" s="19">
        <v>296.0</v>
      </c>
      <c r="M33" s="19">
        <v>295.0</v>
      </c>
      <c r="N33" s="19">
        <v>280.0</v>
      </c>
      <c r="O33" s="19">
        <v>297.0</v>
      </c>
      <c r="P33" s="19">
        <v>275.0</v>
      </c>
      <c r="Q33" s="19">
        <v>302.0</v>
      </c>
      <c r="R33" s="19">
        <v>281.0</v>
      </c>
      <c r="S33" s="19">
        <v>298.0</v>
      </c>
      <c r="T33" s="19">
        <v>297.0</v>
      </c>
      <c r="U33" s="19">
        <v>295.0</v>
      </c>
      <c r="V33" s="13">
        <f t="shared" ref="V33:V36" si="10">SUM(E33:U33)</f>
        <v>4900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229.0</v>
      </c>
      <c r="G34" s="13">
        <v>259.0</v>
      </c>
      <c r="H34" s="13">
        <v>233.0</v>
      </c>
      <c r="I34" s="13">
        <v>226.0</v>
      </c>
      <c r="J34" s="13">
        <v>229.0</v>
      </c>
      <c r="K34" s="13">
        <v>223.0</v>
      </c>
      <c r="L34" s="13">
        <v>227.0</v>
      </c>
      <c r="M34" s="13">
        <v>230.0</v>
      </c>
      <c r="N34" s="13">
        <v>229.0</v>
      </c>
      <c r="O34" s="13">
        <v>262.0</v>
      </c>
      <c r="P34" s="13">
        <v>212.0</v>
      </c>
      <c r="Q34" s="13">
        <v>233.0</v>
      </c>
      <c r="R34" s="13">
        <v>205.0</v>
      </c>
      <c r="S34" s="13">
        <v>235.0</v>
      </c>
      <c r="T34" s="13">
        <v>222.0</v>
      </c>
      <c r="U34" s="13">
        <v>239.0</v>
      </c>
      <c r="V34" s="13">
        <f t="shared" si="10"/>
        <v>3903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3.0</v>
      </c>
      <c r="G35" s="19">
        <v>1.0</v>
      </c>
      <c r="H35" s="19">
        <v>1.0</v>
      </c>
      <c r="I35" s="19">
        <v>0.0</v>
      </c>
      <c r="J35" s="19">
        <v>1.0</v>
      </c>
      <c r="K35" s="19">
        <v>0.0</v>
      </c>
      <c r="L35" s="19">
        <v>0.0</v>
      </c>
      <c r="M35" s="19">
        <v>1.0</v>
      </c>
      <c r="N35" s="19">
        <v>0.0</v>
      </c>
      <c r="O35" s="19">
        <v>2.0</v>
      </c>
      <c r="P35" s="19">
        <v>0.0</v>
      </c>
      <c r="Q35" s="19">
        <v>1.0</v>
      </c>
      <c r="R35" s="19">
        <v>2.0</v>
      </c>
      <c r="S35" s="19">
        <v>0.0</v>
      </c>
      <c r="T35" s="19">
        <v>0.0</v>
      </c>
      <c r="U35" s="19">
        <v>0.0</v>
      </c>
      <c r="V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75</v>
      </c>
      <c r="F36" s="13">
        <f t="shared" si="11"/>
        <v>67</v>
      </c>
      <c r="G36" s="13">
        <f t="shared" si="11"/>
        <v>38</v>
      </c>
      <c r="H36" s="13">
        <f t="shared" si="11"/>
        <v>14</v>
      </c>
      <c r="I36" s="13">
        <f t="shared" si="11"/>
        <v>76</v>
      </c>
      <c r="J36" s="13">
        <f t="shared" si="11"/>
        <v>35</v>
      </c>
      <c r="K36" s="13">
        <f t="shared" si="11"/>
        <v>64</v>
      </c>
      <c r="L36" s="13">
        <f t="shared" si="11"/>
        <v>69</v>
      </c>
      <c r="M36" s="13">
        <f t="shared" si="11"/>
        <v>64</v>
      </c>
      <c r="N36" s="13">
        <f t="shared" si="11"/>
        <v>51</v>
      </c>
      <c r="O36" s="13">
        <f t="shared" si="11"/>
        <v>33</v>
      </c>
      <c r="P36" s="13">
        <f t="shared" si="11"/>
        <v>63</v>
      </c>
      <c r="Q36" s="13">
        <f t="shared" si="11"/>
        <v>68</v>
      </c>
      <c r="R36" s="13">
        <f t="shared" si="11"/>
        <v>74</v>
      </c>
      <c r="S36" s="13">
        <f t="shared" si="11"/>
        <v>63</v>
      </c>
      <c r="T36" s="13">
        <f t="shared" si="11"/>
        <v>75</v>
      </c>
      <c r="U36" s="13">
        <f t="shared" si="11"/>
        <v>56</v>
      </c>
      <c r="V36" s="13">
        <f t="shared" si="10"/>
        <v>985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61"/>
    </row>
    <row r="38" ht="12.75" customHeight="1">
      <c r="A38" s="44" t="s">
        <v>31</v>
      </c>
      <c r="B38" s="14" t="s">
        <v>32</v>
      </c>
      <c r="C38" s="15"/>
      <c r="D38" s="16"/>
      <c r="E38" s="63" t="s">
        <v>70</v>
      </c>
      <c r="F38" s="63" t="s">
        <v>71</v>
      </c>
      <c r="G38" s="63" t="s">
        <v>72</v>
      </c>
      <c r="H38" s="63" t="s">
        <v>73</v>
      </c>
      <c r="I38" s="63" t="s">
        <v>74</v>
      </c>
      <c r="J38" s="63" t="s">
        <v>75</v>
      </c>
      <c r="K38" s="63" t="s">
        <v>77</v>
      </c>
      <c r="L38" s="63" t="s">
        <v>78</v>
      </c>
      <c r="M38" s="63" t="s">
        <v>79</v>
      </c>
      <c r="N38" s="63" t="s">
        <v>81</v>
      </c>
      <c r="O38" s="63" t="s">
        <v>82</v>
      </c>
      <c r="P38" s="63" t="s">
        <v>83</v>
      </c>
      <c r="Q38" s="63" t="s">
        <v>84</v>
      </c>
      <c r="R38" s="63" t="s">
        <v>86</v>
      </c>
      <c r="S38" s="63" t="s">
        <v>87</v>
      </c>
      <c r="T38" s="63" t="s">
        <v>88</v>
      </c>
      <c r="U38" s="63" t="s">
        <v>89</v>
      </c>
      <c r="V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3">
        <f t="shared" ref="V39:V41" si="12">SUM(E39:U39)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1.0</v>
      </c>
      <c r="R40" s="19">
        <v>0.0</v>
      </c>
      <c r="S40" s="19">
        <v>0.0</v>
      </c>
      <c r="T40" s="19">
        <v>0.0</v>
      </c>
      <c r="U40" s="19">
        <v>1.0</v>
      </c>
      <c r="V40" s="13">
        <f t="shared" si="12"/>
        <v>2</v>
      </c>
    </row>
    <row r="41" ht="12.75" customHeight="1">
      <c r="A41" s="43"/>
      <c r="B41" s="46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2"/>
        <v>3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3"/>
    </row>
    <row r="43" ht="12.75" customHeight="1">
      <c r="A43" s="44" t="s">
        <v>34</v>
      </c>
      <c r="B43" s="14" t="s">
        <v>35</v>
      </c>
      <c r="C43" s="15"/>
      <c r="D43" s="16"/>
      <c r="E43" s="63" t="s">
        <v>70</v>
      </c>
      <c r="F43" s="63" t="s">
        <v>71</v>
      </c>
      <c r="G43" s="63" t="s">
        <v>72</v>
      </c>
      <c r="H43" s="63" t="s">
        <v>73</v>
      </c>
      <c r="I43" s="63" t="s">
        <v>74</v>
      </c>
      <c r="J43" s="63" t="s">
        <v>75</v>
      </c>
      <c r="K43" s="63" t="s">
        <v>77</v>
      </c>
      <c r="L43" s="63" t="s">
        <v>78</v>
      </c>
      <c r="M43" s="63" t="s">
        <v>79</v>
      </c>
      <c r="N43" s="63" t="s">
        <v>81</v>
      </c>
      <c r="O43" s="63" t="s">
        <v>82</v>
      </c>
      <c r="P43" s="63" t="s">
        <v>83</v>
      </c>
      <c r="Q43" s="63" t="s">
        <v>84</v>
      </c>
      <c r="R43" s="63" t="s">
        <v>86</v>
      </c>
      <c r="S43" s="63" t="s">
        <v>87</v>
      </c>
      <c r="T43" s="63" t="s">
        <v>88</v>
      </c>
      <c r="U43" s="63" t="s">
        <v>89</v>
      </c>
      <c r="V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3"/>
    </row>
    <row r="45" ht="12.75" customHeight="1">
      <c r="A45" s="31"/>
      <c r="B45" s="49" t="s">
        <v>17</v>
      </c>
      <c r="C45" s="62" t="s">
        <v>38</v>
      </c>
      <c r="D45" s="16"/>
      <c r="E45" s="19">
        <v>11.0</v>
      </c>
      <c r="F45" s="19">
        <v>18.0</v>
      </c>
      <c r="G45" s="19">
        <v>29.0</v>
      </c>
      <c r="H45" s="19">
        <v>28.0</v>
      </c>
      <c r="I45" s="19">
        <v>20.0</v>
      </c>
      <c r="J45" s="19">
        <v>19.0</v>
      </c>
      <c r="K45" s="19">
        <v>27.0</v>
      </c>
      <c r="L45" s="19">
        <v>29.0</v>
      </c>
      <c r="M45" s="19">
        <v>19.0</v>
      </c>
      <c r="N45" s="19">
        <v>17.0</v>
      </c>
      <c r="O45" s="19">
        <v>11.0</v>
      </c>
      <c r="P45" s="19">
        <v>17.0</v>
      </c>
      <c r="Q45" s="19">
        <v>14.0</v>
      </c>
      <c r="R45" s="19">
        <v>19.0</v>
      </c>
      <c r="S45" s="19">
        <v>14.0</v>
      </c>
      <c r="T45" s="19">
        <v>11.0</v>
      </c>
      <c r="U45" s="19">
        <v>16.0</v>
      </c>
      <c r="V45" s="13">
        <f t="shared" ref="V45:V57" si="14">SUM(E45:U45)</f>
        <v>319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39.0</v>
      </c>
      <c r="F46" s="19">
        <v>37.0</v>
      </c>
      <c r="G46" s="19">
        <v>42.0</v>
      </c>
      <c r="H46" s="19">
        <v>37.0</v>
      </c>
      <c r="I46" s="19">
        <v>35.0</v>
      </c>
      <c r="J46" s="19">
        <v>52.0</v>
      </c>
      <c r="K46" s="19">
        <v>40.0</v>
      </c>
      <c r="L46" s="19">
        <v>56.0</v>
      </c>
      <c r="M46" s="19">
        <v>39.0</v>
      </c>
      <c r="N46" s="19">
        <v>28.0</v>
      </c>
      <c r="O46" s="19">
        <v>50.0</v>
      </c>
      <c r="P46" s="19">
        <v>34.0</v>
      </c>
      <c r="Q46" s="19">
        <v>41.0</v>
      </c>
      <c r="R46" s="19">
        <v>36.0</v>
      </c>
      <c r="S46" s="19">
        <v>48.0</v>
      </c>
      <c r="T46" s="19">
        <v>29.0</v>
      </c>
      <c r="U46" s="19">
        <v>50.0</v>
      </c>
      <c r="V46" s="13">
        <f t="shared" si="14"/>
        <v>693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18.0</v>
      </c>
      <c r="F47" s="19">
        <v>16.0</v>
      </c>
      <c r="G47" s="19">
        <v>19.0</v>
      </c>
      <c r="H47" s="19">
        <v>16.0</v>
      </c>
      <c r="I47" s="19">
        <v>14.0</v>
      </c>
      <c r="J47" s="19">
        <v>10.0</v>
      </c>
      <c r="K47" s="19">
        <v>13.0</v>
      </c>
      <c r="L47" s="19">
        <v>8.0</v>
      </c>
      <c r="M47" s="19">
        <v>17.0</v>
      </c>
      <c r="N47" s="19">
        <v>14.0</v>
      </c>
      <c r="O47" s="19">
        <v>23.0</v>
      </c>
      <c r="P47" s="19">
        <v>13.0</v>
      </c>
      <c r="Q47" s="19">
        <v>26.0</v>
      </c>
      <c r="R47" s="19">
        <v>20.0</v>
      </c>
      <c r="S47" s="19">
        <v>30.0</v>
      </c>
      <c r="T47" s="19">
        <v>22.0</v>
      </c>
      <c r="U47" s="19">
        <v>9.0</v>
      </c>
      <c r="V47" s="13">
        <f t="shared" si="14"/>
        <v>288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20.0</v>
      </c>
      <c r="F48" s="19">
        <v>34.0</v>
      </c>
      <c r="G48" s="19">
        <v>30.0</v>
      </c>
      <c r="H48" s="19">
        <v>25.0</v>
      </c>
      <c r="I48" s="19">
        <v>27.0</v>
      </c>
      <c r="J48" s="19">
        <v>22.0</v>
      </c>
      <c r="K48" s="19">
        <v>20.0</v>
      </c>
      <c r="L48" s="19">
        <v>18.0</v>
      </c>
      <c r="M48" s="19">
        <v>23.0</v>
      </c>
      <c r="N48" s="19">
        <v>27.0</v>
      </c>
      <c r="O48" s="19">
        <v>39.0</v>
      </c>
      <c r="P48" s="19">
        <v>26.0</v>
      </c>
      <c r="Q48" s="19">
        <v>22.0</v>
      </c>
      <c r="R48" s="19">
        <v>19.0</v>
      </c>
      <c r="S48" s="19">
        <v>31.0</v>
      </c>
      <c r="T48" s="19">
        <v>31.0</v>
      </c>
      <c r="U48" s="19">
        <v>20.0</v>
      </c>
      <c r="V48" s="13">
        <f t="shared" si="14"/>
        <v>434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21.0</v>
      </c>
      <c r="F49" s="19">
        <v>20.0</v>
      </c>
      <c r="G49" s="19">
        <v>22.0</v>
      </c>
      <c r="H49" s="19">
        <v>15.0</v>
      </c>
      <c r="I49" s="19">
        <v>11.0</v>
      </c>
      <c r="J49" s="19">
        <v>15.0</v>
      </c>
      <c r="K49" s="19">
        <v>28.0</v>
      </c>
      <c r="L49" s="19">
        <v>20.0</v>
      </c>
      <c r="M49" s="19">
        <v>26.0</v>
      </c>
      <c r="N49" s="19">
        <v>16.0</v>
      </c>
      <c r="O49" s="19">
        <v>30.0</v>
      </c>
      <c r="P49" s="19">
        <v>22.0</v>
      </c>
      <c r="Q49" s="19">
        <v>24.0</v>
      </c>
      <c r="R49" s="19">
        <v>21.0</v>
      </c>
      <c r="S49" s="19">
        <v>26.0</v>
      </c>
      <c r="T49" s="19">
        <v>30.0</v>
      </c>
      <c r="U49" s="19">
        <v>22.0</v>
      </c>
      <c r="V49" s="13">
        <f t="shared" si="14"/>
        <v>369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14.0</v>
      </c>
      <c r="F50" s="19">
        <v>8.0</v>
      </c>
      <c r="G50" s="19">
        <v>13.0</v>
      </c>
      <c r="H50" s="19">
        <v>9.0</v>
      </c>
      <c r="I50" s="19">
        <v>14.0</v>
      </c>
      <c r="J50" s="19">
        <v>10.0</v>
      </c>
      <c r="K50" s="19">
        <v>12.0</v>
      </c>
      <c r="L50" s="19">
        <v>15.0</v>
      </c>
      <c r="M50" s="19">
        <v>13.0</v>
      </c>
      <c r="N50" s="19">
        <v>17.0</v>
      </c>
      <c r="O50" s="19">
        <v>25.0</v>
      </c>
      <c r="P50" s="19">
        <v>14.0</v>
      </c>
      <c r="Q50" s="19">
        <v>15.0</v>
      </c>
      <c r="R50" s="19">
        <v>14.0</v>
      </c>
      <c r="S50" s="19">
        <v>12.0</v>
      </c>
      <c r="T50" s="19">
        <v>15.0</v>
      </c>
      <c r="U50" s="19">
        <v>12.0</v>
      </c>
      <c r="V50" s="13">
        <f t="shared" si="14"/>
        <v>232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2.0</v>
      </c>
      <c r="F51" s="19">
        <v>7.0</v>
      </c>
      <c r="G51" s="19">
        <v>2.0</v>
      </c>
      <c r="H51" s="19">
        <v>3.0</v>
      </c>
      <c r="I51" s="19">
        <v>5.0</v>
      </c>
      <c r="J51" s="19">
        <v>4.0</v>
      </c>
      <c r="K51" s="19">
        <v>0.0</v>
      </c>
      <c r="L51" s="19">
        <v>1.0</v>
      </c>
      <c r="M51" s="19">
        <v>8.0</v>
      </c>
      <c r="N51" s="19">
        <v>3.0</v>
      </c>
      <c r="O51" s="19">
        <v>1.0</v>
      </c>
      <c r="P51" s="19">
        <v>4.0</v>
      </c>
      <c r="Q51" s="19">
        <v>2.0</v>
      </c>
      <c r="R51" s="19">
        <v>3.0</v>
      </c>
      <c r="S51" s="19">
        <v>5.0</v>
      </c>
      <c r="T51" s="19">
        <v>4.0</v>
      </c>
      <c r="U51" s="19">
        <v>9.0</v>
      </c>
      <c r="V51" s="13">
        <f t="shared" si="14"/>
        <v>63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1.0</v>
      </c>
      <c r="F52" s="19">
        <v>2.0</v>
      </c>
      <c r="G52" s="19">
        <v>1.0</v>
      </c>
      <c r="H52" s="19">
        <v>1.0</v>
      </c>
      <c r="I52" s="19">
        <v>1.0</v>
      </c>
      <c r="J52" s="19">
        <v>2.0</v>
      </c>
      <c r="K52" s="19">
        <v>1.0</v>
      </c>
      <c r="L52" s="19">
        <v>1.0</v>
      </c>
      <c r="M52" s="19">
        <v>3.0</v>
      </c>
      <c r="N52" s="19">
        <v>1.0</v>
      </c>
      <c r="O52" s="19">
        <v>0.0</v>
      </c>
      <c r="P52" s="19">
        <v>4.0</v>
      </c>
      <c r="Q52" s="19">
        <v>1.0</v>
      </c>
      <c r="R52" s="19">
        <v>0.0</v>
      </c>
      <c r="S52" s="19">
        <v>4.0</v>
      </c>
      <c r="T52" s="19">
        <v>2.0</v>
      </c>
      <c r="U52" s="19">
        <v>3.0</v>
      </c>
      <c r="V52" s="13">
        <f t="shared" si="14"/>
        <v>28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0.0</v>
      </c>
      <c r="F53" s="19">
        <v>0.0</v>
      </c>
      <c r="G53" s="19">
        <v>0.0</v>
      </c>
      <c r="H53" s="19">
        <v>2.0</v>
      </c>
      <c r="I53" s="19">
        <v>0.0</v>
      </c>
      <c r="J53" s="19">
        <v>2.0</v>
      </c>
      <c r="K53" s="19">
        <v>1.0</v>
      </c>
      <c r="L53" s="19">
        <v>0.0</v>
      </c>
      <c r="M53" s="19">
        <v>0.0</v>
      </c>
      <c r="N53" s="19">
        <v>0.0</v>
      </c>
      <c r="O53" s="19">
        <v>2.0</v>
      </c>
      <c r="P53" s="19">
        <v>1.0</v>
      </c>
      <c r="Q53" s="19">
        <v>0.0</v>
      </c>
      <c r="R53" s="19">
        <v>0.0</v>
      </c>
      <c r="S53" s="19">
        <v>1.0</v>
      </c>
      <c r="T53" s="19">
        <v>0.0</v>
      </c>
      <c r="U53" s="19">
        <v>0.0</v>
      </c>
      <c r="V53" s="13">
        <f t="shared" si="14"/>
        <v>9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22.0</v>
      </c>
      <c r="F54" s="19">
        <v>18.0</v>
      </c>
      <c r="G54" s="19">
        <v>23.0</v>
      </c>
      <c r="H54" s="19">
        <v>18.0</v>
      </c>
      <c r="I54" s="19">
        <v>9.0</v>
      </c>
      <c r="J54" s="19">
        <v>13.0</v>
      </c>
      <c r="K54" s="19">
        <v>7.0</v>
      </c>
      <c r="L54" s="19">
        <v>11.0</v>
      </c>
      <c r="M54" s="19">
        <v>17.0</v>
      </c>
      <c r="N54" s="19">
        <v>26.0</v>
      </c>
      <c r="O54" s="19">
        <v>27.0</v>
      </c>
      <c r="P54" s="19">
        <v>20.0</v>
      </c>
      <c r="Q54" s="19">
        <v>20.0</v>
      </c>
      <c r="R54" s="19">
        <v>11.0</v>
      </c>
      <c r="S54" s="19">
        <v>12.0</v>
      </c>
      <c r="T54" s="19">
        <v>9.0</v>
      </c>
      <c r="U54" s="19">
        <v>18.0</v>
      </c>
      <c r="V54" s="13">
        <f t="shared" si="14"/>
        <v>281</v>
      </c>
    </row>
    <row r="55" ht="15.0" customHeight="1">
      <c r="A55" s="18"/>
      <c r="B55" s="49" t="s">
        <v>54</v>
      </c>
      <c r="C55" s="62" t="s">
        <v>55</v>
      </c>
      <c r="D55" s="16"/>
      <c r="E55" s="19">
        <v>1.0</v>
      </c>
      <c r="F55" s="19">
        <v>1.0</v>
      </c>
      <c r="G55" s="19">
        <v>0.0</v>
      </c>
      <c r="H55" s="19">
        <v>1.0</v>
      </c>
      <c r="I55" s="19">
        <v>1.0</v>
      </c>
      <c r="J55" s="19">
        <v>0.0</v>
      </c>
      <c r="K55" s="19">
        <v>1.0</v>
      </c>
      <c r="L55" s="19">
        <v>1.0</v>
      </c>
      <c r="M55" s="19">
        <v>2.0</v>
      </c>
      <c r="N55" s="19">
        <v>1.0</v>
      </c>
      <c r="O55" s="19">
        <v>2.0</v>
      </c>
      <c r="P55" s="19">
        <v>1.0</v>
      </c>
      <c r="Q55" s="19">
        <v>3.0</v>
      </c>
      <c r="R55" s="19">
        <v>2.0</v>
      </c>
      <c r="S55" s="19">
        <v>2.0</v>
      </c>
      <c r="T55" s="19">
        <v>0.0</v>
      </c>
      <c r="U55" s="19">
        <v>1.0</v>
      </c>
      <c r="V55" s="13">
        <f t="shared" si="14"/>
        <v>20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11.0</v>
      </c>
      <c r="F56" s="19">
        <v>23.0</v>
      </c>
      <c r="G56" s="19">
        <v>19.0</v>
      </c>
      <c r="H56" s="19">
        <v>26.0</v>
      </c>
      <c r="I56" s="19">
        <v>17.0</v>
      </c>
      <c r="J56" s="19">
        <v>16.0</v>
      </c>
      <c r="K56" s="19">
        <v>11.0</v>
      </c>
      <c r="L56" s="19">
        <v>18.0</v>
      </c>
      <c r="M56" s="19">
        <v>18.0</v>
      </c>
      <c r="N56" s="19">
        <v>12.0</v>
      </c>
      <c r="O56" s="19">
        <v>13.0</v>
      </c>
      <c r="P56" s="19">
        <v>15.0</v>
      </c>
      <c r="Q56" s="19">
        <v>21.0</v>
      </c>
      <c r="R56" s="19">
        <v>14.0</v>
      </c>
      <c r="S56" s="19">
        <v>14.0</v>
      </c>
      <c r="T56" s="19">
        <v>9.0</v>
      </c>
      <c r="U56" s="19">
        <v>24.0</v>
      </c>
      <c r="V56" s="13">
        <f t="shared" si="14"/>
        <v>281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0.0</v>
      </c>
      <c r="F57" s="19">
        <v>4.0</v>
      </c>
      <c r="G57" s="19">
        <v>3.0</v>
      </c>
      <c r="H57" s="19">
        <v>1.0</v>
      </c>
      <c r="I57" s="19">
        <v>0.0</v>
      </c>
      <c r="J57" s="19">
        <v>0.0</v>
      </c>
      <c r="K57" s="19">
        <v>2.0</v>
      </c>
      <c r="L57" s="19">
        <v>1.0</v>
      </c>
      <c r="M57" s="19">
        <v>1.0</v>
      </c>
      <c r="N57" s="19">
        <v>2.0</v>
      </c>
      <c r="O57" s="19">
        <v>2.0</v>
      </c>
      <c r="P57" s="19">
        <v>13.0</v>
      </c>
      <c r="Q57" s="19">
        <v>1.0</v>
      </c>
      <c r="R57" s="19">
        <v>0.0</v>
      </c>
      <c r="S57" s="19">
        <v>1.0</v>
      </c>
      <c r="T57" s="19">
        <v>0.0</v>
      </c>
      <c r="U57" s="19">
        <v>2.0</v>
      </c>
      <c r="V57" s="13">
        <f t="shared" si="14"/>
        <v>33</v>
      </c>
    </row>
    <row r="58" ht="12.75" customHeight="1">
      <c r="V58" s="13"/>
    </row>
    <row r="59" ht="12.75" customHeight="1">
      <c r="A59" s="44" t="s">
        <v>60</v>
      </c>
      <c r="B59" s="14" t="s">
        <v>61</v>
      </c>
      <c r="C59" s="15"/>
      <c r="D59" s="16"/>
      <c r="E59" s="63" t="s">
        <v>70</v>
      </c>
      <c r="F59" s="63" t="s">
        <v>71</v>
      </c>
      <c r="G59" s="63" t="s">
        <v>72</v>
      </c>
      <c r="H59" s="63" t="s">
        <v>73</v>
      </c>
      <c r="I59" s="63" t="s">
        <v>74</v>
      </c>
      <c r="J59" s="63" t="s">
        <v>75</v>
      </c>
      <c r="K59" s="63" t="s">
        <v>77</v>
      </c>
      <c r="L59" s="63" t="s">
        <v>78</v>
      </c>
      <c r="M59" s="63" t="s">
        <v>79</v>
      </c>
      <c r="N59" s="63" t="s">
        <v>81</v>
      </c>
      <c r="O59" s="63" t="s">
        <v>82</v>
      </c>
      <c r="P59" s="63" t="s">
        <v>83</v>
      </c>
      <c r="Q59" s="63" t="s">
        <v>84</v>
      </c>
      <c r="R59" s="63" t="s">
        <v>86</v>
      </c>
      <c r="S59" s="63" t="s">
        <v>87</v>
      </c>
      <c r="T59" s="63" t="s">
        <v>88</v>
      </c>
      <c r="U59" s="63" t="s">
        <v>89</v>
      </c>
      <c r="V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U60" si="15">SUM(E45:E57)</f>
        <v>160</v>
      </c>
      <c r="F60" s="19">
        <f t="shared" si="15"/>
        <v>188</v>
      </c>
      <c r="G60" s="19">
        <f t="shared" si="15"/>
        <v>203</v>
      </c>
      <c r="H60" s="19">
        <f t="shared" si="15"/>
        <v>182</v>
      </c>
      <c r="I60" s="19">
        <f t="shared" si="15"/>
        <v>154</v>
      </c>
      <c r="J60" s="19">
        <f t="shared" si="15"/>
        <v>165</v>
      </c>
      <c r="K60" s="19">
        <f t="shared" si="15"/>
        <v>163</v>
      </c>
      <c r="L60" s="19">
        <f t="shared" si="15"/>
        <v>179</v>
      </c>
      <c r="M60" s="19">
        <f t="shared" si="15"/>
        <v>186</v>
      </c>
      <c r="N60" s="19">
        <f t="shared" si="15"/>
        <v>164</v>
      </c>
      <c r="O60" s="19">
        <f t="shared" si="15"/>
        <v>225</v>
      </c>
      <c r="P60" s="19">
        <f t="shared" si="15"/>
        <v>184</v>
      </c>
      <c r="Q60" s="19">
        <f t="shared" si="15"/>
        <v>190</v>
      </c>
      <c r="R60" s="19">
        <f t="shared" si="15"/>
        <v>159</v>
      </c>
      <c r="S60" s="19">
        <f t="shared" si="15"/>
        <v>200</v>
      </c>
      <c r="T60" s="19">
        <f t="shared" si="15"/>
        <v>162</v>
      </c>
      <c r="U60" s="19">
        <f t="shared" si="15"/>
        <v>186</v>
      </c>
      <c r="V60" s="13">
        <f t="shared" ref="V60:V62" si="16">SUM(E60:U60)</f>
        <v>3050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50.0</v>
      </c>
      <c r="F61" s="19">
        <v>41.0</v>
      </c>
      <c r="G61" s="19">
        <v>56.0</v>
      </c>
      <c r="H61" s="19">
        <v>51.0</v>
      </c>
      <c r="I61" s="19">
        <v>72.0</v>
      </c>
      <c r="J61" s="19">
        <v>64.0</v>
      </c>
      <c r="K61" s="19">
        <v>60.0</v>
      </c>
      <c r="L61" s="19">
        <v>48.0</v>
      </c>
      <c r="M61" s="19">
        <v>44.0</v>
      </c>
      <c r="N61" s="19">
        <v>65.0</v>
      </c>
      <c r="O61" s="19">
        <v>37.0</v>
      </c>
      <c r="P61" s="19">
        <v>28.0</v>
      </c>
      <c r="Q61" s="19">
        <v>43.0</v>
      </c>
      <c r="R61" s="19">
        <v>46.0</v>
      </c>
      <c r="S61" s="19">
        <v>35.0</v>
      </c>
      <c r="T61" s="19">
        <v>60.0</v>
      </c>
      <c r="U61" s="19">
        <v>53.0</v>
      </c>
      <c r="V61" s="13">
        <f t="shared" si="16"/>
        <v>853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U62" si="17">SUM(E60:E61)</f>
        <v>210</v>
      </c>
      <c r="F62" s="13">
        <f t="shared" si="17"/>
        <v>229</v>
      </c>
      <c r="G62" s="13">
        <f t="shared" si="17"/>
        <v>259</v>
      </c>
      <c r="H62" s="13">
        <f t="shared" si="17"/>
        <v>233</v>
      </c>
      <c r="I62" s="13">
        <f t="shared" si="17"/>
        <v>226</v>
      </c>
      <c r="J62" s="13">
        <f t="shared" si="17"/>
        <v>229</v>
      </c>
      <c r="K62" s="13">
        <f t="shared" si="17"/>
        <v>223</v>
      </c>
      <c r="L62" s="13">
        <f t="shared" si="17"/>
        <v>227</v>
      </c>
      <c r="M62" s="13">
        <f t="shared" si="17"/>
        <v>230</v>
      </c>
      <c r="N62" s="13">
        <f t="shared" si="17"/>
        <v>229</v>
      </c>
      <c r="O62" s="13">
        <f t="shared" si="17"/>
        <v>262</v>
      </c>
      <c r="P62" s="13">
        <f t="shared" si="17"/>
        <v>212</v>
      </c>
      <c r="Q62" s="13">
        <f t="shared" si="17"/>
        <v>233</v>
      </c>
      <c r="R62" s="13">
        <f t="shared" si="17"/>
        <v>205</v>
      </c>
      <c r="S62" s="13">
        <f t="shared" si="17"/>
        <v>235</v>
      </c>
      <c r="T62" s="13">
        <f t="shared" si="17"/>
        <v>222</v>
      </c>
      <c r="U62" s="13">
        <f t="shared" si="17"/>
        <v>239</v>
      </c>
      <c r="V62" s="13">
        <f t="shared" si="16"/>
        <v>3903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W117" s="5"/>
      <c r="X117" s="5"/>
    </row>
    <row r="118" ht="12.75" customHeight="1">
      <c r="W118" s="5"/>
      <c r="X118" s="5"/>
    </row>
    <row r="119" ht="12.75" customHeight="1">
      <c r="W119" s="5"/>
      <c r="X119" s="5"/>
    </row>
    <row r="120" ht="12.75" customHeight="1">
      <c r="W120" s="5"/>
      <c r="X120" s="5"/>
    </row>
    <row r="121" ht="12.75" customHeight="1">
      <c r="W121" s="5"/>
      <c r="X121" s="5"/>
    </row>
    <row r="122" ht="12.75" customHeight="1">
      <c r="W122" s="5"/>
      <c r="X122" s="5"/>
    </row>
    <row r="123" ht="12.75" customHeight="1">
      <c r="W123" s="5"/>
      <c r="X123" s="5"/>
    </row>
    <row r="124" ht="12.75" customHeight="1">
      <c r="W124" s="5"/>
      <c r="X124" s="5"/>
    </row>
    <row r="125" ht="12.75" customHeight="1">
      <c r="W125" s="5"/>
      <c r="X125" s="5"/>
    </row>
    <row r="126" ht="12.75" customHeight="1">
      <c r="W126" s="5"/>
      <c r="X126" s="5"/>
    </row>
    <row r="127" ht="12.75" customHeight="1">
      <c r="W127" s="5"/>
      <c r="X127" s="5"/>
    </row>
    <row r="128" ht="12.75" customHeight="1">
      <c r="W128" s="5"/>
      <c r="X128" s="5"/>
    </row>
    <row r="129" ht="12.75" customHeight="1">
      <c r="W129" s="5"/>
      <c r="X129" s="5"/>
    </row>
    <row r="130" ht="12.75" customHeight="1">
      <c r="W130" s="1"/>
      <c r="X130" s="1"/>
    </row>
    <row r="131" ht="12.75" customHeight="1">
      <c r="W131" s="52"/>
      <c r="X131" s="52"/>
    </row>
    <row r="132" ht="12.75" customHeight="1">
      <c r="W132" s="5"/>
      <c r="X132" s="5"/>
    </row>
    <row r="133" ht="12.75" customHeight="1">
      <c r="W133" s="5"/>
      <c r="X133" s="5"/>
    </row>
    <row r="134" ht="12.75" customHeight="1">
      <c r="W134" s="5"/>
      <c r="X134" s="5"/>
    </row>
    <row r="135" ht="12.75" customHeight="1">
      <c r="W135" s="5"/>
      <c r="X135" s="5"/>
    </row>
    <row r="136" ht="12.75" customHeight="1">
      <c r="W136" s="5"/>
      <c r="X136" s="5"/>
    </row>
    <row r="137" ht="12.75" customHeight="1">
      <c r="W137" s="5"/>
      <c r="X137" s="5"/>
    </row>
    <row r="138" ht="12.75" customHeight="1">
      <c r="W138" s="5"/>
      <c r="X138" s="5"/>
    </row>
    <row r="139" ht="12.75" customHeight="1">
      <c r="W139" s="5"/>
      <c r="X139" s="5"/>
    </row>
    <row r="140" ht="12.75" customHeight="1">
      <c r="W140" s="5"/>
      <c r="X140" s="5"/>
    </row>
    <row r="141" ht="12.75" customHeight="1">
      <c r="W141" s="1"/>
      <c r="X141" s="1"/>
    </row>
    <row r="142" ht="12.75" customHeight="1">
      <c r="W142" s="52"/>
      <c r="X142" s="52"/>
    </row>
    <row r="143" ht="12.75" customHeight="1">
      <c r="W143" s="5"/>
      <c r="X143" s="5"/>
    </row>
    <row r="144" ht="12.75" customHeight="1">
      <c r="W144" s="5"/>
      <c r="X144" s="5"/>
    </row>
    <row r="145" ht="12.75" customHeight="1">
      <c r="W145" s="5"/>
      <c r="X145" s="5"/>
    </row>
    <row r="146" ht="12.75" customHeight="1">
      <c r="W146" s="5"/>
      <c r="X146" s="5"/>
    </row>
    <row r="147" ht="12.75" customHeight="1">
      <c r="W147" s="5"/>
      <c r="X147" s="5"/>
    </row>
    <row r="148" ht="12.75" customHeight="1">
      <c r="W148" s="5"/>
      <c r="X148" s="5"/>
    </row>
    <row r="149" ht="12.75" customHeight="1">
      <c r="W149" s="5"/>
      <c r="X149" s="5"/>
    </row>
    <row r="150" ht="12.75" customHeight="1">
      <c r="W150" s="5"/>
      <c r="X150" s="5"/>
    </row>
    <row r="151" ht="12.75" customHeight="1">
      <c r="W151" s="1"/>
      <c r="X151" s="1"/>
    </row>
    <row r="152" ht="12.75" customHeight="1">
      <c r="W152" s="52"/>
      <c r="X152" s="52"/>
    </row>
    <row r="153" ht="12.75" customHeight="1">
      <c r="W153" s="5"/>
      <c r="X153" s="5"/>
    </row>
    <row r="154" ht="12.75" customHeight="1">
      <c r="W154" s="5"/>
      <c r="X154" s="5"/>
    </row>
    <row r="155" ht="12.75" customHeight="1">
      <c r="W155" s="5"/>
      <c r="X155" s="5"/>
    </row>
    <row r="156" ht="12.75" customHeight="1">
      <c r="W156" s="5"/>
      <c r="X156" s="5"/>
    </row>
    <row r="157" ht="12.75" customHeight="1">
      <c r="W157" s="5"/>
      <c r="X157" s="5"/>
    </row>
    <row r="158" ht="12.75" customHeight="1">
      <c r="W158" s="5"/>
      <c r="X158" s="5"/>
    </row>
    <row r="159" ht="12.75" customHeight="1">
      <c r="W159" s="5"/>
      <c r="X159" s="5"/>
    </row>
    <row r="160" ht="12.75" customHeight="1">
      <c r="W160" s="5"/>
      <c r="X160" s="5"/>
    </row>
    <row r="161" ht="12.75" customHeight="1">
      <c r="W161" s="5"/>
      <c r="X161" s="5"/>
    </row>
    <row r="162" ht="12.75" customHeight="1">
      <c r="W162" s="5"/>
      <c r="X162" s="5"/>
    </row>
    <row r="163" ht="12.75" customHeight="1">
      <c r="W163" s="5"/>
      <c r="X163" s="5"/>
    </row>
    <row r="164" ht="12.75" customHeight="1">
      <c r="W164" s="5"/>
      <c r="X164" s="5"/>
    </row>
    <row r="165" ht="12.75" customHeight="1">
      <c r="W165" s="1"/>
      <c r="X165" s="1"/>
    </row>
    <row r="166" ht="12.75" customHeight="1">
      <c r="W166" s="52"/>
      <c r="X166" s="52"/>
    </row>
    <row r="167" ht="12.75" customHeight="1">
      <c r="W167" s="5"/>
      <c r="X167" s="5"/>
    </row>
    <row r="168" ht="12.75" customHeight="1">
      <c r="W168" s="5"/>
      <c r="X168" s="5"/>
    </row>
    <row r="169" ht="12.75" customHeight="1">
      <c r="W169" s="5"/>
      <c r="X169" s="5"/>
    </row>
    <row r="170" ht="12.75" customHeight="1">
      <c r="W170" s="5"/>
      <c r="X170" s="5"/>
    </row>
    <row r="171" ht="12.75" customHeight="1">
      <c r="W171" s="5"/>
      <c r="X171" s="5"/>
    </row>
    <row r="172" ht="12.75" customHeight="1">
      <c r="W172" s="5"/>
      <c r="X172" s="5"/>
    </row>
    <row r="173" ht="12.75" customHeight="1">
      <c r="W173" s="5"/>
      <c r="X173" s="5"/>
    </row>
    <row r="174" ht="12.75" customHeight="1">
      <c r="W174" s="5"/>
      <c r="X174" s="5"/>
    </row>
    <row r="175" ht="12.75" customHeight="1">
      <c r="W175" s="5"/>
      <c r="X175" s="5"/>
    </row>
    <row r="176" ht="12.75" customHeight="1">
      <c r="W176" s="1"/>
      <c r="X176" s="1"/>
    </row>
    <row r="177" ht="12.75" customHeight="1"/>
    <row r="178" ht="12.75" customHeight="1">
      <c r="W178" s="5"/>
      <c r="X178" s="5"/>
    </row>
    <row r="179" ht="12.75" customHeight="1">
      <c r="W179" s="5"/>
      <c r="X179" s="5"/>
    </row>
    <row r="180" ht="12.75" customHeight="1">
      <c r="W180" s="5"/>
      <c r="X180" s="5"/>
    </row>
    <row r="181" ht="12.75" customHeight="1">
      <c r="W181" s="5"/>
      <c r="X181" s="5"/>
    </row>
    <row r="182" ht="12.75" customHeight="1">
      <c r="W182" s="5"/>
      <c r="X182" s="5"/>
    </row>
    <row r="183" ht="12.75" customHeight="1">
      <c r="W183" s="5"/>
      <c r="X183" s="5"/>
    </row>
    <row r="184" ht="12.75" customHeight="1">
      <c r="W184" s="5"/>
      <c r="X184" s="5"/>
    </row>
    <row r="185" ht="12.75" customHeight="1">
      <c r="W185" s="5"/>
      <c r="X185" s="5"/>
    </row>
    <row r="186" ht="12.75" customHeight="1">
      <c r="W186" s="5"/>
      <c r="X186" s="5"/>
    </row>
    <row r="187" ht="12.75" customHeight="1">
      <c r="W187" s="1"/>
      <c r="X187" s="1"/>
    </row>
    <row r="188" ht="12.75" customHeight="1"/>
    <row r="189" ht="12.75" customHeight="1">
      <c r="W189" s="5"/>
      <c r="X189" s="5"/>
    </row>
    <row r="190" ht="12.75" customHeight="1">
      <c r="W190" s="5"/>
      <c r="X190" s="5"/>
    </row>
    <row r="191" ht="12.75" customHeight="1">
      <c r="W191" s="5"/>
      <c r="X191" s="5"/>
    </row>
    <row r="192" ht="12.75" customHeight="1">
      <c r="W192" s="5"/>
      <c r="X192" s="5"/>
    </row>
    <row r="193" ht="12.75" customHeight="1">
      <c r="W193" s="5"/>
      <c r="X193" s="5"/>
    </row>
    <row r="194" ht="12.75" customHeight="1">
      <c r="W194" s="5"/>
      <c r="X194" s="5"/>
    </row>
    <row r="195" ht="12.75" customHeight="1">
      <c r="W195" s="5"/>
      <c r="X195" s="5"/>
    </row>
    <row r="196" ht="12.75" customHeight="1">
      <c r="W196" s="1"/>
      <c r="X196" s="1"/>
    </row>
    <row r="197" ht="12.75" customHeight="1">
      <c r="W197" s="1"/>
      <c r="X197" s="1"/>
    </row>
    <row r="198" ht="12.75" customHeight="1">
      <c r="W198" s="1"/>
      <c r="X198" s="1"/>
    </row>
    <row r="199" ht="12.75" customHeight="1">
      <c r="W199" s="52"/>
      <c r="X199" s="52"/>
    </row>
    <row r="200" ht="12.75" customHeight="1">
      <c r="W200" s="5"/>
      <c r="X200" s="5"/>
    </row>
    <row r="201" ht="12.75" customHeight="1">
      <c r="W201" s="5"/>
      <c r="X201" s="5"/>
    </row>
    <row r="202" ht="12.75" customHeight="1">
      <c r="W202" s="5"/>
      <c r="X202" s="5"/>
    </row>
    <row r="203" ht="12.75" customHeight="1">
      <c r="W203" s="5"/>
      <c r="X203" s="5"/>
    </row>
    <row r="204" ht="12.75" customHeight="1">
      <c r="W204" s="5"/>
      <c r="X204" s="5"/>
    </row>
    <row r="205" ht="12.75" customHeight="1">
      <c r="W205" s="5"/>
      <c r="X205" s="5"/>
    </row>
    <row r="206" ht="12.75" customHeight="1">
      <c r="W206" s="5"/>
      <c r="X206" s="5"/>
    </row>
    <row r="207" ht="12.75" customHeight="1">
      <c r="W207" s="1"/>
      <c r="X207" s="1"/>
    </row>
    <row r="208" ht="12.75" customHeight="1">
      <c r="W208" s="52"/>
      <c r="X208" s="52"/>
    </row>
    <row r="209" ht="12.75" customHeight="1">
      <c r="W209" s="52"/>
      <c r="X209" s="52"/>
    </row>
    <row r="210" ht="12.75" customHeight="1">
      <c r="W210" s="52"/>
      <c r="X210" s="52"/>
    </row>
    <row r="211" ht="12.75" customHeight="1">
      <c r="W211" s="5"/>
      <c r="X211" s="5"/>
    </row>
    <row r="212" ht="12.75" customHeight="1">
      <c r="W212" s="5"/>
      <c r="X212" s="5"/>
    </row>
    <row r="213" ht="12.75" customHeight="1">
      <c r="W213" s="5"/>
      <c r="X213" s="5"/>
    </row>
    <row r="214" ht="12.75" customHeight="1">
      <c r="W214" s="5"/>
      <c r="X214" s="5"/>
    </row>
    <row r="215" ht="12.75" customHeight="1">
      <c r="W215" s="5"/>
      <c r="X215" s="5"/>
    </row>
    <row r="216" ht="12.75" customHeight="1">
      <c r="W216" s="5"/>
      <c r="X216" s="5"/>
    </row>
    <row r="217" ht="12.75" customHeight="1">
      <c r="W217" s="5"/>
      <c r="X217" s="5"/>
    </row>
    <row r="218" ht="12.75" customHeight="1">
      <c r="W218" s="1"/>
      <c r="X218" s="1"/>
    </row>
    <row r="219" ht="12.75" customHeight="1">
      <c r="W219" s="52"/>
      <c r="X219" s="52"/>
    </row>
    <row r="220" ht="12.75" customHeight="1">
      <c r="W220" s="5"/>
      <c r="X220" s="5"/>
    </row>
    <row r="221" ht="12.75" customHeight="1">
      <c r="W221" s="5"/>
      <c r="X221" s="5"/>
    </row>
    <row r="222" ht="12.75" customHeight="1">
      <c r="W222" s="5"/>
      <c r="X222" s="5"/>
    </row>
    <row r="223" ht="12.75" customHeight="1">
      <c r="W223" s="5"/>
      <c r="X223" s="5"/>
    </row>
    <row r="224" ht="12.75" customHeight="1">
      <c r="W224" s="5"/>
      <c r="X224" s="5"/>
    </row>
    <row r="225" ht="12.75" customHeight="1">
      <c r="W225" s="5"/>
      <c r="X225" s="5"/>
    </row>
    <row r="226" ht="12.75" customHeight="1">
      <c r="W226" s="5"/>
      <c r="X226" s="5"/>
    </row>
    <row r="227" ht="12.75" customHeight="1">
      <c r="W227" s="5"/>
      <c r="X227" s="5"/>
    </row>
    <row r="228" ht="12.75" customHeight="1">
      <c r="W228" s="5"/>
      <c r="X228" s="5"/>
    </row>
    <row r="229" ht="12.75" customHeight="1">
      <c r="W229" s="1"/>
      <c r="X229" s="1"/>
    </row>
    <row r="230" ht="12.75" customHeight="1">
      <c r="W230" s="52"/>
      <c r="X230" s="52"/>
    </row>
    <row r="231" ht="12.75" customHeight="1">
      <c r="W231" s="5"/>
      <c r="X231" s="5"/>
    </row>
    <row r="232" ht="12.75" customHeight="1">
      <c r="W232" s="5"/>
      <c r="X232" s="5"/>
    </row>
    <row r="233" ht="12.75" customHeight="1">
      <c r="W233" s="5"/>
      <c r="X233" s="5"/>
    </row>
    <row r="234" ht="12.75" customHeight="1">
      <c r="W234" s="5"/>
      <c r="X234" s="5"/>
    </row>
    <row r="235" ht="12.75" customHeight="1">
      <c r="W235" s="5"/>
      <c r="X235" s="5"/>
    </row>
    <row r="236" ht="12.75" customHeight="1">
      <c r="W236" s="5"/>
      <c r="X236" s="5"/>
    </row>
    <row r="237" ht="12.75" customHeight="1">
      <c r="W237" s="5"/>
      <c r="X237" s="5"/>
    </row>
    <row r="238" ht="12.75" customHeight="1">
      <c r="W238" s="5"/>
      <c r="X238" s="5"/>
    </row>
    <row r="239" ht="12.75" customHeight="1">
      <c r="W239" s="5"/>
      <c r="X239" s="5"/>
    </row>
    <row r="240" ht="12.75" customHeight="1">
      <c r="W240" s="1"/>
      <c r="X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U15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E30&lt;&gt;E47</formula>
    </cfRule>
  </conditionalFormatting>
  <conditionalFormatting sqref="E30:U30">
    <cfRule type="expression" dxfId="0" priority="5">
      <formula>E30&lt;&gt;E34</formula>
    </cfRule>
  </conditionalFormatting>
  <conditionalFormatting sqref="E45:U57">
    <cfRule type="containsBlanks" dxfId="1" priority="6">
      <formula>LEN(TRIM(E45))=0</formula>
    </cfRule>
  </conditionalFormatting>
  <conditionalFormatting sqref="E60:U61">
    <cfRule type="containsBlanks" dxfId="1" priority="7">
      <formula>LEN(TRIM(E60))=0</formula>
    </cfRule>
  </conditionalFormatting>
  <conditionalFormatting sqref="E34:U34">
    <cfRule type="expression" dxfId="2" priority="8">
      <formula>E30&lt;&gt;E34</formula>
    </cfRule>
  </conditionalFormatting>
  <conditionalFormatting sqref="E34:U34">
    <cfRule type="expression" dxfId="3" priority="9">
      <formula>E30=E34</formula>
    </cfRule>
  </conditionalFormatting>
  <conditionalFormatting sqref="E34:U34">
    <cfRule type="expression" dxfId="0" priority="10">
      <formula>E34&lt;&gt;E30</formula>
    </cfRule>
  </conditionalFormatting>
  <conditionalFormatting sqref="E34:U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13" t="s">
        <v>79</v>
      </c>
      <c r="N13" s="13" t="s">
        <v>81</v>
      </c>
      <c r="O13" s="13" t="s">
        <v>82</v>
      </c>
      <c r="P13" s="37"/>
    </row>
    <row r="14" ht="12.75" customHeight="1">
      <c r="A14" s="18"/>
      <c r="B14" s="22" t="s">
        <v>11</v>
      </c>
      <c r="C14" s="23"/>
      <c r="D14" s="19" t="s">
        <v>12</v>
      </c>
      <c r="E14" s="19">
        <v>144.0</v>
      </c>
      <c r="F14" s="19">
        <v>132.0</v>
      </c>
      <c r="G14" s="19">
        <v>153.0</v>
      </c>
      <c r="H14" s="19">
        <v>134.0</v>
      </c>
      <c r="I14" s="19">
        <v>145.0</v>
      </c>
      <c r="J14" s="19">
        <v>144.0</v>
      </c>
      <c r="K14" s="19">
        <v>137.0</v>
      </c>
      <c r="L14" s="19">
        <v>136.0</v>
      </c>
      <c r="M14" s="19">
        <v>122.0</v>
      </c>
      <c r="N14" s="19">
        <v>118.0</v>
      </c>
      <c r="O14" s="19">
        <v>123.0</v>
      </c>
      <c r="P14" s="13">
        <f t="shared" ref="P14:P16" si="1">SUM(E14:O14)</f>
        <v>1488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153.0</v>
      </c>
      <c r="G15" s="19">
        <v>139.0</v>
      </c>
      <c r="H15" s="19">
        <v>143.0</v>
      </c>
      <c r="I15" s="19">
        <v>137.0</v>
      </c>
      <c r="J15" s="19">
        <v>139.0</v>
      </c>
      <c r="K15" s="19">
        <v>149.0</v>
      </c>
      <c r="L15" s="19">
        <v>143.0</v>
      </c>
      <c r="M15" s="19">
        <v>124.0</v>
      </c>
      <c r="N15" s="19">
        <v>115.0</v>
      </c>
      <c r="O15" s="19">
        <v>123.0</v>
      </c>
      <c r="P15" s="13">
        <f t="shared" si="1"/>
        <v>1511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290</v>
      </c>
      <c r="F16" s="13">
        <f t="shared" si="2"/>
        <v>285</v>
      </c>
      <c r="G16" s="13">
        <f t="shared" si="2"/>
        <v>292</v>
      </c>
      <c r="H16" s="13">
        <f t="shared" si="2"/>
        <v>277</v>
      </c>
      <c r="I16" s="13">
        <f t="shared" si="2"/>
        <v>282</v>
      </c>
      <c r="J16" s="13">
        <f t="shared" si="2"/>
        <v>283</v>
      </c>
      <c r="K16" s="13">
        <f t="shared" si="2"/>
        <v>286</v>
      </c>
      <c r="L16" s="13">
        <f t="shared" si="2"/>
        <v>279</v>
      </c>
      <c r="M16" s="13">
        <f t="shared" si="2"/>
        <v>246</v>
      </c>
      <c r="N16" s="13">
        <f t="shared" si="2"/>
        <v>233</v>
      </c>
      <c r="O16" s="13">
        <f t="shared" si="2"/>
        <v>246</v>
      </c>
      <c r="P16" s="13">
        <f t="shared" si="1"/>
        <v>2999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13" t="s">
        <v>77</v>
      </c>
      <c r="L18" s="13" t="s">
        <v>78</v>
      </c>
      <c r="M18" s="13" t="s">
        <v>79</v>
      </c>
      <c r="N18" s="13" t="s">
        <v>81</v>
      </c>
      <c r="O18" s="13" t="s">
        <v>82</v>
      </c>
      <c r="P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110.0</v>
      </c>
      <c r="F19" s="19">
        <v>104.0</v>
      </c>
      <c r="G19" s="19">
        <v>120.0</v>
      </c>
      <c r="H19" s="19">
        <v>107.0</v>
      </c>
      <c r="I19" s="19">
        <v>131.0</v>
      </c>
      <c r="J19" s="19">
        <v>115.0</v>
      </c>
      <c r="K19" s="19">
        <v>112.0</v>
      </c>
      <c r="L19" s="19">
        <v>104.0</v>
      </c>
      <c r="M19" s="19">
        <v>108.0</v>
      </c>
      <c r="N19" s="19">
        <v>95.0</v>
      </c>
      <c r="O19" s="19">
        <v>98.0</v>
      </c>
      <c r="P19" s="13">
        <f t="shared" ref="P19:P30" si="3">SUM(E19:O19)</f>
        <v>1204</v>
      </c>
    </row>
    <row r="20" ht="12.75" customHeight="1">
      <c r="A20" s="34"/>
      <c r="B20" s="27"/>
      <c r="C20" s="35"/>
      <c r="D20" s="19" t="s">
        <v>13</v>
      </c>
      <c r="E20" s="19">
        <v>113.0</v>
      </c>
      <c r="F20" s="19">
        <v>130.0</v>
      </c>
      <c r="G20" s="19">
        <v>117.0</v>
      </c>
      <c r="H20" s="19">
        <v>122.0</v>
      </c>
      <c r="I20" s="19">
        <v>123.0</v>
      </c>
      <c r="J20" s="19">
        <v>123.0</v>
      </c>
      <c r="K20" s="19">
        <v>128.0</v>
      </c>
      <c r="L20" s="19">
        <v>118.0</v>
      </c>
      <c r="M20" s="19">
        <v>111.0</v>
      </c>
      <c r="N20" s="19">
        <v>98.0</v>
      </c>
      <c r="O20" s="19">
        <v>112.0</v>
      </c>
      <c r="P20" s="13">
        <f t="shared" si="3"/>
        <v>1295</v>
      </c>
    </row>
    <row r="21" ht="12.75" customHeight="1">
      <c r="A21" s="36"/>
      <c r="B21" s="28"/>
      <c r="C21" s="37"/>
      <c r="D21" s="13" t="s">
        <v>14</v>
      </c>
      <c r="E21" s="13">
        <f t="shared" ref="E21:O21" si="4">SUM(E19:E20)</f>
        <v>223</v>
      </c>
      <c r="F21" s="13">
        <f t="shared" si="4"/>
        <v>234</v>
      </c>
      <c r="G21" s="13">
        <f t="shared" si="4"/>
        <v>237</v>
      </c>
      <c r="H21" s="13">
        <f t="shared" si="4"/>
        <v>229</v>
      </c>
      <c r="I21" s="13">
        <f t="shared" si="4"/>
        <v>254</v>
      </c>
      <c r="J21" s="13">
        <f t="shared" si="4"/>
        <v>238</v>
      </c>
      <c r="K21" s="13">
        <f t="shared" si="4"/>
        <v>240</v>
      </c>
      <c r="L21" s="13">
        <f t="shared" si="4"/>
        <v>222</v>
      </c>
      <c r="M21" s="13">
        <f t="shared" si="4"/>
        <v>219</v>
      </c>
      <c r="N21" s="13">
        <f t="shared" si="4"/>
        <v>193</v>
      </c>
      <c r="O21" s="13">
        <f t="shared" si="4"/>
        <v>210</v>
      </c>
      <c r="P21" s="13">
        <f t="shared" si="3"/>
        <v>2499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3">
        <f t="shared" si="3"/>
        <v>1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1.0</v>
      </c>
      <c r="M26" s="19">
        <v>0.0</v>
      </c>
      <c r="N26" s="19">
        <v>0.0</v>
      </c>
      <c r="O26" s="19">
        <v>0.0</v>
      </c>
      <c r="P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3"/>
        <v>2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O28" si="7">SUM(E19,E22,E25)</f>
        <v>110</v>
      </c>
      <c r="F28" s="13">
        <f t="shared" si="7"/>
        <v>104</v>
      </c>
      <c r="G28" s="13">
        <f t="shared" si="7"/>
        <v>120</v>
      </c>
      <c r="H28" s="13">
        <f t="shared" si="7"/>
        <v>107</v>
      </c>
      <c r="I28" s="13">
        <f t="shared" si="7"/>
        <v>132</v>
      </c>
      <c r="J28" s="13">
        <f t="shared" si="7"/>
        <v>115</v>
      </c>
      <c r="K28" s="13">
        <f t="shared" si="7"/>
        <v>112</v>
      </c>
      <c r="L28" s="13">
        <f t="shared" si="7"/>
        <v>104</v>
      </c>
      <c r="M28" s="13">
        <f t="shared" si="7"/>
        <v>108</v>
      </c>
      <c r="N28" s="13">
        <f t="shared" si="7"/>
        <v>95</v>
      </c>
      <c r="O28" s="13">
        <f t="shared" si="7"/>
        <v>98</v>
      </c>
      <c r="P28" s="13">
        <f t="shared" si="3"/>
        <v>1205</v>
      </c>
    </row>
    <row r="29" ht="12.75" customHeight="1">
      <c r="A29" s="36"/>
      <c r="B29" s="27"/>
      <c r="C29" s="35"/>
      <c r="D29" s="13" t="s">
        <v>13</v>
      </c>
      <c r="E29" s="13">
        <f t="shared" ref="E29:O29" si="8">SUM(E20,E23,E26)</f>
        <v>113</v>
      </c>
      <c r="F29" s="13">
        <f t="shared" si="8"/>
        <v>130</v>
      </c>
      <c r="G29" s="13">
        <f t="shared" si="8"/>
        <v>117</v>
      </c>
      <c r="H29" s="13">
        <f t="shared" si="8"/>
        <v>122</v>
      </c>
      <c r="I29" s="13">
        <f t="shared" si="8"/>
        <v>124</v>
      </c>
      <c r="J29" s="13">
        <f t="shared" si="8"/>
        <v>123</v>
      </c>
      <c r="K29" s="13">
        <f t="shared" si="8"/>
        <v>128</v>
      </c>
      <c r="L29" s="13">
        <f t="shared" si="8"/>
        <v>119</v>
      </c>
      <c r="M29" s="13">
        <f t="shared" si="8"/>
        <v>111</v>
      </c>
      <c r="N29" s="13">
        <f t="shared" si="8"/>
        <v>98</v>
      </c>
      <c r="O29" s="13">
        <f t="shared" si="8"/>
        <v>112</v>
      </c>
      <c r="P29" s="13">
        <f t="shared" si="3"/>
        <v>1297</v>
      </c>
    </row>
    <row r="30" ht="12.75" customHeight="1">
      <c r="A30" s="36"/>
      <c r="B30" s="28"/>
      <c r="C30" s="37"/>
      <c r="D30" s="13" t="s">
        <v>14</v>
      </c>
      <c r="E30" s="13">
        <f t="shared" ref="E30:O30" si="9">SUM(E28:E29)</f>
        <v>223</v>
      </c>
      <c r="F30" s="13">
        <f t="shared" si="9"/>
        <v>234</v>
      </c>
      <c r="G30" s="13">
        <f t="shared" si="9"/>
        <v>237</v>
      </c>
      <c r="H30" s="13">
        <f t="shared" si="9"/>
        <v>229</v>
      </c>
      <c r="I30" s="13">
        <f t="shared" si="9"/>
        <v>256</v>
      </c>
      <c r="J30" s="13">
        <f t="shared" si="9"/>
        <v>238</v>
      </c>
      <c r="K30" s="13">
        <f t="shared" si="9"/>
        <v>240</v>
      </c>
      <c r="L30" s="13">
        <f t="shared" si="9"/>
        <v>223</v>
      </c>
      <c r="M30" s="13">
        <f t="shared" si="9"/>
        <v>219</v>
      </c>
      <c r="N30" s="13">
        <f t="shared" si="9"/>
        <v>193</v>
      </c>
      <c r="O30" s="13">
        <f t="shared" si="9"/>
        <v>210</v>
      </c>
      <c r="P30" s="13">
        <f t="shared" si="3"/>
        <v>2502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61"/>
    </row>
    <row r="32" ht="12.75" customHeight="1">
      <c r="A32" s="43" t="s">
        <v>25</v>
      </c>
      <c r="B32" s="14" t="s">
        <v>26</v>
      </c>
      <c r="C32" s="15"/>
      <c r="D32" s="16"/>
      <c r="E32" s="63" t="s">
        <v>70</v>
      </c>
      <c r="F32" s="63" t="s">
        <v>71</v>
      </c>
      <c r="G32" s="63" t="s">
        <v>72</v>
      </c>
      <c r="H32" s="63" t="s">
        <v>73</v>
      </c>
      <c r="I32" s="63" t="s">
        <v>74</v>
      </c>
      <c r="J32" s="63" t="s">
        <v>75</v>
      </c>
      <c r="K32" s="63" t="s">
        <v>77</v>
      </c>
      <c r="L32" s="63" t="s">
        <v>78</v>
      </c>
      <c r="M32" s="63" t="s">
        <v>79</v>
      </c>
      <c r="N32" s="63" t="s">
        <v>81</v>
      </c>
      <c r="O32" s="63" t="s">
        <v>82</v>
      </c>
      <c r="P32" s="61"/>
    </row>
    <row r="33" ht="12.75" customHeight="1">
      <c r="A33" s="19">
        <v>1.0</v>
      </c>
      <c r="B33" s="20" t="s">
        <v>27</v>
      </c>
      <c r="C33" s="15"/>
      <c r="D33" s="16"/>
      <c r="E33" s="19">
        <v>296.0</v>
      </c>
      <c r="F33" s="19">
        <v>291.0</v>
      </c>
      <c r="G33" s="19">
        <v>299.0</v>
      </c>
      <c r="H33" s="19">
        <v>283.0</v>
      </c>
      <c r="I33" s="19">
        <v>288.0</v>
      </c>
      <c r="J33" s="19">
        <v>290.0</v>
      </c>
      <c r="K33" s="19">
        <v>292.0</v>
      </c>
      <c r="L33" s="19">
        <v>285.0</v>
      </c>
      <c r="M33" s="19">
        <v>251.0</v>
      </c>
      <c r="N33" s="19">
        <v>238.0</v>
      </c>
      <c r="O33" s="19">
        <v>250.0</v>
      </c>
      <c r="P33" s="13">
        <f t="shared" ref="P33:P36" si="10">SUM(E33:O33)</f>
        <v>3063</v>
      </c>
    </row>
    <row r="34" ht="12.75" customHeight="1">
      <c r="A34" s="19">
        <v>2.0</v>
      </c>
      <c r="B34" s="20" t="s">
        <v>28</v>
      </c>
      <c r="C34" s="15"/>
      <c r="D34" s="16"/>
      <c r="E34" s="13">
        <v>223.0</v>
      </c>
      <c r="F34" s="13">
        <v>234.0</v>
      </c>
      <c r="G34" s="13">
        <v>237.0</v>
      </c>
      <c r="H34" s="13">
        <v>229.0</v>
      </c>
      <c r="I34" s="13">
        <v>256.0</v>
      </c>
      <c r="J34" s="13">
        <v>238.0</v>
      </c>
      <c r="K34" s="13">
        <v>240.0</v>
      </c>
      <c r="L34" s="13">
        <v>223.0</v>
      </c>
      <c r="M34" s="13">
        <v>219.0</v>
      </c>
      <c r="N34" s="13">
        <v>193.0</v>
      </c>
      <c r="O34" s="13">
        <v>210.0</v>
      </c>
      <c r="P34" s="13">
        <f t="shared" si="10"/>
        <v>2502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73</v>
      </c>
      <c r="F36" s="13">
        <f t="shared" si="11"/>
        <v>57</v>
      </c>
      <c r="G36" s="13">
        <f t="shared" si="11"/>
        <v>62</v>
      </c>
      <c r="H36" s="13">
        <f t="shared" si="11"/>
        <v>54</v>
      </c>
      <c r="I36" s="13">
        <f t="shared" si="11"/>
        <v>32</v>
      </c>
      <c r="J36" s="13">
        <f t="shared" si="11"/>
        <v>52</v>
      </c>
      <c r="K36" s="13">
        <f t="shared" si="11"/>
        <v>51</v>
      </c>
      <c r="L36" s="13">
        <f t="shared" si="11"/>
        <v>62</v>
      </c>
      <c r="M36" s="13">
        <f t="shared" si="11"/>
        <v>32</v>
      </c>
      <c r="N36" s="13">
        <f t="shared" si="11"/>
        <v>45</v>
      </c>
      <c r="O36" s="13">
        <f t="shared" si="11"/>
        <v>40</v>
      </c>
      <c r="P36" s="13">
        <f t="shared" si="10"/>
        <v>560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61"/>
    </row>
    <row r="38" ht="12.75" customHeight="1">
      <c r="A38" s="44" t="s">
        <v>31</v>
      </c>
      <c r="B38" s="14" t="s">
        <v>32</v>
      </c>
      <c r="C38" s="15"/>
      <c r="D38" s="16"/>
      <c r="E38" s="63" t="s">
        <v>70</v>
      </c>
      <c r="F38" s="63" t="s">
        <v>71</v>
      </c>
      <c r="G38" s="63" t="s">
        <v>72</v>
      </c>
      <c r="H38" s="63" t="s">
        <v>73</v>
      </c>
      <c r="I38" s="63" t="s">
        <v>74</v>
      </c>
      <c r="J38" s="63" t="s">
        <v>75</v>
      </c>
      <c r="K38" s="63" t="s">
        <v>77</v>
      </c>
      <c r="L38" s="63" t="s">
        <v>78</v>
      </c>
      <c r="M38" s="63" t="s">
        <v>79</v>
      </c>
      <c r="N38" s="63" t="s">
        <v>81</v>
      </c>
      <c r="O38" s="63" t="s">
        <v>82</v>
      </c>
      <c r="P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3">
        <f t="shared" ref="P39:P41" si="12">SUM(E39:O39)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3"/>
    </row>
    <row r="43" ht="12.75" customHeight="1">
      <c r="A43" s="44" t="s">
        <v>34</v>
      </c>
      <c r="B43" s="14" t="s">
        <v>35</v>
      </c>
      <c r="C43" s="15"/>
      <c r="D43" s="16"/>
      <c r="E43" s="63" t="s">
        <v>70</v>
      </c>
      <c r="F43" s="63" t="s">
        <v>71</v>
      </c>
      <c r="G43" s="63" t="s">
        <v>72</v>
      </c>
      <c r="H43" s="63" t="s">
        <v>73</v>
      </c>
      <c r="I43" s="63" t="s">
        <v>74</v>
      </c>
      <c r="J43" s="63" t="s">
        <v>75</v>
      </c>
      <c r="K43" s="63" t="s">
        <v>77</v>
      </c>
      <c r="L43" s="63" t="s">
        <v>78</v>
      </c>
      <c r="M43" s="63" t="s">
        <v>79</v>
      </c>
      <c r="N43" s="63" t="s">
        <v>81</v>
      </c>
      <c r="O43" s="63" t="s">
        <v>82</v>
      </c>
      <c r="P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3"/>
    </row>
    <row r="45" ht="12.75" customHeight="1">
      <c r="A45" s="31"/>
      <c r="B45" s="49" t="s">
        <v>17</v>
      </c>
      <c r="C45" s="62" t="s">
        <v>38</v>
      </c>
      <c r="D45" s="16"/>
      <c r="E45" s="19">
        <v>25.0</v>
      </c>
      <c r="F45" s="19">
        <v>24.0</v>
      </c>
      <c r="G45" s="19">
        <v>19.0</v>
      </c>
      <c r="H45" s="19">
        <v>16.0</v>
      </c>
      <c r="I45" s="19">
        <v>20.0</v>
      </c>
      <c r="J45" s="19">
        <v>15.0</v>
      </c>
      <c r="K45" s="19">
        <v>25.0</v>
      </c>
      <c r="L45" s="19">
        <v>17.0</v>
      </c>
      <c r="M45" s="19">
        <v>8.0</v>
      </c>
      <c r="N45" s="19">
        <v>12.0</v>
      </c>
      <c r="O45" s="19">
        <v>19.0</v>
      </c>
      <c r="P45" s="13">
        <f t="shared" ref="P45:P57" si="14">SUM(E45:O45)</f>
        <v>200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26.0</v>
      </c>
      <c r="F46" s="19">
        <v>42.0</v>
      </c>
      <c r="G46" s="19">
        <v>46.0</v>
      </c>
      <c r="H46" s="19">
        <v>41.0</v>
      </c>
      <c r="I46" s="19">
        <v>40.0</v>
      </c>
      <c r="J46" s="19">
        <v>41.0</v>
      </c>
      <c r="K46" s="19">
        <v>41.0</v>
      </c>
      <c r="L46" s="19">
        <v>48.0</v>
      </c>
      <c r="M46" s="19">
        <v>42.0</v>
      </c>
      <c r="N46" s="19">
        <v>30.0</v>
      </c>
      <c r="O46" s="19">
        <v>43.0</v>
      </c>
      <c r="P46" s="13">
        <f t="shared" si="14"/>
        <v>440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20.0</v>
      </c>
      <c r="F47" s="19">
        <v>14.0</v>
      </c>
      <c r="G47" s="19">
        <v>15.0</v>
      </c>
      <c r="H47" s="19">
        <v>16.0</v>
      </c>
      <c r="I47" s="19">
        <v>12.0</v>
      </c>
      <c r="J47" s="19">
        <v>5.0</v>
      </c>
      <c r="K47" s="19">
        <v>14.0</v>
      </c>
      <c r="L47" s="19">
        <v>11.0</v>
      </c>
      <c r="M47" s="19">
        <v>10.0</v>
      </c>
      <c r="N47" s="19">
        <v>16.0</v>
      </c>
      <c r="O47" s="19">
        <v>14.0</v>
      </c>
      <c r="P47" s="13">
        <f t="shared" si="14"/>
        <v>147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18.0</v>
      </c>
      <c r="F48" s="19">
        <v>20.0</v>
      </c>
      <c r="G48" s="19">
        <v>27.0</v>
      </c>
      <c r="H48" s="19">
        <v>17.0</v>
      </c>
      <c r="I48" s="19">
        <v>21.0</v>
      </c>
      <c r="J48" s="19">
        <v>15.0</v>
      </c>
      <c r="K48" s="19">
        <v>22.0</v>
      </c>
      <c r="L48" s="19">
        <v>14.0</v>
      </c>
      <c r="M48" s="19">
        <v>16.0</v>
      </c>
      <c r="N48" s="19">
        <v>7.0</v>
      </c>
      <c r="O48" s="19">
        <v>19.0</v>
      </c>
      <c r="P48" s="13">
        <f t="shared" si="14"/>
        <v>196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23.0</v>
      </c>
      <c r="F49" s="19">
        <v>21.0</v>
      </c>
      <c r="G49" s="19">
        <v>16.0</v>
      </c>
      <c r="H49" s="19">
        <v>22.0</v>
      </c>
      <c r="I49" s="19">
        <v>23.0</v>
      </c>
      <c r="J49" s="19">
        <v>26.0</v>
      </c>
      <c r="K49" s="19">
        <v>29.0</v>
      </c>
      <c r="L49" s="19">
        <v>27.0</v>
      </c>
      <c r="M49" s="19">
        <v>17.0</v>
      </c>
      <c r="N49" s="19">
        <v>18.0</v>
      </c>
      <c r="O49" s="19">
        <v>25.0</v>
      </c>
      <c r="P49" s="13">
        <f t="shared" si="14"/>
        <v>247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10.0</v>
      </c>
      <c r="F50" s="19">
        <v>7.0</v>
      </c>
      <c r="G50" s="19">
        <v>6.0</v>
      </c>
      <c r="H50" s="19">
        <v>8.0</v>
      </c>
      <c r="I50" s="19">
        <v>8.0</v>
      </c>
      <c r="J50" s="19">
        <v>11.0</v>
      </c>
      <c r="K50" s="19">
        <v>14.0</v>
      </c>
      <c r="L50" s="19">
        <v>7.0</v>
      </c>
      <c r="M50" s="19">
        <v>9.0</v>
      </c>
      <c r="N50" s="19">
        <v>9.0</v>
      </c>
      <c r="O50" s="19">
        <v>7.0</v>
      </c>
      <c r="P50" s="13">
        <f t="shared" si="14"/>
        <v>96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2.0</v>
      </c>
      <c r="F51" s="19">
        <v>4.0</v>
      </c>
      <c r="G51" s="19">
        <v>1.0</v>
      </c>
      <c r="H51" s="19">
        <v>0.0</v>
      </c>
      <c r="I51" s="19">
        <v>1.0</v>
      </c>
      <c r="J51" s="19">
        <v>1.0</v>
      </c>
      <c r="K51" s="19">
        <v>0.0</v>
      </c>
      <c r="L51" s="19">
        <v>1.0</v>
      </c>
      <c r="M51" s="19">
        <v>4.0</v>
      </c>
      <c r="N51" s="19">
        <v>6.0</v>
      </c>
      <c r="O51" s="19">
        <v>2.0</v>
      </c>
      <c r="P51" s="13">
        <f t="shared" si="14"/>
        <v>22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1.0</v>
      </c>
      <c r="F52" s="19">
        <v>4.0</v>
      </c>
      <c r="G52" s="19">
        <v>3.0</v>
      </c>
      <c r="H52" s="19">
        <v>0.0</v>
      </c>
      <c r="I52" s="19">
        <v>0.0</v>
      </c>
      <c r="J52" s="19">
        <v>0.0</v>
      </c>
      <c r="K52" s="19">
        <v>0.0</v>
      </c>
      <c r="L52" s="19">
        <v>5.0</v>
      </c>
      <c r="M52" s="19">
        <v>4.0</v>
      </c>
      <c r="N52" s="19">
        <v>0.0</v>
      </c>
      <c r="O52" s="19">
        <v>1.0</v>
      </c>
      <c r="P52" s="13">
        <f t="shared" si="14"/>
        <v>18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1.0</v>
      </c>
      <c r="F53" s="19">
        <v>1.0</v>
      </c>
      <c r="G53" s="19">
        <v>0.0</v>
      </c>
      <c r="H53" s="19">
        <v>3.0</v>
      </c>
      <c r="I53" s="19">
        <v>0.0</v>
      </c>
      <c r="J53" s="19">
        <v>0.0</v>
      </c>
      <c r="K53" s="19">
        <v>4.0</v>
      </c>
      <c r="L53" s="19">
        <v>1.0</v>
      </c>
      <c r="M53" s="19">
        <v>0.0</v>
      </c>
      <c r="N53" s="19">
        <v>0.0</v>
      </c>
      <c r="O53" s="19">
        <v>1.0</v>
      </c>
      <c r="P53" s="13">
        <f t="shared" si="14"/>
        <v>11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15.0</v>
      </c>
      <c r="F54" s="19">
        <v>20.0</v>
      </c>
      <c r="G54" s="19">
        <v>20.0</v>
      </c>
      <c r="H54" s="19">
        <v>19.0</v>
      </c>
      <c r="I54" s="19">
        <v>17.0</v>
      </c>
      <c r="J54" s="19">
        <v>12.0</v>
      </c>
      <c r="K54" s="19">
        <v>11.0</v>
      </c>
      <c r="L54" s="19">
        <v>24.0</v>
      </c>
      <c r="M54" s="19">
        <v>29.0</v>
      </c>
      <c r="N54" s="19">
        <v>11.0</v>
      </c>
      <c r="O54" s="19">
        <v>15.0</v>
      </c>
      <c r="P54" s="13">
        <f t="shared" si="14"/>
        <v>193</v>
      </c>
    </row>
    <row r="55" ht="15.0" customHeight="1">
      <c r="A55" s="18"/>
      <c r="B55" s="49" t="s">
        <v>54</v>
      </c>
      <c r="C55" s="62" t="s">
        <v>55</v>
      </c>
      <c r="D55" s="16"/>
      <c r="E55" s="19">
        <v>1.0</v>
      </c>
      <c r="F55" s="19">
        <v>0.0</v>
      </c>
      <c r="G55" s="19">
        <v>1.0</v>
      </c>
      <c r="H55" s="19">
        <v>0.0</v>
      </c>
      <c r="I55" s="19">
        <v>2.0</v>
      </c>
      <c r="J55" s="19">
        <v>0.0</v>
      </c>
      <c r="K55" s="19">
        <v>0.0</v>
      </c>
      <c r="L55" s="19">
        <v>2.0</v>
      </c>
      <c r="M55" s="19">
        <v>0.0</v>
      </c>
      <c r="N55" s="19">
        <v>0.0</v>
      </c>
      <c r="O55" s="19">
        <v>0.0</v>
      </c>
      <c r="P55" s="13">
        <f t="shared" si="14"/>
        <v>6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18.0</v>
      </c>
      <c r="F56" s="19">
        <v>16.0</v>
      </c>
      <c r="G56" s="19">
        <v>12.0</v>
      </c>
      <c r="H56" s="19">
        <v>27.0</v>
      </c>
      <c r="I56" s="19">
        <v>30.0</v>
      </c>
      <c r="J56" s="19">
        <v>18.0</v>
      </c>
      <c r="K56" s="19">
        <v>24.0</v>
      </c>
      <c r="L56" s="19">
        <v>13.0</v>
      </c>
      <c r="M56" s="19">
        <v>16.0</v>
      </c>
      <c r="N56" s="19">
        <v>9.0</v>
      </c>
      <c r="O56" s="19">
        <v>14.0</v>
      </c>
      <c r="P56" s="13">
        <f t="shared" si="14"/>
        <v>197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1.0</v>
      </c>
      <c r="F57" s="19">
        <v>6.0</v>
      </c>
      <c r="G57" s="19">
        <v>1.0</v>
      </c>
      <c r="H57" s="19">
        <v>4.0</v>
      </c>
      <c r="I57" s="19">
        <v>1.0</v>
      </c>
      <c r="J57" s="19">
        <v>2.0</v>
      </c>
      <c r="K57" s="19">
        <v>0.0</v>
      </c>
      <c r="L57" s="19">
        <v>1.0</v>
      </c>
      <c r="M57" s="19">
        <v>2.0</v>
      </c>
      <c r="N57" s="19">
        <v>3.0</v>
      </c>
      <c r="O57" s="19">
        <v>2.0</v>
      </c>
      <c r="P57" s="13">
        <f t="shared" si="14"/>
        <v>23</v>
      </c>
    </row>
    <row r="58" ht="12.75" customHeight="1">
      <c r="P58" s="13"/>
    </row>
    <row r="59" ht="12.75" customHeight="1">
      <c r="A59" s="44" t="s">
        <v>60</v>
      </c>
      <c r="B59" s="14" t="s">
        <v>61</v>
      </c>
      <c r="C59" s="15"/>
      <c r="D59" s="16"/>
      <c r="E59" s="63" t="s">
        <v>70</v>
      </c>
      <c r="F59" s="63" t="s">
        <v>71</v>
      </c>
      <c r="G59" s="63" t="s">
        <v>72</v>
      </c>
      <c r="H59" s="63" t="s">
        <v>73</v>
      </c>
      <c r="I59" s="63" t="s">
        <v>74</v>
      </c>
      <c r="J59" s="63" t="s">
        <v>75</v>
      </c>
      <c r="K59" s="63" t="s">
        <v>77</v>
      </c>
      <c r="L59" s="63" t="s">
        <v>78</v>
      </c>
      <c r="M59" s="63" t="s">
        <v>79</v>
      </c>
      <c r="N59" s="63" t="s">
        <v>81</v>
      </c>
      <c r="O59" s="63" t="s">
        <v>82</v>
      </c>
      <c r="P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O60" si="15">SUM(E45:E57)</f>
        <v>161</v>
      </c>
      <c r="F60" s="19">
        <f t="shared" si="15"/>
        <v>179</v>
      </c>
      <c r="G60" s="19">
        <f t="shared" si="15"/>
        <v>167</v>
      </c>
      <c r="H60" s="19">
        <f t="shared" si="15"/>
        <v>173</v>
      </c>
      <c r="I60" s="19">
        <f t="shared" si="15"/>
        <v>175</v>
      </c>
      <c r="J60" s="19">
        <f t="shared" si="15"/>
        <v>146</v>
      </c>
      <c r="K60" s="19">
        <f t="shared" si="15"/>
        <v>184</v>
      </c>
      <c r="L60" s="19">
        <f t="shared" si="15"/>
        <v>171</v>
      </c>
      <c r="M60" s="19">
        <f t="shared" si="15"/>
        <v>157</v>
      </c>
      <c r="N60" s="19">
        <f t="shared" si="15"/>
        <v>121</v>
      </c>
      <c r="O60" s="19">
        <f t="shared" si="15"/>
        <v>162</v>
      </c>
      <c r="P60" s="13">
        <f t="shared" ref="P60:P62" si="16">SUM(E60:O60)</f>
        <v>1796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62.0</v>
      </c>
      <c r="F61" s="19">
        <v>55.0</v>
      </c>
      <c r="G61" s="19">
        <v>70.0</v>
      </c>
      <c r="H61" s="19">
        <v>56.0</v>
      </c>
      <c r="I61" s="19">
        <v>81.0</v>
      </c>
      <c r="J61" s="19">
        <v>92.0</v>
      </c>
      <c r="K61" s="19">
        <v>56.0</v>
      </c>
      <c r="L61" s="19">
        <v>52.0</v>
      </c>
      <c r="M61" s="19">
        <v>62.0</v>
      </c>
      <c r="N61" s="19">
        <v>72.0</v>
      </c>
      <c r="O61" s="19">
        <v>48.0</v>
      </c>
      <c r="P61" s="13">
        <f t="shared" si="16"/>
        <v>706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O62" si="17">SUM(E60:E61)</f>
        <v>223</v>
      </c>
      <c r="F62" s="13">
        <f t="shared" si="17"/>
        <v>234</v>
      </c>
      <c r="G62" s="13">
        <f t="shared" si="17"/>
        <v>237</v>
      </c>
      <c r="H62" s="13">
        <f t="shared" si="17"/>
        <v>229</v>
      </c>
      <c r="I62" s="13">
        <f t="shared" si="17"/>
        <v>256</v>
      </c>
      <c r="J62" s="13">
        <f t="shared" si="17"/>
        <v>238</v>
      </c>
      <c r="K62" s="13">
        <f t="shared" si="17"/>
        <v>240</v>
      </c>
      <c r="L62" s="13">
        <f t="shared" si="17"/>
        <v>223</v>
      </c>
      <c r="M62" s="13">
        <f t="shared" si="17"/>
        <v>219</v>
      </c>
      <c r="N62" s="13">
        <f t="shared" si="17"/>
        <v>193</v>
      </c>
      <c r="O62" s="13">
        <f t="shared" si="17"/>
        <v>210</v>
      </c>
      <c r="P62" s="13">
        <f t="shared" si="16"/>
        <v>2502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Q117" s="5"/>
      <c r="R117" s="5"/>
    </row>
    <row r="118" ht="12.75" customHeight="1">
      <c r="Q118" s="5"/>
      <c r="R118" s="5"/>
    </row>
    <row r="119" ht="12.75" customHeight="1">
      <c r="Q119" s="5"/>
      <c r="R119" s="5"/>
    </row>
    <row r="120" ht="12.75" customHeight="1">
      <c r="Q120" s="5"/>
      <c r="R120" s="5"/>
    </row>
    <row r="121" ht="12.75" customHeight="1">
      <c r="Q121" s="5"/>
      <c r="R121" s="5"/>
    </row>
    <row r="122" ht="12.75" customHeight="1">
      <c r="Q122" s="5"/>
      <c r="R122" s="5"/>
    </row>
    <row r="123" ht="12.75" customHeight="1">
      <c r="Q123" s="5"/>
      <c r="R123" s="5"/>
    </row>
    <row r="124" ht="12.75" customHeight="1">
      <c r="Q124" s="5"/>
      <c r="R124" s="5"/>
    </row>
    <row r="125" ht="12.75" customHeight="1">
      <c r="Q125" s="5"/>
      <c r="R125" s="5"/>
    </row>
    <row r="126" ht="12.75" customHeight="1">
      <c r="Q126" s="5"/>
      <c r="R126" s="5"/>
    </row>
    <row r="127" ht="12.75" customHeight="1">
      <c r="Q127" s="5"/>
      <c r="R127" s="5"/>
    </row>
    <row r="128" ht="12.75" customHeight="1">
      <c r="Q128" s="5"/>
      <c r="R128" s="5"/>
    </row>
    <row r="129" ht="12.75" customHeight="1">
      <c r="Q129" s="5"/>
      <c r="R129" s="5"/>
    </row>
    <row r="130" ht="12.75" customHeight="1">
      <c r="Q130" s="1"/>
      <c r="R130" s="1"/>
    </row>
    <row r="131" ht="12.75" customHeight="1">
      <c r="Q131" s="52"/>
      <c r="R131" s="52"/>
    </row>
    <row r="132" ht="12.75" customHeight="1">
      <c r="Q132" s="5"/>
      <c r="R132" s="5"/>
    </row>
    <row r="133" ht="12.75" customHeight="1">
      <c r="Q133" s="5"/>
      <c r="R133" s="5"/>
    </row>
    <row r="134" ht="12.75" customHeight="1">
      <c r="Q134" s="5"/>
      <c r="R134" s="5"/>
    </row>
    <row r="135" ht="12.75" customHeight="1">
      <c r="Q135" s="5"/>
      <c r="R135" s="5"/>
    </row>
    <row r="136" ht="12.75" customHeight="1">
      <c r="Q136" s="5"/>
      <c r="R136" s="5"/>
    </row>
    <row r="137" ht="12.75" customHeight="1">
      <c r="Q137" s="5"/>
      <c r="R137" s="5"/>
    </row>
    <row r="138" ht="12.75" customHeight="1">
      <c r="Q138" s="5"/>
      <c r="R138" s="5"/>
    </row>
    <row r="139" ht="12.75" customHeight="1">
      <c r="Q139" s="5"/>
      <c r="R139" s="5"/>
    </row>
    <row r="140" ht="12.75" customHeight="1">
      <c r="Q140" s="5"/>
      <c r="R140" s="5"/>
    </row>
    <row r="141" ht="12.75" customHeight="1">
      <c r="Q141" s="1"/>
      <c r="R141" s="1"/>
    </row>
    <row r="142" ht="12.75" customHeight="1">
      <c r="Q142" s="52"/>
      <c r="R142" s="52"/>
    </row>
    <row r="143" ht="12.75" customHeight="1">
      <c r="Q143" s="5"/>
      <c r="R143" s="5"/>
    </row>
    <row r="144" ht="12.75" customHeight="1">
      <c r="Q144" s="5"/>
      <c r="R144" s="5"/>
    </row>
    <row r="145" ht="12.75" customHeight="1">
      <c r="Q145" s="5"/>
      <c r="R145" s="5"/>
    </row>
    <row r="146" ht="12.75" customHeight="1">
      <c r="Q146" s="5"/>
      <c r="R146" s="5"/>
    </row>
    <row r="147" ht="12.75" customHeight="1">
      <c r="Q147" s="5"/>
      <c r="R147" s="5"/>
    </row>
    <row r="148" ht="12.75" customHeight="1">
      <c r="Q148" s="5"/>
      <c r="R148" s="5"/>
    </row>
    <row r="149" ht="12.75" customHeight="1">
      <c r="Q149" s="5"/>
      <c r="R149" s="5"/>
    </row>
    <row r="150" ht="12.75" customHeight="1">
      <c r="Q150" s="5"/>
      <c r="R150" s="5"/>
    </row>
    <row r="151" ht="12.75" customHeight="1">
      <c r="Q151" s="1"/>
      <c r="R151" s="1"/>
    </row>
    <row r="152" ht="12.75" customHeight="1">
      <c r="Q152" s="52"/>
      <c r="R152" s="52"/>
    </row>
    <row r="153" ht="12.75" customHeight="1">
      <c r="Q153" s="5"/>
      <c r="R153" s="5"/>
    </row>
    <row r="154" ht="12.75" customHeight="1">
      <c r="Q154" s="5"/>
      <c r="R154" s="5"/>
    </row>
    <row r="155" ht="12.75" customHeight="1">
      <c r="Q155" s="5"/>
      <c r="R155" s="5"/>
    </row>
    <row r="156" ht="12.75" customHeight="1">
      <c r="Q156" s="5"/>
      <c r="R156" s="5"/>
    </row>
    <row r="157" ht="12.75" customHeight="1">
      <c r="Q157" s="5"/>
      <c r="R157" s="5"/>
    </row>
    <row r="158" ht="12.75" customHeight="1">
      <c r="Q158" s="5"/>
      <c r="R158" s="5"/>
    </row>
    <row r="159" ht="12.75" customHeight="1">
      <c r="Q159" s="5"/>
      <c r="R159" s="5"/>
    </row>
    <row r="160" ht="12.75" customHeight="1">
      <c r="Q160" s="5"/>
      <c r="R160" s="5"/>
    </row>
    <row r="161" ht="12.75" customHeight="1">
      <c r="Q161" s="5"/>
      <c r="R161" s="5"/>
    </row>
    <row r="162" ht="12.75" customHeight="1">
      <c r="Q162" s="5"/>
      <c r="R162" s="5"/>
    </row>
    <row r="163" ht="12.75" customHeight="1">
      <c r="Q163" s="5"/>
      <c r="R163" s="5"/>
    </row>
    <row r="164" ht="12.75" customHeight="1">
      <c r="Q164" s="5"/>
      <c r="R164" s="5"/>
    </row>
    <row r="165" ht="12.75" customHeight="1">
      <c r="Q165" s="1"/>
      <c r="R165" s="1"/>
    </row>
    <row r="166" ht="12.75" customHeight="1">
      <c r="Q166" s="52"/>
      <c r="R166" s="52"/>
    </row>
    <row r="167" ht="12.75" customHeight="1">
      <c r="Q167" s="5"/>
      <c r="R167" s="5"/>
    </row>
    <row r="168" ht="12.75" customHeight="1">
      <c r="Q168" s="5"/>
      <c r="R168" s="5"/>
    </row>
    <row r="169" ht="12.75" customHeight="1">
      <c r="Q169" s="5"/>
      <c r="R169" s="5"/>
    </row>
    <row r="170" ht="12.75" customHeight="1">
      <c r="Q170" s="5"/>
      <c r="R170" s="5"/>
    </row>
    <row r="171" ht="12.75" customHeight="1">
      <c r="Q171" s="5"/>
      <c r="R171" s="5"/>
    </row>
    <row r="172" ht="12.75" customHeight="1">
      <c r="Q172" s="5"/>
      <c r="R172" s="5"/>
    </row>
    <row r="173" ht="12.75" customHeight="1">
      <c r="Q173" s="5"/>
      <c r="R173" s="5"/>
    </row>
    <row r="174" ht="12.75" customHeight="1">
      <c r="Q174" s="5"/>
      <c r="R174" s="5"/>
    </row>
    <row r="175" ht="12.75" customHeight="1">
      <c r="Q175" s="5"/>
      <c r="R175" s="5"/>
    </row>
    <row r="176" ht="12.75" customHeight="1">
      <c r="Q176" s="1"/>
      <c r="R176" s="1"/>
    </row>
    <row r="177" ht="12.75" customHeight="1"/>
    <row r="178" ht="12.75" customHeight="1">
      <c r="Q178" s="5"/>
      <c r="R178" s="5"/>
    </row>
    <row r="179" ht="12.75" customHeight="1">
      <c r="Q179" s="5"/>
      <c r="R179" s="5"/>
    </row>
    <row r="180" ht="12.75" customHeight="1">
      <c r="Q180" s="5"/>
      <c r="R180" s="5"/>
    </row>
    <row r="181" ht="12.75" customHeight="1">
      <c r="Q181" s="5"/>
      <c r="R181" s="5"/>
    </row>
    <row r="182" ht="12.75" customHeight="1">
      <c r="Q182" s="5"/>
      <c r="R182" s="5"/>
    </row>
    <row r="183" ht="12.75" customHeight="1">
      <c r="Q183" s="5"/>
      <c r="R183" s="5"/>
    </row>
    <row r="184" ht="12.75" customHeight="1">
      <c r="Q184" s="5"/>
      <c r="R184" s="5"/>
    </row>
    <row r="185" ht="12.75" customHeight="1">
      <c r="Q185" s="5"/>
      <c r="R185" s="5"/>
    </row>
    <row r="186" ht="12.75" customHeight="1">
      <c r="Q186" s="5"/>
      <c r="R186" s="5"/>
    </row>
    <row r="187" ht="12.75" customHeight="1">
      <c r="Q187" s="1"/>
      <c r="R187" s="1"/>
    </row>
    <row r="188" ht="12.75" customHeight="1"/>
    <row r="189" ht="12.75" customHeight="1">
      <c r="Q189" s="5"/>
      <c r="R189" s="5"/>
    </row>
    <row r="190" ht="12.75" customHeight="1">
      <c r="Q190" s="5"/>
      <c r="R190" s="5"/>
    </row>
    <row r="191" ht="12.75" customHeight="1">
      <c r="Q191" s="5"/>
      <c r="R191" s="5"/>
    </row>
    <row r="192" ht="12.75" customHeight="1">
      <c r="Q192" s="5"/>
      <c r="R192" s="5"/>
    </row>
    <row r="193" ht="12.75" customHeight="1">
      <c r="Q193" s="5"/>
      <c r="R193" s="5"/>
    </row>
    <row r="194" ht="12.75" customHeight="1">
      <c r="Q194" s="5"/>
      <c r="R194" s="5"/>
    </row>
    <row r="195" ht="12.75" customHeight="1">
      <c r="Q195" s="5"/>
      <c r="R195" s="5"/>
    </row>
    <row r="196" ht="12.75" customHeight="1">
      <c r="Q196" s="1"/>
      <c r="R196" s="1"/>
    </row>
    <row r="197" ht="12.75" customHeight="1">
      <c r="Q197" s="1"/>
      <c r="R197" s="1"/>
    </row>
    <row r="198" ht="12.75" customHeight="1">
      <c r="Q198" s="1"/>
      <c r="R198" s="1"/>
    </row>
    <row r="199" ht="12.75" customHeight="1">
      <c r="Q199" s="52"/>
      <c r="R199" s="52"/>
    </row>
    <row r="200" ht="12.75" customHeight="1">
      <c r="Q200" s="5"/>
      <c r="R200" s="5"/>
    </row>
    <row r="201" ht="12.75" customHeight="1">
      <c r="Q201" s="5"/>
      <c r="R201" s="5"/>
    </row>
    <row r="202" ht="12.75" customHeight="1">
      <c r="Q202" s="5"/>
      <c r="R202" s="5"/>
    </row>
    <row r="203" ht="12.75" customHeight="1">
      <c r="Q203" s="5"/>
      <c r="R203" s="5"/>
    </row>
    <row r="204" ht="12.75" customHeight="1">
      <c r="Q204" s="5"/>
      <c r="R204" s="5"/>
    </row>
    <row r="205" ht="12.75" customHeight="1">
      <c r="Q205" s="5"/>
      <c r="R205" s="5"/>
    </row>
    <row r="206" ht="12.75" customHeight="1">
      <c r="Q206" s="5"/>
      <c r="R206" s="5"/>
    </row>
    <row r="207" ht="12.75" customHeight="1">
      <c r="Q207" s="1"/>
      <c r="R207" s="1"/>
    </row>
    <row r="208" ht="12.75" customHeight="1">
      <c r="Q208" s="52"/>
      <c r="R208" s="52"/>
    </row>
    <row r="209" ht="12.75" customHeight="1">
      <c r="Q209" s="52"/>
      <c r="R209" s="52"/>
    </row>
    <row r="210" ht="12.75" customHeight="1">
      <c r="Q210" s="52"/>
      <c r="R210" s="52"/>
    </row>
    <row r="211" ht="12.75" customHeight="1">
      <c r="Q211" s="5"/>
      <c r="R211" s="5"/>
    </row>
    <row r="212" ht="12.75" customHeight="1">
      <c r="Q212" s="5"/>
      <c r="R212" s="5"/>
    </row>
    <row r="213" ht="12.75" customHeight="1">
      <c r="Q213" s="5"/>
      <c r="R213" s="5"/>
    </row>
    <row r="214" ht="12.75" customHeight="1">
      <c r="Q214" s="5"/>
      <c r="R214" s="5"/>
    </row>
    <row r="215" ht="12.75" customHeight="1">
      <c r="Q215" s="5"/>
      <c r="R215" s="5"/>
    </row>
    <row r="216" ht="12.75" customHeight="1">
      <c r="Q216" s="5"/>
      <c r="R216" s="5"/>
    </row>
    <row r="217" ht="12.75" customHeight="1">
      <c r="Q217" s="5"/>
      <c r="R217" s="5"/>
    </row>
    <row r="218" ht="12.75" customHeight="1">
      <c r="Q218" s="1"/>
      <c r="R218" s="1"/>
    </row>
    <row r="219" ht="12.75" customHeight="1">
      <c r="Q219" s="52"/>
      <c r="R219" s="52"/>
    </row>
    <row r="220" ht="12.75" customHeight="1">
      <c r="Q220" s="5"/>
      <c r="R220" s="5"/>
    </row>
    <row r="221" ht="12.75" customHeight="1">
      <c r="Q221" s="5"/>
      <c r="R221" s="5"/>
    </row>
    <row r="222" ht="12.75" customHeight="1">
      <c r="Q222" s="5"/>
      <c r="R222" s="5"/>
    </row>
    <row r="223" ht="12.75" customHeight="1">
      <c r="Q223" s="5"/>
      <c r="R223" s="5"/>
    </row>
    <row r="224" ht="12.75" customHeight="1">
      <c r="Q224" s="5"/>
      <c r="R224" s="5"/>
    </row>
    <row r="225" ht="12.75" customHeight="1">
      <c r="Q225" s="5"/>
      <c r="R225" s="5"/>
    </row>
    <row r="226" ht="12.75" customHeight="1">
      <c r="Q226" s="5"/>
      <c r="R226" s="5"/>
    </row>
    <row r="227" ht="12.75" customHeight="1">
      <c r="Q227" s="5"/>
      <c r="R227" s="5"/>
    </row>
    <row r="228" ht="12.75" customHeight="1">
      <c r="Q228" s="5"/>
      <c r="R228" s="5"/>
    </row>
    <row r="229" ht="12.75" customHeight="1">
      <c r="Q229" s="1"/>
      <c r="R229" s="1"/>
    </row>
    <row r="230" ht="12.75" customHeight="1">
      <c r="Q230" s="52"/>
      <c r="R230" s="52"/>
    </row>
    <row r="231" ht="12.75" customHeight="1">
      <c r="Q231" s="5"/>
      <c r="R231" s="5"/>
    </row>
    <row r="232" ht="12.75" customHeight="1">
      <c r="Q232" s="5"/>
      <c r="R232" s="5"/>
    </row>
    <row r="233" ht="12.75" customHeight="1">
      <c r="Q233" s="5"/>
      <c r="R233" s="5"/>
    </row>
    <row r="234" ht="12.75" customHeight="1">
      <c r="Q234" s="5"/>
      <c r="R234" s="5"/>
    </row>
    <row r="235" ht="12.75" customHeight="1">
      <c r="Q235" s="5"/>
      <c r="R235" s="5"/>
    </row>
    <row r="236" ht="12.75" customHeight="1">
      <c r="Q236" s="5"/>
      <c r="R236" s="5"/>
    </row>
    <row r="237" ht="12.75" customHeight="1">
      <c r="Q237" s="5"/>
      <c r="R237" s="5"/>
    </row>
    <row r="238" ht="12.75" customHeight="1">
      <c r="Q238" s="5"/>
      <c r="R238" s="5"/>
    </row>
    <row r="239" ht="12.75" customHeight="1">
      <c r="Q239" s="5"/>
      <c r="R239" s="5"/>
    </row>
    <row r="240" ht="12.75" customHeight="1">
      <c r="Q240" s="1"/>
      <c r="R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45:O57">
    <cfRule type="containsBlanks" dxfId="1" priority="6">
      <formula>LEN(TRIM(E45))=0</formula>
    </cfRule>
  </conditionalFormatting>
  <conditionalFormatting sqref="E60:O61">
    <cfRule type="containsBlanks" dxfId="1" priority="7">
      <formula>LEN(TRIM(E60))=0</formula>
    </cfRule>
  </conditionalFormatting>
  <conditionalFormatting sqref="E34:O34">
    <cfRule type="expression" dxfId="2" priority="8">
      <formula>E30&lt;&gt;E34</formula>
    </cfRule>
  </conditionalFormatting>
  <conditionalFormatting sqref="E34:O34">
    <cfRule type="expression" dxfId="3" priority="9">
      <formula>E30=E34</formula>
    </cfRule>
  </conditionalFormatting>
  <conditionalFormatting sqref="E34:O34">
    <cfRule type="expression" dxfId="0" priority="10">
      <formula>E34&lt;&gt;E30</formula>
    </cfRule>
  </conditionalFormatting>
  <conditionalFormatting sqref="E34:O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13" t="s">
        <v>79</v>
      </c>
      <c r="N13" s="13" t="s">
        <v>81</v>
      </c>
      <c r="O13" s="37"/>
    </row>
    <row r="14" ht="12.75" customHeight="1">
      <c r="A14" s="18"/>
      <c r="B14" s="22" t="s">
        <v>11</v>
      </c>
      <c r="C14" s="23"/>
      <c r="D14" s="19" t="s">
        <v>12</v>
      </c>
      <c r="E14" s="19">
        <v>145.0</v>
      </c>
      <c r="F14" s="19">
        <v>147.0</v>
      </c>
      <c r="G14" s="19">
        <v>147.0</v>
      </c>
      <c r="H14" s="19">
        <v>144.0</v>
      </c>
      <c r="I14" s="19">
        <v>135.0</v>
      </c>
      <c r="J14" s="19">
        <v>151.0</v>
      </c>
      <c r="K14" s="19">
        <v>138.0</v>
      </c>
      <c r="L14" s="19">
        <v>125.0</v>
      </c>
      <c r="M14" s="19">
        <v>126.0</v>
      </c>
      <c r="N14" s="19">
        <v>126.0</v>
      </c>
      <c r="O14" s="13">
        <f t="shared" ref="O14:O16" si="1">SUM(E14:N14)</f>
        <v>1384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141.0</v>
      </c>
      <c r="G15" s="19">
        <v>144.0</v>
      </c>
      <c r="H15" s="19">
        <v>141.0</v>
      </c>
      <c r="I15" s="19">
        <v>149.0</v>
      </c>
      <c r="J15" s="19">
        <v>133.0</v>
      </c>
      <c r="K15" s="19">
        <v>136.0</v>
      </c>
      <c r="L15" s="19">
        <v>119.0</v>
      </c>
      <c r="M15" s="19">
        <v>124.0</v>
      </c>
      <c r="N15" s="19">
        <v>124.0</v>
      </c>
      <c r="O15" s="13">
        <f t="shared" si="1"/>
        <v>1347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281</v>
      </c>
      <c r="F16" s="13">
        <f t="shared" si="2"/>
        <v>288</v>
      </c>
      <c r="G16" s="13">
        <f t="shared" si="2"/>
        <v>291</v>
      </c>
      <c r="H16" s="13">
        <f t="shared" si="2"/>
        <v>285</v>
      </c>
      <c r="I16" s="13">
        <f t="shared" si="2"/>
        <v>284</v>
      </c>
      <c r="J16" s="13">
        <f t="shared" si="2"/>
        <v>284</v>
      </c>
      <c r="K16" s="13">
        <f t="shared" si="2"/>
        <v>274</v>
      </c>
      <c r="L16" s="13">
        <f t="shared" si="2"/>
        <v>244</v>
      </c>
      <c r="M16" s="13">
        <f t="shared" si="2"/>
        <v>250</v>
      </c>
      <c r="N16" s="13">
        <f t="shared" si="2"/>
        <v>250</v>
      </c>
      <c r="O16" s="13">
        <f t="shared" si="1"/>
        <v>2731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13" t="s">
        <v>77</v>
      </c>
      <c r="L18" s="13" t="s">
        <v>78</v>
      </c>
      <c r="M18" s="13" t="s">
        <v>79</v>
      </c>
      <c r="N18" s="13" t="s">
        <v>81</v>
      </c>
      <c r="O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118.0</v>
      </c>
      <c r="F19" s="19">
        <v>126.0</v>
      </c>
      <c r="G19" s="19">
        <v>112.0</v>
      </c>
      <c r="H19" s="19">
        <v>110.0</v>
      </c>
      <c r="I19" s="19">
        <v>114.0</v>
      </c>
      <c r="J19" s="19">
        <v>124.0</v>
      </c>
      <c r="K19" s="19">
        <v>113.0</v>
      </c>
      <c r="L19" s="19">
        <v>102.0</v>
      </c>
      <c r="M19" s="19">
        <v>108.0</v>
      </c>
      <c r="N19" s="19">
        <v>110.0</v>
      </c>
      <c r="O19" s="13">
        <f t="shared" ref="O19:O30" si="3">SUM(E19:N19)</f>
        <v>1137</v>
      </c>
    </row>
    <row r="20" ht="12.75" customHeight="1">
      <c r="A20" s="34"/>
      <c r="B20" s="27"/>
      <c r="C20" s="35"/>
      <c r="D20" s="19" t="s">
        <v>13</v>
      </c>
      <c r="E20" s="19">
        <v>116.0</v>
      </c>
      <c r="F20" s="19">
        <v>113.0</v>
      </c>
      <c r="G20" s="19">
        <v>132.0</v>
      </c>
      <c r="H20" s="19">
        <v>125.0</v>
      </c>
      <c r="I20" s="19">
        <v>130.0</v>
      </c>
      <c r="J20" s="19">
        <v>114.0</v>
      </c>
      <c r="K20" s="19">
        <v>117.0</v>
      </c>
      <c r="L20" s="19">
        <v>102.0</v>
      </c>
      <c r="M20" s="19">
        <v>113.0</v>
      </c>
      <c r="N20" s="19">
        <v>107.0</v>
      </c>
      <c r="O20" s="13">
        <f t="shared" si="3"/>
        <v>1169</v>
      </c>
    </row>
    <row r="21" ht="12.75" customHeight="1">
      <c r="A21" s="36"/>
      <c r="B21" s="28"/>
      <c r="C21" s="37"/>
      <c r="D21" s="13" t="s">
        <v>14</v>
      </c>
      <c r="E21" s="13">
        <f t="shared" ref="E21:N21" si="4">SUM(E19:E20)</f>
        <v>234</v>
      </c>
      <c r="F21" s="13">
        <f t="shared" si="4"/>
        <v>239</v>
      </c>
      <c r="G21" s="13">
        <f t="shared" si="4"/>
        <v>244</v>
      </c>
      <c r="H21" s="13">
        <f t="shared" si="4"/>
        <v>235</v>
      </c>
      <c r="I21" s="13">
        <f t="shared" si="4"/>
        <v>244</v>
      </c>
      <c r="J21" s="13">
        <f t="shared" si="4"/>
        <v>238</v>
      </c>
      <c r="K21" s="13">
        <f t="shared" si="4"/>
        <v>230</v>
      </c>
      <c r="L21" s="13">
        <f t="shared" si="4"/>
        <v>204</v>
      </c>
      <c r="M21" s="13">
        <f t="shared" si="4"/>
        <v>221</v>
      </c>
      <c r="N21" s="13">
        <f t="shared" si="4"/>
        <v>217</v>
      </c>
      <c r="O21" s="13">
        <f t="shared" si="3"/>
        <v>2306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2.0</v>
      </c>
      <c r="M22" s="19">
        <v>0.0</v>
      </c>
      <c r="N22" s="19">
        <v>0.0</v>
      </c>
      <c r="O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1.0</v>
      </c>
      <c r="K23" s="19">
        <v>0.0</v>
      </c>
      <c r="L23" s="19">
        <v>1.0</v>
      </c>
      <c r="M23" s="19">
        <v>0.0</v>
      </c>
      <c r="N23" s="19">
        <v>0.0</v>
      </c>
      <c r="O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0</v>
      </c>
      <c r="O24" s="13">
        <f t="shared" si="3"/>
        <v>7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4.0</v>
      </c>
      <c r="F25" s="19">
        <v>2.0</v>
      </c>
      <c r="G25" s="19">
        <v>0.0</v>
      </c>
      <c r="H25" s="19">
        <v>2.0</v>
      </c>
      <c r="I25" s="19">
        <v>3.0</v>
      </c>
      <c r="J25" s="19">
        <v>0.0</v>
      </c>
      <c r="K25" s="19">
        <v>0.0</v>
      </c>
      <c r="L25" s="19">
        <v>3.0</v>
      </c>
      <c r="M25" s="19">
        <v>1.0</v>
      </c>
      <c r="N25" s="19">
        <v>0.0</v>
      </c>
      <c r="O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19">
        <v>5.0</v>
      </c>
      <c r="F26" s="19">
        <v>3.0</v>
      </c>
      <c r="G26" s="19">
        <v>0.0</v>
      </c>
      <c r="H26" s="19">
        <v>1.0</v>
      </c>
      <c r="I26" s="19">
        <v>1.0</v>
      </c>
      <c r="J26" s="19">
        <v>3.0</v>
      </c>
      <c r="K26" s="19">
        <v>0.0</v>
      </c>
      <c r="L26" s="19">
        <v>3.0</v>
      </c>
      <c r="M26" s="19">
        <v>4.0</v>
      </c>
      <c r="N26" s="19">
        <v>0.0</v>
      </c>
      <c r="O26" s="13">
        <f t="shared" si="3"/>
        <v>20</v>
      </c>
    </row>
    <row r="27" ht="12.75" customHeight="1">
      <c r="A27" s="36"/>
      <c r="B27" s="28"/>
      <c r="C27" s="37"/>
      <c r="D27" s="13" t="s">
        <v>14</v>
      </c>
      <c r="E27" s="13">
        <f t="shared" ref="E27:N27" si="6">SUM(E25:E26)</f>
        <v>9</v>
      </c>
      <c r="F27" s="13">
        <f t="shared" si="6"/>
        <v>5</v>
      </c>
      <c r="G27" s="13">
        <f t="shared" si="6"/>
        <v>0</v>
      </c>
      <c r="H27" s="13">
        <f t="shared" si="6"/>
        <v>3</v>
      </c>
      <c r="I27" s="13">
        <f t="shared" si="6"/>
        <v>4</v>
      </c>
      <c r="J27" s="13">
        <f t="shared" si="6"/>
        <v>3</v>
      </c>
      <c r="K27" s="13">
        <f t="shared" si="6"/>
        <v>0</v>
      </c>
      <c r="L27" s="13">
        <f t="shared" si="6"/>
        <v>6</v>
      </c>
      <c r="M27" s="13">
        <f t="shared" si="6"/>
        <v>5</v>
      </c>
      <c r="N27" s="13">
        <f t="shared" si="6"/>
        <v>0</v>
      </c>
      <c r="O27" s="13">
        <f t="shared" si="3"/>
        <v>35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N28" si="7">SUM(E19,E22,E25)</f>
        <v>122</v>
      </c>
      <c r="F28" s="13">
        <f t="shared" si="7"/>
        <v>128</v>
      </c>
      <c r="G28" s="13">
        <f t="shared" si="7"/>
        <v>112</v>
      </c>
      <c r="H28" s="13">
        <f t="shared" si="7"/>
        <v>112</v>
      </c>
      <c r="I28" s="13">
        <f t="shared" si="7"/>
        <v>118</v>
      </c>
      <c r="J28" s="13">
        <f t="shared" si="7"/>
        <v>125</v>
      </c>
      <c r="K28" s="13">
        <f t="shared" si="7"/>
        <v>113</v>
      </c>
      <c r="L28" s="13">
        <f t="shared" si="7"/>
        <v>107</v>
      </c>
      <c r="M28" s="13">
        <f t="shared" si="7"/>
        <v>109</v>
      </c>
      <c r="N28" s="13">
        <f t="shared" si="7"/>
        <v>110</v>
      </c>
      <c r="O28" s="13">
        <f t="shared" si="3"/>
        <v>1156</v>
      </c>
    </row>
    <row r="29" ht="12.75" customHeight="1">
      <c r="A29" s="36"/>
      <c r="B29" s="27"/>
      <c r="C29" s="35"/>
      <c r="D29" s="13" t="s">
        <v>13</v>
      </c>
      <c r="E29" s="13">
        <f t="shared" ref="E29:N29" si="8">SUM(E20,E23,E26)</f>
        <v>121</v>
      </c>
      <c r="F29" s="13">
        <f t="shared" si="8"/>
        <v>116</v>
      </c>
      <c r="G29" s="13">
        <f t="shared" si="8"/>
        <v>132</v>
      </c>
      <c r="H29" s="13">
        <f t="shared" si="8"/>
        <v>127</v>
      </c>
      <c r="I29" s="13">
        <f t="shared" si="8"/>
        <v>131</v>
      </c>
      <c r="J29" s="13">
        <f t="shared" si="8"/>
        <v>118</v>
      </c>
      <c r="K29" s="13">
        <f t="shared" si="8"/>
        <v>117</v>
      </c>
      <c r="L29" s="13">
        <f t="shared" si="8"/>
        <v>106</v>
      </c>
      <c r="M29" s="13">
        <f t="shared" si="8"/>
        <v>117</v>
      </c>
      <c r="N29" s="13">
        <f t="shared" si="8"/>
        <v>107</v>
      </c>
      <c r="O29" s="13">
        <f t="shared" si="3"/>
        <v>1192</v>
      </c>
    </row>
    <row r="30" ht="12.75" customHeight="1">
      <c r="A30" s="36"/>
      <c r="B30" s="28"/>
      <c r="C30" s="37"/>
      <c r="D30" s="13" t="s">
        <v>14</v>
      </c>
      <c r="E30" s="13">
        <f t="shared" ref="E30:N30" si="9">SUM(E28:E29)</f>
        <v>243</v>
      </c>
      <c r="F30" s="13">
        <f t="shared" si="9"/>
        <v>244</v>
      </c>
      <c r="G30" s="13">
        <f t="shared" si="9"/>
        <v>244</v>
      </c>
      <c r="H30" s="13">
        <f t="shared" si="9"/>
        <v>239</v>
      </c>
      <c r="I30" s="13">
        <f t="shared" si="9"/>
        <v>249</v>
      </c>
      <c r="J30" s="13">
        <f t="shared" si="9"/>
        <v>243</v>
      </c>
      <c r="K30" s="13">
        <f t="shared" si="9"/>
        <v>230</v>
      </c>
      <c r="L30" s="13">
        <f t="shared" si="9"/>
        <v>213</v>
      </c>
      <c r="M30" s="13">
        <f t="shared" si="9"/>
        <v>226</v>
      </c>
      <c r="N30" s="13">
        <f t="shared" si="9"/>
        <v>217</v>
      </c>
      <c r="O30" s="13">
        <f t="shared" si="3"/>
        <v>2348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61"/>
    </row>
    <row r="32" ht="12.75" customHeight="1">
      <c r="A32" s="43" t="s">
        <v>25</v>
      </c>
      <c r="B32" s="14" t="s">
        <v>26</v>
      </c>
      <c r="C32" s="15"/>
      <c r="D32" s="16"/>
      <c r="E32" s="13" t="s">
        <v>70</v>
      </c>
      <c r="F32" s="13" t="s">
        <v>71</v>
      </c>
      <c r="G32" s="13" t="s">
        <v>72</v>
      </c>
      <c r="H32" s="13" t="s">
        <v>73</v>
      </c>
      <c r="I32" s="13" t="s">
        <v>74</v>
      </c>
      <c r="J32" s="13" t="s">
        <v>75</v>
      </c>
      <c r="K32" s="13" t="s">
        <v>77</v>
      </c>
      <c r="L32" s="13" t="s">
        <v>78</v>
      </c>
      <c r="M32" s="13" t="s">
        <v>79</v>
      </c>
      <c r="N32" s="13" t="s">
        <v>81</v>
      </c>
      <c r="O32" s="61"/>
    </row>
    <row r="33" ht="12.75" customHeight="1">
      <c r="A33" s="19">
        <v>1.0</v>
      </c>
      <c r="B33" s="20" t="s">
        <v>27</v>
      </c>
      <c r="C33" s="15"/>
      <c r="D33" s="16"/>
      <c r="E33" s="19">
        <v>287.0</v>
      </c>
      <c r="F33" s="19">
        <v>294.0</v>
      </c>
      <c r="G33" s="19">
        <v>297.0</v>
      </c>
      <c r="H33" s="19">
        <v>291.0</v>
      </c>
      <c r="I33" s="19">
        <v>290.0</v>
      </c>
      <c r="J33" s="19">
        <v>290.0</v>
      </c>
      <c r="K33" s="19">
        <v>280.0</v>
      </c>
      <c r="L33" s="19">
        <v>250.0</v>
      </c>
      <c r="M33" s="19">
        <v>255.0</v>
      </c>
      <c r="N33" s="19">
        <v>255.0</v>
      </c>
      <c r="O33" s="13">
        <f t="shared" ref="O33:O36" si="10">SUM(E33:N33)</f>
        <v>2789</v>
      </c>
    </row>
    <row r="34" ht="12.75" customHeight="1">
      <c r="A34" s="19">
        <v>2.0</v>
      </c>
      <c r="B34" s="20" t="s">
        <v>28</v>
      </c>
      <c r="C34" s="15"/>
      <c r="D34" s="16"/>
      <c r="E34" s="13">
        <v>243.0</v>
      </c>
      <c r="F34" s="13">
        <v>244.0</v>
      </c>
      <c r="G34" s="13">
        <v>244.0</v>
      </c>
      <c r="H34" s="13">
        <v>239.0</v>
      </c>
      <c r="I34" s="13">
        <v>249.0</v>
      </c>
      <c r="J34" s="13">
        <v>243.0</v>
      </c>
      <c r="K34" s="13">
        <v>230.0</v>
      </c>
      <c r="L34" s="13">
        <v>213.0</v>
      </c>
      <c r="M34" s="13">
        <v>226.0</v>
      </c>
      <c r="N34" s="13">
        <v>217.0</v>
      </c>
      <c r="O34" s="13">
        <f t="shared" si="10"/>
        <v>2348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44</v>
      </c>
      <c r="F36" s="13">
        <f t="shared" si="11"/>
        <v>49</v>
      </c>
      <c r="G36" s="13">
        <f t="shared" si="11"/>
        <v>53</v>
      </c>
      <c r="H36" s="13">
        <f t="shared" si="11"/>
        <v>52</v>
      </c>
      <c r="I36" s="13">
        <f t="shared" si="11"/>
        <v>41</v>
      </c>
      <c r="J36" s="13">
        <f t="shared" si="11"/>
        <v>47</v>
      </c>
      <c r="K36" s="13">
        <f t="shared" si="11"/>
        <v>50</v>
      </c>
      <c r="L36" s="13">
        <f t="shared" si="11"/>
        <v>37</v>
      </c>
      <c r="M36" s="13">
        <f t="shared" si="11"/>
        <v>29</v>
      </c>
      <c r="N36" s="13">
        <f t="shared" si="11"/>
        <v>38</v>
      </c>
      <c r="O36" s="13">
        <f t="shared" si="10"/>
        <v>440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61"/>
    </row>
    <row r="38" ht="12.75" customHeight="1">
      <c r="A38" s="44" t="s">
        <v>31</v>
      </c>
      <c r="B38" s="14" t="s">
        <v>32</v>
      </c>
      <c r="C38" s="15"/>
      <c r="D38" s="16"/>
      <c r="E38" s="13" t="s">
        <v>70</v>
      </c>
      <c r="F38" s="13" t="s">
        <v>71</v>
      </c>
      <c r="G38" s="13" t="s">
        <v>72</v>
      </c>
      <c r="H38" s="13" t="s">
        <v>73</v>
      </c>
      <c r="I38" s="13" t="s">
        <v>74</v>
      </c>
      <c r="J38" s="13" t="s">
        <v>75</v>
      </c>
      <c r="K38" s="13" t="s">
        <v>77</v>
      </c>
      <c r="L38" s="13" t="s">
        <v>78</v>
      </c>
      <c r="M38" s="13" t="s">
        <v>79</v>
      </c>
      <c r="N38" s="13" t="s">
        <v>81</v>
      </c>
      <c r="O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2.0</v>
      </c>
      <c r="K39" s="19">
        <v>0.0</v>
      </c>
      <c r="L39" s="19">
        <v>0.0</v>
      </c>
      <c r="M39" s="19">
        <v>0.0</v>
      </c>
      <c r="N39" s="19">
        <v>2.0</v>
      </c>
      <c r="O39" s="13">
        <f t="shared" ref="O39:O41" si="12">SUM(E39:N39)</f>
        <v>4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1.0</v>
      </c>
      <c r="L40" s="19">
        <v>0.0</v>
      </c>
      <c r="M40" s="19">
        <v>0.0</v>
      </c>
      <c r="N40" s="19">
        <v>0.0</v>
      </c>
      <c r="O40" s="13">
        <f t="shared" si="12"/>
        <v>2</v>
      </c>
    </row>
    <row r="41" ht="12.75" customHeight="1">
      <c r="A41" s="43"/>
      <c r="B41" s="46"/>
      <c r="C41" s="28"/>
      <c r="D41" s="13" t="s">
        <v>14</v>
      </c>
      <c r="E41" s="13">
        <f t="shared" ref="E41:N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2</v>
      </c>
      <c r="O41" s="13">
        <f t="shared" si="12"/>
        <v>6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3"/>
    </row>
    <row r="43" ht="12.75" customHeight="1">
      <c r="A43" s="44" t="s">
        <v>34</v>
      </c>
      <c r="B43" s="14" t="s">
        <v>35</v>
      </c>
      <c r="C43" s="15"/>
      <c r="D43" s="16"/>
      <c r="E43" s="13" t="s">
        <v>70</v>
      </c>
      <c r="F43" s="13" t="s">
        <v>71</v>
      </c>
      <c r="G43" s="13" t="s">
        <v>72</v>
      </c>
      <c r="H43" s="13" t="s">
        <v>73</v>
      </c>
      <c r="I43" s="13" t="s">
        <v>74</v>
      </c>
      <c r="J43" s="13" t="s">
        <v>75</v>
      </c>
      <c r="K43" s="13" t="s">
        <v>77</v>
      </c>
      <c r="L43" s="13" t="s">
        <v>78</v>
      </c>
      <c r="M43" s="13" t="s">
        <v>79</v>
      </c>
      <c r="N43" s="13" t="s">
        <v>81</v>
      </c>
      <c r="O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3"/>
    </row>
    <row r="45" ht="12.75" customHeight="1">
      <c r="A45" s="31"/>
      <c r="B45" s="49" t="s">
        <v>17</v>
      </c>
      <c r="C45" s="62" t="s">
        <v>38</v>
      </c>
      <c r="D45" s="16"/>
      <c r="E45" s="19">
        <v>15.0</v>
      </c>
      <c r="F45" s="19">
        <v>25.0</v>
      </c>
      <c r="G45" s="19">
        <v>36.0</v>
      </c>
      <c r="H45" s="19">
        <v>22.0</v>
      </c>
      <c r="I45" s="19">
        <v>18.0</v>
      </c>
      <c r="J45" s="19">
        <v>20.0</v>
      </c>
      <c r="K45" s="19">
        <v>22.0</v>
      </c>
      <c r="L45" s="19">
        <v>7.0</v>
      </c>
      <c r="M45" s="19">
        <v>16.0</v>
      </c>
      <c r="N45" s="19">
        <v>17.0</v>
      </c>
      <c r="O45" s="13">
        <f t="shared" ref="O45:O57" si="14">SUM(E45:N45)</f>
        <v>198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55.0</v>
      </c>
      <c r="F46" s="19">
        <v>55.0</v>
      </c>
      <c r="G46" s="19">
        <v>53.0</v>
      </c>
      <c r="H46" s="19">
        <v>73.0</v>
      </c>
      <c r="I46" s="19">
        <v>44.0</v>
      </c>
      <c r="J46" s="19">
        <v>40.0</v>
      </c>
      <c r="K46" s="19">
        <v>62.0</v>
      </c>
      <c r="L46" s="19">
        <v>38.0</v>
      </c>
      <c r="M46" s="19">
        <v>39.0</v>
      </c>
      <c r="N46" s="19">
        <v>45.0</v>
      </c>
      <c r="O46" s="13">
        <f t="shared" si="14"/>
        <v>504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14.0</v>
      </c>
      <c r="F47" s="19">
        <v>15.0</v>
      </c>
      <c r="G47" s="19">
        <v>20.0</v>
      </c>
      <c r="H47" s="19">
        <v>21.0</v>
      </c>
      <c r="I47" s="19">
        <v>14.0</v>
      </c>
      <c r="J47" s="19">
        <v>13.0</v>
      </c>
      <c r="K47" s="19">
        <v>21.0</v>
      </c>
      <c r="L47" s="19">
        <v>13.0</v>
      </c>
      <c r="M47" s="19">
        <v>12.0</v>
      </c>
      <c r="N47" s="19">
        <v>9.0</v>
      </c>
      <c r="O47" s="13">
        <f t="shared" si="14"/>
        <v>152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28.0</v>
      </c>
      <c r="F48" s="19">
        <v>23.0</v>
      </c>
      <c r="G48" s="19">
        <v>16.0</v>
      </c>
      <c r="H48" s="19">
        <v>23.0</v>
      </c>
      <c r="I48" s="19">
        <v>31.0</v>
      </c>
      <c r="J48" s="19">
        <v>19.0</v>
      </c>
      <c r="K48" s="19">
        <v>13.0</v>
      </c>
      <c r="L48" s="19">
        <v>12.0</v>
      </c>
      <c r="M48" s="19">
        <v>30.0</v>
      </c>
      <c r="N48" s="19">
        <v>17.0</v>
      </c>
      <c r="O48" s="13">
        <f t="shared" si="14"/>
        <v>212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17.0</v>
      </c>
      <c r="F49" s="19">
        <v>15.0</v>
      </c>
      <c r="G49" s="19">
        <v>13.0</v>
      </c>
      <c r="H49" s="19">
        <v>19.0</v>
      </c>
      <c r="I49" s="19">
        <v>16.0</v>
      </c>
      <c r="J49" s="19">
        <v>24.0</v>
      </c>
      <c r="K49" s="19">
        <v>14.0</v>
      </c>
      <c r="L49" s="19">
        <v>27.0</v>
      </c>
      <c r="M49" s="19">
        <v>20.0</v>
      </c>
      <c r="N49" s="19">
        <v>23.0</v>
      </c>
      <c r="O49" s="13">
        <f t="shared" si="14"/>
        <v>188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18.0</v>
      </c>
      <c r="F50" s="19">
        <v>11.0</v>
      </c>
      <c r="G50" s="19">
        <v>12.0</v>
      </c>
      <c r="H50" s="19">
        <v>9.0</v>
      </c>
      <c r="I50" s="19">
        <v>11.0</v>
      </c>
      <c r="J50" s="19">
        <v>13.0</v>
      </c>
      <c r="K50" s="19">
        <v>5.0</v>
      </c>
      <c r="L50" s="19">
        <v>10.0</v>
      </c>
      <c r="M50" s="19">
        <v>8.0</v>
      </c>
      <c r="N50" s="19">
        <v>14.0</v>
      </c>
      <c r="O50" s="13">
        <f t="shared" si="14"/>
        <v>111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2.0</v>
      </c>
      <c r="F51" s="19">
        <v>6.0</v>
      </c>
      <c r="G51" s="19">
        <v>3.0</v>
      </c>
      <c r="H51" s="19">
        <v>3.0</v>
      </c>
      <c r="I51" s="19">
        <v>8.0</v>
      </c>
      <c r="J51" s="19">
        <v>7.0</v>
      </c>
      <c r="K51" s="19">
        <v>5.0</v>
      </c>
      <c r="L51" s="19">
        <v>2.0</v>
      </c>
      <c r="M51" s="19">
        <v>1.0</v>
      </c>
      <c r="N51" s="19">
        <v>3.0</v>
      </c>
      <c r="O51" s="13">
        <f t="shared" si="14"/>
        <v>40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0.0</v>
      </c>
      <c r="F52" s="19">
        <v>4.0</v>
      </c>
      <c r="G52" s="19">
        <v>1.0</v>
      </c>
      <c r="H52" s="19">
        <v>1.0</v>
      </c>
      <c r="I52" s="19">
        <v>4.0</v>
      </c>
      <c r="J52" s="19">
        <v>1.0</v>
      </c>
      <c r="K52" s="19">
        <v>3.0</v>
      </c>
      <c r="L52" s="19">
        <v>0.0</v>
      </c>
      <c r="M52" s="19">
        <v>2.0</v>
      </c>
      <c r="N52" s="19">
        <v>3.0</v>
      </c>
      <c r="O52" s="13">
        <f t="shared" si="14"/>
        <v>19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1.0</v>
      </c>
      <c r="F53" s="19">
        <v>4.0</v>
      </c>
      <c r="G53" s="19">
        <v>0.0</v>
      </c>
      <c r="H53" s="19">
        <v>3.0</v>
      </c>
      <c r="I53" s="19">
        <v>1.0</v>
      </c>
      <c r="J53" s="19">
        <v>3.0</v>
      </c>
      <c r="K53" s="19">
        <v>0.0</v>
      </c>
      <c r="L53" s="19">
        <v>0.0</v>
      </c>
      <c r="M53" s="19">
        <v>5.0</v>
      </c>
      <c r="N53" s="19">
        <v>1.0</v>
      </c>
      <c r="O53" s="13">
        <f t="shared" si="14"/>
        <v>18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14.0</v>
      </c>
      <c r="F54" s="19">
        <v>16.0</v>
      </c>
      <c r="G54" s="19">
        <v>30.0</v>
      </c>
      <c r="H54" s="19">
        <v>13.0</v>
      </c>
      <c r="I54" s="19">
        <v>17.0</v>
      </c>
      <c r="J54" s="19">
        <v>21.0</v>
      </c>
      <c r="K54" s="19">
        <v>15.0</v>
      </c>
      <c r="L54" s="19">
        <v>21.0</v>
      </c>
      <c r="M54" s="19">
        <v>19.0</v>
      </c>
      <c r="N54" s="19">
        <v>19.0</v>
      </c>
      <c r="O54" s="13">
        <f t="shared" si="14"/>
        <v>185</v>
      </c>
    </row>
    <row r="55" ht="15.0" customHeight="1">
      <c r="A55" s="18"/>
      <c r="B55" s="49" t="s">
        <v>54</v>
      </c>
      <c r="C55" s="62" t="s">
        <v>55</v>
      </c>
      <c r="D55" s="16"/>
      <c r="E55" s="19">
        <v>1.0</v>
      </c>
      <c r="F55" s="19">
        <v>1.0</v>
      </c>
      <c r="G55" s="19">
        <v>2.0</v>
      </c>
      <c r="H55" s="19">
        <v>0.0</v>
      </c>
      <c r="I55" s="19">
        <v>0.0</v>
      </c>
      <c r="J55" s="19">
        <v>2.0</v>
      </c>
      <c r="K55" s="19">
        <v>2.0</v>
      </c>
      <c r="L55" s="19">
        <v>1.0</v>
      </c>
      <c r="M55" s="19">
        <v>1.0</v>
      </c>
      <c r="N55" s="19">
        <v>0.0</v>
      </c>
      <c r="O55" s="13">
        <f t="shared" si="14"/>
        <v>10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18.0</v>
      </c>
      <c r="F56" s="19">
        <v>22.0</v>
      </c>
      <c r="G56" s="19">
        <v>23.0</v>
      </c>
      <c r="H56" s="19">
        <v>18.0</v>
      </c>
      <c r="I56" s="19">
        <v>15.0</v>
      </c>
      <c r="J56" s="19">
        <v>21.0</v>
      </c>
      <c r="K56" s="19">
        <v>13.0</v>
      </c>
      <c r="L56" s="19">
        <v>12.0</v>
      </c>
      <c r="M56" s="19">
        <v>18.0</v>
      </c>
      <c r="N56" s="19">
        <v>18.0</v>
      </c>
      <c r="O56" s="13">
        <f t="shared" si="14"/>
        <v>178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2.0</v>
      </c>
      <c r="F57" s="19">
        <v>1.0</v>
      </c>
      <c r="G57" s="19">
        <v>2.0</v>
      </c>
      <c r="H57" s="19">
        <v>1.0</v>
      </c>
      <c r="I57" s="19">
        <v>1.0</v>
      </c>
      <c r="J57" s="19">
        <v>1.0</v>
      </c>
      <c r="K57" s="19">
        <v>2.0</v>
      </c>
      <c r="L57" s="19">
        <v>1.0</v>
      </c>
      <c r="M57" s="19">
        <v>2.0</v>
      </c>
      <c r="N57" s="19">
        <v>3.0</v>
      </c>
      <c r="O57" s="13">
        <f t="shared" si="14"/>
        <v>16</v>
      </c>
    </row>
    <row r="58" ht="12.75" customHeight="1">
      <c r="O58" s="13"/>
    </row>
    <row r="59" ht="12.75" customHeight="1">
      <c r="A59" s="44" t="s">
        <v>60</v>
      </c>
      <c r="B59" s="14" t="s">
        <v>61</v>
      </c>
      <c r="C59" s="15"/>
      <c r="D59" s="16"/>
      <c r="E59" s="13" t="s">
        <v>70</v>
      </c>
      <c r="F59" s="13" t="s">
        <v>71</v>
      </c>
      <c r="G59" s="13" t="s">
        <v>72</v>
      </c>
      <c r="H59" s="13" t="s">
        <v>73</v>
      </c>
      <c r="I59" s="13" t="s">
        <v>74</v>
      </c>
      <c r="J59" s="13" t="s">
        <v>75</v>
      </c>
      <c r="K59" s="13" t="s">
        <v>77</v>
      </c>
      <c r="L59" s="13" t="s">
        <v>78</v>
      </c>
      <c r="M59" s="13" t="s">
        <v>79</v>
      </c>
      <c r="N59" s="13" t="s">
        <v>81</v>
      </c>
      <c r="O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N60" si="15">SUM(E45:E57)</f>
        <v>185</v>
      </c>
      <c r="F60" s="19">
        <f t="shared" si="15"/>
        <v>198</v>
      </c>
      <c r="G60" s="19">
        <f t="shared" si="15"/>
        <v>211</v>
      </c>
      <c r="H60" s="19">
        <f t="shared" si="15"/>
        <v>206</v>
      </c>
      <c r="I60" s="19">
        <f t="shared" si="15"/>
        <v>180</v>
      </c>
      <c r="J60" s="19">
        <f t="shared" si="15"/>
        <v>185</v>
      </c>
      <c r="K60" s="19">
        <f t="shared" si="15"/>
        <v>177</v>
      </c>
      <c r="L60" s="19">
        <f t="shared" si="15"/>
        <v>144</v>
      </c>
      <c r="M60" s="19">
        <f t="shared" si="15"/>
        <v>173</v>
      </c>
      <c r="N60" s="19">
        <f t="shared" si="15"/>
        <v>172</v>
      </c>
      <c r="O60" s="13">
        <f t="shared" ref="O60:O62" si="16">SUM(E60:N60)</f>
        <v>1831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58.0</v>
      </c>
      <c r="F61" s="19">
        <v>46.0</v>
      </c>
      <c r="G61" s="19">
        <v>33.0</v>
      </c>
      <c r="H61" s="19">
        <v>33.0</v>
      </c>
      <c r="I61" s="19">
        <v>69.0</v>
      </c>
      <c r="J61" s="19">
        <v>58.0</v>
      </c>
      <c r="K61" s="19">
        <v>53.0</v>
      </c>
      <c r="L61" s="19">
        <v>69.0</v>
      </c>
      <c r="M61" s="19">
        <v>53.0</v>
      </c>
      <c r="N61" s="19">
        <v>45.0</v>
      </c>
      <c r="O61" s="13">
        <f t="shared" si="16"/>
        <v>517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N62" si="17">SUM(E60:E61)</f>
        <v>243</v>
      </c>
      <c r="F62" s="13">
        <f t="shared" si="17"/>
        <v>244</v>
      </c>
      <c r="G62" s="13">
        <f t="shared" si="17"/>
        <v>244</v>
      </c>
      <c r="H62" s="13">
        <f t="shared" si="17"/>
        <v>239</v>
      </c>
      <c r="I62" s="13">
        <f t="shared" si="17"/>
        <v>249</v>
      </c>
      <c r="J62" s="13">
        <f t="shared" si="17"/>
        <v>243</v>
      </c>
      <c r="K62" s="13">
        <f t="shared" si="17"/>
        <v>230</v>
      </c>
      <c r="L62" s="13">
        <f t="shared" si="17"/>
        <v>213</v>
      </c>
      <c r="M62" s="13">
        <f t="shared" si="17"/>
        <v>226</v>
      </c>
      <c r="N62" s="13">
        <f t="shared" si="17"/>
        <v>217</v>
      </c>
      <c r="O62" s="13">
        <f t="shared" si="16"/>
        <v>2348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P117" s="5"/>
      <c r="Q117" s="5"/>
    </row>
    <row r="118" ht="12.75" customHeight="1">
      <c r="P118" s="5"/>
      <c r="Q118" s="5"/>
    </row>
    <row r="119" ht="12.75" customHeight="1">
      <c r="P119" s="5"/>
      <c r="Q119" s="5"/>
    </row>
    <row r="120" ht="12.75" customHeight="1">
      <c r="P120" s="5"/>
      <c r="Q120" s="5"/>
    </row>
    <row r="121" ht="12.75" customHeight="1">
      <c r="P121" s="5"/>
      <c r="Q121" s="5"/>
    </row>
    <row r="122" ht="12.75" customHeight="1">
      <c r="P122" s="5"/>
      <c r="Q122" s="5"/>
    </row>
    <row r="123" ht="12.75" customHeight="1">
      <c r="P123" s="5"/>
      <c r="Q123" s="5"/>
    </row>
    <row r="124" ht="12.75" customHeight="1">
      <c r="P124" s="5"/>
      <c r="Q124" s="5"/>
    </row>
    <row r="125" ht="12.75" customHeight="1">
      <c r="P125" s="5"/>
      <c r="Q125" s="5"/>
    </row>
    <row r="126" ht="12.75" customHeight="1">
      <c r="P126" s="5"/>
      <c r="Q126" s="5"/>
    </row>
    <row r="127" ht="12.75" customHeight="1">
      <c r="P127" s="5"/>
      <c r="Q127" s="5"/>
    </row>
    <row r="128" ht="12.75" customHeight="1">
      <c r="P128" s="5"/>
      <c r="Q128" s="5"/>
    </row>
    <row r="129" ht="12.75" customHeight="1">
      <c r="P129" s="5"/>
      <c r="Q129" s="5"/>
    </row>
    <row r="130" ht="12.75" customHeight="1">
      <c r="P130" s="1"/>
      <c r="Q130" s="1"/>
    </row>
    <row r="131" ht="12.75" customHeight="1">
      <c r="P131" s="52"/>
      <c r="Q131" s="52"/>
    </row>
    <row r="132" ht="12.75" customHeight="1">
      <c r="P132" s="5"/>
      <c r="Q132" s="5"/>
    </row>
    <row r="133" ht="12.75" customHeight="1">
      <c r="P133" s="5"/>
      <c r="Q133" s="5"/>
    </row>
    <row r="134" ht="12.75" customHeight="1">
      <c r="P134" s="5"/>
      <c r="Q134" s="5"/>
    </row>
    <row r="135" ht="12.75" customHeight="1">
      <c r="P135" s="5"/>
      <c r="Q135" s="5"/>
    </row>
    <row r="136" ht="12.75" customHeight="1">
      <c r="P136" s="5"/>
      <c r="Q136" s="5"/>
    </row>
    <row r="137" ht="12.75" customHeight="1">
      <c r="P137" s="5"/>
      <c r="Q137" s="5"/>
    </row>
    <row r="138" ht="12.75" customHeight="1">
      <c r="P138" s="5"/>
      <c r="Q138" s="5"/>
    </row>
    <row r="139" ht="12.75" customHeight="1">
      <c r="P139" s="5"/>
      <c r="Q139" s="5"/>
    </row>
    <row r="140" ht="12.75" customHeight="1">
      <c r="P140" s="5"/>
      <c r="Q140" s="5"/>
    </row>
    <row r="141" ht="12.75" customHeight="1">
      <c r="P141" s="1"/>
      <c r="Q141" s="1"/>
    </row>
    <row r="142" ht="12.75" customHeight="1">
      <c r="P142" s="52"/>
      <c r="Q142" s="52"/>
    </row>
    <row r="143" ht="12.75" customHeight="1">
      <c r="P143" s="5"/>
      <c r="Q143" s="5"/>
    </row>
    <row r="144" ht="12.75" customHeight="1">
      <c r="P144" s="5"/>
      <c r="Q144" s="5"/>
    </row>
    <row r="145" ht="12.75" customHeight="1">
      <c r="P145" s="5"/>
      <c r="Q145" s="5"/>
    </row>
    <row r="146" ht="12.75" customHeight="1">
      <c r="P146" s="5"/>
      <c r="Q146" s="5"/>
    </row>
    <row r="147" ht="12.75" customHeight="1">
      <c r="P147" s="5"/>
      <c r="Q147" s="5"/>
    </row>
    <row r="148" ht="12.75" customHeight="1">
      <c r="P148" s="5"/>
      <c r="Q148" s="5"/>
    </row>
    <row r="149" ht="12.75" customHeight="1">
      <c r="P149" s="5"/>
      <c r="Q149" s="5"/>
    </row>
    <row r="150" ht="12.75" customHeight="1">
      <c r="P150" s="5"/>
      <c r="Q150" s="5"/>
    </row>
    <row r="151" ht="12.75" customHeight="1">
      <c r="P151" s="1"/>
      <c r="Q151" s="1"/>
    </row>
    <row r="152" ht="12.75" customHeight="1">
      <c r="P152" s="52"/>
      <c r="Q152" s="52"/>
    </row>
    <row r="153" ht="12.75" customHeight="1">
      <c r="P153" s="5"/>
      <c r="Q153" s="5"/>
    </row>
    <row r="154" ht="12.75" customHeight="1">
      <c r="P154" s="5"/>
      <c r="Q154" s="5"/>
    </row>
    <row r="155" ht="12.75" customHeight="1">
      <c r="P155" s="5"/>
      <c r="Q155" s="5"/>
    </row>
    <row r="156" ht="12.75" customHeight="1">
      <c r="P156" s="5"/>
      <c r="Q156" s="5"/>
    </row>
    <row r="157" ht="12.75" customHeight="1">
      <c r="P157" s="5"/>
      <c r="Q157" s="5"/>
    </row>
    <row r="158" ht="12.75" customHeight="1">
      <c r="P158" s="5"/>
      <c r="Q158" s="5"/>
    </row>
    <row r="159" ht="12.75" customHeight="1">
      <c r="P159" s="5"/>
      <c r="Q159" s="5"/>
    </row>
    <row r="160" ht="12.75" customHeight="1">
      <c r="P160" s="5"/>
      <c r="Q160" s="5"/>
    </row>
    <row r="161" ht="12.75" customHeight="1">
      <c r="P161" s="5"/>
      <c r="Q161" s="5"/>
    </row>
    <row r="162" ht="12.75" customHeight="1">
      <c r="P162" s="5"/>
      <c r="Q162" s="5"/>
    </row>
    <row r="163" ht="12.75" customHeight="1">
      <c r="P163" s="5"/>
      <c r="Q163" s="5"/>
    </row>
    <row r="164" ht="12.75" customHeight="1">
      <c r="P164" s="5"/>
      <c r="Q164" s="5"/>
    </row>
    <row r="165" ht="12.75" customHeight="1">
      <c r="P165" s="1"/>
      <c r="Q165" s="1"/>
    </row>
    <row r="166" ht="12.75" customHeight="1">
      <c r="P166" s="52"/>
      <c r="Q166" s="52"/>
    </row>
    <row r="167" ht="12.75" customHeight="1">
      <c r="P167" s="5"/>
      <c r="Q167" s="5"/>
    </row>
    <row r="168" ht="12.75" customHeight="1">
      <c r="P168" s="5"/>
      <c r="Q168" s="5"/>
    </row>
    <row r="169" ht="12.75" customHeight="1">
      <c r="P169" s="5"/>
      <c r="Q169" s="5"/>
    </row>
    <row r="170" ht="12.75" customHeight="1">
      <c r="P170" s="5"/>
      <c r="Q170" s="5"/>
    </row>
    <row r="171" ht="12.75" customHeight="1">
      <c r="P171" s="5"/>
      <c r="Q171" s="5"/>
    </row>
    <row r="172" ht="12.75" customHeight="1">
      <c r="P172" s="5"/>
      <c r="Q172" s="5"/>
    </row>
    <row r="173" ht="12.75" customHeight="1">
      <c r="P173" s="5"/>
      <c r="Q173" s="5"/>
    </row>
    <row r="174" ht="12.75" customHeight="1">
      <c r="P174" s="5"/>
      <c r="Q174" s="5"/>
    </row>
    <row r="175" ht="12.75" customHeight="1">
      <c r="P175" s="5"/>
      <c r="Q175" s="5"/>
    </row>
    <row r="176" ht="12.75" customHeight="1">
      <c r="P176" s="1"/>
      <c r="Q176" s="1"/>
    </row>
    <row r="177" ht="12.75" customHeight="1"/>
    <row r="178" ht="12.75" customHeight="1">
      <c r="P178" s="5"/>
      <c r="Q178" s="5"/>
    </row>
    <row r="179" ht="12.75" customHeight="1">
      <c r="P179" s="5"/>
      <c r="Q179" s="5"/>
    </row>
    <row r="180" ht="12.75" customHeight="1">
      <c r="P180" s="5"/>
      <c r="Q180" s="5"/>
    </row>
    <row r="181" ht="12.75" customHeight="1">
      <c r="P181" s="5"/>
      <c r="Q181" s="5"/>
    </row>
    <row r="182" ht="12.75" customHeight="1">
      <c r="P182" s="5"/>
      <c r="Q182" s="5"/>
    </row>
    <row r="183" ht="12.75" customHeight="1">
      <c r="P183" s="5"/>
      <c r="Q183" s="5"/>
    </row>
    <row r="184" ht="12.75" customHeight="1">
      <c r="P184" s="5"/>
      <c r="Q184" s="5"/>
    </row>
    <row r="185" ht="12.75" customHeight="1">
      <c r="P185" s="5"/>
      <c r="Q185" s="5"/>
    </row>
    <row r="186" ht="12.75" customHeight="1">
      <c r="P186" s="5"/>
      <c r="Q186" s="5"/>
    </row>
    <row r="187" ht="12.75" customHeight="1">
      <c r="P187" s="1"/>
      <c r="Q187" s="1"/>
    </row>
    <row r="188" ht="12.75" customHeight="1"/>
    <row r="189" ht="12.75" customHeight="1">
      <c r="P189" s="5"/>
      <c r="Q189" s="5"/>
    </row>
    <row r="190" ht="12.75" customHeight="1">
      <c r="P190" s="5"/>
      <c r="Q190" s="5"/>
    </row>
    <row r="191" ht="12.75" customHeight="1">
      <c r="P191" s="5"/>
      <c r="Q191" s="5"/>
    </row>
    <row r="192" ht="12.75" customHeight="1">
      <c r="P192" s="5"/>
      <c r="Q192" s="5"/>
    </row>
    <row r="193" ht="12.75" customHeight="1">
      <c r="P193" s="5"/>
      <c r="Q193" s="5"/>
    </row>
    <row r="194" ht="12.75" customHeight="1">
      <c r="P194" s="5"/>
      <c r="Q194" s="5"/>
    </row>
    <row r="195" ht="12.75" customHeight="1">
      <c r="P195" s="5"/>
      <c r="Q195" s="5"/>
    </row>
    <row r="196" ht="12.75" customHeight="1">
      <c r="P196" s="1"/>
      <c r="Q196" s="1"/>
    </row>
    <row r="197" ht="12.75" customHeight="1">
      <c r="P197" s="1"/>
      <c r="Q197" s="1"/>
    </row>
    <row r="198" ht="12.75" customHeight="1">
      <c r="P198" s="1"/>
      <c r="Q198" s="1"/>
    </row>
    <row r="199" ht="12.75" customHeight="1">
      <c r="P199" s="52"/>
      <c r="Q199" s="52"/>
    </row>
    <row r="200" ht="12.75" customHeight="1">
      <c r="P200" s="5"/>
      <c r="Q200" s="5"/>
    </row>
    <row r="201" ht="12.75" customHeight="1">
      <c r="P201" s="5"/>
      <c r="Q201" s="5"/>
    </row>
    <row r="202" ht="12.75" customHeight="1">
      <c r="P202" s="5"/>
      <c r="Q202" s="5"/>
    </row>
    <row r="203" ht="12.75" customHeight="1">
      <c r="P203" s="5"/>
      <c r="Q203" s="5"/>
    </row>
    <row r="204" ht="12.75" customHeight="1">
      <c r="P204" s="5"/>
      <c r="Q204" s="5"/>
    </row>
    <row r="205" ht="12.75" customHeight="1">
      <c r="P205" s="5"/>
      <c r="Q205" s="5"/>
    </row>
    <row r="206" ht="12.75" customHeight="1">
      <c r="P206" s="5"/>
      <c r="Q206" s="5"/>
    </row>
    <row r="207" ht="12.75" customHeight="1">
      <c r="P207" s="1"/>
      <c r="Q207" s="1"/>
    </row>
    <row r="208" ht="12.75" customHeight="1">
      <c r="P208" s="52"/>
      <c r="Q208" s="52"/>
    </row>
    <row r="209" ht="12.75" customHeight="1">
      <c r="P209" s="52"/>
      <c r="Q209" s="52"/>
    </row>
    <row r="210" ht="12.75" customHeight="1">
      <c r="P210" s="52"/>
      <c r="Q210" s="52"/>
    </row>
    <row r="211" ht="12.75" customHeight="1">
      <c r="P211" s="5"/>
      <c r="Q211" s="5"/>
    </row>
    <row r="212" ht="12.75" customHeight="1">
      <c r="P212" s="5"/>
      <c r="Q212" s="5"/>
    </row>
    <row r="213" ht="12.75" customHeight="1">
      <c r="P213" s="5"/>
      <c r="Q213" s="5"/>
    </row>
    <row r="214" ht="12.75" customHeight="1">
      <c r="P214" s="5"/>
      <c r="Q214" s="5"/>
    </row>
    <row r="215" ht="12.75" customHeight="1">
      <c r="P215" s="5"/>
      <c r="Q215" s="5"/>
    </row>
    <row r="216" ht="12.75" customHeight="1">
      <c r="P216" s="5"/>
      <c r="Q216" s="5"/>
    </row>
    <row r="217" ht="12.75" customHeight="1">
      <c r="P217" s="5"/>
      <c r="Q217" s="5"/>
    </row>
    <row r="218" ht="12.75" customHeight="1">
      <c r="P218" s="1"/>
      <c r="Q218" s="1"/>
    </row>
    <row r="219" ht="12.75" customHeight="1">
      <c r="P219" s="52"/>
      <c r="Q219" s="52"/>
    </row>
    <row r="220" ht="12.75" customHeight="1">
      <c r="P220" s="5"/>
      <c r="Q220" s="5"/>
    </row>
    <row r="221" ht="12.75" customHeight="1">
      <c r="P221" s="5"/>
      <c r="Q221" s="5"/>
    </row>
    <row r="222" ht="12.75" customHeight="1">
      <c r="P222" s="5"/>
      <c r="Q222" s="5"/>
    </row>
    <row r="223" ht="12.75" customHeight="1">
      <c r="P223" s="5"/>
      <c r="Q223" s="5"/>
    </row>
    <row r="224" ht="12.75" customHeight="1">
      <c r="P224" s="5"/>
      <c r="Q224" s="5"/>
    </row>
    <row r="225" ht="12.75" customHeight="1">
      <c r="P225" s="5"/>
      <c r="Q225" s="5"/>
    </row>
    <row r="226" ht="12.75" customHeight="1">
      <c r="P226" s="5"/>
      <c r="Q226" s="5"/>
    </row>
    <row r="227" ht="12.75" customHeight="1">
      <c r="P227" s="5"/>
      <c r="Q227" s="5"/>
    </row>
    <row r="228" ht="12.75" customHeight="1">
      <c r="P228" s="5"/>
      <c r="Q228" s="5"/>
    </row>
    <row r="229" ht="12.75" customHeight="1">
      <c r="P229" s="1"/>
      <c r="Q229" s="1"/>
    </row>
    <row r="230" ht="12.75" customHeight="1">
      <c r="P230" s="52"/>
      <c r="Q230" s="52"/>
    </row>
    <row r="231" ht="12.75" customHeight="1">
      <c r="P231" s="5"/>
      <c r="Q231" s="5"/>
    </row>
    <row r="232" ht="12.75" customHeight="1">
      <c r="P232" s="5"/>
      <c r="Q232" s="5"/>
    </row>
    <row r="233" ht="12.75" customHeight="1">
      <c r="P233" s="5"/>
      <c r="Q233" s="5"/>
    </row>
    <row r="234" ht="12.75" customHeight="1">
      <c r="P234" s="5"/>
      <c r="Q234" s="5"/>
    </row>
    <row r="235" ht="12.75" customHeight="1">
      <c r="P235" s="5"/>
      <c r="Q235" s="5"/>
    </row>
    <row r="236" ht="12.75" customHeight="1">
      <c r="P236" s="5"/>
      <c r="Q236" s="5"/>
    </row>
    <row r="237" ht="12.75" customHeight="1">
      <c r="P237" s="5"/>
      <c r="Q237" s="5"/>
    </row>
    <row r="238" ht="12.75" customHeight="1">
      <c r="P238" s="5"/>
      <c r="Q238" s="5"/>
    </row>
    <row r="239" ht="12.75" customHeight="1">
      <c r="P239" s="5"/>
      <c r="Q239" s="5"/>
    </row>
    <row r="240" ht="12.75" customHeight="1">
      <c r="P240" s="1"/>
      <c r="Q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45:N57">
    <cfRule type="containsBlanks" dxfId="1" priority="6">
      <formula>LEN(TRIM(E45))=0</formula>
    </cfRule>
  </conditionalFormatting>
  <conditionalFormatting sqref="E60:N61">
    <cfRule type="containsBlanks" dxfId="1" priority="7">
      <formula>LEN(TRIM(E60))=0</formula>
    </cfRule>
  </conditionalFormatting>
  <conditionalFormatting sqref="E34:N34">
    <cfRule type="expression" dxfId="2" priority="8">
      <formula>E30&lt;&gt;E34</formula>
    </cfRule>
  </conditionalFormatting>
  <conditionalFormatting sqref="E34:N34">
    <cfRule type="expression" dxfId="3" priority="9">
      <formula>E30=E34</formula>
    </cfRule>
  </conditionalFormatting>
  <conditionalFormatting sqref="E34:N34">
    <cfRule type="expression" dxfId="0" priority="10">
      <formula>E34&lt;&gt;E30</formula>
    </cfRule>
  </conditionalFormatting>
  <conditionalFormatting sqref="E34:N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77</v>
      </c>
      <c r="L13" s="13" t="s">
        <v>78</v>
      </c>
      <c r="M13" s="37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136.0</v>
      </c>
      <c r="G14" s="19">
        <v>137.0</v>
      </c>
      <c r="H14" s="19">
        <v>146.0</v>
      </c>
      <c r="I14" s="19">
        <v>133.0</v>
      </c>
      <c r="J14" s="19">
        <v>138.0</v>
      </c>
      <c r="K14" s="19">
        <v>141.0</v>
      </c>
      <c r="L14" s="19">
        <v>147.0</v>
      </c>
      <c r="M14" s="13">
        <f t="shared" ref="M14:M16" si="1">SUM(E14:L14)</f>
        <v>1124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156.0</v>
      </c>
      <c r="G15" s="19">
        <v>135.0</v>
      </c>
      <c r="H15" s="19">
        <v>135.0</v>
      </c>
      <c r="I15" s="19">
        <v>147.0</v>
      </c>
      <c r="J15" s="19">
        <v>144.0</v>
      </c>
      <c r="K15" s="19">
        <v>143.0</v>
      </c>
      <c r="L15" s="19">
        <v>144.0</v>
      </c>
      <c r="M15" s="13">
        <f t="shared" si="1"/>
        <v>1140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282</v>
      </c>
      <c r="F16" s="13">
        <f t="shared" si="2"/>
        <v>292</v>
      </c>
      <c r="G16" s="13">
        <f t="shared" si="2"/>
        <v>272</v>
      </c>
      <c r="H16" s="13">
        <f t="shared" si="2"/>
        <v>281</v>
      </c>
      <c r="I16" s="13">
        <f t="shared" si="2"/>
        <v>280</v>
      </c>
      <c r="J16" s="13">
        <f t="shared" si="2"/>
        <v>282</v>
      </c>
      <c r="K16" s="13">
        <f t="shared" si="2"/>
        <v>284</v>
      </c>
      <c r="L16" s="13">
        <f t="shared" si="2"/>
        <v>291</v>
      </c>
      <c r="M16" s="13">
        <f t="shared" si="1"/>
        <v>2264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61"/>
    </row>
    <row r="18" ht="12.75" customHeight="1">
      <c r="A18" s="31" t="s">
        <v>15</v>
      </c>
      <c r="B18" s="20" t="s">
        <v>16</v>
      </c>
      <c r="C18" s="15"/>
      <c r="D18" s="16"/>
      <c r="E18" s="13" t="s">
        <v>70</v>
      </c>
      <c r="F18" s="13" t="s">
        <v>71</v>
      </c>
      <c r="G18" s="13" t="s">
        <v>72</v>
      </c>
      <c r="H18" s="13" t="s">
        <v>73</v>
      </c>
      <c r="I18" s="13" t="s">
        <v>74</v>
      </c>
      <c r="J18" s="13" t="s">
        <v>75</v>
      </c>
      <c r="K18" s="13" t="s">
        <v>77</v>
      </c>
      <c r="L18" s="13" t="s">
        <v>78</v>
      </c>
      <c r="M18" s="61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102.0</v>
      </c>
      <c r="F19" s="19">
        <v>116.0</v>
      </c>
      <c r="G19" s="19">
        <v>91.0</v>
      </c>
      <c r="H19" s="19">
        <v>110.0</v>
      </c>
      <c r="I19" s="19">
        <v>103.0</v>
      </c>
      <c r="J19" s="19">
        <v>106.0</v>
      </c>
      <c r="K19" s="19">
        <v>112.0</v>
      </c>
      <c r="L19" s="19">
        <v>129.0</v>
      </c>
      <c r="M19" s="13">
        <f t="shared" ref="M19:M30" si="3">SUM(E19:L19)</f>
        <v>869</v>
      </c>
    </row>
    <row r="20" ht="12.75" customHeight="1">
      <c r="A20" s="34"/>
      <c r="B20" s="27"/>
      <c r="C20" s="35"/>
      <c r="D20" s="19" t="s">
        <v>13</v>
      </c>
      <c r="E20" s="19">
        <v>108.0</v>
      </c>
      <c r="F20" s="19">
        <v>116.0</v>
      </c>
      <c r="G20" s="19">
        <v>101.0</v>
      </c>
      <c r="H20" s="19">
        <v>115.0</v>
      </c>
      <c r="I20" s="19">
        <v>118.0</v>
      </c>
      <c r="J20" s="19">
        <v>126.0</v>
      </c>
      <c r="K20" s="19">
        <v>119.0</v>
      </c>
      <c r="L20" s="19">
        <v>115.0</v>
      </c>
      <c r="M20" s="13">
        <f t="shared" si="3"/>
        <v>918</v>
      </c>
    </row>
    <row r="21" ht="12.75" customHeight="1">
      <c r="A21" s="36"/>
      <c r="B21" s="28"/>
      <c r="C21" s="37"/>
      <c r="D21" s="13" t="s">
        <v>14</v>
      </c>
      <c r="E21" s="13">
        <f t="shared" ref="E21:L21" si="4">SUM(E19:E20)</f>
        <v>210</v>
      </c>
      <c r="F21" s="13">
        <f t="shared" si="4"/>
        <v>232</v>
      </c>
      <c r="G21" s="13">
        <f t="shared" si="4"/>
        <v>192</v>
      </c>
      <c r="H21" s="13">
        <f t="shared" si="4"/>
        <v>225</v>
      </c>
      <c r="I21" s="13">
        <f t="shared" si="4"/>
        <v>221</v>
      </c>
      <c r="J21" s="13">
        <f t="shared" si="4"/>
        <v>232</v>
      </c>
      <c r="K21" s="13">
        <f t="shared" si="4"/>
        <v>231</v>
      </c>
      <c r="L21" s="13">
        <f t="shared" si="4"/>
        <v>244</v>
      </c>
      <c r="M21" s="13">
        <f t="shared" si="3"/>
        <v>1787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1.0</v>
      </c>
      <c r="F22" s="19">
        <v>1.0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19">
        <v>1.0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2</v>
      </c>
    </row>
    <row r="24" ht="12.75" customHeight="1">
      <c r="A24" s="36"/>
      <c r="B24" s="28"/>
      <c r="C24" s="37"/>
      <c r="D24" s="13" t="s">
        <v>14</v>
      </c>
      <c r="E24" s="13">
        <f t="shared" ref="E24:L24" si="5">SUM(E22:E23)</f>
        <v>2</v>
      </c>
      <c r="F24" s="13">
        <f t="shared" si="5"/>
        <v>2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3">
        <f t="shared" si="3"/>
        <v>2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1.0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L27" si="6">SUM(E25:E26)</f>
        <v>0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3"/>
        <v>3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L28" si="7">SUM(E19,E22,E25)</f>
        <v>103</v>
      </c>
      <c r="F28" s="13">
        <f t="shared" si="7"/>
        <v>117</v>
      </c>
      <c r="G28" s="13">
        <f t="shared" si="7"/>
        <v>94</v>
      </c>
      <c r="H28" s="13">
        <f t="shared" si="7"/>
        <v>110</v>
      </c>
      <c r="I28" s="13">
        <f t="shared" si="7"/>
        <v>104</v>
      </c>
      <c r="J28" s="13">
        <f t="shared" si="7"/>
        <v>106</v>
      </c>
      <c r="K28" s="13">
        <f t="shared" si="7"/>
        <v>112</v>
      </c>
      <c r="L28" s="13">
        <f t="shared" si="7"/>
        <v>129</v>
      </c>
      <c r="M28" s="13">
        <f t="shared" si="3"/>
        <v>875</v>
      </c>
    </row>
    <row r="29" ht="12.75" customHeight="1">
      <c r="A29" s="36"/>
      <c r="B29" s="27"/>
      <c r="C29" s="35"/>
      <c r="D29" s="13" t="s">
        <v>13</v>
      </c>
      <c r="E29" s="13">
        <f t="shared" ref="E29:L29" si="8">SUM(E20,E23,E26)</f>
        <v>109</v>
      </c>
      <c r="F29" s="13">
        <f t="shared" si="8"/>
        <v>117</v>
      </c>
      <c r="G29" s="13">
        <f t="shared" si="8"/>
        <v>102</v>
      </c>
      <c r="H29" s="13">
        <f t="shared" si="8"/>
        <v>115</v>
      </c>
      <c r="I29" s="13">
        <f t="shared" si="8"/>
        <v>118</v>
      </c>
      <c r="J29" s="13">
        <f t="shared" si="8"/>
        <v>126</v>
      </c>
      <c r="K29" s="13">
        <f t="shared" si="8"/>
        <v>119</v>
      </c>
      <c r="L29" s="13">
        <f t="shared" si="8"/>
        <v>115</v>
      </c>
      <c r="M29" s="13">
        <f t="shared" si="3"/>
        <v>921</v>
      </c>
    </row>
    <row r="30" ht="12.75" customHeight="1">
      <c r="A30" s="36"/>
      <c r="B30" s="28"/>
      <c r="C30" s="37"/>
      <c r="D30" s="13" t="s">
        <v>14</v>
      </c>
      <c r="E30" s="13">
        <f t="shared" ref="E30:L30" si="9">SUM(E28:E29)</f>
        <v>212</v>
      </c>
      <c r="F30" s="13">
        <f t="shared" si="9"/>
        <v>234</v>
      </c>
      <c r="G30" s="13">
        <f t="shared" si="9"/>
        <v>196</v>
      </c>
      <c r="H30" s="13">
        <f t="shared" si="9"/>
        <v>225</v>
      </c>
      <c r="I30" s="13">
        <f t="shared" si="9"/>
        <v>222</v>
      </c>
      <c r="J30" s="13">
        <f t="shared" si="9"/>
        <v>232</v>
      </c>
      <c r="K30" s="13">
        <f t="shared" si="9"/>
        <v>231</v>
      </c>
      <c r="L30" s="13">
        <f t="shared" si="9"/>
        <v>244</v>
      </c>
      <c r="M30" s="13">
        <f t="shared" si="3"/>
        <v>1796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61"/>
    </row>
    <row r="32" ht="12.75" customHeight="1">
      <c r="A32" s="43" t="s">
        <v>25</v>
      </c>
      <c r="B32" s="14" t="s">
        <v>26</v>
      </c>
      <c r="C32" s="15"/>
      <c r="D32" s="16"/>
      <c r="E32" s="63" t="s">
        <v>70</v>
      </c>
      <c r="F32" s="63" t="s">
        <v>71</v>
      </c>
      <c r="G32" s="63" t="s">
        <v>72</v>
      </c>
      <c r="H32" s="63" t="s">
        <v>73</v>
      </c>
      <c r="I32" s="63" t="s">
        <v>74</v>
      </c>
      <c r="J32" s="63" t="s">
        <v>75</v>
      </c>
      <c r="K32" s="63" t="s">
        <v>77</v>
      </c>
      <c r="L32" s="63" t="s">
        <v>78</v>
      </c>
      <c r="M32" s="61"/>
    </row>
    <row r="33" ht="12.75" customHeight="1">
      <c r="A33" s="19">
        <v>1.0</v>
      </c>
      <c r="B33" s="20" t="s">
        <v>27</v>
      </c>
      <c r="C33" s="15"/>
      <c r="D33" s="16"/>
      <c r="E33" s="19">
        <v>228.0</v>
      </c>
      <c r="F33" s="19">
        <v>239.0</v>
      </c>
      <c r="G33" s="19">
        <v>278.0</v>
      </c>
      <c r="H33" s="19">
        <v>287.0</v>
      </c>
      <c r="I33" s="19">
        <v>240.0</v>
      </c>
      <c r="J33" s="19">
        <v>290.0</v>
      </c>
      <c r="K33" s="19">
        <v>279.0</v>
      </c>
      <c r="L33" s="19">
        <v>307.0</v>
      </c>
      <c r="M33" s="13">
        <f t="shared" ref="M33:M36" si="10">SUM(E33:L33)</f>
        <v>2148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234.0</v>
      </c>
      <c r="G34" s="13">
        <v>196.0</v>
      </c>
      <c r="H34" s="13">
        <v>225.0</v>
      </c>
      <c r="I34" s="13">
        <v>222.0</v>
      </c>
      <c r="J34" s="13">
        <v>232.0</v>
      </c>
      <c r="K34" s="13">
        <v>231.0</v>
      </c>
      <c r="L34" s="13">
        <v>244.0</v>
      </c>
      <c r="M34" s="13">
        <f t="shared" si="10"/>
        <v>1796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16</v>
      </c>
      <c r="F36" s="13">
        <f t="shared" si="11"/>
        <v>5</v>
      </c>
      <c r="G36" s="13">
        <f t="shared" si="11"/>
        <v>82</v>
      </c>
      <c r="H36" s="13">
        <f t="shared" si="11"/>
        <v>62</v>
      </c>
      <c r="I36" s="13">
        <f t="shared" si="11"/>
        <v>17</v>
      </c>
      <c r="J36" s="13">
        <f t="shared" si="11"/>
        <v>58</v>
      </c>
      <c r="K36" s="13">
        <f t="shared" si="11"/>
        <v>48</v>
      </c>
      <c r="L36" s="13">
        <f t="shared" si="11"/>
        <v>63</v>
      </c>
      <c r="M36" s="13">
        <f t="shared" si="10"/>
        <v>351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61"/>
    </row>
    <row r="38" ht="12.75" customHeight="1">
      <c r="A38" s="44" t="s">
        <v>31</v>
      </c>
      <c r="B38" s="14" t="s">
        <v>32</v>
      </c>
      <c r="C38" s="15"/>
      <c r="D38" s="16"/>
      <c r="E38" s="63" t="s">
        <v>70</v>
      </c>
      <c r="F38" s="63" t="s">
        <v>71</v>
      </c>
      <c r="G38" s="63" t="s">
        <v>72</v>
      </c>
      <c r="H38" s="63" t="s">
        <v>73</v>
      </c>
      <c r="I38" s="63" t="s">
        <v>74</v>
      </c>
      <c r="J38" s="63" t="s">
        <v>75</v>
      </c>
      <c r="K38" s="63" t="s">
        <v>77</v>
      </c>
      <c r="L38" s="63" t="s">
        <v>78</v>
      </c>
      <c r="M38" s="61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2.0</v>
      </c>
      <c r="H39" s="19">
        <v>5.0</v>
      </c>
      <c r="I39" s="19">
        <v>0.0</v>
      </c>
      <c r="J39" s="19">
        <v>0.0</v>
      </c>
      <c r="K39" s="19">
        <v>0.0</v>
      </c>
      <c r="L39" s="19">
        <v>0.0</v>
      </c>
      <c r="M39" s="13">
        <f t="shared" ref="M39:M41" si="12">SUM(E39:L39)</f>
        <v>7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5.0</v>
      </c>
      <c r="H40" s="19">
        <v>10.0</v>
      </c>
      <c r="I40" s="19">
        <v>0.0</v>
      </c>
      <c r="J40" s="19">
        <v>0.0</v>
      </c>
      <c r="K40" s="19">
        <v>0.0</v>
      </c>
      <c r="L40" s="19">
        <v>0.0</v>
      </c>
      <c r="M40" s="13">
        <f t="shared" si="12"/>
        <v>15</v>
      </c>
    </row>
    <row r="41" ht="12.75" customHeight="1">
      <c r="A41" s="43"/>
      <c r="B41" s="46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7</v>
      </c>
      <c r="H41" s="13">
        <f t="shared" si="13"/>
        <v>15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2"/>
        <v>22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4" t="s">
        <v>34</v>
      </c>
      <c r="B43" s="14" t="s">
        <v>35</v>
      </c>
      <c r="C43" s="15"/>
      <c r="D43" s="16"/>
      <c r="E43" s="63" t="s">
        <v>70</v>
      </c>
      <c r="F43" s="63" t="s">
        <v>71</v>
      </c>
      <c r="G43" s="63" t="s">
        <v>72</v>
      </c>
      <c r="H43" s="63" t="s">
        <v>73</v>
      </c>
      <c r="I43" s="63" t="s">
        <v>74</v>
      </c>
      <c r="J43" s="63" t="s">
        <v>75</v>
      </c>
      <c r="K43" s="63" t="s">
        <v>77</v>
      </c>
      <c r="L43" s="63" t="s">
        <v>78</v>
      </c>
      <c r="M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1"/>
      <c r="B45" s="49" t="s">
        <v>17</v>
      </c>
      <c r="C45" s="62" t="s">
        <v>38</v>
      </c>
      <c r="D45" s="16"/>
      <c r="E45" s="19">
        <v>10.0</v>
      </c>
      <c r="F45" s="19">
        <v>26.0</v>
      </c>
      <c r="G45" s="19">
        <v>17.0</v>
      </c>
      <c r="H45" s="19">
        <v>23.0</v>
      </c>
      <c r="I45" s="19">
        <v>14.0</v>
      </c>
      <c r="J45" s="19">
        <v>23.0</v>
      </c>
      <c r="K45" s="19">
        <v>19.0</v>
      </c>
      <c r="L45" s="19">
        <v>26.0</v>
      </c>
      <c r="M45" s="13">
        <f t="shared" ref="M45:M57" si="14">SUM(E45:L45)</f>
        <v>158</v>
      </c>
    </row>
    <row r="46" ht="12.75" customHeight="1">
      <c r="A46" s="18"/>
      <c r="B46" s="49" t="s">
        <v>19</v>
      </c>
      <c r="C46" s="62" t="s">
        <v>39</v>
      </c>
      <c r="D46" s="16"/>
      <c r="E46" s="19">
        <v>44.0</v>
      </c>
      <c r="F46" s="19">
        <v>48.0</v>
      </c>
      <c r="G46" s="19">
        <v>45.0</v>
      </c>
      <c r="H46" s="19">
        <v>53.0</v>
      </c>
      <c r="I46" s="19">
        <v>70.0</v>
      </c>
      <c r="J46" s="19">
        <v>49.0</v>
      </c>
      <c r="K46" s="19">
        <v>56.0</v>
      </c>
      <c r="L46" s="19">
        <v>77.0</v>
      </c>
      <c r="M46" s="13">
        <f t="shared" si="14"/>
        <v>442</v>
      </c>
    </row>
    <row r="47" ht="12.75" customHeight="1">
      <c r="A47" s="18"/>
      <c r="B47" s="49" t="s">
        <v>21</v>
      </c>
      <c r="C47" s="62" t="s">
        <v>40</v>
      </c>
      <c r="D47" s="16"/>
      <c r="E47" s="19">
        <v>14.0</v>
      </c>
      <c r="F47" s="19">
        <v>18.0</v>
      </c>
      <c r="G47" s="19">
        <v>20.0</v>
      </c>
      <c r="H47" s="19">
        <v>19.0</v>
      </c>
      <c r="I47" s="19">
        <v>10.0</v>
      </c>
      <c r="J47" s="19">
        <v>20.0</v>
      </c>
      <c r="K47" s="19">
        <v>20.0</v>
      </c>
      <c r="L47" s="19">
        <v>16.0</v>
      </c>
      <c r="M47" s="13">
        <f t="shared" si="14"/>
        <v>137</v>
      </c>
    </row>
    <row r="48" ht="12.75" customHeight="1">
      <c r="A48" s="18"/>
      <c r="B48" s="49" t="s">
        <v>23</v>
      </c>
      <c r="C48" s="62" t="s">
        <v>41</v>
      </c>
      <c r="D48" s="16"/>
      <c r="E48" s="19">
        <v>22.0</v>
      </c>
      <c r="F48" s="19">
        <v>22.0</v>
      </c>
      <c r="G48" s="19">
        <v>18.0</v>
      </c>
      <c r="H48" s="19">
        <v>21.0</v>
      </c>
      <c r="I48" s="19">
        <v>11.0</v>
      </c>
      <c r="J48" s="19">
        <v>15.0</v>
      </c>
      <c r="K48" s="19">
        <v>21.0</v>
      </c>
      <c r="L48" s="19">
        <v>31.0</v>
      </c>
      <c r="M48" s="13">
        <f t="shared" si="14"/>
        <v>161</v>
      </c>
    </row>
    <row r="49" ht="12.75" customHeight="1">
      <c r="A49" s="18"/>
      <c r="B49" s="49" t="s">
        <v>42</v>
      </c>
      <c r="C49" s="62" t="s">
        <v>43</v>
      </c>
      <c r="D49" s="16"/>
      <c r="E49" s="19">
        <v>31.0</v>
      </c>
      <c r="F49" s="19">
        <v>15.0</v>
      </c>
      <c r="G49" s="19">
        <v>18.0</v>
      </c>
      <c r="H49" s="19">
        <v>28.0</v>
      </c>
      <c r="I49" s="19">
        <v>15.0</v>
      </c>
      <c r="J49" s="19">
        <v>26.0</v>
      </c>
      <c r="K49" s="19">
        <v>21.0</v>
      </c>
      <c r="L49" s="19">
        <v>25.0</v>
      </c>
      <c r="M49" s="13">
        <f t="shared" si="14"/>
        <v>179</v>
      </c>
    </row>
    <row r="50" ht="12.75" customHeight="1">
      <c r="A50" s="18"/>
      <c r="B50" s="49" t="s">
        <v>44</v>
      </c>
      <c r="C50" s="62" t="s">
        <v>45</v>
      </c>
      <c r="D50" s="16"/>
      <c r="E50" s="19">
        <v>10.0</v>
      </c>
      <c r="F50" s="19">
        <v>10.0</v>
      </c>
      <c r="G50" s="19">
        <v>14.0</v>
      </c>
      <c r="H50" s="19">
        <v>10.0</v>
      </c>
      <c r="I50" s="19">
        <v>17.0</v>
      </c>
      <c r="J50" s="19">
        <v>10.0</v>
      </c>
      <c r="K50" s="19">
        <v>15.0</v>
      </c>
      <c r="L50" s="19">
        <v>9.0</v>
      </c>
      <c r="M50" s="13">
        <f t="shared" si="14"/>
        <v>95</v>
      </c>
    </row>
    <row r="51" ht="12.75" customHeight="1">
      <c r="A51" s="18"/>
      <c r="B51" s="49" t="s">
        <v>46</v>
      </c>
      <c r="C51" s="62" t="s">
        <v>47</v>
      </c>
      <c r="D51" s="16"/>
      <c r="E51" s="19">
        <v>2.0</v>
      </c>
      <c r="F51" s="19">
        <v>1.0</v>
      </c>
      <c r="G51" s="19">
        <v>3.0</v>
      </c>
      <c r="H51" s="19">
        <v>3.0</v>
      </c>
      <c r="I51" s="19">
        <v>3.0</v>
      </c>
      <c r="J51" s="19">
        <v>1.0</v>
      </c>
      <c r="K51" s="19">
        <v>3.0</v>
      </c>
      <c r="L51" s="19">
        <v>3.0</v>
      </c>
      <c r="M51" s="13">
        <f t="shared" si="14"/>
        <v>19</v>
      </c>
    </row>
    <row r="52" ht="12.75" customHeight="1">
      <c r="A52" s="18"/>
      <c r="B52" s="49" t="s">
        <v>48</v>
      </c>
      <c r="C52" s="62" t="s">
        <v>49</v>
      </c>
      <c r="D52" s="16"/>
      <c r="E52" s="19">
        <v>4.0</v>
      </c>
      <c r="F52" s="19">
        <v>1.0</v>
      </c>
      <c r="G52" s="19">
        <v>3.0</v>
      </c>
      <c r="H52" s="19">
        <v>1.0</v>
      </c>
      <c r="I52" s="19">
        <v>3.0</v>
      </c>
      <c r="J52" s="19">
        <v>0.0</v>
      </c>
      <c r="K52" s="19">
        <v>2.0</v>
      </c>
      <c r="L52" s="19">
        <v>1.0</v>
      </c>
      <c r="M52" s="13">
        <f t="shared" si="14"/>
        <v>15</v>
      </c>
    </row>
    <row r="53" ht="12.75" customHeight="1">
      <c r="A53" s="18"/>
      <c r="B53" s="49" t="s">
        <v>50</v>
      </c>
      <c r="C53" s="62" t="s">
        <v>51</v>
      </c>
      <c r="D53" s="16"/>
      <c r="E53" s="19">
        <v>5.0</v>
      </c>
      <c r="F53" s="19">
        <v>2.0</v>
      </c>
      <c r="G53" s="19">
        <v>1.0</v>
      </c>
      <c r="H53" s="19">
        <v>1.0</v>
      </c>
      <c r="I53" s="19">
        <v>1.0</v>
      </c>
      <c r="J53" s="19">
        <v>2.0</v>
      </c>
      <c r="K53" s="19">
        <v>1.0</v>
      </c>
      <c r="L53" s="19">
        <v>1.0</v>
      </c>
      <c r="M53" s="13">
        <f t="shared" si="14"/>
        <v>14</v>
      </c>
    </row>
    <row r="54" ht="12.75" customHeight="1">
      <c r="A54" s="18"/>
      <c r="B54" s="49" t="s">
        <v>52</v>
      </c>
      <c r="C54" s="62" t="s">
        <v>53</v>
      </c>
      <c r="D54" s="16"/>
      <c r="E54" s="19">
        <v>29.0</v>
      </c>
      <c r="F54" s="19">
        <v>29.0</v>
      </c>
      <c r="G54" s="19">
        <v>20.0</v>
      </c>
      <c r="H54" s="19">
        <v>21.0</v>
      </c>
      <c r="I54" s="19">
        <v>22.0</v>
      </c>
      <c r="J54" s="19">
        <v>22.0</v>
      </c>
      <c r="K54" s="19">
        <v>24.0</v>
      </c>
      <c r="L54" s="19">
        <v>14.0</v>
      </c>
      <c r="M54" s="13">
        <f t="shared" si="14"/>
        <v>181</v>
      </c>
    </row>
    <row r="55" ht="15.0" customHeight="1">
      <c r="A55" s="18"/>
      <c r="B55" s="49" t="s">
        <v>54</v>
      </c>
      <c r="C55" s="62" t="s">
        <v>55</v>
      </c>
      <c r="D55" s="16"/>
      <c r="E55" s="19">
        <v>0.0</v>
      </c>
      <c r="F55" s="19">
        <v>2.0</v>
      </c>
      <c r="G55" s="19">
        <v>1.0</v>
      </c>
      <c r="H55" s="19">
        <v>0.0</v>
      </c>
      <c r="I55" s="19">
        <v>1.0</v>
      </c>
      <c r="J55" s="19">
        <v>0.0</v>
      </c>
      <c r="K55" s="19">
        <v>2.0</v>
      </c>
      <c r="L55" s="19">
        <v>0.0</v>
      </c>
      <c r="M55" s="13">
        <f t="shared" si="14"/>
        <v>6</v>
      </c>
    </row>
    <row r="56" ht="12.75" customHeight="1">
      <c r="A56" s="18"/>
      <c r="B56" s="49" t="s">
        <v>56</v>
      </c>
      <c r="C56" s="62" t="s">
        <v>57</v>
      </c>
      <c r="D56" s="16"/>
      <c r="E56" s="19">
        <v>17.0</v>
      </c>
      <c r="F56" s="19">
        <v>17.0</v>
      </c>
      <c r="G56" s="19">
        <v>16.0</v>
      </c>
      <c r="H56" s="19">
        <v>11.0</v>
      </c>
      <c r="I56" s="19">
        <v>21.0</v>
      </c>
      <c r="J56" s="19">
        <v>19.0</v>
      </c>
      <c r="K56" s="19">
        <v>17.0</v>
      </c>
      <c r="L56" s="19">
        <v>10.0</v>
      </c>
      <c r="M56" s="13">
        <f t="shared" si="14"/>
        <v>128</v>
      </c>
    </row>
    <row r="57" ht="12.75" customHeight="1">
      <c r="A57" s="18"/>
      <c r="B57" s="49" t="s">
        <v>58</v>
      </c>
      <c r="C57" s="62" t="s">
        <v>59</v>
      </c>
      <c r="D57" s="16"/>
      <c r="E57" s="19">
        <v>2.0</v>
      </c>
      <c r="F57" s="19">
        <v>3.0</v>
      </c>
      <c r="G57" s="19">
        <v>5.0</v>
      </c>
      <c r="H57" s="19">
        <v>1.0</v>
      </c>
      <c r="I57" s="19">
        <v>3.0</v>
      </c>
      <c r="J57" s="19">
        <v>2.0</v>
      </c>
      <c r="K57" s="19">
        <v>3.0</v>
      </c>
      <c r="L57" s="19">
        <v>1.0</v>
      </c>
      <c r="M57" s="13">
        <f t="shared" si="14"/>
        <v>20</v>
      </c>
    </row>
    <row r="58" ht="12.75" customHeight="1">
      <c r="M58" s="13"/>
    </row>
    <row r="59" ht="12.75" customHeight="1">
      <c r="A59" s="44" t="s">
        <v>60</v>
      </c>
      <c r="B59" s="14" t="s">
        <v>61</v>
      </c>
      <c r="C59" s="15"/>
      <c r="D59" s="16"/>
      <c r="E59" s="63" t="s">
        <v>70</v>
      </c>
      <c r="F59" s="63" t="s">
        <v>71</v>
      </c>
      <c r="G59" s="63" t="s">
        <v>72</v>
      </c>
      <c r="H59" s="63" t="s">
        <v>73</v>
      </c>
      <c r="I59" s="63" t="s">
        <v>74</v>
      </c>
      <c r="J59" s="63" t="s">
        <v>75</v>
      </c>
      <c r="K59" s="63" t="s">
        <v>77</v>
      </c>
      <c r="L59" s="63" t="s">
        <v>78</v>
      </c>
      <c r="M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L60" si="15">SUM(E45:E57)</f>
        <v>190</v>
      </c>
      <c r="F60" s="19">
        <f t="shared" si="15"/>
        <v>194</v>
      </c>
      <c r="G60" s="19">
        <f t="shared" si="15"/>
        <v>181</v>
      </c>
      <c r="H60" s="19">
        <f t="shared" si="15"/>
        <v>192</v>
      </c>
      <c r="I60" s="19">
        <f t="shared" si="15"/>
        <v>191</v>
      </c>
      <c r="J60" s="19">
        <f t="shared" si="15"/>
        <v>189</v>
      </c>
      <c r="K60" s="19">
        <f t="shared" si="15"/>
        <v>204</v>
      </c>
      <c r="L60" s="19">
        <f t="shared" si="15"/>
        <v>214</v>
      </c>
      <c r="M60" s="13">
        <f t="shared" ref="M60:M62" si="16">SUM(E60:L60)</f>
        <v>1555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22.0</v>
      </c>
      <c r="F61" s="19">
        <v>40.0</v>
      </c>
      <c r="G61" s="19">
        <v>15.0</v>
      </c>
      <c r="H61" s="19">
        <v>33.0</v>
      </c>
      <c r="I61" s="19">
        <v>31.0</v>
      </c>
      <c r="J61" s="19">
        <v>43.0</v>
      </c>
      <c r="K61" s="19">
        <v>27.0</v>
      </c>
      <c r="L61" s="19">
        <v>30.0</v>
      </c>
      <c r="M61" s="13">
        <f t="shared" si="16"/>
        <v>241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L62" si="17">SUM(E60:E61)</f>
        <v>212</v>
      </c>
      <c r="F62" s="13">
        <f t="shared" si="17"/>
        <v>234</v>
      </c>
      <c r="G62" s="13">
        <f t="shared" si="17"/>
        <v>196</v>
      </c>
      <c r="H62" s="13">
        <f t="shared" si="17"/>
        <v>225</v>
      </c>
      <c r="I62" s="13">
        <f t="shared" si="17"/>
        <v>222</v>
      </c>
      <c r="J62" s="13">
        <f t="shared" si="17"/>
        <v>232</v>
      </c>
      <c r="K62" s="13">
        <f t="shared" si="17"/>
        <v>231</v>
      </c>
      <c r="L62" s="13">
        <f t="shared" si="17"/>
        <v>244</v>
      </c>
      <c r="M62" s="13">
        <f t="shared" si="16"/>
        <v>1796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N117" s="5"/>
      <c r="O117" s="5"/>
    </row>
    <row r="118" ht="12.75" customHeight="1">
      <c r="N118" s="5"/>
      <c r="O118" s="5"/>
    </row>
    <row r="119" ht="12.75" customHeight="1">
      <c r="N119" s="5"/>
      <c r="O119" s="5"/>
    </row>
    <row r="120" ht="12.75" customHeight="1">
      <c r="N120" s="5"/>
      <c r="O120" s="5"/>
    </row>
    <row r="121" ht="12.75" customHeight="1">
      <c r="N121" s="5"/>
      <c r="O121" s="5"/>
    </row>
    <row r="122" ht="12.75" customHeight="1">
      <c r="N122" s="5"/>
      <c r="O122" s="5"/>
    </row>
    <row r="123" ht="12.75" customHeight="1">
      <c r="N123" s="5"/>
      <c r="O123" s="5"/>
    </row>
    <row r="124" ht="12.75" customHeight="1">
      <c r="N124" s="5"/>
      <c r="O124" s="5"/>
    </row>
    <row r="125" ht="12.75" customHeight="1">
      <c r="N125" s="5"/>
      <c r="O125" s="5"/>
    </row>
    <row r="126" ht="12.75" customHeight="1">
      <c r="N126" s="5"/>
      <c r="O126" s="5"/>
    </row>
    <row r="127" ht="12.75" customHeight="1">
      <c r="N127" s="5"/>
      <c r="O127" s="5"/>
    </row>
    <row r="128" ht="12.75" customHeight="1">
      <c r="N128" s="5"/>
      <c r="O128" s="5"/>
    </row>
    <row r="129" ht="12.75" customHeight="1">
      <c r="N129" s="5"/>
      <c r="O129" s="5"/>
    </row>
    <row r="130" ht="12.75" customHeight="1">
      <c r="N130" s="1"/>
      <c r="O130" s="1"/>
    </row>
    <row r="131" ht="12.75" customHeight="1">
      <c r="N131" s="52"/>
      <c r="O131" s="52"/>
    </row>
    <row r="132" ht="12.75" customHeight="1">
      <c r="N132" s="5"/>
      <c r="O132" s="5"/>
    </row>
    <row r="133" ht="12.75" customHeight="1">
      <c r="N133" s="5"/>
      <c r="O133" s="5"/>
    </row>
    <row r="134" ht="12.75" customHeight="1">
      <c r="N134" s="5"/>
      <c r="O134" s="5"/>
    </row>
    <row r="135" ht="12.75" customHeight="1">
      <c r="N135" s="5"/>
      <c r="O135" s="5"/>
    </row>
    <row r="136" ht="12.75" customHeight="1">
      <c r="N136" s="5"/>
      <c r="O136" s="5"/>
    </row>
    <row r="137" ht="12.75" customHeight="1">
      <c r="N137" s="5"/>
      <c r="O137" s="5"/>
    </row>
    <row r="138" ht="12.75" customHeight="1">
      <c r="N138" s="5"/>
      <c r="O138" s="5"/>
    </row>
    <row r="139" ht="12.75" customHeight="1">
      <c r="N139" s="5"/>
      <c r="O139" s="5"/>
    </row>
    <row r="140" ht="12.75" customHeight="1">
      <c r="N140" s="5"/>
      <c r="O140" s="5"/>
    </row>
    <row r="141" ht="12.75" customHeight="1">
      <c r="N141" s="1"/>
      <c r="O141" s="1"/>
    </row>
    <row r="142" ht="12.75" customHeight="1">
      <c r="N142" s="52"/>
      <c r="O142" s="52"/>
    </row>
    <row r="143" ht="12.75" customHeight="1">
      <c r="N143" s="5"/>
      <c r="O143" s="5"/>
    </row>
    <row r="144" ht="12.75" customHeight="1">
      <c r="N144" s="5"/>
      <c r="O144" s="5"/>
    </row>
    <row r="145" ht="12.75" customHeight="1">
      <c r="N145" s="5"/>
      <c r="O145" s="5"/>
    </row>
    <row r="146" ht="12.75" customHeight="1">
      <c r="N146" s="5"/>
      <c r="O146" s="5"/>
    </row>
    <row r="147" ht="12.75" customHeight="1">
      <c r="N147" s="5"/>
      <c r="O147" s="5"/>
    </row>
    <row r="148" ht="12.75" customHeight="1">
      <c r="N148" s="5"/>
      <c r="O148" s="5"/>
    </row>
    <row r="149" ht="12.75" customHeight="1">
      <c r="N149" s="5"/>
      <c r="O149" s="5"/>
    </row>
    <row r="150" ht="12.75" customHeight="1">
      <c r="N150" s="5"/>
      <c r="O150" s="5"/>
    </row>
    <row r="151" ht="12.75" customHeight="1">
      <c r="N151" s="1"/>
      <c r="O151" s="1"/>
    </row>
    <row r="152" ht="12.75" customHeight="1">
      <c r="N152" s="52"/>
      <c r="O152" s="52"/>
    </row>
    <row r="153" ht="12.75" customHeight="1">
      <c r="N153" s="5"/>
      <c r="O153" s="5"/>
    </row>
    <row r="154" ht="12.75" customHeight="1">
      <c r="N154" s="5"/>
      <c r="O154" s="5"/>
    </row>
    <row r="155" ht="12.75" customHeight="1">
      <c r="N155" s="5"/>
      <c r="O155" s="5"/>
    </row>
    <row r="156" ht="12.75" customHeight="1">
      <c r="N156" s="5"/>
      <c r="O156" s="5"/>
    </row>
    <row r="157" ht="12.75" customHeight="1">
      <c r="N157" s="5"/>
      <c r="O157" s="5"/>
    </row>
    <row r="158" ht="12.75" customHeight="1">
      <c r="N158" s="5"/>
      <c r="O158" s="5"/>
    </row>
    <row r="159" ht="12.75" customHeight="1">
      <c r="N159" s="5"/>
      <c r="O159" s="5"/>
    </row>
    <row r="160" ht="12.75" customHeight="1">
      <c r="N160" s="5"/>
      <c r="O160" s="5"/>
    </row>
    <row r="161" ht="12.75" customHeight="1">
      <c r="N161" s="5"/>
      <c r="O161" s="5"/>
    </row>
    <row r="162" ht="12.75" customHeight="1">
      <c r="N162" s="5"/>
      <c r="O162" s="5"/>
    </row>
    <row r="163" ht="12.75" customHeight="1">
      <c r="N163" s="5"/>
      <c r="O163" s="5"/>
    </row>
    <row r="164" ht="12.75" customHeight="1">
      <c r="N164" s="5"/>
      <c r="O164" s="5"/>
    </row>
    <row r="165" ht="12.75" customHeight="1">
      <c r="N165" s="1"/>
      <c r="O165" s="1"/>
    </row>
    <row r="166" ht="12.75" customHeight="1">
      <c r="N166" s="52"/>
      <c r="O166" s="52"/>
    </row>
    <row r="167" ht="12.75" customHeight="1">
      <c r="N167" s="5"/>
      <c r="O167" s="5"/>
    </row>
    <row r="168" ht="12.75" customHeight="1">
      <c r="N168" s="5"/>
      <c r="O168" s="5"/>
    </row>
    <row r="169" ht="12.75" customHeight="1">
      <c r="N169" s="5"/>
      <c r="O169" s="5"/>
    </row>
    <row r="170" ht="12.75" customHeight="1">
      <c r="N170" s="5"/>
      <c r="O170" s="5"/>
    </row>
    <row r="171" ht="12.75" customHeight="1">
      <c r="N171" s="5"/>
      <c r="O171" s="5"/>
    </row>
    <row r="172" ht="12.75" customHeight="1">
      <c r="N172" s="5"/>
      <c r="O172" s="5"/>
    </row>
    <row r="173" ht="12.75" customHeight="1">
      <c r="N173" s="5"/>
      <c r="O173" s="5"/>
    </row>
    <row r="174" ht="12.75" customHeight="1">
      <c r="N174" s="5"/>
      <c r="O174" s="5"/>
    </row>
    <row r="175" ht="12.75" customHeight="1">
      <c r="N175" s="5"/>
      <c r="O175" s="5"/>
    </row>
    <row r="176" ht="12.75" customHeight="1">
      <c r="N176" s="1"/>
      <c r="O176" s="1"/>
    </row>
    <row r="177" ht="12.75" customHeight="1"/>
    <row r="178" ht="12.75" customHeight="1">
      <c r="N178" s="5"/>
      <c r="O178" s="5"/>
    </row>
    <row r="179" ht="12.75" customHeight="1">
      <c r="N179" s="5"/>
      <c r="O179" s="5"/>
    </row>
    <row r="180" ht="12.75" customHeight="1">
      <c r="N180" s="5"/>
      <c r="O180" s="5"/>
    </row>
    <row r="181" ht="12.75" customHeight="1">
      <c r="N181" s="5"/>
      <c r="O181" s="5"/>
    </row>
    <row r="182" ht="12.75" customHeight="1">
      <c r="N182" s="5"/>
      <c r="O182" s="5"/>
    </row>
    <row r="183" ht="12.75" customHeight="1">
      <c r="N183" s="5"/>
      <c r="O183" s="5"/>
    </row>
    <row r="184" ht="12.75" customHeight="1">
      <c r="N184" s="5"/>
      <c r="O184" s="5"/>
    </row>
    <row r="185" ht="12.75" customHeight="1">
      <c r="N185" s="5"/>
      <c r="O185" s="5"/>
    </row>
    <row r="186" ht="12.75" customHeight="1">
      <c r="N186" s="5"/>
      <c r="O186" s="5"/>
    </row>
    <row r="187" ht="12.75" customHeight="1">
      <c r="N187" s="1"/>
      <c r="O187" s="1"/>
    </row>
    <row r="188" ht="12.75" customHeight="1"/>
    <row r="189" ht="12.75" customHeight="1">
      <c r="N189" s="5"/>
      <c r="O189" s="5"/>
    </row>
    <row r="190" ht="12.75" customHeight="1">
      <c r="N190" s="5"/>
      <c r="O190" s="5"/>
    </row>
    <row r="191" ht="12.75" customHeight="1">
      <c r="N191" s="5"/>
      <c r="O191" s="5"/>
    </row>
    <row r="192" ht="12.75" customHeight="1">
      <c r="N192" s="5"/>
      <c r="O192" s="5"/>
    </row>
    <row r="193" ht="12.75" customHeight="1">
      <c r="N193" s="5"/>
      <c r="O193" s="5"/>
    </row>
    <row r="194" ht="12.75" customHeight="1">
      <c r="N194" s="5"/>
      <c r="O194" s="5"/>
    </row>
    <row r="195" ht="12.75" customHeight="1">
      <c r="N195" s="5"/>
      <c r="O195" s="5"/>
    </row>
    <row r="196" ht="12.75" customHeight="1">
      <c r="N196" s="1"/>
      <c r="O196" s="1"/>
    </row>
    <row r="197" ht="12.75" customHeight="1">
      <c r="N197" s="1"/>
      <c r="O197" s="1"/>
    </row>
    <row r="198" ht="12.75" customHeight="1">
      <c r="N198" s="1"/>
      <c r="O198" s="1"/>
    </row>
    <row r="199" ht="12.75" customHeight="1">
      <c r="N199" s="52"/>
      <c r="O199" s="52"/>
    </row>
    <row r="200" ht="12.75" customHeight="1">
      <c r="N200" s="5"/>
      <c r="O200" s="5"/>
    </row>
    <row r="201" ht="12.75" customHeight="1">
      <c r="N201" s="5"/>
      <c r="O201" s="5"/>
    </row>
    <row r="202" ht="12.75" customHeight="1">
      <c r="N202" s="5"/>
      <c r="O202" s="5"/>
    </row>
    <row r="203" ht="12.75" customHeight="1">
      <c r="N203" s="5"/>
      <c r="O203" s="5"/>
    </row>
    <row r="204" ht="12.75" customHeight="1">
      <c r="N204" s="5"/>
      <c r="O204" s="5"/>
    </row>
    <row r="205" ht="12.75" customHeight="1">
      <c r="N205" s="5"/>
      <c r="O205" s="5"/>
    </row>
    <row r="206" ht="12.75" customHeight="1">
      <c r="N206" s="5"/>
      <c r="O206" s="5"/>
    </row>
    <row r="207" ht="12.75" customHeight="1">
      <c r="N207" s="1"/>
      <c r="O207" s="1"/>
    </row>
    <row r="208" ht="12.75" customHeight="1">
      <c r="N208" s="52"/>
      <c r="O208" s="52"/>
    </row>
    <row r="209" ht="12.75" customHeight="1">
      <c r="N209" s="52"/>
      <c r="O209" s="52"/>
    </row>
    <row r="210" ht="12.75" customHeight="1">
      <c r="N210" s="52"/>
      <c r="O210" s="52"/>
    </row>
    <row r="211" ht="12.75" customHeight="1">
      <c r="N211" s="5"/>
      <c r="O211" s="5"/>
    </row>
    <row r="212" ht="12.75" customHeight="1">
      <c r="N212" s="5"/>
      <c r="O212" s="5"/>
    </row>
    <row r="213" ht="12.75" customHeight="1">
      <c r="N213" s="5"/>
      <c r="O213" s="5"/>
    </row>
    <row r="214" ht="12.75" customHeight="1">
      <c r="N214" s="5"/>
      <c r="O214" s="5"/>
    </row>
    <row r="215" ht="12.75" customHeight="1">
      <c r="N215" s="5"/>
      <c r="O215" s="5"/>
    </row>
    <row r="216" ht="12.75" customHeight="1">
      <c r="N216" s="5"/>
      <c r="O216" s="5"/>
    </row>
    <row r="217" ht="12.75" customHeight="1">
      <c r="N217" s="5"/>
      <c r="O217" s="5"/>
    </row>
    <row r="218" ht="12.75" customHeight="1">
      <c r="N218" s="1"/>
      <c r="O218" s="1"/>
    </row>
    <row r="219" ht="12.75" customHeight="1">
      <c r="N219" s="52"/>
      <c r="O219" s="52"/>
    </row>
    <row r="220" ht="12.75" customHeight="1">
      <c r="N220" s="5"/>
      <c r="O220" s="5"/>
    </row>
    <row r="221" ht="12.75" customHeight="1">
      <c r="N221" s="5"/>
      <c r="O221" s="5"/>
    </row>
    <row r="222" ht="12.75" customHeight="1">
      <c r="N222" s="5"/>
      <c r="O222" s="5"/>
    </row>
    <row r="223" ht="12.75" customHeight="1">
      <c r="N223" s="5"/>
      <c r="O223" s="5"/>
    </row>
    <row r="224" ht="12.75" customHeight="1">
      <c r="N224" s="5"/>
      <c r="O224" s="5"/>
    </row>
    <row r="225" ht="12.75" customHeight="1">
      <c r="N225" s="5"/>
      <c r="O225" s="5"/>
    </row>
    <row r="226" ht="12.75" customHeight="1">
      <c r="N226" s="5"/>
      <c r="O226" s="5"/>
    </row>
    <row r="227" ht="12.75" customHeight="1">
      <c r="N227" s="5"/>
      <c r="O227" s="5"/>
    </row>
    <row r="228" ht="12.75" customHeight="1">
      <c r="N228" s="5"/>
      <c r="O228" s="5"/>
    </row>
    <row r="229" ht="12.75" customHeight="1">
      <c r="N229" s="1"/>
      <c r="O229" s="1"/>
    </row>
    <row r="230" ht="12.75" customHeight="1">
      <c r="N230" s="52"/>
      <c r="O230" s="52"/>
    </row>
    <row r="231" ht="12.75" customHeight="1">
      <c r="N231" s="5"/>
      <c r="O231" s="5"/>
    </row>
    <row r="232" ht="12.75" customHeight="1">
      <c r="N232" s="5"/>
      <c r="O232" s="5"/>
    </row>
    <row r="233" ht="12.75" customHeight="1">
      <c r="N233" s="5"/>
      <c r="O233" s="5"/>
    </row>
    <row r="234" ht="12.75" customHeight="1">
      <c r="N234" s="5"/>
      <c r="O234" s="5"/>
    </row>
    <row r="235" ht="12.75" customHeight="1">
      <c r="N235" s="5"/>
      <c r="O235" s="5"/>
    </row>
    <row r="236" ht="12.75" customHeight="1">
      <c r="N236" s="5"/>
      <c r="O236" s="5"/>
    </row>
    <row r="237" ht="12.75" customHeight="1">
      <c r="N237" s="5"/>
      <c r="O237" s="5"/>
    </row>
    <row r="238" ht="12.75" customHeight="1">
      <c r="N238" s="5"/>
      <c r="O238" s="5"/>
    </row>
    <row r="239" ht="12.75" customHeight="1">
      <c r="N239" s="5"/>
      <c r="O239" s="5"/>
    </row>
    <row r="240" ht="12.75" customHeight="1">
      <c r="N240" s="1"/>
      <c r="O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45:L57">
    <cfRule type="containsBlanks" dxfId="1" priority="6">
      <formula>LEN(TRIM(E45))=0</formula>
    </cfRule>
  </conditionalFormatting>
  <conditionalFormatting sqref="E60:L61">
    <cfRule type="containsBlanks" dxfId="1" priority="7">
      <formula>LEN(TRIM(E60))=0</formula>
    </cfRule>
  </conditionalFormatting>
  <conditionalFormatting sqref="E34:L34">
    <cfRule type="expression" dxfId="2" priority="8">
      <formula>E30&lt;&gt;E34</formula>
    </cfRule>
  </conditionalFormatting>
  <conditionalFormatting sqref="E34:L34">
    <cfRule type="expression" dxfId="3" priority="9">
      <formula>E30=E34</formula>
    </cfRule>
  </conditionalFormatting>
  <conditionalFormatting sqref="E34:L34">
    <cfRule type="expression" dxfId="0" priority="10">
      <formula>E34&lt;&gt;E30</formula>
    </cfRule>
  </conditionalFormatting>
  <conditionalFormatting sqref="E34:L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