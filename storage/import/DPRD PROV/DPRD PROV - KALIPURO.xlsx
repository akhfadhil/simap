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\EXCEL PEMILU 2024\KALIPURO\"/>
    </mc:Choice>
  </mc:AlternateContent>
  <xr:revisionPtr revIDLastSave="0" documentId="13_ncr:1_{EAA006FD-3848-41A5-A686-C289AC78B7C6}" xr6:coauthVersionLast="47" xr6:coauthVersionMax="47" xr10:uidLastSave="{00000000-0000-0000-0000-000000000000}"/>
  <bookViews>
    <workbookView xWindow="0" yWindow="5715" windowWidth="21600" windowHeight="6577" tabRatio="853" xr2:uid="{F263E089-6C93-4E6F-AA5B-BD89F8333161}"/>
  </bookViews>
  <sheets>
    <sheet name="DPRD PROVINSI" sheetId="1" r:id="rId1"/>
    <sheet name="BULUSAN" sheetId="9" r:id="rId2"/>
    <sheet name="BULUSARI" sheetId="10" r:id="rId3"/>
    <sheet name="GOMBENGSARI" sheetId="11" r:id="rId4"/>
    <sheet name="KALIPURO" sheetId="15" r:id="rId5"/>
    <sheet name="KELIR" sheetId="16" r:id="rId6"/>
    <sheet name="KETAPANG" sheetId="17" r:id="rId7"/>
    <sheet name="KLATAK" sheetId="3" r:id="rId8"/>
    <sheet name="PESUCEN" sheetId="18" r:id="rId9"/>
    <sheet name="TELEMUNG" sheetId="1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5" i="19" l="1"/>
  <c r="F215" i="19"/>
  <c r="G215" i="19"/>
  <c r="H215" i="19"/>
  <c r="I215" i="19"/>
  <c r="J215" i="19"/>
  <c r="K215" i="19"/>
  <c r="L215" i="19"/>
  <c r="M215" i="19"/>
  <c r="N215" i="19"/>
  <c r="O215" i="19"/>
  <c r="P215" i="19"/>
  <c r="Q215" i="19"/>
  <c r="R215" i="19"/>
  <c r="S215" i="19"/>
  <c r="E209" i="19"/>
  <c r="F209" i="19"/>
  <c r="G209" i="19"/>
  <c r="H209" i="19"/>
  <c r="I209" i="19"/>
  <c r="J209" i="19"/>
  <c r="K209" i="19"/>
  <c r="L209" i="19"/>
  <c r="M209" i="19"/>
  <c r="N209" i="19"/>
  <c r="O209" i="19"/>
  <c r="P209" i="19"/>
  <c r="Q209" i="19"/>
  <c r="R209" i="19"/>
  <c r="S209" i="19"/>
  <c r="E197" i="19"/>
  <c r="F197" i="19"/>
  <c r="G197" i="19"/>
  <c r="H197" i="19"/>
  <c r="I197" i="19"/>
  <c r="J197" i="19"/>
  <c r="K197" i="19"/>
  <c r="L197" i="19"/>
  <c r="M197" i="19"/>
  <c r="N197" i="19"/>
  <c r="O197" i="19"/>
  <c r="P197" i="19"/>
  <c r="Q197" i="19"/>
  <c r="R197" i="19"/>
  <c r="S197" i="19"/>
  <c r="E190" i="19"/>
  <c r="F190" i="19"/>
  <c r="G190" i="19"/>
  <c r="H190" i="19"/>
  <c r="I190" i="19"/>
  <c r="J190" i="19"/>
  <c r="K190" i="19"/>
  <c r="L190" i="19"/>
  <c r="M190" i="19"/>
  <c r="N190" i="19"/>
  <c r="O190" i="19"/>
  <c r="P190" i="19"/>
  <c r="Q190" i="19"/>
  <c r="R190" i="19"/>
  <c r="S190" i="19"/>
  <c r="E184" i="19"/>
  <c r="F184" i="19"/>
  <c r="G184" i="19"/>
  <c r="H184" i="19"/>
  <c r="I184" i="19"/>
  <c r="J184" i="19"/>
  <c r="K184" i="19"/>
  <c r="L184" i="19"/>
  <c r="M184" i="19"/>
  <c r="N184" i="19"/>
  <c r="O184" i="19"/>
  <c r="P184" i="19"/>
  <c r="Q184" i="19"/>
  <c r="R184" i="19"/>
  <c r="S184" i="19"/>
  <c r="E172" i="19"/>
  <c r="F172" i="19"/>
  <c r="G172" i="19"/>
  <c r="H172" i="19"/>
  <c r="I172" i="19"/>
  <c r="J172" i="19"/>
  <c r="K172" i="19"/>
  <c r="L172" i="19"/>
  <c r="M172" i="19"/>
  <c r="N172" i="19"/>
  <c r="O172" i="19"/>
  <c r="P172" i="19"/>
  <c r="Q172" i="19"/>
  <c r="R172" i="19"/>
  <c r="S172" i="19"/>
  <c r="E160" i="19"/>
  <c r="F160" i="19"/>
  <c r="G160" i="19"/>
  <c r="H160" i="19"/>
  <c r="I160" i="19"/>
  <c r="J160" i="19"/>
  <c r="K160" i="19"/>
  <c r="L160" i="19"/>
  <c r="M160" i="19"/>
  <c r="N160" i="19"/>
  <c r="O160" i="19"/>
  <c r="P160" i="19"/>
  <c r="Q160" i="19"/>
  <c r="R160" i="19"/>
  <c r="S160" i="19"/>
  <c r="E148" i="19"/>
  <c r="F148" i="19"/>
  <c r="G148" i="19"/>
  <c r="H148" i="19"/>
  <c r="I148" i="19"/>
  <c r="J148" i="19"/>
  <c r="K148" i="19"/>
  <c r="L148" i="19"/>
  <c r="M148" i="19"/>
  <c r="N148" i="19"/>
  <c r="O148" i="19"/>
  <c r="P148" i="19"/>
  <c r="Q148" i="19"/>
  <c r="R148" i="19"/>
  <c r="S148" i="19"/>
  <c r="E144" i="19"/>
  <c r="F144" i="19"/>
  <c r="G144" i="19"/>
  <c r="H144" i="19"/>
  <c r="I144" i="19"/>
  <c r="J144" i="19"/>
  <c r="K144" i="19"/>
  <c r="L144" i="19"/>
  <c r="M144" i="19"/>
  <c r="N144" i="19"/>
  <c r="O144" i="19"/>
  <c r="P144" i="19"/>
  <c r="Q144" i="19"/>
  <c r="R144" i="19"/>
  <c r="S144" i="19"/>
  <c r="E134" i="19"/>
  <c r="F134" i="19"/>
  <c r="G134" i="19"/>
  <c r="H134" i="19"/>
  <c r="I134" i="19"/>
  <c r="J134" i="19"/>
  <c r="K134" i="19"/>
  <c r="L134" i="19"/>
  <c r="M134" i="19"/>
  <c r="N134" i="19"/>
  <c r="O134" i="19"/>
  <c r="P134" i="19"/>
  <c r="Q134" i="19"/>
  <c r="R134" i="19"/>
  <c r="S134" i="19"/>
  <c r="E128" i="19"/>
  <c r="F128" i="19"/>
  <c r="G128" i="19"/>
  <c r="H128" i="19"/>
  <c r="I128" i="19"/>
  <c r="J128" i="19"/>
  <c r="K128" i="19"/>
  <c r="L128" i="19"/>
  <c r="M128" i="19"/>
  <c r="N128" i="19"/>
  <c r="O128" i="19"/>
  <c r="P128" i="19"/>
  <c r="Q128" i="19"/>
  <c r="R128" i="19"/>
  <c r="S128" i="19"/>
  <c r="E116" i="19"/>
  <c r="F116" i="19"/>
  <c r="G116" i="19"/>
  <c r="H116" i="19"/>
  <c r="I116" i="19"/>
  <c r="J116" i="19"/>
  <c r="K116" i="19"/>
  <c r="L116" i="19"/>
  <c r="M116" i="19"/>
  <c r="N116" i="19"/>
  <c r="O116" i="19"/>
  <c r="P116" i="19"/>
  <c r="Q116" i="19"/>
  <c r="R116" i="19"/>
  <c r="S116" i="19"/>
  <c r="E108" i="19"/>
  <c r="F108" i="19"/>
  <c r="G108" i="19"/>
  <c r="H108" i="19"/>
  <c r="I108" i="19"/>
  <c r="J108" i="19"/>
  <c r="K108" i="19"/>
  <c r="L108" i="19"/>
  <c r="M108" i="19"/>
  <c r="N108" i="19"/>
  <c r="O108" i="19"/>
  <c r="P108" i="19"/>
  <c r="Q108" i="19"/>
  <c r="R108" i="19"/>
  <c r="S108" i="19"/>
  <c r="E103" i="19"/>
  <c r="F103" i="19"/>
  <c r="G103" i="19"/>
  <c r="H103" i="19"/>
  <c r="I103" i="19"/>
  <c r="J103" i="19"/>
  <c r="K103" i="19"/>
  <c r="L103" i="19"/>
  <c r="M103" i="19"/>
  <c r="N103" i="19"/>
  <c r="O103" i="19"/>
  <c r="P103" i="19"/>
  <c r="Q103" i="19"/>
  <c r="R103" i="19"/>
  <c r="S103" i="19"/>
  <c r="E91" i="19"/>
  <c r="F91" i="19"/>
  <c r="G91" i="19"/>
  <c r="H91" i="19"/>
  <c r="I91" i="19"/>
  <c r="J91" i="19"/>
  <c r="K91" i="19"/>
  <c r="L91" i="19"/>
  <c r="M91" i="19"/>
  <c r="N91" i="19"/>
  <c r="O91" i="19"/>
  <c r="P91" i="19"/>
  <c r="Q91" i="19"/>
  <c r="R91" i="19"/>
  <c r="S91" i="19"/>
  <c r="E79" i="19"/>
  <c r="F79" i="19"/>
  <c r="G79" i="19"/>
  <c r="H79" i="19"/>
  <c r="I79" i="19"/>
  <c r="J79" i="19"/>
  <c r="K79" i="19"/>
  <c r="L79" i="19"/>
  <c r="M79" i="19"/>
  <c r="N79" i="19"/>
  <c r="O79" i="19"/>
  <c r="P79" i="19"/>
  <c r="Q79" i="19"/>
  <c r="R79" i="19"/>
  <c r="S79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E215" i="18"/>
  <c r="F215" i="18"/>
  <c r="G215" i="18"/>
  <c r="H215" i="18"/>
  <c r="I215" i="18"/>
  <c r="J215" i="18"/>
  <c r="K215" i="18"/>
  <c r="L215" i="18"/>
  <c r="M215" i="18"/>
  <c r="N215" i="18"/>
  <c r="O215" i="18"/>
  <c r="P215" i="18"/>
  <c r="Q215" i="18"/>
  <c r="E209" i="18"/>
  <c r="F209" i="18"/>
  <c r="G209" i="18"/>
  <c r="H209" i="18"/>
  <c r="I209" i="18"/>
  <c r="J209" i="18"/>
  <c r="K209" i="18"/>
  <c r="L209" i="18"/>
  <c r="M209" i="18"/>
  <c r="N209" i="18"/>
  <c r="O209" i="18"/>
  <c r="P209" i="18"/>
  <c r="Q209" i="18"/>
  <c r="E197" i="18"/>
  <c r="F197" i="18"/>
  <c r="G197" i="18"/>
  <c r="H197" i="18"/>
  <c r="I197" i="18"/>
  <c r="J197" i="18"/>
  <c r="K197" i="18"/>
  <c r="L197" i="18"/>
  <c r="M197" i="18"/>
  <c r="N197" i="18"/>
  <c r="O197" i="18"/>
  <c r="P197" i="18"/>
  <c r="Q197" i="18"/>
  <c r="E190" i="18"/>
  <c r="F190" i="18"/>
  <c r="G190" i="18"/>
  <c r="H190" i="18"/>
  <c r="I190" i="18"/>
  <c r="J190" i="18"/>
  <c r="K190" i="18"/>
  <c r="L190" i="18"/>
  <c r="M190" i="18"/>
  <c r="N190" i="18"/>
  <c r="O190" i="18"/>
  <c r="P190" i="18"/>
  <c r="Q190" i="18"/>
  <c r="E184" i="18"/>
  <c r="F184" i="18"/>
  <c r="G184" i="18"/>
  <c r="H184" i="18"/>
  <c r="I184" i="18"/>
  <c r="J184" i="18"/>
  <c r="K184" i="18"/>
  <c r="L184" i="18"/>
  <c r="M184" i="18"/>
  <c r="N184" i="18"/>
  <c r="O184" i="18"/>
  <c r="P184" i="18"/>
  <c r="Q184" i="18"/>
  <c r="E172" i="18"/>
  <c r="F172" i="18"/>
  <c r="G172" i="18"/>
  <c r="H172" i="18"/>
  <c r="I172" i="18"/>
  <c r="J172" i="18"/>
  <c r="K172" i="18"/>
  <c r="L172" i="18"/>
  <c r="M172" i="18"/>
  <c r="N172" i="18"/>
  <c r="O172" i="18"/>
  <c r="P172" i="18"/>
  <c r="Q172" i="18"/>
  <c r="E160" i="18"/>
  <c r="F160" i="18"/>
  <c r="G160" i="18"/>
  <c r="H160" i="18"/>
  <c r="I160" i="18"/>
  <c r="J160" i="18"/>
  <c r="K160" i="18"/>
  <c r="L160" i="18"/>
  <c r="M160" i="18"/>
  <c r="N160" i="18"/>
  <c r="O160" i="18"/>
  <c r="P160" i="18"/>
  <c r="Q160" i="18"/>
  <c r="E148" i="18"/>
  <c r="F148" i="18"/>
  <c r="G148" i="18"/>
  <c r="H148" i="18"/>
  <c r="I148" i="18"/>
  <c r="J148" i="18"/>
  <c r="K148" i="18"/>
  <c r="L148" i="18"/>
  <c r="M148" i="18"/>
  <c r="N148" i="18"/>
  <c r="O148" i="18"/>
  <c r="P148" i="18"/>
  <c r="Q148" i="18"/>
  <c r="E144" i="18"/>
  <c r="F144" i="18"/>
  <c r="G144" i="18"/>
  <c r="H144" i="18"/>
  <c r="I144" i="18"/>
  <c r="J144" i="18"/>
  <c r="K144" i="18"/>
  <c r="L144" i="18"/>
  <c r="M144" i="18"/>
  <c r="N144" i="18"/>
  <c r="O144" i="18"/>
  <c r="P144" i="18"/>
  <c r="Q144" i="18"/>
  <c r="E134" i="18"/>
  <c r="F134" i="18"/>
  <c r="G134" i="18"/>
  <c r="H134" i="18"/>
  <c r="I134" i="18"/>
  <c r="J134" i="18"/>
  <c r="K134" i="18"/>
  <c r="L134" i="18"/>
  <c r="M134" i="18"/>
  <c r="N134" i="18"/>
  <c r="O134" i="18"/>
  <c r="P134" i="18"/>
  <c r="Q134" i="18"/>
  <c r="E128" i="18"/>
  <c r="F128" i="18"/>
  <c r="G128" i="18"/>
  <c r="H128" i="18"/>
  <c r="I128" i="18"/>
  <c r="J128" i="18"/>
  <c r="K128" i="18"/>
  <c r="L128" i="18"/>
  <c r="M128" i="18"/>
  <c r="N128" i="18"/>
  <c r="O128" i="18"/>
  <c r="P128" i="18"/>
  <c r="Q128" i="18"/>
  <c r="E116" i="18"/>
  <c r="F116" i="18"/>
  <c r="G116" i="18"/>
  <c r="H116" i="18"/>
  <c r="I116" i="18"/>
  <c r="J116" i="18"/>
  <c r="K116" i="18"/>
  <c r="L116" i="18"/>
  <c r="M116" i="18"/>
  <c r="N116" i="18"/>
  <c r="O116" i="18"/>
  <c r="P116" i="18"/>
  <c r="Q116" i="18"/>
  <c r="E108" i="18"/>
  <c r="F108" i="18"/>
  <c r="G108" i="18"/>
  <c r="H108" i="18"/>
  <c r="I108" i="18"/>
  <c r="J108" i="18"/>
  <c r="K108" i="18"/>
  <c r="L108" i="18"/>
  <c r="M108" i="18"/>
  <c r="N108" i="18"/>
  <c r="O108" i="18"/>
  <c r="P108" i="18"/>
  <c r="Q108" i="18"/>
  <c r="E103" i="18"/>
  <c r="F103" i="18"/>
  <c r="G103" i="18"/>
  <c r="H103" i="18"/>
  <c r="I103" i="18"/>
  <c r="J103" i="18"/>
  <c r="K103" i="18"/>
  <c r="L103" i="18"/>
  <c r="M103" i="18"/>
  <c r="N103" i="18"/>
  <c r="O103" i="18"/>
  <c r="P103" i="18"/>
  <c r="Q103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215" i="18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U172" i="3"/>
  <c r="AV162" i="3"/>
  <c r="AV163" i="3"/>
  <c r="AV164" i="3"/>
  <c r="AV165" i="3"/>
  <c r="W159" i="16"/>
  <c r="W158" i="16"/>
  <c r="W157" i="16"/>
  <c r="W156" i="16"/>
  <c r="W155" i="16"/>
  <c r="W154" i="16"/>
  <c r="W153" i="16"/>
  <c r="W152" i="16"/>
  <c r="W151" i="16"/>
  <c r="W150" i="16"/>
  <c r="W110" i="16"/>
  <c r="W112" i="16"/>
  <c r="BE102" i="17"/>
  <c r="BE101" i="17"/>
  <c r="BE100" i="17"/>
  <c r="BE99" i="17"/>
  <c r="BE98" i="17"/>
  <c r="BE97" i="17"/>
  <c r="BE96" i="17"/>
  <c r="BE95" i="17"/>
  <c r="BE94" i="17"/>
  <c r="BE93" i="17"/>
  <c r="AI103" i="17"/>
  <c r="AJ103" i="17"/>
  <c r="AK103" i="17"/>
  <c r="AL103" i="17"/>
  <c r="AM103" i="17"/>
  <c r="AN103" i="17"/>
  <c r="AO103" i="17"/>
  <c r="E209" i="9"/>
  <c r="F209" i="9"/>
  <c r="G209" i="9"/>
  <c r="H209" i="9"/>
  <c r="I209" i="9"/>
  <c r="J209" i="9"/>
  <c r="K209" i="9"/>
  <c r="L209" i="9"/>
  <c r="M209" i="9"/>
  <c r="N209" i="9"/>
  <c r="O209" i="9"/>
  <c r="P209" i="9"/>
  <c r="Q209" i="9"/>
  <c r="R209" i="9"/>
  <c r="S209" i="9"/>
  <c r="AG27" i="15"/>
  <c r="T24" i="15"/>
  <c r="U24" i="15"/>
  <c r="V24" i="15"/>
  <c r="W24" i="15"/>
  <c r="X24" i="15"/>
  <c r="Y24" i="15"/>
  <c r="Z24" i="15"/>
  <c r="AA24" i="15"/>
  <c r="AB24" i="15"/>
  <c r="AC24" i="15"/>
  <c r="AD24" i="15"/>
  <c r="AE24" i="15"/>
  <c r="AF24" i="15"/>
  <c r="AG24" i="15"/>
  <c r="AH24" i="15"/>
  <c r="T27" i="15"/>
  <c r="U27" i="15"/>
  <c r="V27" i="15"/>
  <c r="W27" i="15"/>
  <c r="X27" i="15"/>
  <c r="Y27" i="15"/>
  <c r="Z27" i="15"/>
  <c r="AA27" i="15"/>
  <c r="AB27" i="15"/>
  <c r="AC27" i="15"/>
  <c r="AD27" i="15"/>
  <c r="AE27" i="15"/>
  <c r="AF27" i="15"/>
  <c r="AH27" i="15"/>
  <c r="AC22" i="9"/>
  <c r="AC23" i="9"/>
  <c r="L41" i="19"/>
  <c r="K41" i="19"/>
  <c r="J41" i="19"/>
  <c r="I41" i="19"/>
  <c r="H41" i="19"/>
  <c r="G41" i="19"/>
  <c r="F41" i="19"/>
  <c r="L36" i="19"/>
  <c r="K36" i="19"/>
  <c r="J36" i="19"/>
  <c r="I36" i="19"/>
  <c r="H36" i="19"/>
  <c r="G36" i="19"/>
  <c r="F36" i="19"/>
  <c r="L29" i="19"/>
  <c r="K29" i="19"/>
  <c r="J29" i="19"/>
  <c r="I29" i="19"/>
  <c r="H29" i="19"/>
  <c r="G29" i="19"/>
  <c r="F29" i="19"/>
  <c r="L28" i="19"/>
  <c r="K28" i="19"/>
  <c r="J28" i="19"/>
  <c r="I28" i="19"/>
  <c r="H28" i="19"/>
  <c r="G28" i="19"/>
  <c r="F28" i="19"/>
  <c r="L27" i="19"/>
  <c r="K27" i="19"/>
  <c r="J27" i="19"/>
  <c r="I27" i="19"/>
  <c r="H27" i="19"/>
  <c r="G27" i="19"/>
  <c r="F27" i="19"/>
  <c r="L24" i="19"/>
  <c r="K24" i="19"/>
  <c r="J24" i="19"/>
  <c r="I24" i="19"/>
  <c r="H24" i="19"/>
  <c r="G24" i="19"/>
  <c r="F24" i="19"/>
  <c r="L21" i="19"/>
  <c r="K21" i="19"/>
  <c r="J21" i="19"/>
  <c r="I21" i="19"/>
  <c r="H21" i="19"/>
  <c r="G21" i="19"/>
  <c r="F21" i="19"/>
  <c r="L16" i="19"/>
  <c r="K16" i="19"/>
  <c r="J16" i="19"/>
  <c r="I16" i="19"/>
  <c r="H16" i="19"/>
  <c r="G16" i="19"/>
  <c r="F16" i="19"/>
  <c r="N41" i="18"/>
  <c r="M41" i="18"/>
  <c r="N36" i="18"/>
  <c r="M36" i="18"/>
  <c r="N29" i="18"/>
  <c r="M29" i="18"/>
  <c r="N28" i="18"/>
  <c r="M28" i="18"/>
  <c r="N27" i="18"/>
  <c r="M27" i="18"/>
  <c r="N24" i="18"/>
  <c r="M24" i="18"/>
  <c r="N21" i="18"/>
  <c r="M21" i="18"/>
  <c r="N16" i="18"/>
  <c r="M16" i="18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AW215" i="17"/>
  <c r="AV215" i="17"/>
  <c r="AU215" i="17"/>
  <c r="AT215" i="17"/>
  <c r="AS215" i="17"/>
  <c r="AR215" i="17"/>
  <c r="AW209" i="17"/>
  <c r="AV209" i="17"/>
  <c r="AU209" i="17"/>
  <c r="AT209" i="17"/>
  <c r="AS209" i="17"/>
  <c r="AR209" i="17"/>
  <c r="AW197" i="17"/>
  <c r="AV197" i="17"/>
  <c r="AU197" i="17"/>
  <c r="AT197" i="17"/>
  <c r="AS197" i="17"/>
  <c r="AR197" i="17"/>
  <c r="AW190" i="17"/>
  <c r="AV190" i="17"/>
  <c r="AU190" i="17"/>
  <c r="AT190" i="17"/>
  <c r="AS190" i="17"/>
  <c r="AR190" i="17"/>
  <c r="AW184" i="17"/>
  <c r="AV184" i="17"/>
  <c r="AU184" i="17"/>
  <c r="AT184" i="17"/>
  <c r="AS184" i="17"/>
  <c r="AR184" i="17"/>
  <c r="AW172" i="17"/>
  <c r="AV172" i="17"/>
  <c r="AU172" i="17"/>
  <c r="AT172" i="17"/>
  <c r="AS172" i="17"/>
  <c r="AR172" i="17"/>
  <c r="AW160" i="17"/>
  <c r="AV160" i="17"/>
  <c r="AU160" i="17"/>
  <c r="AT160" i="17"/>
  <c r="AS160" i="17"/>
  <c r="AR160" i="17"/>
  <c r="AW148" i="17"/>
  <c r="AV148" i="17"/>
  <c r="AU148" i="17"/>
  <c r="AT148" i="17"/>
  <c r="AS148" i="17"/>
  <c r="AR148" i="17"/>
  <c r="AW144" i="17"/>
  <c r="AV144" i="17"/>
  <c r="AU144" i="17"/>
  <c r="AT144" i="17"/>
  <c r="AS144" i="17"/>
  <c r="AR144" i="17"/>
  <c r="AW134" i="17"/>
  <c r="AV134" i="17"/>
  <c r="AU134" i="17"/>
  <c r="AT134" i="17"/>
  <c r="AS134" i="17"/>
  <c r="AR134" i="17"/>
  <c r="AW128" i="17"/>
  <c r="AV128" i="17"/>
  <c r="AU128" i="17"/>
  <c r="AT128" i="17"/>
  <c r="AS128" i="17"/>
  <c r="AR128" i="17"/>
  <c r="AW116" i="17"/>
  <c r="AV116" i="17"/>
  <c r="AU116" i="17"/>
  <c r="AT116" i="17"/>
  <c r="AS116" i="17"/>
  <c r="AR116" i="17"/>
  <c r="AW108" i="17"/>
  <c r="AV108" i="17"/>
  <c r="AU108" i="17"/>
  <c r="AT108" i="17"/>
  <c r="AS108" i="17"/>
  <c r="AR108" i="17"/>
  <c r="AW103" i="17"/>
  <c r="AV103" i="17"/>
  <c r="AU103" i="17"/>
  <c r="AT103" i="17"/>
  <c r="AS103" i="17"/>
  <c r="AR103" i="17"/>
  <c r="AW91" i="17"/>
  <c r="AV91" i="17"/>
  <c r="AU91" i="17"/>
  <c r="AT91" i="17"/>
  <c r="AS91" i="17"/>
  <c r="AR91" i="17"/>
  <c r="AW79" i="17"/>
  <c r="AV79" i="17"/>
  <c r="AU79" i="17"/>
  <c r="AT79" i="17"/>
  <c r="AS79" i="17"/>
  <c r="AR79" i="17"/>
  <c r="AW67" i="17"/>
  <c r="AV67" i="17"/>
  <c r="AU67" i="17"/>
  <c r="AT67" i="17"/>
  <c r="AS67" i="17"/>
  <c r="AR67" i="17"/>
  <c r="AW55" i="17"/>
  <c r="AV55" i="17"/>
  <c r="AU55" i="17"/>
  <c r="AT55" i="17"/>
  <c r="AS55" i="17"/>
  <c r="AR55" i="17"/>
  <c r="AW41" i="17"/>
  <c r="AV41" i="17"/>
  <c r="AU41" i="17"/>
  <c r="AT41" i="17"/>
  <c r="AS41" i="17"/>
  <c r="AR41" i="17"/>
  <c r="AW36" i="17"/>
  <c r="AV36" i="17"/>
  <c r="AU36" i="17"/>
  <c r="AT36" i="17"/>
  <c r="AS36" i="17"/>
  <c r="AR36" i="17"/>
  <c r="AW29" i="17"/>
  <c r="AV29" i="17"/>
  <c r="AU29" i="17"/>
  <c r="AT29" i="17"/>
  <c r="AS29" i="17"/>
  <c r="AR29" i="17"/>
  <c r="AW28" i="17"/>
  <c r="AV28" i="17"/>
  <c r="AV30" i="17" s="1"/>
  <c r="AU28" i="17"/>
  <c r="AT28" i="17"/>
  <c r="AS28" i="17"/>
  <c r="AR28" i="17"/>
  <c r="AW27" i="17"/>
  <c r="AV27" i="17"/>
  <c r="AU27" i="17"/>
  <c r="AT27" i="17"/>
  <c r="AS27" i="17"/>
  <c r="AR27" i="17"/>
  <c r="AW24" i="17"/>
  <c r="AV24" i="17"/>
  <c r="AU24" i="17"/>
  <c r="AT24" i="17"/>
  <c r="AS24" i="17"/>
  <c r="AR24" i="17"/>
  <c r="AW21" i="17"/>
  <c r="AV21" i="17"/>
  <c r="AU21" i="17"/>
  <c r="AT21" i="17"/>
  <c r="AS21" i="17"/>
  <c r="AR21" i="17"/>
  <c r="AW16" i="17"/>
  <c r="AV16" i="17"/>
  <c r="AU16" i="17"/>
  <c r="AT16" i="17"/>
  <c r="AS16" i="17"/>
  <c r="AR16" i="17"/>
  <c r="AA215" i="17"/>
  <c r="Z215" i="17"/>
  <c r="Y215" i="17"/>
  <c r="X215" i="17"/>
  <c r="W215" i="17"/>
  <c r="V215" i="17"/>
  <c r="U215" i="17"/>
  <c r="T215" i="17"/>
  <c r="S215" i="17"/>
  <c r="R215" i="17"/>
  <c r="Q215" i="17"/>
  <c r="P215" i="17"/>
  <c r="O215" i="17"/>
  <c r="N215" i="17"/>
  <c r="M215" i="17"/>
  <c r="L215" i="17"/>
  <c r="K215" i="17"/>
  <c r="J215" i="17"/>
  <c r="I215" i="17"/>
  <c r="H215" i="17"/>
  <c r="G215" i="17"/>
  <c r="F215" i="17"/>
  <c r="AA209" i="17"/>
  <c r="Z209" i="17"/>
  <c r="Y209" i="17"/>
  <c r="X209" i="17"/>
  <c r="W209" i="17"/>
  <c r="V209" i="17"/>
  <c r="U209" i="17"/>
  <c r="T209" i="17"/>
  <c r="S209" i="17"/>
  <c r="R209" i="17"/>
  <c r="Q209" i="17"/>
  <c r="P209" i="17"/>
  <c r="O209" i="17"/>
  <c r="N209" i="17"/>
  <c r="M209" i="17"/>
  <c r="L209" i="17"/>
  <c r="K209" i="17"/>
  <c r="J209" i="17"/>
  <c r="I209" i="17"/>
  <c r="H209" i="17"/>
  <c r="G209" i="17"/>
  <c r="F209" i="17"/>
  <c r="AA197" i="17"/>
  <c r="Z197" i="17"/>
  <c r="Y197" i="17"/>
  <c r="X197" i="17"/>
  <c r="W197" i="17"/>
  <c r="V197" i="17"/>
  <c r="U197" i="17"/>
  <c r="T197" i="17"/>
  <c r="S197" i="17"/>
  <c r="R197" i="17"/>
  <c r="Q197" i="17"/>
  <c r="P197" i="17"/>
  <c r="O197" i="17"/>
  <c r="N197" i="17"/>
  <c r="M197" i="17"/>
  <c r="L197" i="17"/>
  <c r="K197" i="17"/>
  <c r="J197" i="17"/>
  <c r="I197" i="17"/>
  <c r="H197" i="17"/>
  <c r="G197" i="17"/>
  <c r="F197" i="17"/>
  <c r="AA190" i="17"/>
  <c r="Z190" i="17"/>
  <c r="Y190" i="17"/>
  <c r="X190" i="17"/>
  <c r="W190" i="17"/>
  <c r="V190" i="17"/>
  <c r="U190" i="17"/>
  <c r="T190" i="17"/>
  <c r="S190" i="17"/>
  <c r="R190" i="17"/>
  <c r="Q190" i="17"/>
  <c r="P190" i="17"/>
  <c r="O190" i="17"/>
  <c r="N190" i="17"/>
  <c r="M190" i="17"/>
  <c r="L190" i="17"/>
  <c r="K190" i="17"/>
  <c r="J190" i="17"/>
  <c r="I190" i="17"/>
  <c r="H190" i="17"/>
  <c r="G190" i="17"/>
  <c r="F190" i="17"/>
  <c r="AA184" i="17"/>
  <c r="Z184" i="17"/>
  <c r="Y184" i="17"/>
  <c r="X184" i="17"/>
  <c r="W184" i="17"/>
  <c r="V184" i="17"/>
  <c r="U184" i="17"/>
  <c r="T184" i="17"/>
  <c r="S184" i="17"/>
  <c r="R184" i="17"/>
  <c r="Q184" i="17"/>
  <c r="P184" i="17"/>
  <c r="O184" i="17"/>
  <c r="N184" i="17"/>
  <c r="M184" i="17"/>
  <c r="L184" i="17"/>
  <c r="K184" i="17"/>
  <c r="J184" i="17"/>
  <c r="I184" i="17"/>
  <c r="H184" i="17"/>
  <c r="G184" i="17"/>
  <c r="F184" i="17"/>
  <c r="AA172" i="17"/>
  <c r="Z172" i="17"/>
  <c r="Y172" i="17"/>
  <c r="X172" i="17"/>
  <c r="W172" i="17"/>
  <c r="V172" i="17"/>
  <c r="U172" i="17"/>
  <c r="T172" i="17"/>
  <c r="S172" i="17"/>
  <c r="R172" i="17"/>
  <c r="Q172" i="17"/>
  <c r="P172" i="17"/>
  <c r="O172" i="17"/>
  <c r="N172" i="17"/>
  <c r="M172" i="17"/>
  <c r="L172" i="17"/>
  <c r="K172" i="17"/>
  <c r="J172" i="17"/>
  <c r="I172" i="17"/>
  <c r="H172" i="17"/>
  <c r="G172" i="17"/>
  <c r="F172" i="17"/>
  <c r="AA160" i="17"/>
  <c r="Z160" i="17"/>
  <c r="Y160" i="17"/>
  <c r="X160" i="17"/>
  <c r="W160" i="17"/>
  <c r="V160" i="17"/>
  <c r="U160" i="17"/>
  <c r="T160" i="17"/>
  <c r="S160" i="17"/>
  <c r="R160" i="17"/>
  <c r="Q160" i="17"/>
  <c r="P160" i="17"/>
  <c r="O160" i="17"/>
  <c r="N160" i="17"/>
  <c r="M160" i="17"/>
  <c r="L160" i="17"/>
  <c r="K160" i="17"/>
  <c r="J160" i="17"/>
  <c r="I160" i="17"/>
  <c r="H160" i="17"/>
  <c r="G160" i="17"/>
  <c r="F160" i="17"/>
  <c r="AA148" i="17"/>
  <c r="Z148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AA134" i="17"/>
  <c r="Z134" i="17"/>
  <c r="Y134" i="17"/>
  <c r="X134" i="17"/>
  <c r="W134" i="17"/>
  <c r="V134" i="17"/>
  <c r="U134" i="17"/>
  <c r="T134" i="17"/>
  <c r="S134" i="17"/>
  <c r="R134" i="17"/>
  <c r="Q134" i="17"/>
  <c r="P134" i="17"/>
  <c r="O134" i="17"/>
  <c r="N134" i="17"/>
  <c r="M134" i="17"/>
  <c r="L134" i="17"/>
  <c r="K134" i="17"/>
  <c r="J134" i="17"/>
  <c r="I134" i="17"/>
  <c r="H134" i="17"/>
  <c r="G134" i="17"/>
  <c r="F134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AA67" i="17"/>
  <c r="Z67" i="17"/>
  <c r="Y67" i="17"/>
  <c r="X67" i="17"/>
  <c r="W67" i="17"/>
  <c r="V67" i="17"/>
  <c r="U67" i="17"/>
  <c r="U218" i="17" s="1"/>
  <c r="U220" i="17" s="1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AA36" i="17"/>
  <c r="Z36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AA28" i="17"/>
  <c r="Z28" i="17"/>
  <c r="Z30" i="17" s="1"/>
  <c r="Y28" i="17"/>
  <c r="X28" i="17"/>
  <c r="X30" i="17" s="1"/>
  <c r="W28" i="17"/>
  <c r="W30" i="17" s="1"/>
  <c r="V28" i="17"/>
  <c r="U28" i="17"/>
  <c r="U30" i="17" s="1"/>
  <c r="T28" i="17"/>
  <c r="T30" i="17" s="1"/>
  <c r="S28" i="17"/>
  <c r="S30" i="17" s="1"/>
  <c r="R28" i="17"/>
  <c r="Q28" i="17"/>
  <c r="Q30" i="17" s="1"/>
  <c r="P28" i="17"/>
  <c r="O28" i="17"/>
  <c r="N28" i="17"/>
  <c r="N30" i="17" s="1"/>
  <c r="M28" i="17"/>
  <c r="L28" i="17"/>
  <c r="K28" i="17"/>
  <c r="J28" i="17"/>
  <c r="I28" i="17"/>
  <c r="H28" i="17"/>
  <c r="G28" i="17"/>
  <c r="G30" i="17" s="1"/>
  <c r="F28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AL215" i="17"/>
  <c r="AK215" i="17"/>
  <c r="AJ215" i="17"/>
  <c r="AI215" i="17"/>
  <c r="AH215" i="17"/>
  <c r="AG215" i="17"/>
  <c r="AF215" i="17"/>
  <c r="AE215" i="17"/>
  <c r="AD215" i="17"/>
  <c r="AC215" i="17"/>
  <c r="AB215" i="17"/>
  <c r="AL209" i="17"/>
  <c r="AK209" i="17"/>
  <c r="AJ209" i="17"/>
  <c r="AI209" i="17"/>
  <c r="AH209" i="17"/>
  <c r="AG209" i="17"/>
  <c r="AF209" i="17"/>
  <c r="AE209" i="17"/>
  <c r="AD209" i="17"/>
  <c r="AC209" i="17"/>
  <c r="AB209" i="17"/>
  <c r="AL197" i="17"/>
  <c r="AK197" i="17"/>
  <c r="AJ197" i="17"/>
  <c r="AI197" i="17"/>
  <c r="AH197" i="17"/>
  <c r="AG197" i="17"/>
  <c r="AF197" i="17"/>
  <c r="AE197" i="17"/>
  <c r="AD197" i="17"/>
  <c r="AC197" i="17"/>
  <c r="AB197" i="17"/>
  <c r="AL190" i="17"/>
  <c r="AK190" i="17"/>
  <c r="AJ190" i="17"/>
  <c r="AI190" i="17"/>
  <c r="AH190" i="17"/>
  <c r="AG190" i="17"/>
  <c r="AF190" i="17"/>
  <c r="AE190" i="17"/>
  <c r="AD190" i="17"/>
  <c r="AC190" i="17"/>
  <c r="AB190" i="17"/>
  <c r="AL184" i="17"/>
  <c r="AK184" i="17"/>
  <c r="AJ184" i="17"/>
  <c r="AI184" i="17"/>
  <c r="AH184" i="17"/>
  <c r="AG184" i="17"/>
  <c r="AF184" i="17"/>
  <c r="AE184" i="17"/>
  <c r="AD184" i="17"/>
  <c r="AC184" i="17"/>
  <c r="AB184" i="17"/>
  <c r="AL172" i="17"/>
  <c r="AK172" i="17"/>
  <c r="AJ172" i="17"/>
  <c r="AI172" i="17"/>
  <c r="AH172" i="17"/>
  <c r="AG172" i="17"/>
  <c r="AF172" i="17"/>
  <c r="AE172" i="17"/>
  <c r="AD172" i="17"/>
  <c r="AC172" i="17"/>
  <c r="AB172" i="17"/>
  <c r="AL160" i="17"/>
  <c r="AK160" i="17"/>
  <c r="AJ160" i="17"/>
  <c r="AI160" i="17"/>
  <c r="AH160" i="17"/>
  <c r="AG160" i="17"/>
  <c r="AF160" i="17"/>
  <c r="AE160" i="17"/>
  <c r="AD160" i="17"/>
  <c r="AC160" i="17"/>
  <c r="AB160" i="17"/>
  <c r="AL148" i="17"/>
  <c r="AK148" i="17"/>
  <c r="AJ148" i="17"/>
  <c r="AI148" i="17"/>
  <c r="AH148" i="17"/>
  <c r="AG148" i="17"/>
  <c r="AF148" i="17"/>
  <c r="AE148" i="17"/>
  <c r="AD148" i="17"/>
  <c r="AC148" i="17"/>
  <c r="AB148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L134" i="17"/>
  <c r="AK134" i="17"/>
  <c r="AJ134" i="17"/>
  <c r="AI134" i="17"/>
  <c r="AH134" i="17"/>
  <c r="AG134" i="17"/>
  <c r="AF134" i="17"/>
  <c r="AE134" i="17"/>
  <c r="AD134" i="17"/>
  <c r="AC134" i="17"/>
  <c r="AB134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H103" i="17"/>
  <c r="AG103" i="17"/>
  <c r="AF103" i="17"/>
  <c r="AE103" i="17"/>
  <c r="AD103" i="17"/>
  <c r="AC103" i="17"/>
  <c r="AB103" i="17"/>
  <c r="AL91" i="17"/>
  <c r="AK91" i="17"/>
  <c r="AJ91" i="17"/>
  <c r="AI91" i="17"/>
  <c r="AH91" i="17"/>
  <c r="AG91" i="17"/>
  <c r="AF91" i="17"/>
  <c r="AE91" i="17"/>
  <c r="AD91" i="17"/>
  <c r="AC91" i="17"/>
  <c r="AB91" i="17"/>
  <c r="AL79" i="17"/>
  <c r="AK79" i="17"/>
  <c r="AJ79" i="17"/>
  <c r="AI79" i="17"/>
  <c r="AH79" i="17"/>
  <c r="AG79" i="17"/>
  <c r="AF79" i="17"/>
  <c r="AE79" i="17"/>
  <c r="AD79" i="17"/>
  <c r="AC79" i="17"/>
  <c r="AB79" i="17"/>
  <c r="AL67" i="17"/>
  <c r="AK67" i="17"/>
  <c r="AJ67" i="17"/>
  <c r="AI67" i="17"/>
  <c r="AH67" i="17"/>
  <c r="AG67" i="17"/>
  <c r="AF67" i="17"/>
  <c r="AE67" i="17"/>
  <c r="AD67" i="17"/>
  <c r="AC67" i="17"/>
  <c r="AB67" i="17"/>
  <c r="AL55" i="17"/>
  <c r="AK55" i="17"/>
  <c r="AJ55" i="17"/>
  <c r="AI55" i="17"/>
  <c r="AH55" i="17"/>
  <c r="AG55" i="17"/>
  <c r="AF55" i="17"/>
  <c r="AE55" i="17"/>
  <c r="AD55" i="17"/>
  <c r="AC55" i="17"/>
  <c r="AB55" i="17"/>
  <c r="AL41" i="17"/>
  <c r="AK41" i="17"/>
  <c r="AJ41" i="17"/>
  <c r="AI41" i="17"/>
  <c r="AH41" i="17"/>
  <c r="AG41" i="17"/>
  <c r="AF41" i="17"/>
  <c r="AE41" i="17"/>
  <c r="AD41" i="17"/>
  <c r="AC41" i="17"/>
  <c r="AB41" i="17"/>
  <c r="AL36" i="17"/>
  <c r="AK36" i="17"/>
  <c r="AJ36" i="17"/>
  <c r="AI36" i="17"/>
  <c r="AH36" i="17"/>
  <c r="AG36" i="17"/>
  <c r="AF36" i="17"/>
  <c r="AE36" i="17"/>
  <c r="AD36" i="17"/>
  <c r="AC36" i="17"/>
  <c r="AB36" i="17"/>
  <c r="AL29" i="17"/>
  <c r="AK29" i="17"/>
  <c r="AJ29" i="17"/>
  <c r="AI29" i="17"/>
  <c r="AH29" i="17"/>
  <c r="AG29" i="17"/>
  <c r="AF29" i="17"/>
  <c r="AE29" i="17"/>
  <c r="AD29" i="17"/>
  <c r="AC29" i="17"/>
  <c r="AB29" i="17"/>
  <c r="AL28" i="17"/>
  <c r="AK28" i="17"/>
  <c r="AJ28" i="17"/>
  <c r="AI28" i="17"/>
  <c r="AI30" i="17" s="1"/>
  <c r="AH28" i="17"/>
  <c r="AG28" i="17"/>
  <c r="AF28" i="17"/>
  <c r="AE28" i="17"/>
  <c r="AD28" i="17"/>
  <c r="AC28" i="17"/>
  <c r="AB28" i="17"/>
  <c r="AL27" i="17"/>
  <c r="AK27" i="17"/>
  <c r="AJ27" i="17"/>
  <c r="AI27" i="17"/>
  <c r="AH27" i="17"/>
  <c r="AG27" i="17"/>
  <c r="AF27" i="17"/>
  <c r="AE27" i="17"/>
  <c r="AD27" i="17"/>
  <c r="AC27" i="17"/>
  <c r="AB27" i="17"/>
  <c r="AL24" i="17"/>
  <c r="AK24" i="17"/>
  <c r="AJ24" i="17"/>
  <c r="AI24" i="17"/>
  <c r="AH24" i="17"/>
  <c r="AG24" i="17"/>
  <c r="AF24" i="17"/>
  <c r="AE24" i="17"/>
  <c r="AD24" i="17"/>
  <c r="AC24" i="17"/>
  <c r="AB24" i="17"/>
  <c r="AL21" i="17"/>
  <c r="AK21" i="17"/>
  <c r="AJ21" i="17"/>
  <c r="AI21" i="17"/>
  <c r="AH21" i="17"/>
  <c r="AG21" i="17"/>
  <c r="AF21" i="17"/>
  <c r="AE21" i="17"/>
  <c r="AD21" i="17"/>
  <c r="AC21" i="17"/>
  <c r="AB21" i="17"/>
  <c r="AL16" i="17"/>
  <c r="AK16" i="17"/>
  <c r="AJ16" i="17"/>
  <c r="AI16" i="17"/>
  <c r="AH16" i="17"/>
  <c r="AG16" i="17"/>
  <c r="AF16" i="17"/>
  <c r="AE16" i="17"/>
  <c r="AD16" i="17"/>
  <c r="AC16" i="17"/>
  <c r="AB16" i="17"/>
  <c r="AK215" i="15"/>
  <c r="AJ215" i="15"/>
  <c r="AI215" i="15"/>
  <c r="AH215" i="15"/>
  <c r="AG215" i="15"/>
  <c r="AK209" i="15"/>
  <c r="AJ209" i="15"/>
  <c r="AI209" i="15"/>
  <c r="AH209" i="15"/>
  <c r="AG209" i="15"/>
  <c r="AK197" i="15"/>
  <c r="AJ197" i="15"/>
  <c r="AI197" i="15"/>
  <c r="AH197" i="15"/>
  <c r="AG197" i="15"/>
  <c r="AK190" i="15"/>
  <c r="AJ190" i="15"/>
  <c r="AI190" i="15"/>
  <c r="AH190" i="15"/>
  <c r="AG190" i="15"/>
  <c r="AK184" i="15"/>
  <c r="AJ184" i="15"/>
  <c r="AI184" i="15"/>
  <c r="AH184" i="15"/>
  <c r="AG184" i="15"/>
  <c r="AK172" i="15"/>
  <c r="AJ172" i="15"/>
  <c r="AI172" i="15"/>
  <c r="AH172" i="15"/>
  <c r="AG172" i="15"/>
  <c r="AK160" i="15"/>
  <c r="AJ160" i="15"/>
  <c r="AI160" i="15"/>
  <c r="AH160" i="15"/>
  <c r="AG160" i="15"/>
  <c r="AK148" i="15"/>
  <c r="AJ148" i="15"/>
  <c r="AI148" i="15"/>
  <c r="AH148" i="15"/>
  <c r="AG148" i="15"/>
  <c r="AK144" i="15"/>
  <c r="AJ144" i="15"/>
  <c r="AI144" i="15"/>
  <c r="AH144" i="15"/>
  <c r="AG144" i="15"/>
  <c r="AK134" i="15"/>
  <c r="AJ134" i="15"/>
  <c r="AI134" i="15"/>
  <c r="AH134" i="15"/>
  <c r="AG134" i="15"/>
  <c r="AK128" i="15"/>
  <c r="AJ128" i="15"/>
  <c r="AI128" i="15"/>
  <c r="AH128" i="15"/>
  <c r="AG128" i="15"/>
  <c r="AK116" i="15"/>
  <c r="AJ116" i="15"/>
  <c r="AI116" i="15"/>
  <c r="AH116" i="15"/>
  <c r="AG116" i="15"/>
  <c r="AK108" i="15"/>
  <c r="AJ108" i="15"/>
  <c r="AI108" i="15"/>
  <c r="AH108" i="15"/>
  <c r="AG108" i="15"/>
  <c r="AK103" i="15"/>
  <c r="AJ103" i="15"/>
  <c r="AI103" i="15"/>
  <c r="AH103" i="15"/>
  <c r="AG103" i="15"/>
  <c r="AK91" i="15"/>
  <c r="AJ91" i="15"/>
  <c r="AI91" i="15"/>
  <c r="AH91" i="15"/>
  <c r="AG91" i="15"/>
  <c r="AK79" i="15"/>
  <c r="AJ79" i="15"/>
  <c r="AI79" i="15"/>
  <c r="AH79" i="15"/>
  <c r="AG79" i="15"/>
  <c r="AK67" i="15"/>
  <c r="AJ67" i="15"/>
  <c r="AI67" i="15"/>
  <c r="AH67" i="15"/>
  <c r="AG67" i="15"/>
  <c r="AK55" i="15"/>
  <c r="AJ55" i="15"/>
  <c r="AI55" i="15"/>
  <c r="AH55" i="15"/>
  <c r="AG55" i="15"/>
  <c r="AK41" i="15"/>
  <c r="AJ41" i="15"/>
  <c r="AI41" i="15"/>
  <c r="AH41" i="15"/>
  <c r="AG41" i="15"/>
  <c r="AK36" i="15"/>
  <c r="AJ36" i="15"/>
  <c r="AI36" i="15"/>
  <c r="AH36" i="15"/>
  <c r="AG36" i="15"/>
  <c r="AK29" i="15"/>
  <c r="AJ29" i="15"/>
  <c r="AI29" i="15"/>
  <c r="AH29" i="15"/>
  <c r="AG29" i="15"/>
  <c r="AK28" i="15"/>
  <c r="AJ28" i="15"/>
  <c r="AI28" i="15"/>
  <c r="AH28" i="15"/>
  <c r="AG28" i="15"/>
  <c r="AG30" i="15" s="1"/>
  <c r="AK27" i="15"/>
  <c r="AJ27" i="15"/>
  <c r="AI27" i="15"/>
  <c r="AK24" i="15"/>
  <c r="AJ24" i="15"/>
  <c r="AI24" i="15"/>
  <c r="AK21" i="15"/>
  <c r="AJ21" i="15"/>
  <c r="AI21" i="15"/>
  <c r="AH21" i="15"/>
  <c r="AG21" i="15"/>
  <c r="AK16" i="15"/>
  <c r="AJ16" i="15"/>
  <c r="AI16" i="15"/>
  <c r="AH16" i="15"/>
  <c r="AG16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U209" i="15"/>
  <c r="T209" i="15"/>
  <c r="S209" i="15"/>
  <c r="R209" i="15"/>
  <c r="Q209" i="15"/>
  <c r="P209" i="15"/>
  <c r="O209" i="15"/>
  <c r="N209" i="15"/>
  <c r="M209" i="15"/>
  <c r="L209" i="15"/>
  <c r="K209" i="15"/>
  <c r="J209" i="15"/>
  <c r="I209" i="15"/>
  <c r="H209" i="15"/>
  <c r="G209" i="15"/>
  <c r="F209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F30" i="15" s="1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X218" i="17" l="1"/>
  <c r="X220" i="17" s="1"/>
  <c r="W218" i="17"/>
  <c r="W220" i="17" s="1"/>
  <c r="R218" i="17"/>
  <c r="R220" i="17" s="1"/>
  <c r="T218" i="17"/>
  <c r="T220" i="17" s="1"/>
  <c r="Q218" i="17"/>
  <c r="Q220" i="17" s="1"/>
  <c r="AB218" i="17"/>
  <c r="AB220" i="17" s="1"/>
  <c r="J30" i="19"/>
  <c r="K30" i="19"/>
  <c r="L30" i="19"/>
  <c r="AC30" i="3"/>
  <c r="N30" i="3"/>
  <c r="V30" i="17"/>
  <c r="AW30" i="17"/>
  <c r="AB30" i="17"/>
  <c r="AE30" i="17"/>
  <c r="AR30" i="17"/>
  <c r="AS30" i="17"/>
  <c r="AG30" i="17"/>
  <c r="R30" i="17"/>
  <c r="AC30" i="17"/>
  <c r="AH30" i="17"/>
  <c r="AJ30" i="15"/>
  <c r="AI30" i="15"/>
  <c r="AK30" i="15"/>
  <c r="AH30" i="15"/>
  <c r="P218" i="17"/>
  <c r="P220" i="17" s="1"/>
  <c r="AU30" i="17"/>
  <c r="Z218" i="17"/>
  <c r="Z220" i="17" s="1"/>
  <c r="F30" i="17"/>
  <c r="AG218" i="17"/>
  <c r="AG220" i="17" s="1"/>
  <c r="AA218" i="17"/>
  <c r="AA220" i="17" s="1"/>
  <c r="Y30" i="17"/>
  <c r="I30" i="17"/>
  <c r="F218" i="17"/>
  <c r="F220" i="17" s="1"/>
  <c r="H30" i="17"/>
  <c r="AE218" i="17"/>
  <c r="AE220" i="17" s="1"/>
  <c r="AI218" i="17"/>
  <c r="AI220" i="17" s="1"/>
  <c r="Y218" i="17"/>
  <c r="Y220" i="17" s="1"/>
  <c r="H218" i="17"/>
  <c r="H220" i="17" s="1"/>
  <c r="G218" i="17"/>
  <c r="G220" i="17" s="1"/>
  <c r="L30" i="17"/>
  <c r="AH218" i="17"/>
  <c r="AH220" i="17" s="1"/>
  <c r="AT30" i="17"/>
  <c r="O218" i="17"/>
  <c r="O220" i="17" s="1"/>
  <c r="G30" i="15"/>
  <c r="P30" i="17"/>
  <c r="V218" i="17"/>
  <c r="V220" i="17" s="1"/>
  <c r="AG218" i="15"/>
  <c r="AG220" i="15" s="1"/>
  <c r="H30" i="15"/>
  <c r="F30" i="3"/>
  <c r="AH218" i="15"/>
  <c r="AH220" i="15" s="1"/>
  <c r="AS218" i="17"/>
  <c r="AS220" i="17" s="1"/>
  <c r="AK218" i="15"/>
  <c r="AK220" i="15" s="1"/>
  <c r="N218" i="18"/>
  <c r="N220" i="18" s="1"/>
  <c r="I30" i="15"/>
  <c r="J30" i="17"/>
  <c r="J30" i="15"/>
  <c r="K30" i="15"/>
  <c r="AR218" i="17"/>
  <c r="AR220" i="17" s="1"/>
  <c r="F218" i="19"/>
  <c r="F220" i="19" s="1"/>
  <c r="AJ30" i="17"/>
  <c r="N218" i="17"/>
  <c r="N220" i="17" s="1"/>
  <c r="H30" i="3"/>
  <c r="G30" i="19"/>
  <c r="N30" i="15"/>
  <c r="AK30" i="17"/>
  <c r="AU218" i="17"/>
  <c r="AU220" i="17" s="1"/>
  <c r="I30" i="3"/>
  <c r="AI218" i="15"/>
  <c r="AI220" i="15" s="1"/>
  <c r="AL30" i="17"/>
  <c r="AL218" i="17"/>
  <c r="AL220" i="17" s="1"/>
  <c r="AV218" i="17"/>
  <c r="AV220" i="17" s="1"/>
  <c r="P30" i="15"/>
  <c r="K30" i="3"/>
  <c r="L30" i="3"/>
  <c r="U30" i="15"/>
  <c r="AJ218" i="15"/>
  <c r="AJ220" i="15" s="1"/>
  <c r="AT218" i="17"/>
  <c r="AT220" i="17" s="1"/>
  <c r="M30" i="18"/>
  <c r="AW218" i="17"/>
  <c r="AW220" i="17" s="1"/>
  <c r="N30" i="18"/>
  <c r="AA30" i="17"/>
  <c r="M218" i="18"/>
  <c r="M220" i="18" s="1"/>
  <c r="M30" i="3"/>
  <c r="O30" i="3"/>
  <c r="H218" i="15"/>
  <c r="H220" i="15" s="1"/>
  <c r="T218" i="15"/>
  <c r="T220" i="15" s="1"/>
  <c r="R30" i="3"/>
  <c r="I218" i="19"/>
  <c r="I220" i="19" s="1"/>
  <c r="H30" i="19"/>
  <c r="I30" i="19"/>
  <c r="J218" i="19"/>
  <c r="J220" i="19" s="1"/>
  <c r="K218" i="19"/>
  <c r="K220" i="19" s="1"/>
  <c r="L218" i="19"/>
  <c r="L220" i="19" s="1"/>
  <c r="G218" i="19"/>
  <c r="G220" i="19" s="1"/>
  <c r="F30" i="19"/>
  <c r="H218" i="19"/>
  <c r="H220" i="19" s="1"/>
  <c r="V218" i="3"/>
  <c r="V220" i="3" s="1"/>
  <c r="J30" i="3"/>
  <c r="T30" i="3"/>
  <c r="P30" i="3"/>
  <c r="Q30" i="3"/>
  <c r="S218" i="3"/>
  <c r="S220" i="3" s="1"/>
  <c r="O218" i="3"/>
  <c r="O220" i="3" s="1"/>
  <c r="F218" i="3"/>
  <c r="F220" i="3" s="1"/>
  <c r="S30" i="3"/>
  <c r="Q218" i="3"/>
  <c r="Q220" i="3" s="1"/>
  <c r="G218" i="3"/>
  <c r="G220" i="3" s="1"/>
  <c r="L218" i="3"/>
  <c r="L220" i="3" s="1"/>
  <c r="P218" i="3"/>
  <c r="P220" i="3" s="1"/>
  <c r="H218" i="3"/>
  <c r="H220" i="3" s="1"/>
  <c r="R218" i="3"/>
  <c r="R220" i="3" s="1"/>
  <c r="AB30" i="3"/>
  <c r="J218" i="3"/>
  <c r="J220" i="3" s="1"/>
  <c r="AE30" i="3"/>
  <c r="M218" i="3"/>
  <c r="M220" i="3" s="1"/>
  <c r="AF30" i="3"/>
  <c r="N218" i="3"/>
  <c r="N220" i="3" s="1"/>
  <c r="I218" i="3"/>
  <c r="I220" i="3" s="1"/>
  <c r="K218" i="3"/>
  <c r="K220" i="3" s="1"/>
  <c r="U218" i="3"/>
  <c r="U220" i="3" s="1"/>
  <c r="G30" i="3"/>
  <c r="Z218" i="3"/>
  <c r="Z220" i="3" s="1"/>
  <c r="AD218" i="3"/>
  <c r="AD220" i="3" s="1"/>
  <c r="AA218" i="3"/>
  <c r="AA220" i="3" s="1"/>
  <c r="AE218" i="3"/>
  <c r="AE220" i="3" s="1"/>
  <c r="AG30" i="3"/>
  <c r="T218" i="3"/>
  <c r="T220" i="3" s="1"/>
  <c r="AB218" i="3"/>
  <c r="AB220" i="3" s="1"/>
  <c r="AF218" i="3"/>
  <c r="AF220" i="3" s="1"/>
  <c r="X218" i="3"/>
  <c r="X220" i="3" s="1"/>
  <c r="W218" i="3"/>
  <c r="W220" i="3" s="1"/>
  <c r="Y218" i="3"/>
  <c r="Y220" i="3" s="1"/>
  <c r="U30" i="3"/>
  <c r="W30" i="3"/>
  <c r="X30" i="3"/>
  <c r="Z30" i="3"/>
  <c r="V30" i="3"/>
  <c r="Y30" i="3"/>
  <c r="AA30" i="3"/>
  <c r="AD30" i="3"/>
  <c r="AG218" i="3"/>
  <c r="AG220" i="3" s="1"/>
  <c r="AC218" i="3"/>
  <c r="AC220" i="3" s="1"/>
  <c r="AC218" i="17"/>
  <c r="AC220" i="17" s="1"/>
  <c r="I218" i="17"/>
  <c r="I220" i="17" s="1"/>
  <c r="AF30" i="17"/>
  <c r="J218" i="17"/>
  <c r="J220" i="17" s="1"/>
  <c r="O30" i="17"/>
  <c r="S218" i="17"/>
  <c r="S220" i="17" s="1"/>
  <c r="K218" i="17"/>
  <c r="K220" i="17" s="1"/>
  <c r="L218" i="17"/>
  <c r="L220" i="17" s="1"/>
  <c r="M30" i="17"/>
  <c r="M218" i="17"/>
  <c r="M220" i="17" s="1"/>
  <c r="K30" i="17"/>
  <c r="AD30" i="17"/>
  <c r="AD218" i="17"/>
  <c r="AD220" i="17" s="1"/>
  <c r="AK218" i="17"/>
  <c r="AK220" i="17" s="1"/>
  <c r="AF218" i="17"/>
  <c r="AF220" i="17" s="1"/>
  <c r="AJ218" i="17"/>
  <c r="AJ220" i="17" s="1"/>
  <c r="S218" i="15"/>
  <c r="S220" i="15" s="1"/>
  <c r="U218" i="15"/>
  <c r="U220" i="15" s="1"/>
  <c r="P218" i="15"/>
  <c r="P220" i="15" s="1"/>
  <c r="K218" i="15"/>
  <c r="K220" i="15" s="1"/>
  <c r="F218" i="15"/>
  <c r="F220" i="15" s="1"/>
  <c r="G218" i="15"/>
  <c r="G220" i="15" s="1"/>
  <c r="L30" i="15"/>
  <c r="M30" i="15"/>
  <c r="I218" i="15"/>
  <c r="I220" i="15" s="1"/>
  <c r="J218" i="15"/>
  <c r="J220" i="15" s="1"/>
  <c r="O30" i="15"/>
  <c r="Q218" i="15"/>
  <c r="Q220" i="15" s="1"/>
  <c r="L218" i="15"/>
  <c r="L220" i="15" s="1"/>
  <c r="Q30" i="15"/>
  <c r="M218" i="15"/>
  <c r="M220" i="15" s="1"/>
  <c r="R30" i="15"/>
  <c r="N218" i="15"/>
  <c r="N220" i="15" s="1"/>
  <c r="S30" i="15"/>
  <c r="O218" i="15"/>
  <c r="O220" i="15" s="1"/>
  <c r="T30" i="15"/>
  <c r="R218" i="15"/>
  <c r="R220" i="15" s="1"/>
  <c r="AB215" i="9" l="1"/>
  <c r="AA215" i="9"/>
  <c r="Z215" i="9"/>
  <c r="Y215" i="9"/>
  <c r="X215" i="9"/>
  <c r="W215" i="9"/>
  <c r="V215" i="9"/>
  <c r="U215" i="9"/>
  <c r="T215" i="9"/>
  <c r="S215" i="9"/>
  <c r="R215" i="9"/>
  <c r="Q215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AQ215" i="15"/>
  <c r="AP215" i="15"/>
  <c r="AO215" i="15"/>
  <c r="AN215" i="15"/>
  <c r="AM215" i="15"/>
  <c r="AL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E215" i="15"/>
  <c r="V215" i="16"/>
  <c r="U215" i="16"/>
  <c r="T215" i="16"/>
  <c r="S215" i="16"/>
  <c r="R215" i="16"/>
  <c r="Q215" i="16"/>
  <c r="P215" i="16"/>
  <c r="O215" i="16"/>
  <c r="N215" i="16"/>
  <c r="M215" i="16"/>
  <c r="L215" i="16"/>
  <c r="K215" i="16"/>
  <c r="J215" i="16"/>
  <c r="I215" i="16"/>
  <c r="H215" i="16"/>
  <c r="G215" i="16"/>
  <c r="F215" i="16"/>
  <c r="E215" i="16"/>
  <c r="BD215" i="17"/>
  <c r="BC215" i="17"/>
  <c r="BB215" i="17"/>
  <c r="BA215" i="17"/>
  <c r="AZ215" i="17"/>
  <c r="AY215" i="17"/>
  <c r="AX215" i="17"/>
  <c r="AQ215" i="17"/>
  <c r="AP215" i="17"/>
  <c r="AO215" i="17"/>
  <c r="AN215" i="17"/>
  <c r="AM215" i="17"/>
  <c r="E215" i="17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E215" i="3"/>
  <c r="AB209" i="9"/>
  <c r="AA209" i="9"/>
  <c r="Z209" i="9"/>
  <c r="Y209" i="9"/>
  <c r="X209" i="9"/>
  <c r="W209" i="9"/>
  <c r="V209" i="9"/>
  <c r="U209" i="9"/>
  <c r="T209" i="9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AQ209" i="15"/>
  <c r="AP209" i="15"/>
  <c r="AO209" i="15"/>
  <c r="AN209" i="15"/>
  <c r="AM209" i="15"/>
  <c r="AL209" i="15"/>
  <c r="AF209" i="15"/>
  <c r="AE209" i="15"/>
  <c r="AD209" i="15"/>
  <c r="AC209" i="15"/>
  <c r="AB209" i="15"/>
  <c r="AA209" i="15"/>
  <c r="Z209" i="15"/>
  <c r="Y209" i="15"/>
  <c r="X209" i="15"/>
  <c r="W209" i="15"/>
  <c r="V209" i="15"/>
  <c r="E209" i="15"/>
  <c r="V209" i="16"/>
  <c r="U209" i="16"/>
  <c r="T209" i="16"/>
  <c r="S209" i="16"/>
  <c r="R209" i="16"/>
  <c r="Q209" i="16"/>
  <c r="P209" i="16"/>
  <c r="O209" i="16"/>
  <c r="N209" i="16"/>
  <c r="M209" i="16"/>
  <c r="L209" i="16"/>
  <c r="K209" i="16"/>
  <c r="J209" i="16"/>
  <c r="I209" i="16"/>
  <c r="H209" i="16"/>
  <c r="G209" i="16"/>
  <c r="F209" i="16"/>
  <c r="E209" i="16"/>
  <c r="BD209" i="17"/>
  <c r="BC209" i="17"/>
  <c r="BB209" i="17"/>
  <c r="BA209" i="17"/>
  <c r="AZ209" i="17"/>
  <c r="AY209" i="17"/>
  <c r="AX209" i="17"/>
  <c r="AQ209" i="17"/>
  <c r="AP209" i="17"/>
  <c r="AO209" i="17"/>
  <c r="AN209" i="17"/>
  <c r="AM209" i="17"/>
  <c r="E209" i="17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E209" i="3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AQ197" i="15"/>
  <c r="AP197" i="15"/>
  <c r="AO197" i="15"/>
  <c r="AN197" i="15"/>
  <c r="AM197" i="15"/>
  <c r="AL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E197" i="15"/>
  <c r="V197" i="16"/>
  <c r="U197" i="16"/>
  <c r="T197" i="16"/>
  <c r="S197" i="16"/>
  <c r="R197" i="16"/>
  <c r="Q197" i="16"/>
  <c r="P197" i="16"/>
  <c r="O197" i="16"/>
  <c r="N197" i="16"/>
  <c r="M197" i="16"/>
  <c r="L197" i="16"/>
  <c r="K197" i="16"/>
  <c r="J197" i="16"/>
  <c r="I197" i="16"/>
  <c r="H197" i="16"/>
  <c r="G197" i="16"/>
  <c r="F197" i="16"/>
  <c r="E197" i="16"/>
  <c r="BD197" i="17"/>
  <c r="BC197" i="17"/>
  <c r="BB197" i="17"/>
  <c r="BA197" i="17"/>
  <c r="AZ197" i="17"/>
  <c r="AY197" i="17"/>
  <c r="AX197" i="17"/>
  <c r="AQ197" i="17"/>
  <c r="AP197" i="17"/>
  <c r="AO197" i="17"/>
  <c r="AN197" i="17"/>
  <c r="AM197" i="17"/>
  <c r="E197" i="17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E197" i="3"/>
  <c r="AB190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AQ190" i="15"/>
  <c r="AP190" i="15"/>
  <c r="AO190" i="15"/>
  <c r="AN190" i="15"/>
  <c r="AM190" i="15"/>
  <c r="AL190" i="15"/>
  <c r="AF190" i="15"/>
  <c r="AE190" i="15"/>
  <c r="AD190" i="15"/>
  <c r="AC190" i="15"/>
  <c r="AB190" i="15"/>
  <c r="AA190" i="15"/>
  <c r="Z190" i="15"/>
  <c r="Y190" i="15"/>
  <c r="X190" i="15"/>
  <c r="W190" i="15"/>
  <c r="V190" i="15"/>
  <c r="E190" i="15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E190" i="16"/>
  <c r="BD190" i="17"/>
  <c r="BC190" i="17"/>
  <c r="BB190" i="17"/>
  <c r="BA190" i="17"/>
  <c r="AZ190" i="17"/>
  <c r="AY190" i="17"/>
  <c r="AX190" i="17"/>
  <c r="AQ190" i="17"/>
  <c r="AP190" i="17"/>
  <c r="AO190" i="17"/>
  <c r="AN190" i="17"/>
  <c r="AM190" i="17"/>
  <c r="E190" i="17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E190" i="3"/>
  <c r="AB184" i="9"/>
  <c r="AA184" i="9"/>
  <c r="Z184" i="9"/>
  <c r="Y184" i="9"/>
  <c r="X184" i="9"/>
  <c r="W184" i="9"/>
  <c r="V184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AQ184" i="15"/>
  <c r="AP184" i="15"/>
  <c r="AO184" i="15"/>
  <c r="AN184" i="15"/>
  <c r="AM184" i="15"/>
  <c r="AL184" i="15"/>
  <c r="AF184" i="15"/>
  <c r="AE184" i="15"/>
  <c r="AD184" i="15"/>
  <c r="AC184" i="15"/>
  <c r="AB184" i="15"/>
  <c r="AA184" i="15"/>
  <c r="Z184" i="15"/>
  <c r="Y184" i="15"/>
  <c r="X184" i="15"/>
  <c r="W184" i="15"/>
  <c r="V184" i="15"/>
  <c r="E184" i="15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BD184" i="17"/>
  <c r="BC184" i="17"/>
  <c r="BB184" i="17"/>
  <c r="BA184" i="17"/>
  <c r="AZ184" i="17"/>
  <c r="AY184" i="17"/>
  <c r="AX184" i="17"/>
  <c r="AQ184" i="17"/>
  <c r="AP184" i="17"/>
  <c r="AO184" i="17"/>
  <c r="AN184" i="17"/>
  <c r="AM184" i="17"/>
  <c r="E184" i="17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E184" i="3"/>
  <c r="AB172" i="9"/>
  <c r="AA172" i="9"/>
  <c r="Z172" i="9"/>
  <c r="Y172" i="9"/>
  <c r="X172" i="9"/>
  <c r="W172" i="9"/>
  <c r="V172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AQ172" i="15"/>
  <c r="AP172" i="15"/>
  <c r="AO172" i="15"/>
  <c r="AN172" i="15"/>
  <c r="AM172" i="15"/>
  <c r="AL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E172" i="15"/>
  <c r="V172" i="16"/>
  <c r="U172" i="16"/>
  <c r="T172" i="16"/>
  <c r="S172" i="16"/>
  <c r="R172" i="16"/>
  <c r="Q172" i="16"/>
  <c r="P172" i="16"/>
  <c r="O172" i="16"/>
  <c r="N172" i="16"/>
  <c r="M172" i="16"/>
  <c r="L172" i="16"/>
  <c r="K172" i="16"/>
  <c r="J172" i="16"/>
  <c r="I172" i="16"/>
  <c r="H172" i="16"/>
  <c r="G172" i="16"/>
  <c r="F172" i="16"/>
  <c r="E172" i="16"/>
  <c r="BD172" i="17"/>
  <c r="BC172" i="17"/>
  <c r="BB172" i="17"/>
  <c r="BA172" i="17"/>
  <c r="AZ172" i="17"/>
  <c r="AY172" i="17"/>
  <c r="AX172" i="17"/>
  <c r="AQ172" i="17"/>
  <c r="AP172" i="17"/>
  <c r="AO172" i="17"/>
  <c r="AN172" i="17"/>
  <c r="AM172" i="17"/>
  <c r="E172" i="17"/>
  <c r="AH172" i="3"/>
  <c r="E172" i="3"/>
  <c r="AB160" i="9"/>
  <c r="AA160" i="9"/>
  <c r="Z160" i="9"/>
  <c r="Y160" i="9"/>
  <c r="X160" i="9"/>
  <c r="W160" i="9"/>
  <c r="V160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AQ160" i="15"/>
  <c r="AP160" i="15"/>
  <c r="AO160" i="15"/>
  <c r="AN160" i="15"/>
  <c r="AM160" i="15"/>
  <c r="AL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E160" i="15"/>
  <c r="V160" i="16"/>
  <c r="U160" i="16"/>
  <c r="T160" i="16"/>
  <c r="S160" i="16"/>
  <c r="R160" i="16"/>
  <c r="Q160" i="16"/>
  <c r="P160" i="16"/>
  <c r="O160" i="16"/>
  <c r="N160" i="16"/>
  <c r="M160" i="16"/>
  <c r="L160" i="16"/>
  <c r="K160" i="16"/>
  <c r="J160" i="16"/>
  <c r="I160" i="16"/>
  <c r="H160" i="16"/>
  <c r="G160" i="16"/>
  <c r="F160" i="16"/>
  <c r="E160" i="16"/>
  <c r="BD160" i="17"/>
  <c r="BC160" i="17"/>
  <c r="BB160" i="17"/>
  <c r="BA160" i="17"/>
  <c r="AZ160" i="17"/>
  <c r="AY160" i="17"/>
  <c r="AX160" i="17"/>
  <c r="AQ160" i="17"/>
  <c r="AP160" i="17"/>
  <c r="AO160" i="17"/>
  <c r="AN160" i="17"/>
  <c r="AM160" i="17"/>
  <c r="E160" i="17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E160" i="3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AQ148" i="15"/>
  <c r="AP148" i="15"/>
  <c r="AO148" i="15"/>
  <c r="AN148" i="15"/>
  <c r="AM148" i="15"/>
  <c r="AL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E148" i="15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BD148" i="17"/>
  <c r="BC148" i="17"/>
  <c r="BB148" i="17"/>
  <c r="BA148" i="17"/>
  <c r="AZ148" i="17"/>
  <c r="AY148" i="17"/>
  <c r="AX148" i="17"/>
  <c r="AQ148" i="17"/>
  <c r="AP148" i="17"/>
  <c r="AO148" i="17"/>
  <c r="AN148" i="17"/>
  <c r="AM148" i="17"/>
  <c r="E148" i="17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E148" i="3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AQ144" i="15"/>
  <c r="AP144" i="15"/>
  <c r="AO144" i="15"/>
  <c r="AN144" i="15"/>
  <c r="AM144" i="15"/>
  <c r="AL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E144" i="15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BD144" i="17"/>
  <c r="BC144" i="17"/>
  <c r="BB144" i="17"/>
  <c r="BA144" i="17"/>
  <c r="AZ144" i="17"/>
  <c r="AY144" i="17"/>
  <c r="AX144" i="17"/>
  <c r="AQ144" i="17"/>
  <c r="AP144" i="17"/>
  <c r="AO144" i="17"/>
  <c r="AN144" i="17"/>
  <c r="AM144" i="17"/>
  <c r="E144" i="17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E144" i="3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AQ134" i="15"/>
  <c r="AP134" i="15"/>
  <c r="AO134" i="15"/>
  <c r="AN134" i="15"/>
  <c r="AM134" i="15"/>
  <c r="AL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E134" i="15"/>
  <c r="V134" i="16"/>
  <c r="U134" i="16"/>
  <c r="T134" i="16"/>
  <c r="S134" i="16"/>
  <c r="R134" i="16"/>
  <c r="Q134" i="16"/>
  <c r="P134" i="16"/>
  <c r="O134" i="16"/>
  <c r="N134" i="16"/>
  <c r="M134" i="16"/>
  <c r="L134" i="16"/>
  <c r="K134" i="16"/>
  <c r="J134" i="16"/>
  <c r="I134" i="16"/>
  <c r="H134" i="16"/>
  <c r="G134" i="16"/>
  <c r="F134" i="16"/>
  <c r="E134" i="16"/>
  <c r="BD134" i="17"/>
  <c r="BC134" i="17"/>
  <c r="BB134" i="17"/>
  <c r="BA134" i="17"/>
  <c r="AZ134" i="17"/>
  <c r="AY134" i="17"/>
  <c r="AX134" i="17"/>
  <c r="AQ134" i="17"/>
  <c r="AP134" i="17"/>
  <c r="AO134" i="17"/>
  <c r="AN134" i="17"/>
  <c r="AM134" i="17"/>
  <c r="E134" i="17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E134" i="3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AQ128" i="15"/>
  <c r="AP128" i="15"/>
  <c r="AO128" i="15"/>
  <c r="AN128" i="15"/>
  <c r="AM128" i="15"/>
  <c r="AL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E128" i="15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BD128" i="17"/>
  <c r="BC128" i="17"/>
  <c r="BB128" i="17"/>
  <c r="BA128" i="17"/>
  <c r="AZ128" i="17"/>
  <c r="AY128" i="17"/>
  <c r="AX128" i="17"/>
  <c r="AQ128" i="17"/>
  <c r="AP128" i="17"/>
  <c r="AO128" i="17"/>
  <c r="AN128" i="17"/>
  <c r="AM128" i="17"/>
  <c r="E128" i="17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E128" i="3"/>
  <c r="AB116" i="9"/>
  <c r="AA116" i="9"/>
  <c r="Z116" i="9"/>
  <c r="Y116" i="9"/>
  <c r="X116" i="9"/>
  <c r="W116" i="9"/>
  <c r="V116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AQ116" i="15"/>
  <c r="AP116" i="15"/>
  <c r="AO116" i="15"/>
  <c r="AN116" i="15"/>
  <c r="AM116" i="15"/>
  <c r="AL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E116" i="15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BD116" i="17"/>
  <c r="BC116" i="17"/>
  <c r="BB116" i="17"/>
  <c r="BA116" i="17"/>
  <c r="AZ116" i="17"/>
  <c r="AY116" i="17"/>
  <c r="AX116" i="17"/>
  <c r="AQ116" i="17"/>
  <c r="AP116" i="17"/>
  <c r="AO116" i="17"/>
  <c r="AN116" i="17"/>
  <c r="AM116" i="17"/>
  <c r="E116" i="17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E116" i="3"/>
  <c r="AB108" i="9"/>
  <c r="AA108" i="9"/>
  <c r="Z108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AQ108" i="15"/>
  <c r="AP108" i="15"/>
  <c r="AO108" i="15"/>
  <c r="AN108" i="15"/>
  <c r="AM108" i="15"/>
  <c r="AL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E108" i="15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BD108" i="17"/>
  <c r="BC108" i="17"/>
  <c r="BB108" i="17"/>
  <c r="BA108" i="17"/>
  <c r="AZ108" i="17"/>
  <c r="AY108" i="17"/>
  <c r="AX108" i="17"/>
  <c r="AQ108" i="17"/>
  <c r="AP108" i="17"/>
  <c r="AO108" i="17"/>
  <c r="AN108" i="17"/>
  <c r="AM108" i="17"/>
  <c r="E108" i="17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E108" i="3"/>
  <c r="AB103" i="9"/>
  <c r="AA103" i="9"/>
  <c r="Z103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Q103" i="15"/>
  <c r="AP103" i="15"/>
  <c r="AO103" i="15"/>
  <c r="AN103" i="15"/>
  <c r="AM103" i="15"/>
  <c r="AL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E103" i="15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BD103" i="17"/>
  <c r="BC103" i="17"/>
  <c r="BB103" i="17"/>
  <c r="BA103" i="17"/>
  <c r="AZ103" i="17"/>
  <c r="AY103" i="17"/>
  <c r="AX103" i="17"/>
  <c r="AQ103" i="17"/>
  <c r="AP103" i="17"/>
  <c r="E103" i="17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E103" i="3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AQ91" i="15"/>
  <c r="AP91" i="15"/>
  <c r="AO91" i="15"/>
  <c r="AN91" i="15"/>
  <c r="AM91" i="15"/>
  <c r="AL91" i="15"/>
  <c r="AF91" i="15"/>
  <c r="AE91" i="15"/>
  <c r="AD91" i="15"/>
  <c r="AC91" i="15"/>
  <c r="AB91" i="15"/>
  <c r="AA91" i="15"/>
  <c r="Z91" i="15"/>
  <c r="Y91" i="15"/>
  <c r="X91" i="15"/>
  <c r="W91" i="15"/>
  <c r="V91" i="15"/>
  <c r="E91" i="15"/>
  <c r="V91" i="16"/>
  <c r="U91" i="16"/>
  <c r="T91" i="16"/>
  <c r="S91" i="16"/>
  <c r="R91" i="16"/>
  <c r="Q91" i="16"/>
  <c r="P91" i="16"/>
  <c r="O91" i="16"/>
  <c r="N91" i="16"/>
  <c r="M91" i="16"/>
  <c r="L91" i="16"/>
  <c r="K91" i="16"/>
  <c r="J91" i="16"/>
  <c r="I91" i="16"/>
  <c r="H91" i="16"/>
  <c r="G91" i="16"/>
  <c r="F91" i="16"/>
  <c r="E91" i="16"/>
  <c r="BD91" i="17"/>
  <c r="BC91" i="17"/>
  <c r="BB91" i="17"/>
  <c r="BA91" i="17"/>
  <c r="AZ91" i="17"/>
  <c r="AY91" i="17"/>
  <c r="AX91" i="17"/>
  <c r="AQ91" i="17"/>
  <c r="AP91" i="17"/>
  <c r="AO91" i="17"/>
  <c r="AN91" i="17"/>
  <c r="AM91" i="17"/>
  <c r="E91" i="17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E91" i="3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AQ79" i="15"/>
  <c r="AP79" i="15"/>
  <c r="AO79" i="15"/>
  <c r="AN79" i="15"/>
  <c r="AM79" i="15"/>
  <c r="AL79" i="15"/>
  <c r="AF79" i="15"/>
  <c r="AE79" i="15"/>
  <c r="AD79" i="15"/>
  <c r="AC79" i="15"/>
  <c r="AB79" i="15"/>
  <c r="AA79" i="15"/>
  <c r="Z79" i="15"/>
  <c r="Y79" i="15"/>
  <c r="X79" i="15"/>
  <c r="W79" i="15"/>
  <c r="V79" i="15"/>
  <c r="E79" i="15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BD79" i="17"/>
  <c r="BC79" i="17"/>
  <c r="BB79" i="17"/>
  <c r="BA79" i="17"/>
  <c r="AZ79" i="17"/>
  <c r="AY79" i="17"/>
  <c r="AX79" i="17"/>
  <c r="AQ79" i="17"/>
  <c r="AP79" i="17"/>
  <c r="AO79" i="17"/>
  <c r="AN79" i="17"/>
  <c r="AM79" i="17"/>
  <c r="E79" i="17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E79" i="3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AQ67" i="15"/>
  <c r="AP67" i="15"/>
  <c r="AO67" i="15"/>
  <c r="AN67" i="15"/>
  <c r="AM67" i="15"/>
  <c r="AL67" i="15"/>
  <c r="AF67" i="15"/>
  <c r="AE67" i="15"/>
  <c r="AD67" i="15"/>
  <c r="AC67" i="15"/>
  <c r="AB67" i="15"/>
  <c r="AA67" i="15"/>
  <c r="Z67" i="15"/>
  <c r="Y67" i="15"/>
  <c r="X67" i="15"/>
  <c r="W67" i="15"/>
  <c r="V67" i="15"/>
  <c r="E67" i="15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BD67" i="17"/>
  <c r="BC67" i="17"/>
  <c r="BB67" i="17"/>
  <c r="BA67" i="17"/>
  <c r="AZ67" i="17"/>
  <c r="AY67" i="17"/>
  <c r="AX67" i="17"/>
  <c r="AQ67" i="17"/>
  <c r="AP67" i="17"/>
  <c r="AO67" i="17"/>
  <c r="AN67" i="17"/>
  <c r="AM67" i="17"/>
  <c r="E67" i="17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E67" i="3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Q55" i="10"/>
  <c r="P55" i="10"/>
  <c r="O55" i="10"/>
  <c r="N55" i="10"/>
  <c r="M55" i="10"/>
  <c r="L55" i="10"/>
  <c r="K55" i="10"/>
  <c r="J55" i="10"/>
  <c r="I55" i="10"/>
  <c r="H55" i="10"/>
  <c r="G55" i="10"/>
  <c r="F55" i="10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Q55" i="15"/>
  <c r="AP55" i="15"/>
  <c r="AO55" i="15"/>
  <c r="AN55" i="15"/>
  <c r="AM55" i="15"/>
  <c r="AL55" i="15"/>
  <c r="AF55" i="15"/>
  <c r="AE55" i="15"/>
  <c r="AD55" i="15"/>
  <c r="AC55" i="15"/>
  <c r="AB55" i="15"/>
  <c r="AA55" i="15"/>
  <c r="Z55" i="15"/>
  <c r="Y55" i="15"/>
  <c r="X55" i="15"/>
  <c r="W55" i="15"/>
  <c r="V55" i="15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BD55" i="17"/>
  <c r="BC55" i="17"/>
  <c r="BB55" i="17"/>
  <c r="BA55" i="17"/>
  <c r="AZ55" i="17"/>
  <c r="AY55" i="17"/>
  <c r="AX55" i="17"/>
  <c r="AQ55" i="17"/>
  <c r="AP55" i="17"/>
  <c r="AO55" i="17"/>
  <c r="AN55" i="17"/>
  <c r="AM55" i="17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E55" i="9"/>
  <c r="E55" i="10"/>
  <c r="E55" i="11"/>
  <c r="E55" i="15"/>
  <c r="E55" i="16"/>
  <c r="E55" i="17"/>
  <c r="E55" i="3"/>
  <c r="E55" i="18"/>
  <c r="T214" i="19"/>
  <c r="T213" i="19"/>
  <c r="T212" i="19"/>
  <c r="T211" i="19"/>
  <c r="T208" i="19"/>
  <c r="T207" i="19"/>
  <c r="T206" i="19"/>
  <c r="T205" i="19"/>
  <c r="T204" i="19"/>
  <c r="T203" i="19"/>
  <c r="T202" i="19"/>
  <c r="T201" i="19"/>
  <c r="T200" i="19"/>
  <c r="T199" i="19"/>
  <c r="T196" i="19"/>
  <c r="T195" i="19"/>
  <c r="T194" i="19"/>
  <c r="T193" i="19"/>
  <c r="T192" i="19"/>
  <c r="T189" i="19"/>
  <c r="T188" i="19"/>
  <c r="T187" i="19"/>
  <c r="T186" i="19"/>
  <c r="T183" i="19"/>
  <c r="T182" i="19"/>
  <c r="T181" i="19"/>
  <c r="T180" i="19"/>
  <c r="T179" i="19"/>
  <c r="T178" i="19"/>
  <c r="T177" i="19"/>
  <c r="T176" i="19"/>
  <c r="T175" i="19"/>
  <c r="T174" i="19"/>
  <c r="T171" i="19"/>
  <c r="T170" i="19"/>
  <c r="T169" i="19"/>
  <c r="T168" i="19"/>
  <c r="T167" i="19"/>
  <c r="T166" i="19"/>
  <c r="T165" i="19"/>
  <c r="T164" i="19"/>
  <c r="T163" i="19"/>
  <c r="T162" i="19"/>
  <c r="T159" i="19"/>
  <c r="T158" i="19"/>
  <c r="T157" i="19"/>
  <c r="T156" i="19"/>
  <c r="T155" i="19"/>
  <c r="T154" i="19"/>
  <c r="T153" i="19"/>
  <c r="T152" i="19"/>
  <c r="T151" i="19"/>
  <c r="T150" i="19"/>
  <c r="T147" i="19"/>
  <c r="T146" i="19"/>
  <c r="T143" i="19"/>
  <c r="T142" i="19"/>
  <c r="T141" i="19"/>
  <c r="T140" i="19"/>
  <c r="T139" i="19"/>
  <c r="T138" i="19"/>
  <c r="T137" i="19"/>
  <c r="T136" i="19"/>
  <c r="T133" i="19"/>
  <c r="T132" i="19"/>
  <c r="T131" i="19"/>
  <c r="T130" i="19"/>
  <c r="T127" i="19"/>
  <c r="T126" i="19"/>
  <c r="T125" i="19"/>
  <c r="T124" i="19"/>
  <c r="T123" i="19"/>
  <c r="T122" i="19"/>
  <c r="T121" i="19"/>
  <c r="T120" i="19"/>
  <c r="T119" i="19"/>
  <c r="T118" i="19"/>
  <c r="T115" i="19"/>
  <c r="T114" i="19"/>
  <c r="T113" i="19"/>
  <c r="T112" i="19"/>
  <c r="T111" i="19"/>
  <c r="T110" i="19"/>
  <c r="T107" i="19"/>
  <c r="T106" i="19"/>
  <c r="T105" i="19"/>
  <c r="T102" i="19"/>
  <c r="T101" i="19"/>
  <c r="T100" i="19"/>
  <c r="T99" i="19"/>
  <c r="T98" i="19"/>
  <c r="T97" i="19"/>
  <c r="T96" i="19"/>
  <c r="T95" i="19"/>
  <c r="T94" i="19"/>
  <c r="T93" i="19"/>
  <c r="T90" i="19"/>
  <c r="T89" i="19"/>
  <c r="T88" i="19"/>
  <c r="T87" i="19"/>
  <c r="T86" i="19"/>
  <c r="T85" i="19"/>
  <c r="T84" i="19"/>
  <c r="T83" i="19"/>
  <c r="T82" i="19"/>
  <c r="T81" i="19"/>
  <c r="T78" i="19"/>
  <c r="T77" i="19"/>
  <c r="T76" i="19"/>
  <c r="T75" i="19"/>
  <c r="T74" i="19"/>
  <c r="T73" i="19"/>
  <c r="T72" i="19"/>
  <c r="T71" i="19"/>
  <c r="T70" i="19"/>
  <c r="T69" i="19"/>
  <c r="T66" i="19"/>
  <c r="T65" i="19"/>
  <c r="T64" i="19"/>
  <c r="T63" i="19"/>
  <c r="T62" i="19"/>
  <c r="T61" i="19"/>
  <c r="T60" i="19"/>
  <c r="T59" i="19"/>
  <c r="T58" i="19"/>
  <c r="T57" i="19"/>
  <c r="T54" i="19"/>
  <c r="T53" i="19"/>
  <c r="T52" i="19"/>
  <c r="T51" i="19"/>
  <c r="T50" i="19"/>
  <c r="T49" i="19"/>
  <c r="T48" i="19"/>
  <c r="T47" i="19"/>
  <c r="T46" i="19"/>
  <c r="R214" i="18"/>
  <c r="R213" i="18"/>
  <c r="R212" i="18"/>
  <c r="R211" i="18"/>
  <c r="R208" i="18"/>
  <c r="R207" i="18"/>
  <c r="R206" i="18"/>
  <c r="R205" i="18"/>
  <c r="R204" i="18"/>
  <c r="R203" i="18"/>
  <c r="R202" i="18"/>
  <c r="R201" i="18"/>
  <c r="R200" i="18"/>
  <c r="R199" i="18"/>
  <c r="R196" i="18"/>
  <c r="R195" i="18"/>
  <c r="R194" i="18"/>
  <c r="R193" i="18"/>
  <c r="R192" i="18"/>
  <c r="R189" i="18"/>
  <c r="R188" i="18"/>
  <c r="R187" i="18"/>
  <c r="R186" i="18"/>
  <c r="R183" i="18"/>
  <c r="R182" i="18"/>
  <c r="R181" i="18"/>
  <c r="R180" i="18"/>
  <c r="R179" i="18"/>
  <c r="R178" i="18"/>
  <c r="R177" i="18"/>
  <c r="R176" i="18"/>
  <c r="R175" i="18"/>
  <c r="R174" i="18"/>
  <c r="R171" i="18"/>
  <c r="R170" i="18"/>
  <c r="R169" i="18"/>
  <c r="R168" i="18"/>
  <c r="R167" i="18"/>
  <c r="R166" i="18"/>
  <c r="R165" i="18"/>
  <c r="R164" i="18"/>
  <c r="R163" i="18"/>
  <c r="R162" i="18"/>
  <c r="R159" i="18"/>
  <c r="R158" i="18"/>
  <c r="R157" i="18"/>
  <c r="R156" i="18"/>
  <c r="R155" i="18"/>
  <c r="R154" i="18"/>
  <c r="R153" i="18"/>
  <c r="R152" i="18"/>
  <c r="R151" i="18"/>
  <c r="R150" i="18"/>
  <c r="R147" i="18"/>
  <c r="R146" i="18"/>
  <c r="R143" i="18"/>
  <c r="R142" i="18"/>
  <c r="R141" i="18"/>
  <c r="R140" i="18"/>
  <c r="R139" i="18"/>
  <c r="R138" i="18"/>
  <c r="R137" i="18"/>
  <c r="R136" i="18"/>
  <c r="R133" i="18"/>
  <c r="R132" i="18"/>
  <c r="R131" i="18"/>
  <c r="R130" i="18"/>
  <c r="R127" i="18"/>
  <c r="R126" i="18"/>
  <c r="R125" i="18"/>
  <c r="R124" i="18"/>
  <c r="R123" i="18"/>
  <c r="R122" i="18"/>
  <c r="R121" i="18"/>
  <c r="R120" i="18"/>
  <c r="R119" i="18"/>
  <c r="R118" i="18"/>
  <c r="R115" i="18"/>
  <c r="R114" i="18"/>
  <c r="R113" i="18"/>
  <c r="R112" i="18"/>
  <c r="R111" i="18"/>
  <c r="R110" i="18"/>
  <c r="R107" i="18"/>
  <c r="R106" i="18"/>
  <c r="R105" i="18"/>
  <c r="R102" i="18"/>
  <c r="R101" i="18"/>
  <c r="R100" i="18"/>
  <c r="R99" i="18"/>
  <c r="R98" i="18"/>
  <c r="R97" i="18"/>
  <c r="R96" i="18"/>
  <c r="R95" i="18"/>
  <c r="R94" i="18"/>
  <c r="R93" i="18"/>
  <c r="R90" i="18"/>
  <c r="R89" i="18"/>
  <c r="R88" i="18"/>
  <c r="R87" i="18"/>
  <c r="R86" i="18"/>
  <c r="R85" i="18"/>
  <c r="R84" i="18"/>
  <c r="R83" i="18"/>
  <c r="R82" i="18"/>
  <c r="R81" i="18"/>
  <c r="R78" i="18"/>
  <c r="R77" i="18"/>
  <c r="R76" i="18"/>
  <c r="R75" i="18"/>
  <c r="R74" i="18"/>
  <c r="R73" i="18"/>
  <c r="R72" i="18"/>
  <c r="R71" i="18"/>
  <c r="R70" i="18"/>
  <c r="R69" i="18"/>
  <c r="R66" i="18"/>
  <c r="R65" i="18"/>
  <c r="R64" i="18"/>
  <c r="R63" i="18"/>
  <c r="R62" i="18"/>
  <c r="R61" i="18"/>
  <c r="R60" i="18"/>
  <c r="R59" i="18"/>
  <c r="R58" i="18"/>
  <c r="R57" i="18"/>
  <c r="R54" i="18"/>
  <c r="R53" i="18"/>
  <c r="R52" i="18"/>
  <c r="R51" i="18"/>
  <c r="R50" i="18"/>
  <c r="R49" i="18"/>
  <c r="R48" i="18"/>
  <c r="R47" i="18"/>
  <c r="R46" i="18"/>
  <c r="AV214" i="3"/>
  <c r="AV213" i="3"/>
  <c r="AV212" i="3"/>
  <c r="AV211" i="3"/>
  <c r="AV208" i="3"/>
  <c r="AV207" i="3"/>
  <c r="AV206" i="3"/>
  <c r="AV205" i="3"/>
  <c r="AV204" i="3"/>
  <c r="AV203" i="3"/>
  <c r="AV202" i="3"/>
  <c r="AV201" i="3"/>
  <c r="AV200" i="3"/>
  <c r="AV199" i="3"/>
  <c r="AV196" i="3"/>
  <c r="AV195" i="3"/>
  <c r="AV194" i="3"/>
  <c r="AV193" i="3"/>
  <c r="AV192" i="3"/>
  <c r="AV189" i="3"/>
  <c r="AV188" i="3"/>
  <c r="AV187" i="3"/>
  <c r="AV186" i="3"/>
  <c r="AV183" i="3"/>
  <c r="AV182" i="3"/>
  <c r="AV181" i="3"/>
  <c r="AV180" i="3"/>
  <c r="AV179" i="3"/>
  <c r="AV178" i="3"/>
  <c r="AV177" i="3"/>
  <c r="AV176" i="3"/>
  <c r="AV175" i="3"/>
  <c r="AV174" i="3"/>
  <c r="AV171" i="3"/>
  <c r="AV170" i="3"/>
  <c r="AV169" i="3"/>
  <c r="AV168" i="3"/>
  <c r="AV167" i="3"/>
  <c r="AV166" i="3"/>
  <c r="AV159" i="3"/>
  <c r="AV158" i="3"/>
  <c r="AV157" i="3"/>
  <c r="AV156" i="3"/>
  <c r="AV155" i="3"/>
  <c r="AV154" i="3"/>
  <c r="AV153" i="3"/>
  <c r="AV152" i="3"/>
  <c r="AV151" i="3"/>
  <c r="AV150" i="3"/>
  <c r="AV147" i="3"/>
  <c r="AV146" i="3"/>
  <c r="AV143" i="3"/>
  <c r="AV142" i="3"/>
  <c r="AV141" i="3"/>
  <c r="AV140" i="3"/>
  <c r="AV139" i="3"/>
  <c r="AV138" i="3"/>
  <c r="AV137" i="3"/>
  <c r="AV136" i="3"/>
  <c r="AV133" i="3"/>
  <c r="AV132" i="3"/>
  <c r="AV131" i="3"/>
  <c r="AV130" i="3"/>
  <c r="AV127" i="3"/>
  <c r="AV126" i="3"/>
  <c r="AV125" i="3"/>
  <c r="AV124" i="3"/>
  <c r="AV123" i="3"/>
  <c r="AV122" i="3"/>
  <c r="AV121" i="3"/>
  <c r="AV120" i="3"/>
  <c r="AV119" i="3"/>
  <c r="AV118" i="3"/>
  <c r="BE214" i="17"/>
  <c r="BE213" i="17"/>
  <c r="BE212" i="17"/>
  <c r="BE211" i="17"/>
  <c r="BE208" i="17"/>
  <c r="BE207" i="17"/>
  <c r="BE206" i="17"/>
  <c r="BE205" i="17"/>
  <c r="BE204" i="17"/>
  <c r="BE203" i="17"/>
  <c r="BE202" i="17"/>
  <c r="BE201" i="17"/>
  <c r="BE200" i="17"/>
  <c r="BE199" i="17"/>
  <c r="BE196" i="17"/>
  <c r="BE195" i="17"/>
  <c r="BE194" i="17"/>
  <c r="BE193" i="17"/>
  <c r="BE192" i="17"/>
  <c r="BE189" i="17"/>
  <c r="BE188" i="17"/>
  <c r="BE187" i="17"/>
  <c r="BE186" i="17"/>
  <c r="BE183" i="17"/>
  <c r="BE182" i="17"/>
  <c r="BE181" i="17"/>
  <c r="BE180" i="17"/>
  <c r="BE179" i="17"/>
  <c r="BE178" i="17"/>
  <c r="BE177" i="17"/>
  <c r="BE176" i="17"/>
  <c r="BE175" i="17"/>
  <c r="BE174" i="17"/>
  <c r="BE171" i="17"/>
  <c r="BE170" i="17"/>
  <c r="BE169" i="17"/>
  <c r="BE168" i="17"/>
  <c r="BE167" i="17"/>
  <c r="BE166" i="17"/>
  <c r="BE165" i="17"/>
  <c r="BE164" i="17"/>
  <c r="BE163" i="17"/>
  <c r="BE162" i="17"/>
  <c r="BE159" i="17"/>
  <c r="BE158" i="17"/>
  <c r="BE157" i="17"/>
  <c r="BE156" i="17"/>
  <c r="BE155" i="17"/>
  <c r="BE154" i="17"/>
  <c r="BE153" i="17"/>
  <c r="BE152" i="17"/>
  <c r="BE151" i="17"/>
  <c r="BE150" i="17"/>
  <c r="BE147" i="17"/>
  <c r="BE146" i="17"/>
  <c r="BE143" i="17"/>
  <c r="BE142" i="17"/>
  <c r="BE141" i="17"/>
  <c r="BE140" i="17"/>
  <c r="BE139" i="17"/>
  <c r="BE138" i="17"/>
  <c r="BE137" i="17"/>
  <c r="BE136" i="17"/>
  <c r="BE133" i="17"/>
  <c r="BE132" i="17"/>
  <c r="BE131" i="17"/>
  <c r="BE130" i="17"/>
  <c r="BE127" i="17"/>
  <c r="BE126" i="17"/>
  <c r="BE125" i="17"/>
  <c r="BE124" i="17"/>
  <c r="BE123" i="17"/>
  <c r="BE122" i="17"/>
  <c r="BE121" i="17"/>
  <c r="BE120" i="17"/>
  <c r="BE119" i="17"/>
  <c r="BE118" i="17"/>
  <c r="BE115" i="17"/>
  <c r="BE114" i="17"/>
  <c r="BE113" i="17"/>
  <c r="BE112" i="17"/>
  <c r="BE111" i="17"/>
  <c r="BE110" i="17"/>
  <c r="W214" i="16"/>
  <c r="W213" i="16"/>
  <c r="W212" i="16"/>
  <c r="W211" i="16"/>
  <c r="W208" i="16"/>
  <c r="W207" i="16"/>
  <c r="W206" i="16"/>
  <c r="W205" i="16"/>
  <c r="W204" i="16"/>
  <c r="W203" i="16"/>
  <c r="W202" i="16"/>
  <c r="W201" i="16"/>
  <c r="W200" i="16"/>
  <c r="W199" i="16"/>
  <c r="W196" i="16"/>
  <c r="W195" i="16"/>
  <c r="W194" i="16"/>
  <c r="W193" i="16"/>
  <c r="W192" i="16"/>
  <c r="W189" i="16"/>
  <c r="W188" i="16"/>
  <c r="W187" i="16"/>
  <c r="W186" i="16"/>
  <c r="W183" i="16"/>
  <c r="W182" i="16"/>
  <c r="W181" i="16"/>
  <c r="W180" i="16"/>
  <c r="W179" i="16"/>
  <c r="W178" i="16"/>
  <c r="W177" i="16"/>
  <c r="W176" i="16"/>
  <c r="W175" i="16"/>
  <c r="W174" i="16"/>
  <c r="W171" i="16"/>
  <c r="W170" i="16"/>
  <c r="W169" i="16"/>
  <c r="W168" i="16"/>
  <c r="W167" i="16"/>
  <c r="W166" i="16"/>
  <c r="W165" i="16"/>
  <c r="W164" i="16"/>
  <c r="W163" i="16"/>
  <c r="W162" i="16"/>
  <c r="W147" i="16"/>
  <c r="W146" i="16"/>
  <c r="W143" i="16"/>
  <c r="W142" i="16"/>
  <c r="W141" i="16"/>
  <c r="W140" i="16"/>
  <c r="W139" i="16"/>
  <c r="W138" i="16"/>
  <c r="W137" i="16"/>
  <c r="W136" i="16"/>
  <c r="W133" i="16"/>
  <c r="W132" i="16"/>
  <c r="W131" i="16"/>
  <c r="W130" i="16"/>
  <c r="W127" i="16"/>
  <c r="W126" i="16"/>
  <c r="W125" i="16"/>
  <c r="W124" i="16"/>
  <c r="W123" i="16"/>
  <c r="W122" i="16"/>
  <c r="W121" i="16"/>
  <c r="W120" i="16"/>
  <c r="W119" i="16"/>
  <c r="W118" i="16"/>
  <c r="W115" i="16"/>
  <c r="W114" i="16"/>
  <c r="W113" i="16"/>
  <c r="W111" i="16"/>
  <c r="W107" i="16"/>
  <c r="W106" i="16"/>
  <c r="W105" i="16"/>
  <c r="W102" i="16"/>
  <c r="W101" i="16"/>
  <c r="W100" i="16"/>
  <c r="W99" i="16"/>
  <c r="W98" i="16"/>
  <c r="W97" i="16"/>
  <c r="W96" i="16"/>
  <c r="W95" i="16"/>
  <c r="W94" i="16"/>
  <c r="W93" i="16"/>
  <c r="W90" i="16"/>
  <c r="W89" i="16"/>
  <c r="W88" i="16"/>
  <c r="W87" i="16"/>
  <c r="W86" i="16"/>
  <c r="W85" i="16"/>
  <c r="W84" i="16"/>
  <c r="W83" i="16"/>
  <c r="W82" i="16"/>
  <c r="W81" i="16"/>
  <c r="W78" i="16"/>
  <c r="W77" i="16"/>
  <c r="W76" i="16"/>
  <c r="W75" i="16"/>
  <c r="W74" i="16"/>
  <c r="W73" i="16"/>
  <c r="W72" i="16"/>
  <c r="W71" i="16"/>
  <c r="W70" i="16"/>
  <c r="W69" i="16"/>
  <c r="W66" i="16"/>
  <c r="W65" i="16"/>
  <c r="W64" i="16"/>
  <c r="W63" i="16"/>
  <c r="W62" i="16"/>
  <c r="W61" i="16"/>
  <c r="W60" i="16"/>
  <c r="W59" i="16"/>
  <c r="W58" i="16"/>
  <c r="W57" i="16"/>
  <c r="W54" i="16"/>
  <c r="W53" i="16"/>
  <c r="W52" i="16"/>
  <c r="W51" i="16"/>
  <c r="W50" i="16"/>
  <c r="W49" i="16"/>
  <c r="W48" i="16"/>
  <c r="W47" i="16"/>
  <c r="W46" i="16"/>
  <c r="AR214" i="15"/>
  <c r="AR213" i="15"/>
  <c r="AR212" i="15"/>
  <c r="AR211" i="15"/>
  <c r="AR208" i="15"/>
  <c r="AR207" i="15"/>
  <c r="AR206" i="15"/>
  <c r="AR205" i="15"/>
  <c r="AR204" i="15"/>
  <c r="AR203" i="15"/>
  <c r="AR202" i="15"/>
  <c r="AR201" i="15"/>
  <c r="AR200" i="15"/>
  <c r="AR199" i="15"/>
  <c r="AR196" i="15"/>
  <c r="AR195" i="15"/>
  <c r="AR194" i="15"/>
  <c r="AR193" i="15"/>
  <c r="AR192" i="15"/>
  <c r="AR189" i="15"/>
  <c r="AR188" i="15"/>
  <c r="AR187" i="15"/>
  <c r="AR186" i="15"/>
  <c r="AR183" i="15"/>
  <c r="AR182" i="15"/>
  <c r="AR181" i="15"/>
  <c r="AR180" i="15"/>
  <c r="AR179" i="15"/>
  <c r="AR178" i="15"/>
  <c r="AR177" i="15"/>
  <c r="AR176" i="15"/>
  <c r="AR175" i="15"/>
  <c r="AR174" i="15"/>
  <c r="AR171" i="15"/>
  <c r="AR170" i="15"/>
  <c r="AR169" i="15"/>
  <c r="AR168" i="15"/>
  <c r="AR167" i="15"/>
  <c r="AR166" i="15"/>
  <c r="AR165" i="15"/>
  <c r="AR164" i="15"/>
  <c r="AR163" i="15"/>
  <c r="AR162" i="15"/>
  <c r="AR159" i="15"/>
  <c r="AR158" i="15"/>
  <c r="AR157" i="15"/>
  <c r="AR156" i="15"/>
  <c r="AR155" i="15"/>
  <c r="AR154" i="15"/>
  <c r="AR153" i="15"/>
  <c r="AR152" i="15"/>
  <c r="AR151" i="15"/>
  <c r="AR150" i="15"/>
  <c r="AR147" i="15"/>
  <c r="AR146" i="15"/>
  <c r="AR143" i="15"/>
  <c r="AR142" i="15"/>
  <c r="AR141" i="15"/>
  <c r="AR140" i="15"/>
  <c r="AR139" i="15"/>
  <c r="AR138" i="15"/>
  <c r="AR137" i="15"/>
  <c r="AR136" i="15"/>
  <c r="AR133" i="15"/>
  <c r="AR132" i="15"/>
  <c r="AR131" i="15"/>
  <c r="AR130" i="15"/>
  <c r="AR127" i="15"/>
  <c r="AR126" i="15"/>
  <c r="AR125" i="15"/>
  <c r="AR124" i="15"/>
  <c r="AR123" i="15"/>
  <c r="AR122" i="15"/>
  <c r="AR121" i="15"/>
  <c r="AR120" i="15"/>
  <c r="AR119" i="15"/>
  <c r="AR118" i="15"/>
  <c r="AR115" i="15"/>
  <c r="AR114" i="15"/>
  <c r="AR113" i="15"/>
  <c r="AR112" i="15"/>
  <c r="AR111" i="15"/>
  <c r="AR110" i="15"/>
  <c r="AR107" i="15"/>
  <c r="AR106" i="15"/>
  <c r="AR105" i="15"/>
  <c r="AR102" i="15"/>
  <c r="AR101" i="15"/>
  <c r="AR100" i="15"/>
  <c r="AR99" i="15"/>
  <c r="AR98" i="15"/>
  <c r="AR97" i="15"/>
  <c r="AR96" i="15"/>
  <c r="AR95" i="15"/>
  <c r="AR94" i="15"/>
  <c r="AR93" i="15"/>
  <c r="AR90" i="15"/>
  <c r="AR89" i="15"/>
  <c r="AR88" i="15"/>
  <c r="AR87" i="15"/>
  <c r="AR86" i="15"/>
  <c r="AR85" i="15"/>
  <c r="AR84" i="15"/>
  <c r="AR83" i="15"/>
  <c r="AR82" i="15"/>
  <c r="AR81" i="15"/>
  <c r="AR78" i="15"/>
  <c r="AR77" i="15"/>
  <c r="AR76" i="15"/>
  <c r="AR75" i="15"/>
  <c r="AR74" i="15"/>
  <c r="AR73" i="15"/>
  <c r="AR72" i="15"/>
  <c r="AR71" i="15"/>
  <c r="AR70" i="15"/>
  <c r="AR69" i="15"/>
  <c r="AR66" i="15"/>
  <c r="AR65" i="15"/>
  <c r="AR64" i="15"/>
  <c r="AR63" i="15"/>
  <c r="AR62" i="15"/>
  <c r="AR61" i="15"/>
  <c r="AR60" i="15"/>
  <c r="AR59" i="15"/>
  <c r="AR58" i="15"/>
  <c r="AR57" i="15"/>
  <c r="AR54" i="15"/>
  <c r="AR53" i="15"/>
  <c r="AR52" i="15"/>
  <c r="AR51" i="15"/>
  <c r="AR50" i="15"/>
  <c r="AR49" i="15"/>
  <c r="AR48" i="15"/>
  <c r="AR47" i="15"/>
  <c r="AR46" i="15"/>
  <c r="AC214" i="11"/>
  <c r="AC213" i="11"/>
  <c r="AC212" i="11"/>
  <c r="AC211" i="11"/>
  <c r="AC208" i="11"/>
  <c r="AC207" i="11"/>
  <c r="AC206" i="11"/>
  <c r="AC205" i="11"/>
  <c r="AC204" i="11"/>
  <c r="AC203" i="11"/>
  <c r="AC202" i="11"/>
  <c r="AC201" i="11"/>
  <c r="AC200" i="11"/>
  <c r="AC199" i="11"/>
  <c r="AC196" i="11"/>
  <c r="AC195" i="11"/>
  <c r="AC194" i="11"/>
  <c r="AC193" i="11"/>
  <c r="AC192" i="11"/>
  <c r="AC189" i="11"/>
  <c r="AC188" i="11"/>
  <c r="AC187" i="11"/>
  <c r="AC186" i="11"/>
  <c r="AC183" i="11"/>
  <c r="AC182" i="11"/>
  <c r="AC181" i="11"/>
  <c r="AC180" i="11"/>
  <c r="AC179" i="11"/>
  <c r="AC178" i="11"/>
  <c r="AC177" i="11"/>
  <c r="AC176" i="11"/>
  <c r="AC175" i="11"/>
  <c r="AC174" i="11"/>
  <c r="AC171" i="11"/>
  <c r="AC170" i="11"/>
  <c r="AC169" i="11"/>
  <c r="AC168" i="11"/>
  <c r="AC167" i="11"/>
  <c r="AC166" i="11"/>
  <c r="AC165" i="11"/>
  <c r="AC164" i="11"/>
  <c r="AC163" i="11"/>
  <c r="AC162" i="11"/>
  <c r="AC159" i="11"/>
  <c r="AC158" i="11"/>
  <c r="AC157" i="11"/>
  <c r="AC156" i="11"/>
  <c r="AC155" i="11"/>
  <c r="AC154" i="11"/>
  <c r="AC153" i="11"/>
  <c r="AC152" i="11"/>
  <c r="AC151" i="11"/>
  <c r="AC150" i="11"/>
  <c r="AC147" i="11"/>
  <c r="AC146" i="11"/>
  <c r="AC133" i="11"/>
  <c r="AC132" i="11"/>
  <c r="AC131" i="11"/>
  <c r="AC130" i="11"/>
  <c r="AC143" i="11"/>
  <c r="AC142" i="11"/>
  <c r="AC141" i="11"/>
  <c r="AC140" i="11"/>
  <c r="AC139" i="11"/>
  <c r="AC138" i="11"/>
  <c r="AC137" i="11"/>
  <c r="AC136" i="11"/>
  <c r="AC127" i="11"/>
  <c r="AC126" i="11"/>
  <c r="AC125" i="11"/>
  <c r="AC124" i="11"/>
  <c r="AC123" i="11"/>
  <c r="AC122" i="11"/>
  <c r="AC121" i="11"/>
  <c r="AC120" i="11"/>
  <c r="AC119" i="11"/>
  <c r="AC118" i="11"/>
  <c r="AC115" i="11"/>
  <c r="AC114" i="11"/>
  <c r="AC113" i="11"/>
  <c r="AC112" i="11"/>
  <c r="AC111" i="11"/>
  <c r="AC110" i="11"/>
  <c r="AC107" i="11"/>
  <c r="AC106" i="11"/>
  <c r="AC105" i="11"/>
  <c r="AC102" i="11"/>
  <c r="AC101" i="11"/>
  <c r="AC100" i="11"/>
  <c r="AC99" i="11"/>
  <c r="AC98" i="11"/>
  <c r="AC97" i="11"/>
  <c r="AC96" i="11"/>
  <c r="AC95" i="11"/>
  <c r="AC94" i="11"/>
  <c r="AC93" i="11"/>
  <c r="AC90" i="11"/>
  <c r="AC89" i="11"/>
  <c r="AC88" i="11"/>
  <c r="AC87" i="11"/>
  <c r="AC86" i="11"/>
  <c r="AC85" i="11"/>
  <c r="AC84" i="11"/>
  <c r="AC83" i="11"/>
  <c r="AC82" i="11"/>
  <c r="AC81" i="11"/>
  <c r="AC78" i="11"/>
  <c r="AC77" i="11"/>
  <c r="AC76" i="11"/>
  <c r="AC75" i="11"/>
  <c r="AC74" i="11"/>
  <c r="AC73" i="11"/>
  <c r="AC72" i="11"/>
  <c r="AC71" i="11"/>
  <c r="AC70" i="11"/>
  <c r="AC69" i="11"/>
  <c r="AC66" i="11"/>
  <c r="AC65" i="11"/>
  <c r="AC64" i="11"/>
  <c r="AC63" i="11"/>
  <c r="AC62" i="11"/>
  <c r="AC61" i="11"/>
  <c r="AC60" i="11"/>
  <c r="AC59" i="11"/>
  <c r="AC58" i="11"/>
  <c r="AC57" i="11"/>
  <c r="AC54" i="11"/>
  <c r="AC53" i="11"/>
  <c r="AC52" i="11"/>
  <c r="AC51" i="11"/>
  <c r="AC50" i="11"/>
  <c r="AC49" i="11"/>
  <c r="AC48" i="11"/>
  <c r="AC47" i="11"/>
  <c r="AC46" i="11"/>
  <c r="R214" i="10"/>
  <c r="R213" i="10"/>
  <c r="R212" i="10"/>
  <c r="R211" i="10"/>
  <c r="R208" i="10"/>
  <c r="R207" i="10"/>
  <c r="R206" i="10"/>
  <c r="R205" i="10"/>
  <c r="R204" i="10"/>
  <c r="R203" i="10"/>
  <c r="R202" i="10"/>
  <c r="R201" i="10"/>
  <c r="R200" i="10"/>
  <c r="R199" i="10"/>
  <c r="R196" i="10"/>
  <c r="R195" i="10"/>
  <c r="R194" i="10"/>
  <c r="R193" i="10"/>
  <c r="R192" i="10"/>
  <c r="R189" i="10"/>
  <c r="R188" i="10"/>
  <c r="R187" i="10"/>
  <c r="R186" i="10"/>
  <c r="R183" i="10"/>
  <c r="R182" i="10"/>
  <c r="R181" i="10"/>
  <c r="R180" i="10"/>
  <c r="R179" i="10"/>
  <c r="R178" i="10"/>
  <c r="R177" i="10"/>
  <c r="R176" i="10"/>
  <c r="R175" i="10"/>
  <c r="R174" i="10"/>
  <c r="R171" i="10"/>
  <c r="R170" i="10"/>
  <c r="R169" i="10"/>
  <c r="R168" i="10"/>
  <c r="R167" i="10"/>
  <c r="R166" i="10"/>
  <c r="R165" i="10"/>
  <c r="R164" i="10"/>
  <c r="R163" i="10"/>
  <c r="R162" i="10"/>
  <c r="R159" i="10"/>
  <c r="R158" i="10"/>
  <c r="R157" i="10"/>
  <c r="R156" i="10"/>
  <c r="R155" i="10"/>
  <c r="R154" i="10"/>
  <c r="R153" i="10"/>
  <c r="R152" i="10"/>
  <c r="R151" i="10"/>
  <c r="R150" i="10"/>
  <c r="R147" i="10"/>
  <c r="R146" i="10"/>
  <c r="R143" i="10"/>
  <c r="R142" i="10"/>
  <c r="R141" i="10"/>
  <c r="R140" i="10"/>
  <c r="R139" i="10"/>
  <c r="R138" i="10"/>
  <c r="R137" i="10"/>
  <c r="R136" i="10"/>
  <c r="R133" i="10"/>
  <c r="R132" i="10"/>
  <c r="R131" i="10"/>
  <c r="R130" i="10"/>
  <c r="R127" i="10"/>
  <c r="R126" i="10"/>
  <c r="R125" i="10"/>
  <c r="R124" i="10"/>
  <c r="R123" i="10"/>
  <c r="R122" i="10"/>
  <c r="R121" i="10"/>
  <c r="R120" i="10"/>
  <c r="R119" i="10"/>
  <c r="R118" i="10"/>
  <c r="R115" i="10"/>
  <c r="R114" i="10"/>
  <c r="R113" i="10"/>
  <c r="R112" i="10"/>
  <c r="R111" i="10"/>
  <c r="R110" i="10"/>
  <c r="R107" i="10"/>
  <c r="R106" i="10"/>
  <c r="R105" i="10"/>
  <c r="R102" i="10"/>
  <c r="R101" i="10"/>
  <c r="R100" i="10"/>
  <c r="R99" i="10"/>
  <c r="R98" i="10"/>
  <c r="R97" i="10"/>
  <c r="R96" i="10"/>
  <c r="R95" i="10"/>
  <c r="R94" i="10"/>
  <c r="R93" i="10"/>
  <c r="R90" i="10"/>
  <c r="R89" i="10"/>
  <c r="R88" i="10"/>
  <c r="R87" i="10"/>
  <c r="R86" i="10"/>
  <c r="R85" i="10"/>
  <c r="R84" i="10"/>
  <c r="R83" i="10"/>
  <c r="R82" i="10"/>
  <c r="R81" i="10"/>
  <c r="R78" i="10"/>
  <c r="R77" i="10"/>
  <c r="R76" i="10"/>
  <c r="R75" i="10"/>
  <c r="R74" i="10"/>
  <c r="R73" i="10"/>
  <c r="R72" i="10"/>
  <c r="R71" i="10"/>
  <c r="R70" i="10"/>
  <c r="R69" i="10"/>
  <c r="R66" i="10"/>
  <c r="R65" i="10"/>
  <c r="R64" i="10"/>
  <c r="R63" i="10"/>
  <c r="R62" i="10"/>
  <c r="R61" i="10"/>
  <c r="R60" i="10"/>
  <c r="R59" i="10"/>
  <c r="R58" i="10"/>
  <c r="R57" i="10"/>
  <c r="R54" i="10"/>
  <c r="R53" i="10"/>
  <c r="R52" i="10"/>
  <c r="R51" i="10"/>
  <c r="R50" i="10"/>
  <c r="R49" i="10"/>
  <c r="R48" i="10"/>
  <c r="R47" i="10"/>
  <c r="R46" i="10"/>
  <c r="AC214" i="9"/>
  <c r="AC213" i="9"/>
  <c r="AC212" i="9"/>
  <c r="AC211" i="9"/>
  <c r="AC208" i="9"/>
  <c r="AC207" i="9"/>
  <c r="AC206" i="9"/>
  <c r="AC205" i="9"/>
  <c r="AC204" i="9"/>
  <c r="AC203" i="9"/>
  <c r="AC202" i="9"/>
  <c r="AC201" i="9"/>
  <c r="AC200" i="9"/>
  <c r="AC199" i="9"/>
  <c r="AC196" i="9"/>
  <c r="AC195" i="9"/>
  <c r="AC194" i="9"/>
  <c r="AC193" i="9"/>
  <c r="AC192" i="9"/>
  <c r="AC189" i="9"/>
  <c r="AC188" i="9"/>
  <c r="AC187" i="9"/>
  <c r="AC186" i="9"/>
  <c r="AC183" i="9"/>
  <c r="AC182" i="9"/>
  <c r="AC181" i="9"/>
  <c r="AC180" i="9"/>
  <c r="AC179" i="9"/>
  <c r="AC178" i="9"/>
  <c r="AC177" i="9"/>
  <c r="AC176" i="9"/>
  <c r="AC175" i="9"/>
  <c r="AC174" i="9"/>
  <c r="AC171" i="9"/>
  <c r="AC170" i="9"/>
  <c r="AC169" i="9"/>
  <c r="AC168" i="9"/>
  <c r="AC167" i="9"/>
  <c r="AC166" i="9"/>
  <c r="AC165" i="9"/>
  <c r="AC164" i="9"/>
  <c r="AC163" i="9"/>
  <c r="AC162" i="9"/>
  <c r="AC159" i="9"/>
  <c r="AC158" i="9"/>
  <c r="AC157" i="9"/>
  <c r="AC156" i="9"/>
  <c r="AC155" i="9"/>
  <c r="AC154" i="9"/>
  <c r="AC153" i="9"/>
  <c r="AC152" i="9"/>
  <c r="AC151" i="9"/>
  <c r="AC150" i="9"/>
  <c r="AC147" i="9"/>
  <c r="AC146" i="9"/>
  <c r="AC143" i="9"/>
  <c r="AC142" i="9"/>
  <c r="AC141" i="9"/>
  <c r="AC140" i="9"/>
  <c r="AC139" i="9"/>
  <c r="AC138" i="9"/>
  <c r="AC137" i="9"/>
  <c r="AC136" i="9"/>
  <c r="AC133" i="9"/>
  <c r="AC132" i="9"/>
  <c r="AC131" i="9"/>
  <c r="AC130" i="9"/>
  <c r="AC127" i="9"/>
  <c r="AC126" i="9"/>
  <c r="AC125" i="9"/>
  <c r="AC124" i="9"/>
  <c r="AC123" i="9"/>
  <c r="AC122" i="9"/>
  <c r="AC121" i="9"/>
  <c r="AC120" i="9"/>
  <c r="AC119" i="9"/>
  <c r="AC118" i="9"/>
  <c r="AC115" i="9"/>
  <c r="AC114" i="9"/>
  <c r="AC113" i="9"/>
  <c r="AC112" i="9"/>
  <c r="AC111" i="9"/>
  <c r="AC110" i="9"/>
  <c r="AC107" i="9"/>
  <c r="AC106" i="9"/>
  <c r="AC105" i="9"/>
  <c r="AC102" i="9"/>
  <c r="AC101" i="9"/>
  <c r="AC100" i="9"/>
  <c r="AC99" i="9"/>
  <c r="AC98" i="9"/>
  <c r="AC97" i="9"/>
  <c r="AC96" i="9"/>
  <c r="AC95" i="9"/>
  <c r="AC94" i="9"/>
  <c r="AC93" i="9"/>
  <c r="AC90" i="9"/>
  <c r="AC89" i="9"/>
  <c r="AC88" i="9"/>
  <c r="AC87" i="9"/>
  <c r="AC86" i="9"/>
  <c r="AC85" i="9"/>
  <c r="AC84" i="9"/>
  <c r="AC83" i="9"/>
  <c r="AC82" i="9"/>
  <c r="AC81" i="9"/>
  <c r="AC78" i="9"/>
  <c r="AC77" i="9"/>
  <c r="AC76" i="9"/>
  <c r="AC75" i="9"/>
  <c r="AC74" i="9"/>
  <c r="AC73" i="9"/>
  <c r="AC72" i="9"/>
  <c r="AC71" i="9"/>
  <c r="AC70" i="9"/>
  <c r="AC69" i="9"/>
  <c r="AC66" i="9"/>
  <c r="AC65" i="9"/>
  <c r="AC64" i="9"/>
  <c r="AC63" i="9"/>
  <c r="AC62" i="9"/>
  <c r="AC61" i="9"/>
  <c r="AC60" i="9"/>
  <c r="AC59" i="9"/>
  <c r="AC58" i="9"/>
  <c r="AC57" i="9"/>
  <c r="AC54" i="9"/>
  <c r="AC53" i="9"/>
  <c r="AC52" i="9"/>
  <c r="AC51" i="9"/>
  <c r="AC50" i="9"/>
  <c r="AC49" i="9"/>
  <c r="AC48" i="9"/>
  <c r="AC47" i="9"/>
  <c r="AC46" i="9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P28" i="16"/>
  <c r="O28" i="16"/>
  <c r="N28" i="16"/>
  <c r="M28" i="16"/>
  <c r="L28" i="16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Q41" i="10"/>
  <c r="P41" i="10"/>
  <c r="Q36" i="10"/>
  <c r="P36" i="10"/>
  <c r="Q29" i="10"/>
  <c r="P29" i="10"/>
  <c r="Q28" i="10"/>
  <c r="P28" i="10"/>
  <c r="Q27" i="10"/>
  <c r="P27" i="10"/>
  <c r="Q24" i="10"/>
  <c r="P24" i="10"/>
  <c r="Q21" i="10"/>
  <c r="P21" i="10"/>
  <c r="Q16" i="10"/>
  <c r="P16" i="10"/>
  <c r="K41" i="10"/>
  <c r="J41" i="10"/>
  <c r="I41" i="10"/>
  <c r="H41" i="10"/>
  <c r="G41" i="10"/>
  <c r="F41" i="10"/>
  <c r="K36" i="10"/>
  <c r="J36" i="10"/>
  <c r="I36" i="10"/>
  <c r="H36" i="10"/>
  <c r="G36" i="10"/>
  <c r="F36" i="10"/>
  <c r="K29" i="10"/>
  <c r="J29" i="10"/>
  <c r="I29" i="10"/>
  <c r="H29" i="10"/>
  <c r="G29" i="10"/>
  <c r="F29" i="10"/>
  <c r="K28" i="10"/>
  <c r="J28" i="10"/>
  <c r="I28" i="10"/>
  <c r="H28" i="10"/>
  <c r="G28" i="10"/>
  <c r="F28" i="10"/>
  <c r="K27" i="10"/>
  <c r="J27" i="10"/>
  <c r="I27" i="10"/>
  <c r="H27" i="10"/>
  <c r="G27" i="10"/>
  <c r="F27" i="10"/>
  <c r="K24" i="10"/>
  <c r="J24" i="10"/>
  <c r="I24" i="10"/>
  <c r="H24" i="10"/>
  <c r="G24" i="10"/>
  <c r="F24" i="10"/>
  <c r="K21" i="10"/>
  <c r="J21" i="10"/>
  <c r="I21" i="10"/>
  <c r="H21" i="10"/>
  <c r="G21" i="10"/>
  <c r="F21" i="10"/>
  <c r="K16" i="10"/>
  <c r="J16" i="10"/>
  <c r="I16" i="10"/>
  <c r="H16" i="10"/>
  <c r="G16" i="10"/>
  <c r="F16" i="10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X28" i="9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M28" i="9"/>
  <c r="L28" i="9"/>
  <c r="K28" i="9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P30" i="16" l="1"/>
  <c r="E168" i="1"/>
  <c r="W148" i="16"/>
  <c r="E132" i="1"/>
  <c r="L30" i="16"/>
  <c r="M30" i="16"/>
  <c r="N30" i="9"/>
  <c r="F30" i="10"/>
  <c r="N30" i="16"/>
  <c r="G30" i="10"/>
  <c r="O30" i="16"/>
  <c r="AC91" i="11"/>
  <c r="E131" i="1"/>
  <c r="AC148" i="9"/>
  <c r="E167" i="1"/>
  <c r="W134" i="16"/>
  <c r="E211" i="1"/>
  <c r="R79" i="10"/>
  <c r="AC108" i="11"/>
  <c r="E170" i="1"/>
  <c r="E213" i="1"/>
  <c r="E212" i="1"/>
  <c r="E171" i="1"/>
  <c r="E193" i="1"/>
  <c r="R160" i="10"/>
  <c r="E192" i="1"/>
  <c r="E214" i="1"/>
  <c r="E174" i="1"/>
  <c r="E194" i="1"/>
  <c r="AR190" i="15"/>
  <c r="W172" i="16"/>
  <c r="E208" i="1"/>
  <c r="E195" i="1"/>
  <c r="E178" i="1"/>
  <c r="E133" i="1"/>
  <c r="W160" i="16"/>
  <c r="E150" i="1"/>
  <c r="E196" i="1"/>
  <c r="AC144" i="9"/>
  <c r="E136" i="1"/>
  <c r="E152" i="1"/>
  <c r="E137" i="1"/>
  <c r="E153" i="1"/>
  <c r="E179" i="1"/>
  <c r="W116" i="16"/>
  <c r="W215" i="16"/>
  <c r="R79" i="18"/>
  <c r="T108" i="19"/>
  <c r="T209" i="19"/>
  <c r="I30" i="10"/>
  <c r="Q30" i="16"/>
  <c r="AC128" i="9"/>
  <c r="E118" i="1"/>
  <c r="E138" i="1"/>
  <c r="E154" i="1"/>
  <c r="E180" i="1"/>
  <c r="E151" i="1"/>
  <c r="J30" i="10"/>
  <c r="E119" i="1"/>
  <c r="E139" i="1"/>
  <c r="E155" i="1"/>
  <c r="E181" i="1"/>
  <c r="AC190" i="11"/>
  <c r="AC209" i="11"/>
  <c r="W103" i="16"/>
  <c r="W197" i="16"/>
  <c r="AC108" i="9"/>
  <c r="E120" i="1"/>
  <c r="E140" i="1"/>
  <c r="E156" i="1"/>
  <c r="E182" i="1"/>
  <c r="AC209" i="9"/>
  <c r="E199" i="1"/>
  <c r="R209" i="18"/>
  <c r="E177" i="1"/>
  <c r="E121" i="1"/>
  <c r="E141" i="1"/>
  <c r="E183" i="1"/>
  <c r="E157" i="1"/>
  <c r="E200" i="1"/>
  <c r="W79" i="16"/>
  <c r="W184" i="16"/>
  <c r="E142" i="1"/>
  <c r="E201" i="1"/>
  <c r="E122" i="1"/>
  <c r="E158" i="1"/>
  <c r="E186" i="1"/>
  <c r="E123" i="1"/>
  <c r="E143" i="1"/>
  <c r="E159" i="1"/>
  <c r="E187" i="1"/>
  <c r="E202" i="1"/>
  <c r="E169" i="1"/>
  <c r="E175" i="1"/>
  <c r="R67" i="18"/>
  <c r="R172" i="18"/>
  <c r="E189" i="1"/>
  <c r="E126" i="1"/>
  <c r="E146" i="1"/>
  <c r="E164" i="1"/>
  <c r="E205" i="1"/>
  <c r="R148" i="18"/>
  <c r="E125" i="1"/>
  <c r="E163" i="1"/>
  <c r="E204" i="1"/>
  <c r="E127" i="1"/>
  <c r="E147" i="1"/>
  <c r="AC172" i="9"/>
  <c r="E165" i="1"/>
  <c r="E206" i="1"/>
  <c r="E176" i="1"/>
  <c r="AC67" i="9"/>
  <c r="E124" i="1"/>
  <c r="E162" i="1"/>
  <c r="E188" i="1"/>
  <c r="E203" i="1"/>
  <c r="AC116" i="11"/>
  <c r="E130" i="1"/>
  <c r="E166" i="1"/>
  <c r="E207" i="1"/>
  <c r="T116" i="19"/>
  <c r="T215" i="19"/>
  <c r="T103" i="19"/>
  <c r="T197" i="19"/>
  <c r="T79" i="19"/>
  <c r="T184" i="19"/>
  <c r="T160" i="19"/>
  <c r="T128" i="19"/>
  <c r="T144" i="19"/>
  <c r="T91" i="19"/>
  <c r="T190" i="19"/>
  <c r="T67" i="19"/>
  <c r="T172" i="19"/>
  <c r="T148" i="19"/>
  <c r="T134" i="19"/>
  <c r="R128" i="18"/>
  <c r="R91" i="18"/>
  <c r="R108" i="18"/>
  <c r="R144" i="18"/>
  <c r="R160" i="18"/>
  <c r="R190" i="18"/>
  <c r="R103" i="18"/>
  <c r="R116" i="18"/>
  <c r="R134" i="18"/>
  <c r="R184" i="18"/>
  <c r="R197" i="18"/>
  <c r="AV144" i="3"/>
  <c r="AV209" i="3"/>
  <c r="AV160" i="3"/>
  <c r="AV184" i="3"/>
  <c r="AV148" i="3"/>
  <c r="AV128" i="3"/>
  <c r="AV172" i="3"/>
  <c r="AV190" i="3"/>
  <c r="AV134" i="3"/>
  <c r="AV215" i="3"/>
  <c r="AV197" i="3"/>
  <c r="BE148" i="17"/>
  <c r="BE116" i="17"/>
  <c r="BE134" i="17"/>
  <c r="BE160" i="17"/>
  <c r="BE184" i="17"/>
  <c r="BE197" i="17"/>
  <c r="BE215" i="17"/>
  <c r="BE144" i="17"/>
  <c r="BE128" i="17"/>
  <c r="BE209" i="17"/>
  <c r="BE190" i="17"/>
  <c r="BE172" i="17"/>
  <c r="W190" i="16"/>
  <c r="W108" i="16"/>
  <c r="W67" i="16"/>
  <c r="W128" i="16"/>
  <c r="W144" i="16"/>
  <c r="W91" i="16"/>
  <c r="W209" i="16"/>
  <c r="AR209" i="15"/>
  <c r="AR172" i="15"/>
  <c r="AR134" i="15"/>
  <c r="AR128" i="15"/>
  <c r="AR108" i="15"/>
  <c r="AR67" i="15"/>
  <c r="AR116" i="15"/>
  <c r="AR91" i="15"/>
  <c r="AR103" i="15"/>
  <c r="AR148" i="15"/>
  <c r="AR197" i="15"/>
  <c r="AR215" i="15"/>
  <c r="AR184" i="15"/>
  <c r="AR160" i="15"/>
  <c r="AR79" i="15"/>
  <c r="AR144" i="15"/>
  <c r="AC67" i="11"/>
  <c r="AC144" i="11"/>
  <c r="AC148" i="11"/>
  <c r="AC172" i="11"/>
  <c r="AC197" i="11"/>
  <c r="AC215" i="11"/>
  <c r="AC79" i="11"/>
  <c r="AC184" i="11"/>
  <c r="AC160" i="11"/>
  <c r="AC134" i="11"/>
  <c r="AC128" i="11"/>
  <c r="AC103" i="11"/>
  <c r="R67" i="10"/>
  <c r="R108" i="10"/>
  <c r="R134" i="10"/>
  <c r="R148" i="10"/>
  <c r="R190" i="10"/>
  <c r="R116" i="10"/>
  <c r="R215" i="10"/>
  <c r="R103" i="10"/>
  <c r="R197" i="10"/>
  <c r="R184" i="10"/>
  <c r="R144" i="10"/>
  <c r="R128" i="10"/>
  <c r="K30" i="10"/>
  <c r="R209" i="10"/>
  <c r="R91" i="10"/>
  <c r="R172" i="10"/>
  <c r="P30" i="10"/>
  <c r="Q30" i="10"/>
  <c r="AC79" i="9"/>
  <c r="AC103" i="9"/>
  <c r="AC116" i="9"/>
  <c r="AC160" i="9"/>
  <c r="AC184" i="9"/>
  <c r="AC197" i="9"/>
  <c r="AC91" i="9"/>
  <c r="AC190" i="9"/>
  <c r="Y30" i="9"/>
  <c r="AC134" i="9"/>
  <c r="AC215" i="9"/>
  <c r="X30" i="9"/>
  <c r="P218" i="9"/>
  <c r="P220" i="9" s="1"/>
  <c r="K30" i="9"/>
  <c r="L30" i="9"/>
  <c r="M30" i="9"/>
  <c r="H30" i="10"/>
  <c r="P218" i="16"/>
  <c r="P220" i="16" s="1"/>
  <c r="O218" i="16"/>
  <c r="O220" i="16" s="1"/>
  <c r="Q218" i="10"/>
  <c r="Q220" i="10" s="1"/>
  <c r="P218" i="10"/>
  <c r="P220" i="10" s="1"/>
  <c r="T218" i="9"/>
  <c r="T220" i="9" s="1"/>
  <c r="U218" i="9"/>
  <c r="U220" i="9" s="1"/>
  <c r="L218" i="16"/>
  <c r="L220" i="16" s="1"/>
  <c r="M218" i="16"/>
  <c r="M220" i="16" s="1"/>
  <c r="Q218" i="16"/>
  <c r="Q220" i="16" s="1"/>
  <c r="N218" i="16"/>
  <c r="N220" i="16" s="1"/>
  <c r="F218" i="10"/>
  <c r="F220" i="10" s="1"/>
  <c r="G218" i="10"/>
  <c r="G220" i="10" s="1"/>
  <c r="I218" i="10"/>
  <c r="I220" i="10" s="1"/>
  <c r="J218" i="10"/>
  <c r="J220" i="10" s="1"/>
  <c r="H218" i="10"/>
  <c r="H220" i="10" s="1"/>
  <c r="K218" i="10"/>
  <c r="K220" i="10" s="1"/>
  <c r="P30" i="9"/>
  <c r="V218" i="9"/>
  <c r="V220" i="9" s="1"/>
  <c r="T30" i="9"/>
  <c r="Y218" i="9"/>
  <c r="Y220" i="9" s="1"/>
  <c r="R30" i="9"/>
  <c r="S30" i="9"/>
  <c r="G30" i="9"/>
  <c r="U30" i="9"/>
  <c r="I30" i="9"/>
  <c r="V30" i="9"/>
  <c r="W30" i="9"/>
  <c r="R218" i="9"/>
  <c r="R220" i="9" s="1"/>
  <c r="W218" i="9"/>
  <c r="W220" i="9" s="1"/>
  <c r="X218" i="9"/>
  <c r="X220" i="9" s="1"/>
  <c r="Q30" i="9"/>
  <c r="F30" i="9"/>
  <c r="H30" i="9"/>
  <c r="S218" i="9"/>
  <c r="S220" i="9" s="1"/>
  <c r="Q218" i="9"/>
  <c r="Q220" i="9" s="1"/>
  <c r="F218" i="9"/>
  <c r="F220" i="9" s="1"/>
  <c r="G218" i="9"/>
  <c r="G220" i="9" s="1"/>
  <c r="H218" i="9"/>
  <c r="H220" i="9" s="1"/>
  <c r="J218" i="9"/>
  <c r="J220" i="9" s="1"/>
  <c r="J30" i="9"/>
  <c r="K218" i="9"/>
  <c r="K220" i="9" s="1"/>
  <c r="L218" i="9"/>
  <c r="L220" i="9" s="1"/>
  <c r="N218" i="9"/>
  <c r="N220" i="9" s="1"/>
  <c r="M218" i="9"/>
  <c r="M220" i="9" s="1"/>
  <c r="I218" i="9"/>
  <c r="I220" i="9" s="1"/>
  <c r="T219" i="19"/>
  <c r="T45" i="19"/>
  <c r="T55" i="19" s="1"/>
  <c r="S41" i="19"/>
  <c r="R41" i="19"/>
  <c r="Q41" i="19"/>
  <c r="P41" i="19"/>
  <c r="O41" i="19"/>
  <c r="N41" i="19"/>
  <c r="M41" i="19"/>
  <c r="E41" i="19"/>
  <c r="T40" i="19"/>
  <c r="T39" i="19"/>
  <c r="S36" i="19"/>
  <c r="R36" i="19"/>
  <c r="Q36" i="19"/>
  <c r="P36" i="19"/>
  <c r="O36" i="19"/>
  <c r="N36" i="19"/>
  <c r="M36" i="19"/>
  <c r="E36" i="19"/>
  <c r="T35" i="19"/>
  <c r="T34" i="19"/>
  <c r="T33" i="19"/>
  <c r="S29" i="19"/>
  <c r="R29" i="19"/>
  <c r="Q29" i="19"/>
  <c r="P29" i="19"/>
  <c r="O29" i="19"/>
  <c r="N29" i="19"/>
  <c r="M29" i="19"/>
  <c r="E29" i="19"/>
  <c r="S28" i="19"/>
  <c r="R28" i="19"/>
  <c r="Q28" i="19"/>
  <c r="P28" i="19"/>
  <c r="O28" i="19"/>
  <c r="N28" i="19"/>
  <c r="M28" i="19"/>
  <c r="E28" i="19"/>
  <c r="S27" i="19"/>
  <c r="R27" i="19"/>
  <c r="Q27" i="19"/>
  <c r="P27" i="19"/>
  <c r="O27" i="19"/>
  <c r="N27" i="19"/>
  <c r="M27" i="19"/>
  <c r="E27" i="19"/>
  <c r="T26" i="19"/>
  <c r="T25" i="19"/>
  <c r="S24" i="19"/>
  <c r="R24" i="19"/>
  <c r="Q24" i="19"/>
  <c r="P24" i="19"/>
  <c r="O24" i="19"/>
  <c r="N24" i="19"/>
  <c r="M24" i="19"/>
  <c r="E24" i="19"/>
  <c r="T23" i="19"/>
  <c r="T22" i="19"/>
  <c r="S21" i="19"/>
  <c r="R21" i="19"/>
  <c r="Q21" i="19"/>
  <c r="P21" i="19"/>
  <c r="O21" i="19"/>
  <c r="N21" i="19"/>
  <c r="M21" i="19"/>
  <c r="E21" i="19"/>
  <c r="T20" i="19"/>
  <c r="T19" i="19"/>
  <c r="S16" i="19"/>
  <c r="R16" i="19"/>
  <c r="Q16" i="19"/>
  <c r="P16" i="19"/>
  <c r="O16" i="19"/>
  <c r="N16" i="19"/>
  <c r="M16" i="19"/>
  <c r="E16" i="19"/>
  <c r="T15" i="19"/>
  <c r="T14" i="19"/>
  <c r="R219" i="18"/>
  <c r="R45" i="18"/>
  <c r="R55" i="18" s="1"/>
  <c r="Q41" i="18"/>
  <c r="P41" i="18"/>
  <c r="O41" i="18"/>
  <c r="L41" i="18"/>
  <c r="K41" i="18"/>
  <c r="J41" i="18"/>
  <c r="I41" i="18"/>
  <c r="H41" i="18"/>
  <c r="G41" i="18"/>
  <c r="F41" i="18"/>
  <c r="E41" i="18"/>
  <c r="R40" i="18"/>
  <c r="R39" i="18"/>
  <c r="Q36" i="18"/>
  <c r="P36" i="18"/>
  <c r="O36" i="18"/>
  <c r="L36" i="18"/>
  <c r="K36" i="18"/>
  <c r="J36" i="18"/>
  <c r="I36" i="18"/>
  <c r="H36" i="18"/>
  <c r="G36" i="18"/>
  <c r="F36" i="18"/>
  <c r="E36" i="18"/>
  <c r="R35" i="18"/>
  <c r="R34" i="18"/>
  <c r="R33" i="18"/>
  <c r="Q29" i="18"/>
  <c r="P29" i="18"/>
  <c r="O29" i="18"/>
  <c r="L29" i="18"/>
  <c r="K29" i="18"/>
  <c r="J29" i="18"/>
  <c r="I29" i="18"/>
  <c r="H29" i="18"/>
  <c r="G29" i="18"/>
  <c r="F29" i="18"/>
  <c r="E29" i="18"/>
  <c r="Q28" i="18"/>
  <c r="P28" i="18"/>
  <c r="O28" i="18"/>
  <c r="L28" i="18"/>
  <c r="K28" i="18"/>
  <c r="J28" i="18"/>
  <c r="I28" i="18"/>
  <c r="H28" i="18"/>
  <c r="G28" i="18"/>
  <c r="F28" i="18"/>
  <c r="E28" i="18"/>
  <c r="Q27" i="18"/>
  <c r="P27" i="18"/>
  <c r="O27" i="18"/>
  <c r="L27" i="18"/>
  <c r="K27" i="18"/>
  <c r="J27" i="18"/>
  <c r="I27" i="18"/>
  <c r="H27" i="18"/>
  <c r="G27" i="18"/>
  <c r="F27" i="18"/>
  <c r="E27" i="18"/>
  <c r="R26" i="18"/>
  <c r="R25" i="18"/>
  <c r="Q24" i="18"/>
  <c r="P24" i="18"/>
  <c r="O24" i="18"/>
  <c r="L24" i="18"/>
  <c r="K24" i="18"/>
  <c r="J24" i="18"/>
  <c r="I24" i="18"/>
  <c r="H24" i="18"/>
  <c r="G24" i="18"/>
  <c r="F24" i="18"/>
  <c r="E24" i="18"/>
  <c r="R23" i="18"/>
  <c r="R22" i="18"/>
  <c r="Q21" i="18"/>
  <c r="P21" i="18"/>
  <c r="O21" i="18"/>
  <c r="L21" i="18"/>
  <c r="K21" i="18"/>
  <c r="J21" i="18"/>
  <c r="I21" i="18"/>
  <c r="H21" i="18"/>
  <c r="G21" i="18"/>
  <c r="F21" i="18"/>
  <c r="E21" i="18"/>
  <c r="R20" i="18"/>
  <c r="R19" i="18"/>
  <c r="Q16" i="18"/>
  <c r="P16" i="18"/>
  <c r="O16" i="18"/>
  <c r="L16" i="18"/>
  <c r="K16" i="18"/>
  <c r="J16" i="18"/>
  <c r="I16" i="18"/>
  <c r="H16" i="18"/>
  <c r="G16" i="18"/>
  <c r="F16" i="18"/>
  <c r="E16" i="18"/>
  <c r="R15" i="18"/>
  <c r="R14" i="18"/>
  <c r="X41" i="11"/>
  <c r="W41" i="11"/>
  <c r="V41" i="11"/>
  <c r="U41" i="11"/>
  <c r="T41" i="11"/>
  <c r="S41" i="11"/>
  <c r="R41" i="11"/>
  <c r="Q41" i="11"/>
  <c r="P41" i="11"/>
  <c r="X36" i="11"/>
  <c r="W36" i="11"/>
  <c r="V36" i="11"/>
  <c r="U36" i="11"/>
  <c r="T36" i="11"/>
  <c r="S36" i="11"/>
  <c r="R36" i="11"/>
  <c r="Q36" i="11"/>
  <c r="P36" i="11"/>
  <c r="X29" i="11"/>
  <c r="W29" i="11"/>
  <c r="V29" i="11"/>
  <c r="U29" i="11"/>
  <c r="T29" i="11"/>
  <c r="S29" i="11"/>
  <c r="R29" i="11"/>
  <c r="Q29" i="11"/>
  <c r="P29" i="11"/>
  <c r="X28" i="11"/>
  <c r="W28" i="11"/>
  <c r="V28" i="11"/>
  <c r="U28" i="11"/>
  <c r="T28" i="11"/>
  <c r="S28" i="11"/>
  <c r="R28" i="11"/>
  <c r="Q28" i="11"/>
  <c r="P28" i="11"/>
  <c r="X27" i="11"/>
  <c r="W27" i="11"/>
  <c r="V27" i="11"/>
  <c r="U27" i="11"/>
  <c r="T27" i="11"/>
  <c r="S27" i="11"/>
  <c r="R27" i="11"/>
  <c r="Q27" i="11"/>
  <c r="P27" i="11"/>
  <c r="X24" i="11"/>
  <c r="W24" i="11"/>
  <c r="V24" i="11"/>
  <c r="U24" i="11"/>
  <c r="T24" i="11"/>
  <c r="S24" i="11"/>
  <c r="R24" i="11"/>
  <c r="Q24" i="11"/>
  <c r="P24" i="11"/>
  <c r="X21" i="11"/>
  <c r="W21" i="11"/>
  <c r="V21" i="11"/>
  <c r="U21" i="11"/>
  <c r="T21" i="11"/>
  <c r="S21" i="11"/>
  <c r="R21" i="11"/>
  <c r="Q21" i="11"/>
  <c r="P21" i="11"/>
  <c r="X16" i="11"/>
  <c r="W16" i="11"/>
  <c r="V16" i="11"/>
  <c r="U16" i="11"/>
  <c r="T16" i="11"/>
  <c r="S16" i="11"/>
  <c r="R16" i="11"/>
  <c r="Q16" i="11"/>
  <c r="P16" i="11"/>
  <c r="BE219" i="17"/>
  <c r="BE107" i="17"/>
  <c r="BE106" i="17"/>
  <c r="BE105" i="17"/>
  <c r="BE90" i="17"/>
  <c r="BE89" i="17"/>
  <c r="BE88" i="17"/>
  <c r="BE87" i="17"/>
  <c r="BE86" i="17"/>
  <c r="BE85" i="17"/>
  <c r="BE84" i="17"/>
  <c r="BE83" i="17"/>
  <c r="BE82" i="17"/>
  <c r="BE81" i="17"/>
  <c r="BE78" i="17"/>
  <c r="BE77" i="17"/>
  <c r="BE76" i="17"/>
  <c r="BE75" i="17"/>
  <c r="BE74" i="17"/>
  <c r="BE73" i="17"/>
  <c r="BE72" i="17"/>
  <c r="BE71" i="17"/>
  <c r="BE70" i="17"/>
  <c r="BE69" i="17"/>
  <c r="BE66" i="17"/>
  <c r="BE65" i="17"/>
  <c r="BE64" i="17"/>
  <c r="BE63" i="17"/>
  <c r="BE62" i="17"/>
  <c r="BE61" i="17"/>
  <c r="BE60" i="17"/>
  <c r="BE59" i="17"/>
  <c r="BE58" i="17"/>
  <c r="BE57" i="17"/>
  <c r="BE54" i="17"/>
  <c r="BE53" i="17"/>
  <c r="BE52" i="17"/>
  <c r="BE51" i="17"/>
  <c r="BE50" i="17"/>
  <c r="BE49" i="17"/>
  <c r="BE48" i="17"/>
  <c r="BE47" i="17"/>
  <c r="BE46" i="17"/>
  <c r="BE45" i="17"/>
  <c r="BD41" i="17"/>
  <c r="BC41" i="17"/>
  <c r="BB41" i="17"/>
  <c r="BA41" i="17"/>
  <c r="AZ41" i="17"/>
  <c r="AY41" i="17"/>
  <c r="AX41" i="17"/>
  <c r="AQ41" i="17"/>
  <c r="AP41" i="17"/>
  <c r="AO41" i="17"/>
  <c r="AN41" i="17"/>
  <c r="AM41" i="17"/>
  <c r="E41" i="17"/>
  <c r="BE40" i="17"/>
  <c r="BE39" i="17"/>
  <c r="BD36" i="17"/>
  <c r="BC36" i="17"/>
  <c r="BB36" i="17"/>
  <c r="BA36" i="17"/>
  <c r="AZ36" i="17"/>
  <c r="AY36" i="17"/>
  <c r="AX36" i="17"/>
  <c r="AQ36" i="17"/>
  <c r="AP36" i="17"/>
  <c r="AO36" i="17"/>
  <c r="AN36" i="17"/>
  <c r="AM36" i="17"/>
  <c r="E36" i="17"/>
  <c r="BE35" i="17"/>
  <c r="BE34" i="17"/>
  <c r="BE33" i="17"/>
  <c r="BD29" i="17"/>
  <c r="BC29" i="17"/>
  <c r="BB29" i="17"/>
  <c r="BA29" i="17"/>
  <c r="AZ29" i="17"/>
  <c r="AY29" i="17"/>
  <c r="AX29" i="17"/>
  <c r="AQ29" i="17"/>
  <c r="AP29" i="17"/>
  <c r="AO29" i="17"/>
  <c r="AN29" i="17"/>
  <c r="AM29" i="17"/>
  <c r="E29" i="17"/>
  <c r="BD28" i="17"/>
  <c r="BC28" i="17"/>
  <c r="BB28" i="17"/>
  <c r="BA28" i="17"/>
  <c r="AZ28" i="17"/>
  <c r="AY28" i="17"/>
  <c r="AX28" i="17"/>
  <c r="AQ28" i="17"/>
  <c r="AP28" i="17"/>
  <c r="AO28" i="17"/>
  <c r="AN28" i="17"/>
  <c r="AM28" i="17"/>
  <c r="E28" i="17"/>
  <c r="BD27" i="17"/>
  <c r="BC27" i="17"/>
  <c r="BB27" i="17"/>
  <c r="BA27" i="17"/>
  <c r="AZ27" i="17"/>
  <c r="AY27" i="17"/>
  <c r="AX27" i="17"/>
  <c r="AQ27" i="17"/>
  <c r="AP27" i="17"/>
  <c r="AO27" i="17"/>
  <c r="AN27" i="17"/>
  <c r="AM27" i="17"/>
  <c r="E27" i="17"/>
  <c r="BE26" i="17"/>
  <c r="BE25" i="17"/>
  <c r="BD24" i="17"/>
  <c r="BC24" i="17"/>
  <c r="BB24" i="17"/>
  <c r="BA24" i="17"/>
  <c r="AZ24" i="17"/>
  <c r="AY24" i="17"/>
  <c r="AX24" i="17"/>
  <c r="AQ24" i="17"/>
  <c r="AP24" i="17"/>
  <c r="AO24" i="17"/>
  <c r="AN24" i="17"/>
  <c r="AM24" i="17"/>
  <c r="E24" i="17"/>
  <c r="BE23" i="17"/>
  <c r="BE22" i="17"/>
  <c r="BD21" i="17"/>
  <c r="BC21" i="17"/>
  <c r="BB21" i="17"/>
  <c r="BA21" i="17"/>
  <c r="AZ21" i="17"/>
  <c r="AY21" i="17"/>
  <c r="AX21" i="17"/>
  <c r="AQ21" i="17"/>
  <c r="AP21" i="17"/>
  <c r="AO21" i="17"/>
  <c r="AN21" i="17"/>
  <c r="AM21" i="17"/>
  <c r="E21" i="17"/>
  <c r="BE20" i="17"/>
  <c r="BE19" i="17"/>
  <c r="BD16" i="17"/>
  <c r="BC16" i="17"/>
  <c r="BB16" i="17"/>
  <c r="BA16" i="17"/>
  <c r="AZ16" i="17"/>
  <c r="AY16" i="17"/>
  <c r="AX16" i="17"/>
  <c r="AQ16" i="17"/>
  <c r="AP16" i="17"/>
  <c r="AO16" i="17"/>
  <c r="AN16" i="17"/>
  <c r="AM16" i="17"/>
  <c r="E16" i="17"/>
  <c r="BE15" i="17"/>
  <c r="BE14" i="17"/>
  <c r="W219" i="16"/>
  <c r="W45" i="16"/>
  <c r="W55" i="16" s="1"/>
  <c r="V41" i="16"/>
  <c r="U41" i="16"/>
  <c r="T41" i="16"/>
  <c r="S41" i="16"/>
  <c r="R41" i="16"/>
  <c r="K41" i="16"/>
  <c r="J41" i="16"/>
  <c r="I41" i="16"/>
  <c r="H41" i="16"/>
  <c r="G41" i="16"/>
  <c r="F41" i="16"/>
  <c r="E41" i="16"/>
  <c r="W40" i="16"/>
  <c r="W39" i="16"/>
  <c r="V36" i="16"/>
  <c r="U36" i="16"/>
  <c r="T36" i="16"/>
  <c r="S36" i="16"/>
  <c r="R36" i="16"/>
  <c r="K36" i="16"/>
  <c r="J36" i="16"/>
  <c r="I36" i="16"/>
  <c r="H36" i="16"/>
  <c r="G36" i="16"/>
  <c r="F36" i="16"/>
  <c r="E36" i="16"/>
  <c r="W35" i="16"/>
  <c r="W34" i="16"/>
  <c r="W33" i="16"/>
  <c r="V29" i="16"/>
  <c r="U29" i="16"/>
  <c r="T29" i="16"/>
  <c r="S29" i="16"/>
  <c r="R29" i="16"/>
  <c r="K29" i="16"/>
  <c r="J29" i="16"/>
  <c r="I29" i="16"/>
  <c r="H29" i="16"/>
  <c r="G29" i="16"/>
  <c r="F29" i="16"/>
  <c r="E29" i="16"/>
  <c r="V28" i="16"/>
  <c r="U28" i="16"/>
  <c r="T28" i="16"/>
  <c r="S28" i="16"/>
  <c r="R28" i="16"/>
  <c r="K28" i="16"/>
  <c r="J28" i="16"/>
  <c r="I28" i="16"/>
  <c r="H28" i="16"/>
  <c r="G28" i="16"/>
  <c r="F28" i="16"/>
  <c r="E28" i="16"/>
  <c r="V27" i="16"/>
  <c r="U27" i="16"/>
  <c r="T27" i="16"/>
  <c r="S27" i="16"/>
  <c r="R27" i="16"/>
  <c r="K27" i="16"/>
  <c r="J27" i="16"/>
  <c r="I27" i="16"/>
  <c r="H27" i="16"/>
  <c r="G27" i="16"/>
  <c r="F27" i="16"/>
  <c r="E27" i="16"/>
  <c r="W26" i="16"/>
  <c r="W25" i="16"/>
  <c r="V24" i="16"/>
  <c r="U24" i="16"/>
  <c r="T24" i="16"/>
  <c r="S24" i="16"/>
  <c r="R24" i="16"/>
  <c r="K24" i="16"/>
  <c r="J24" i="16"/>
  <c r="I24" i="16"/>
  <c r="H24" i="16"/>
  <c r="G24" i="16"/>
  <c r="F24" i="16"/>
  <c r="E24" i="16"/>
  <c r="W23" i="16"/>
  <c r="W22" i="16"/>
  <c r="V21" i="16"/>
  <c r="U21" i="16"/>
  <c r="T21" i="16"/>
  <c r="S21" i="16"/>
  <c r="R21" i="16"/>
  <c r="K21" i="16"/>
  <c r="J21" i="16"/>
  <c r="I21" i="16"/>
  <c r="H21" i="16"/>
  <c r="G21" i="16"/>
  <c r="F21" i="16"/>
  <c r="E21" i="16"/>
  <c r="W20" i="16"/>
  <c r="W19" i="16"/>
  <c r="V16" i="16"/>
  <c r="U16" i="16"/>
  <c r="T16" i="16"/>
  <c r="S16" i="16"/>
  <c r="R16" i="16"/>
  <c r="K16" i="16"/>
  <c r="J16" i="16"/>
  <c r="I16" i="16"/>
  <c r="H16" i="16"/>
  <c r="G16" i="16"/>
  <c r="F16" i="16"/>
  <c r="E16" i="16"/>
  <c r="W15" i="16"/>
  <c r="W14" i="16"/>
  <c r="AR219" i="15"/>
  <c r="AR45" i="15"/>
  <c r="AR55" i="15" s="1"/>
  <c r="AQ41" i="15"/>
  <c r="AP41" i="15"/>
  <c r="AO41" i="15"/>
  <c r="AN41" i="15"/>
  <c r="AM41" i="15"/>
  <c r="AL41" i="15"/>
  <c r="AF41" i="15"/>
  <c r="AE41" i="15"/>
  <c r="AD41" i="15"/>
  <c r="AC41" i="15"/>
  <c r="AB41" i="15"/>
  <c r="AA41" i="15"/>
  <c r="Z41" i="15"/>
  <c r="Y41" i="15"/>
  <c r="X41" i="15"/>
  <c r="W41" i="15"/>
  <c r="V41" i="15"/>
  <c r="E41" i="15"/>
  <c r="AR40" i="15"/>
  <c r="AR39" i="15"/>
  <c r="AQ36" i="15"/>
  <c r="AP36" i="15"/>
  <c r="AO36" i="15"/>
  <c r="AN36" i="15"/>
  <c r="AM36" i="15"/>
  <c r="AL36" i="15"/>
  <c r="AF36" i="15"/>
  <c r="AE36" i="15"/>
  <c r="AD36" i="15"/>
  <c r="AC36" i="15"/>
  <c r="AB36" i="15"/>
  <c r="AA36" i="15"/>
  <c r="Z36" i="15"/>
  <c r="Y36" i="15"/>
  <c r="X36" i="15"/>
  <c r="W36" i="15"/>
  <c r="V36" i="15"/>
  <c r="E36" i="15"/>
  <c r="AR35" i="15"/>
  <c r="AR34" i="15"/>
  <c r="AR33" i="15"/>
  <c r="AQ29" i="15"/>
  <c r="AP29" i="15"/>
  <c r="AO29" i="15"/>
  <c r="AN29" i="15"/>
  <c r="AM29" i="15"/>
  <c r="AL29" i="15"/>
  <c r="AF29" i="15"/>
  <c r="AE29" i="15"/>
  <c r="AD29" i="15"/>
  <c r="AC29" i="15"/>
  <c r="AB29" i="15"/>
  <c r="AA29" i="15"/>
  <c r="Z29" i="15"/>
  <c r="Y29" i="15"/>
  <c r="X29" i="15"/>
  <c r="W29" i="15"/>
  <c r="V29" i="15"/>
  <c r="E29" i="15"/>
  <c r="AQ28" i="15"/>
  <c r="AP28" i="15"/>
  <c r="AO28" i="15"/>
  <c r="AN28" i="15"/>
  <c r="AM28" i="15"/>
  <c r="AL28" i="15"/>
  <c r="AF28" i="15"/>
  <c r="AE28" i="15"/>
  <c r="AD28" i="15"/>
  <c r="AC28" i="15"/>
  <c r="AB28" i="15"/>
  <c r="AA28" i="15"/>
  <c r="Z28" i="15"/>
  <c r="Y28" i="15"/>
  <c r="X28" i="15"/>
  <c r="W28" i="15"/>
  <c r="V28" i="15"/>
  <c r="E28" i="15"/>
  <c r="AQ27" i="15"/>
  <c r="AP27" i="15"/>
  <c r="AO27" i="15"/>
  <c r="AN27" i="15"/>
  <c r="AM27" i="15"/>
  <c r="AL27" i="15"/>
  <c r="E27" i="15"/>
  <c r="AR26" i="15"/>
  <c r="AR25" i="15"/>
  <c r="AQ24" i="15"/>
  <c r="AP24" i="15"/>
  <c r="AO24" i="15"/>
  <c r="AN24" i="15"/>
  <c r="AM24" i="15"/>
  <c r="AL24" i="15"/>
  <c r="E24" i="15"/>
  <c r="AR23" i="15"/>
  <c r="AR22" i="15"/>
  <c r="AQ21" i="15"/>
  <c r="AP21" i="15"/>
  <c r="AO21" i="15"/>
  <c r="AN21" i="15"/>
  <c r="AM21" i="15"/>
  <c r="AL21" i="15"/>
  <c r="AF21" i="15"/>
  <c r="AE21" i="15"/>
  <c r="AD21" i="15"/>
  <c r="AC21" i="15"/>
  <c r="AB21" i="15"/>
  <c r="AA21" i="15"/>
  <c r="Z21" i="15"/>
  <c r="Y21" i="15"/>
  <c r="X21" i="15"/>
  <c r="W21" i="15"/>
  <c r="V21" i="15"/>
  <c r="E21" i="15"/>
  <c r="AR20" i="15"/>
  <c r="AR19" i="15"/>
  <c r="AQ16" i="15"/>
  <c r="AP16" i="15"/>
  <c r="AO16" i="15"/>
  <c r="AN16" i="15"/>
  <c r="AM16" i="15"/>
  <c r="AL16" i="15"/>
  <c r="AF16" i="15"/>
  <c r="AE16" i="15"/>
  <c r="AD16" i="15"/>
  <c r="AC16" i="15"/>
  <c r="AB16" i="15"/>
  <c r="AA16" i="15"/>
  <c r="Z16" i="15"/>
  <c r="Y16" i="15"/>
  <c r="X16" i="15"/>
  <c r="W16" i="15"/>
  <c r="V16" i="15"/>
  <c r="E16" i="15"/>
  <c r="AR15" i="15"/>
  <c r="AR14" i="15"/>
  <c r="AV114" i="3"/>
  <c r="E114" i="1" s="1"/>
  <c r="AV115" i="3"/>
  <c r="E115" i="1" s="1"/>
  <c r="AV101" i="3"/>
  <c r="AV102" i="3"/>
  <c r="AV89" i="3"/>
  <c r="AV90" i="3"/>
  <c r="AV77" i="3"/>
  <c r="AV78" i="3"/>
  <c r="AV65" i="3"/>
  <c r="AV66" i="3"/>
  <c r="AV53" i="3"/>
  <c r="AV54" i="3"/>
  <c r="E77" i="1" l="1"/>
  <c r="E101" i="1"/>
  <c r="E78" i="1"/>
  <c r="E89" i="1"/>
  <c r="E90" i="1"/>
  <c r="E65" i="1"/>
  <c r="E66" i="1"/>
  <c r="E53" i="1"/>
  <c r="E102" i="1"/>
  <c r="BE108" i="17"/>
  <c r="M30" i="19"/>
  <c r="N30" i="19"/>
  <c r="E54" i="1"/>
  <c r="P30" i="19"/>
  <c r="O30" i="19"/>
  <c r="Q30" i="19"/>
  <c r="R30" i="19"/>
  <c r="BE55" i="17"/>
  <c r="BD30" i="17"/>
  <c r="AP30" i="17"/>
  <c r="BE91" i="17"/>
  <c r="BE67" i="17"/>
  <c r="S30" i="16"/>
  <c r="E30" i="16"/>
  <c r="T30" i="16"/>
  <c r="E148" i="1"/>
  <c r="AM30" i="15"/>
  <c r="AN30" i="15"/>
  <c r="E197" i="1"/>
  <c r="E172" i="1"/>
  <c r="E160" i="1"/>
  <c r="E144" i="1"/>
  <c r="E184" i="1"/>
  <c r="E190" i="1"/>
  <c r="E134" i="1"/>
  <c r="E128" i="1"/>
  <c r="E215" i="1"/>
  <c r="E209" i="1"/>
  <c r="R30" i="11"/>
  <c r="T30" i="11"/>
  <c r="V30" i="16"/>
  <c r="I30" i="16"/>
  <c r="G30" i="16"/>
  <c r="H30" i="16"/>
  <c r="J30" i="16"/>
  <c r="AY30" i="17"/>
  <c r="AZ30" i="17"/>
  <c r="BE103" i="17"/>
  <c r="BB30" i="17"/>
  <c r="BC30" i="17"/>
  <c r="BE79" i="17"/>
  <c r="R36" i="18"/>
  <c r="J30" i="18"/>
  <c r="E30" i="19"/>
  <c r="T24" i="19"/>
  <c r="S30" i="19"/>
  <c r="R21" i="18"/>
  <c r="R29" i="18"/>
  <c r="F218" i="18"/>
  <c r="F220" i="18" s="1"/>
  <c r="G218" i="18"/>
  <c r="G220" i="18" s="1"/>
  <c r="P30" i="18"/>
  <c r="J218" i="18"/>
  <c r="J220" i="18" s="1"/>
  <c r="K218" i="18"/>
  <c r="K220" i="18" s="1"/>
  <c r="L218" i="18"/>
  <c r="L220" i="18" s="1"/>
  <c r="O218" i="18"/>
  <c r="O220" i="18" s="1"/>
  <c r="AO218" i="17"/>
  <c r="AO220" i="17" s="1"/>
  <c r="AM30" i="17"/>
  <c r="AN30" i="17"/>
  <c r="U30" i="16"/>
  <c r="W24" i="16"/>
  <c r="T218" i="16"/>
  <c r="T220" i="16" s="1"/>
  <c r="F30" i="16"/>
  <c r="W30" i="15"/>
  <c r="X30" i="15"/>
  <c r="AA30" i="15"/>
  <c r="Y30" i="15"/>
  <c r="AF30" i="15"/>
  <c r="AO30" i="15"/>
  <c r="AL30" i="15"/>
  <c r="AP30" i="15"/>
  <c r="Z30" i="15"/>
  <c r="T218" i="11"/>
  <c r="T220" i="11" s="1"/>
  <c r="U218" i="11"/>
  <c r="U220" i="11" s="1"/>
  <c r="P218" i="11"/>
  <c r="P220" i="11" s="1"/>
  <c r="V218" i="11"/>
  <c r="V220" i="11" s="1"/>
  <c r="Q218" i="11"/>
  <c r="Q220" i="11" s="1"/>
  <c r="W218" i="11"/>
  <c r="W220" i="11" s="1"/>
  <c r="R218" i="11"/>
  <c r="R220" i="11" s="1"/>
  <c r="S218" i="11"/>
  <c r="S220" i="11" s="1"/>
  <c r="X218" i="11"/>
  <c r="X220" i="11" s="1"/>
  <c r="S30" i="11"/>
  <c r="U30" i="11"/>
  <c r="V30" i="11"/>
  <c r="W30" i="11"/>
  <c r="X30" i="11"/>
  <c r="P30" i="11"/>
  <c r="Q30" i="11"/>
  <c r="T21" i="19"/>
  <c r="T16" i="19"/>
  <c r="E218" i="19"/>
  <c r="E220" i="19" s="1"/>
  <c r="T29" i="19"/>
  <c r="P218" i="19"/>
  <c r="P220" i="19" s="1"/>
  <c r="O218" i="19"/>
  <c r="O220" i="19" s="1"/>
  <c r="M218" i="19"/>
  <c r="M220" i="19" s="1"/>
  <c r="Q218" i="19"/>
  <c r="Q220" i="19" s="1"/>
  <c r="T36" i="19"/>
  <c r="S218" i="19"/>
  <c r="S220" i="19" s="1"/>
  <c r="R218" i="19"/>
  <c r="R220" i="19" s="1"/>
  <c r="T27" i="19"/>
  <c r="T28" i="19"/>
  <c r="N218" i="19"/>
  <c r="N220" i="19" s="1"/>
  <c r="T41" i="19"/>
  <c r="P218" i="18"/>
  <c r="P220" i="18" s="1"/>
  <c r="Q218" i="18"/>
  <c r="Q220" i="18" s="1"/>
  <c r="I218" i="18"/>
  <c r="I220" i="18" s="1"/>
  <c r="H218" i="18"/>
  <c r="H220" i="18" s="1"/>
  <c r="H30" i="18"/>
  <c r="R24" i="18"/>
  <c r="R16" i="18"/>
  <c r="F30" i="18"/>
  <c r="I30" i="18"/>
  <c r="K30" i="18"/>
  <c r="G30" i="18"/>
  <c r="R27" i="18"/>
  <c r="L30" i="18"/>
  <c r="O30" i="18"/>
  <c r="R41" i="18"/>
  <c r="E30" i="18"/>
  <c r="Q30" i="18"/>
  <c r="R28" i="18"/>
  <c r="E218" i="18"/>
  <c r="W41" i="16"/>
  <c r="W21" i="16"/>
  <c r="W28" i="16"/>
  <c r="W16" i="16"/>
  <c r="R30" i="16"/>
  <c r="W36" i="16"/>
  <c r="J218" i="16"/>
  <c r="J220" i="16" s="1"/>
  <c r="E218" i="16"/>
  <c r="E220" i="16" s="1"/>
  <c r="W27" i="16"/>
  <c r="R218" i="16"/>
  <c r="R220" i="16" s="1"/>
  <c r="I218" i="16"/>
  <c r="I220" i="16" s="1"/>
  <c r="G218" i="16"/>
  <c r="G220" i="16" s="1"/>
  <c r="U218" i="16"/>
  <c r="U220" i="16" s="1"/>
  <c r="V218" i="16"/>
  <c r="V220" i="16" s="1"/>
  <c r="K30" i="16"/>
  <c r="K218" i="16"/>
  <c r="K220" i="16" s="1"/>
  <c r="F218" i="16"/>
  <c r="F220" i="16" s="1"/>
  <c r="S218" i="16"/>
  <c r="S220" i="16" s="1"/>
  <c r="H218" i="16"/>
  <c r="H220" i="16" s="1"/>
  <c r="AD30" i="15"/>
  <c r="V30" i="15"/>
  <c r="AE30" i="15"/>
  <c r="AQ30" i="15"/>
  <c r="E30" i="15"/>
  <c r="BE24" i="17"/>
  <c r="AP218" i="17"/>
  <c r="AP220" i="17" s="1"/>
  <c r="E218" i="17"/>
  <c r="E220" i="17" s="1"/>
  <c r="AO30" i="17"/>
  <c r="AM218" i="17"/>
  <c r="AM220" i="17" s="1"/>
  <c r="BE28" i="17"/>
  <c r="BE27" i="17"/>
  <c r="E30" i="17"/>
  <c r="AX30" i="17"/>
  <c r="AQ30" i="17"/>
  <c r="AQ218" i="17"/>
  <c r="AQ220" i="17" s="1"/>
  <c r="BA30" i="17"/>
  <c r="AX218" i="17"/>
  <c r="AX220" i="17" s="1"/>
  <c r="AY218" i="17"/>
  <c r="AY220" i="17" s="1"/>
  <c r="BE36" i="17"/>
  <c r="AZ218" i="17"/>
  <c r="AZ220" i="17" s="1"/>
  <c r="BA218" i="17"/>
  <c r="BA220" i="17" s="1"/>
  <c r="BB218" i="17"/>
  <c r="BB220" i="17" s="1"/>
  <c r="BE41" i="17"/>
  <c r="BC218" i="17"/>
  <c r="BC220" i="17" s="1"/>
  <c r="BE21" i="17"/>
  <c r="BD218" i="17"/>
  <c r="BD220" i="17" s="1"/>
  <c r="BE16" i="17"/>
  <c r="AN218" i="17"/>
  <c r="AN220" i="17" s="1"/>
  <c r="BE29" i="17"/>
  <c r="W29" i="16"/>
  <c r="V218" i="15"/>
  <c r="V220" i="15" s="1"/>
  <c r="W218" i="15"/>
  <c r="W220" i="15" s="1"/>
  <c r="AB30" i="15"/>
  <c r="AF218" i="15"/>
  <c r="AF220" i="15" s="1"/>
  <c r="X218" i="15"/>
  <c r="X220" i="15" s="1"/>
  <c r="Y218" i="15"/>
  <c r="Y220" i="15" s="1"/>
  <c r="AR36" i="15"/>
  <c r="AL218" i="15"/>
  <c r="AL220" i="15" s="1"/>
  <c r="AM218" i="15"/>
  <c r="AM220" i="15" s="1"/>
  <c r="AB218" i="15"/>
  <c r="AB220" i="15" s="1"/>
  <c r="AA218" i="15"/>
  <c r="AA220" i="15" s="1"/>
  <c r="AC30" i="15"/>
  <c r="AR21" i="15"/>
  <c r="AC218" i="15"/>
  <c r="AC220" i="15" s="1"/>
  <c r="AR41" i="15"/>
  <c r="AD218" i="15"/>
  <c r="AD220" i="15" s="1"/>
  <c r="AR24" i="15"/>
  <c r="AR29" i="15"/>
  <c r="AE218" i="15"/>
  <c r="AE220" i="15" s="1"/>
  <c r="AQ218" i="15"/>
  <c r="AQ220" i="15" s="1"/>
  <c r="Z218" i="15"/>
  <c r="Z220" i="15" s="1"/>
  <c r="AN218" i="15"/>
  <c r="AN220" i="15" s="1"/>
  <c r="AR16" i="15"/>
  <c r="AO218" i="15"/>
  <c r="AO220" i="15" s="1"/>
  <c r="AP218" i="15"/>
  <c r="AP220" i="15" s="1"/>
  <c r="AR27" i="15"/>
  <c r="E218" i="15"/>
  <c r="AR28" i="15"/>
  <c r="T30" i="19" l="1"/>
  <c r="R30" i="18"/>
  <c r="BE30" i="17"/>
  <c r="BE220" i="17"/>
  <c r="W30" i="16"/>
  <c r="W220" i="16"/>
  <c r="AR30" i="15"/>
  <c r="T218" i="19"/>
  <c r="T220" i="19"/>
  <c r="R218" i="18"/>
  <c r="E220" i="18"/>
  <c r="R220" i="18" s="1"/>
  <c r="W218" i="16"/>
  <c r="BE218" i="17"/>
  <c r="AR218" i="15"/>
  <c r="AR222" i="15" s="1"/>
  <c r="E220" i="15"/>
  <c r="AR220" i="15" s="1"/>
  <c r="AC219" i="11" l="1"/>
  <c r="AC45" i="11"/>
  <c r="AC55" i="11" s="1"/>
  <c r="AB41" i="11"/>
  <c r="AA41" i="11"/>
  <c r="Z41" i="11"/>
  <c r="Y41" i="11"/>
  <c r="O41" i="11"/>
  <c r="N41" i="11"/>
  <c r="M41" i="11"/>
  <c r="L41" i="11"/>
  <c r="K41" i="11"/>
  <c r="J41" i="11"/>
  <c r="I41" i="11"/>
  <c r="H41" i="11"/>
  <c r="G41" i="11"/>
  <c r="F41" i="11"/>
  <c r="E41" i="11"/>
  <c r="AC40" i="11"/>
  <c r="AC39" i="11"/>
  <c r="AB36" i="11"/>
  <c r="AA36" i="11"/>
  <c r="Z36" i="11"/>
  <c r="Y36" i="11"/>
  <c r="O36" i="11"/>
  <c r="N36" i="11"/>
  <c r="M36" i="11"/>
  <c r="L36" i="11"/>
  <c r="K36" i="11"/>
  <c r="J36" i="11"/>
  <c r="I36" i="11"/>
  <c r="H36" i="11"/>
  <c r="G36" i="11"/>
  <c r="F36" i="11"/>
  <c r="E36" i="11"/>
  <c r="AC35" i="11"/>
  <c r="AC34" i="11"/>
  <c r="AC33" i="11"/>
  <c r="AB29" i="11"/>
  <c r="AA29" i="11"/>
  <c r="Z29" i="11"/>
  <c r="Y29" i="11"/>
  <c r="O29" i="11"/>
  <c r="N29" i="11"/>
  <c r="M29" i="11"/>
  <c r="L29" i="11"/>
  <c r="K29" i="11"/>
  <c r="J29" i="11"/>
  <c r="I29" i="11"/>
  <c r="H29" i="11"/>
  <c r="G29" i="11"/>
  <c r="F29" i="11"/>
  <c r="E29" i="11"/>
  <c r="AB28" i="11"/>
  <c r="AA28" i="11"/>
  <c r="Z28" i="11"/>
  <c r="Y28" i="11"/>
  <c r="O28" i="11"/>
  <c r="N28" i="11"/>
  <c r="M28" i="11"/>
  <c r="L28" i="11"/>
  <c r="K28" i="11"/>
  <c r="J28" i="11"/>
  <c r="I28" i="11"/>
  <c r="I30" i="11" s="1"/>
  <c r="H28" i="11"/>
  <c r="G28" i="11"/>
  <c r="F28" i="11"/>
  <c r="E28" i="11"/>
  <c r="AB27" i="11"/>
  <c r="AA27" i="11"/>
  <c r="Z27" i="11"/>
  <c r="Y27" i="11"/>
  <c r="O27" i="11"/>
  <c r="N27" i="11"/>
  <c r="M27" i="11"/>
  <c r="L27" i="11"/>
  <c r="K27" i="11"/>
  <c r="J27" i="11"/>
  <c r="I27" i="11"/>
  <c r="H27" i="11"/>
  <c r="G27" i="11"/>
  <c r="F27" i="11"/>
  <c r="E27" i="11"/>
  <c r="AC26" i="11"/>
  <c r="AC25" i="11"/>
  <c r="AB24" i="11"/>
  <c r="AA24" i="11"/>
  <c r="Z24" i="11"/>
  <c r="Y24" i="11"/>
  <c r="O24" i="11"/>
  <c r="N24" i="11"/>
  <c r="M24" i="11"/>
  <c r="L24" i="11"/>
  <c r="K24" i="11"/>
  <c r="J24" i="11"/>
  <c r="I24" i="11"/>
  <c r="H24" i="11"/>
  <c r="G24" i="11"/>
  <c r="F24" i="11"/>
  <c r="E24" i="11"/>
  <c r="AC23" i="11"/>
  <c r="AC22" i="11"/>
  <c r="AB21" i="11"/>
  <c r="AA21" i="11"/>
  <c r="Z21" i="11"/>
  <c r="Y21" i="11"/>
  <c r="O21" i="11"/>
  <c r="N21" i="11"/>
  <c r="M21" i="11"/>
  <c r="L21" i="11"/>
  <c r="K21" i="11"/>
  <c r="J21" i="11"/>
  <c r="I21" i="11"/>
  <c r="H21" i="11"/>
  <c r="G21" i="11"/>
  <c r="F21" i="11"/>
  <c r="E21" i="11"/>
  <c r="AC20" i="11"/>
  <c r="AC19" i="11"/>
  <c r="AB16" i="11"/>
  <c r="AA16" i="11"/>
  <c r="Z16" i="11"/>
  <c r="Y16" i="11"/>
  <c r="O16" i="11"/>
  <c r="N16" i="11"/>
  <c r="M16" i="11"/>
  <c r="L16" i="11"/>
  <c r="K16" i="11"/>
  <c r="J16" i="11"/>
  <c r="I16" i="11"/>
  <c r="H16" i="11"/>
  <c r="G16" i="11"/>
  <c r="F16" i="11"/>
  <c r="E16" i="11"/>
  <c r="AC15" i="11"/>
  <c r="AC14" i="11"/>
  <c r="R219" i="10"/>
  <c r="R45" i="10"/>
  <c r="R55" i="10" s="1"/>
  <c r="O41" i="10"/>
  <c r="N41" i="10"/>
  <c r="M41" i="10"/>
  <c r="L41" i="10"/>
  <c r="E41" i="10"/>
  <c r="R40" i="10"/>
  <c r="R39" i="10"/>
  <c r="O36" i="10"/>
  <c r="N36" i="10"/>
  <c r="M36" i="10"/>
  <c r="L36" i="10"/>
  <c r="E36" i="10"/>
  <c r="R35" i="10"/>
  <c r="R34" i="10"/>
  <c r="R33" i="10"/>
  <c r="O29" i="10"/>
  <c r="N29" i="10"/>
  <c r="M29" i="10"/>
  <c r="L29" i="10"/>
  <c r="E29" i="10"/>
  <c r="O28" i="10"/>
  <c r="N28" i="10"/>
  <c r="M28" i="10"/>
  <c r="L28" i="10"/>
  <c r="E28" i="10"/>
  <c r="O27" i="10"/>
  <c r="N27" i="10"/>
  <c r="M27" i="10"/>
  <c r="L27" i="10"/>
  <c r="E27" i="10"/>
  <c r="R26" i="10"/>
  <c r="R25" i="10"/>
  <c r="O24" i="10"/>
  <c r="N24" i="10"/>
  <c r="M24" i="10"/>
  <c r="L24" i="10"/>
  <c r="E24" i="10"/>
  <c r="R23" i="10"/>
  <c r="R22" i="10"/>
  <c r="O21" i="10"/>
  <c r="N21" i="10"/>
  <c r="M21" i="10"/>
  <c r="L21" i="10"/>
  <c r="E21" i="10"/>
  <c r="R20" i="10"/>
  <c r="R19" i="10"/>
  <c r="O16" i="10"/>
  <c r="N16" i="10"/>
  <c r="M16" i="10"/>
  <c r="L16" i="10"/>
  <c r="E16" i="10"/>
  <c r="R15" i="10"/>
  <c r="R14" i="10"/>
  <c r="AC219" i="9"/>
  <c r="AC45" i="9"/>
  <c r="AB41" i="9"/>
  <c r="AA41" i="9"/>
  <c r="Z41" i="9"/>
  <c r="O41" i="9"/>
  <c r="E41" i="9"/>
  <c r="AC40" i="9"/>
  <c r="AC39" i="9"/>
  <c r="AB36" i="9"/>
  <c r="AA36" i="9"/>
  <c r="Z36" i="9"/>
  <c r="O36" i="9"/>
  <c r="E36" i="9"/>
  <c r="AC35" i="9"/>
  <c r="AC34" i="9"/>
  <c r="AC33" i="9"/>
  <c r="AB29" i="9"/>
  <c r="AA29" i="9"/>
  <c r="Z29" i="9"/>
  <c r="O29" i="9"/>
  <c r="E29" i="9"/>
  <c r="AB28" i="9"/>
  <c r="AA28" i="9"/>
  <c r="Z28" i="9"/>
  <c r="O28" i="9"/>
  <c r="E28" i="9"/>
  <c r="AB27" i="9"/>
  <c r="AA27" i="9"/>
  <c r="Z27" i="9"/>
  <c r="O27" i="9"/>
  <c r="E27" i="9"/>
  <c r="AC26" i="9"/>
  <c r="AC25" i="9"/>
  <c r="AB24" i="9"/>
  <c r="AA24" i="9"/>
  <c r="Z24" i="9"/>
  <c r="O24" i="9"/>
  <c r="E24" i="9"/>
  <c r="AB21" i="9"/>
  <c r="AA21" i="9"/>
  <c r="Z21" i="9"/>
  <c r="O21" i="9"/>
  <c r="E21" i="9"/>
  <c r="AC20" i="9"/>
  <c r="E20" i="1" s="1"/>
  <c r="AC19" i="9"/>
  <c r="E19" i="1" s="1"/>
  <c r="AB16" i="9"/>
  <c r="AA16" i="9"/>
  <c r="Z16" i="9"/>
  <c r="O16" i="9"/>
  <c r="E16" i="9"/>
  <c r="AC15" i="9"/>
  <c r="AC14" i="9"/>
  <c r="AJ218" i="3"/>
  <c r="AJ220" i="3" s="1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H28" i="3"/>
  <c r="AI28" i="3"/>
  <c r="AJ28" i="3"/>
  <c r="AK28" i="3"/>
  <c r="AL28" i="3"/>
  <c r="AM28" i="3"/>
  <c r="AN28" i="3"/>
  <c r="AO28" i="3"/>
  <c r="AP28" i="3"/>
  <c r="AQ28" i="3"/>
  <c r="AR28" i="3"/>
  <c r="AR30" i="3" s="1"/>
  <c r="AS28" i="3"/>
  <c r="AS30" i="3" s="1"/>
  <c r="AT28" i="3"/>
  <c r="AT30" i="3" s="1"/>
  <c r="AU28" i="3"/>
  <c r="AU30" i="3" s="1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219" i="3"/>
  <c r="AV113" i="3"/>
  <c r="E113" i="1" s="1"/>
  <c r="AV112" i="3"/>
  <c r="E112" i="1" s="1"/>
  <c r="AV111" i="3"/>
  <c r="E111" i="1" s="1"/>
  <c r="AV110" i="3"/>
  <c r="E110" i="1" s="1"/>
  <c r="AV107" i="3"/>
  <c r="E107" i="1" s="1"/>
  <c r="AV106" i="3"/>
  <c r="E106" i="1" s="1"/>
  <c r="AV105" i="3"/>
  <c r="E105" i="1" s="1"/>
  <c r="AV100" i="3"/>
  <c r="E100" i="1" s="1"/>
  <c r="AV99" i="3"/>
  <c r="E99" i="1" s="1"/>
  <c r="AV98" i="3"/>
  <c r="E98" i="1" s="1"/>
  <c r="AV97" i="3"/>
  <c r="E97" i="1" s="1"/>
  <c r="AV96" i="3"/>
  <c r="E96" i="1" s="1"/>
  <c r="AV95" i="3"/>
  <c r="E95" i="1" s="1"/>
  <c r="AV94" i="3"/>
  <c r="E94" i="1" s="1"/>
  <c r="AV93" i="3"/>
  <c r="E93" i="1" s="1"/>
  <c r="AV88" i="3"/>
  <c r="E88" i="1" s="1"/>
  <c r="AV87" i="3"/>
  <c r="E87" i="1" s="1"/>
  <c r="AV86" i="3"/>
  <c r="E86" i="1" s="1"/>
  <c r="AV85" i="3"/>
  <c r="E85" i="1" s="1"/>
  <c r="AV84" i="3"/>
  <c r="E84" i="1" s="1"/>
  <c r="AV83" i="3"/>
  <c r="E83" i="1" s="1"/>
  <c r="AV82" i="3"/>
  <c r="E82" i="1" s="1"/>
  <c r="AV81" i="3"/>
  <c r="E81" i="1" s="1"/>
  <c r="AV76" i="3"/>
  <c r="E76" i="1" s="1"/>
  <c r="AV75" i="3"/>
  <c r="E75" i="1" s="1"/>
  <c r="AV74" i="3"/>
  <c r="E74" i="1" s="1"/>
  <c r="AV73" i="3"/>
  <c r="E73" i="1" s="1"/>
  <c r="AV72" i="3"/>
  <c r="E72" i="1" s="1"/>
  <c r="AV71" i="3"/>
  <c r="E71" i="1" s="1"/>
  <c r="AV70" i="3"/>
  <c r="E70" i="1" s="1"/>
  <c r="AV69" i="3"/>
  <c r="E69" i="1" s="1"/>
  <c r="AV64" i="3"/>
  <c r="E64" i="1" s="1"/>
  <c r="AV63" i="3"/>
  <c r="E63" i="1" s="1"/>
  <c r="AV62" i="3"/>
  <c r="E62" i="1" s="1"/>
  <c r="AV61" i="3"/>
  <c r="E61" i="1" s="1"/>
  <c r="AV60" i="3"/>
  <c r="E60" i="1" s="1"/>
  <c r="AV59" i="3"/>
  <c r="E59" i="1" s="1"/>
  <c r="AV58" i="3"/>
  <c r="E58" i="1" s="1"/>
  <c r="AV57" i="3"/>
  <c r="E57" i="1" s="1"/>
  <c r="AV52" i="3"/>
  <c r="E52" i="1" s="1"/>
  <c r="AV51" i="3"/>
  <c r="E51" i="1" s="1"/>
  <c r="AV50" i="3"/>
  <c r="E50" i="1" s="1"/>
  <c r="AV49" i="3"/>
  <c r="E49" i="1" s="1"/>
  <c r="AV48" i="3"/>
  <c r="E48" i="1" s="1"/>
  <c r="AV47" i="3"/>
  <c r="E47" i="1" s="1"/>
  <c r="AV46" i="3"/>
  <c r="E46" i="1" s="1"/>
  <c r="AV45" i="3"/>
  <c r="E41" i="3"/>
  <c r="AV40" i="3"/>
  <c r="AV39" i="3"/>
  <c r="E36" i="3"/>
  <c r="AV35" i="3"/>
  <c r="AV34" i="3"/>
  <c r="AV33" i="3"/>
  <c r="E29" i="3"/>
  <c r="E28" i="3"/>
  <c r="E27" i="3"/>
  <c r="AV26" i="3"/>
  <c r="AV25" i="3"/>
  <c r="E24" i="3"/>
  <c r="AV23" i="3"/>
  <c r="AV22" i="3"/>
  <c r="E21" i="3"/>
  <c r="AV20" i="3"/>
  <c r="AV19" i="3"/>
  <c r="E16" i="3"/>
  <c r="AV15" i="3"/>
  <c r="AV14" i="3"/>
  <c r="E219" i="1" l="1"/>
  <c r="E40" i="1"/>
  <c r="E23" i="1"/>
  <c r="AC55" i="9"/>
  <c r="E45" i="1"/>
  <c r="E33" i="1"/>
  <c r="E34" i="1"/>
  <c r="E22" i="1"/>
  <c r="E25" i="1"/>
  <c r="E14" i="1"/>
  <c r="E26" i="1"/>
  <c r="E15" i="1"/>
  <c r="E35" i="1"/>
  <c r="E39" i="1"/>
  <c r="AO30" i="3"/>
  <c r="E30" i="9"/>
  <c r="E30" i="11"/>
  <c r="J30" i="11"/>
  <c r="Y30" i="11"/>
  <c r="AV55" i="3"/>
  <c r="E55" i="1"/>
  <c r="AV116" i="3"/>
  <c r="E116" i="1"/>
  <c r="AN30" i="3"/>
  <c r="AV67" i="3"/>
  <c r="E67" i="1"/>
  <c r="AV103" i="3"/>
  <c r="E103" i="1"/>
  <c r="AV108" i="3"/>
  <c r="E108" i="1"/>
  <c r="AV91" i="3"/>
  <c r="E91" i="1"/>
  <c r="AV79" i="3"/>
  <c r="E79" i="1"/>
  <c r="AN218" i="3"/>
  <c r="AN220" i="3" s="1"/>
  <c r="AM218" i="3"/>
  <c r="AM220" i="3" s="1"/>
  <c r="AQ218" i="3"/>
  <c r="AQ220" i="3" s="1"/>
  <c r="AP30" i="3"/>
  <c r="AH218" i="3"/>
  <c r="AH220" i="3" s="1"/>
  <c r="AR218" i="3"/>
  <c r="AR220" i="3" s="1"/>
  <c r="E218" i="3"/>
  <c r="E220" i="3" s="1"/>
  <c r="AO218" i="3"/>
  <c r="AO220" i="3" s="1"/>
  <c r="AL218" i="3"/>
  <c r="AL220" i="3" s="1"/>
  <c r="AU218" i="3"/>
  <c r="AU220" i="3" s="1"/>
  <c r="AP218" i="3"/>
  <c r="AP220" i="3" s="1"/>
  <c r="AK30" i="3"/>
  <c r="AI218" i="3"/>
  <c r="AI220" i="3" s="1"/>
  <c r="AT218" i="3"/>
  <c r="AT220" i="3" s="1"/>
  <c r="AS218" i="3"/>
  <c r="AS220" i="3" s="1"/>
  <c r="AM30" i="3"/>
  <c r="AL30" i="3"/>
  <c r="AK218" i="3"/>
  <c r="AK220" i="3" s="1"/>
  <c r="M30" i="11"/>
  <c r="O30" i="11"/>
  <c r="O30" i="9"/>
  <c r="Z30" i="9"/>
  <c r="AA30" i="9"/>
  <c r="AI30" i="3"/>
  <c r="AQ30" i="3"/>
  <c r="AJ30" i="3"/>
  <c r="AH30" i="3"/>
  <c r="I218" i="11"/>
  <c r="I220" i="11" s="1"/>
  <c r="AA30" i="11"/>
  <c r="G30" i="11"/>
  <c r="H30" i="11"/>
  <c r="F30" i="11"/>
  <c r="E30" i="10"/>
  <c r="L30" i="10"/>
  <c r="O30" i="10"/>
  <c r="L218" i="10"/>
  <c r="L220" i="10" s="1"/>
  <c r="O218" i="9"/>
  <c r="O220" i="9" s="1"/>
  <c r="AC21" i="9"/>
  <c r="H218" i="11"/>
  <c r="H220" i="11" s="1"/>
  <c r="AC21" i="11"/>
  <c r="K218" i="11"/>
  <c r="K220" i="11" s="1"/>
  <c r="AC24" i="11"/>
  <c r="AC28" i="11"/>
  <c r="L218" i="11"/>
  <c r="L220" i="11" s="1"/>
  <c r="O218" i="11"/>
  <c r="O220" i="11" s="1"/>
  <c r="Y218" i="11"/>
  <c r="Y220" i="11" s="1"/>
  <c r="E218" i="11"/>
  <c r="E220" i="11" s="1"/>
  <c r="AC16" i="11"/>
  <c r="AC29" i="11"/>
  <c r="Z218" i="11"/>
  <c r="Z220" i="11" s="1"/>
  <c r="L30" i="11"/>
  <c r="AA218" i="11"/>
  <c r="AA220" i="11" s="1"/>
  <c r="AC36" i="11"/>
  <c r="AB218" i="11"/>
  <c r="AB220" i="11" s="1"/>
  <c r="N30" i="11"/>
  <c r="AC41" i="11"/>
  <c r="AC27" i="11"/>
  <c r="N218" i="11"/>
  <c r="N220" i="11" s="1"/>
  <c r="M218" i="11"/>
  <c r="M220" i="11" s="1"/>
  <c r="Z30" i="11"/>
  <c r="AB30" i="11"/>
  <c r="G218" i="11"/>
  <c r="G220" i="11" s="1"/>
  <c r="K30" i="11"/>
  <c r="J218" i="11"/>
  <c r="J220" i="11" s="1"/>
  <c r="F218" i="11"/>
  <c r="F220" i="11" s="1"/>
  <c r="O218" i="10"/>
  <c r="O220" i="10" s="1"/>
  <c r="N218" i="10"/>
  <c r="N220" i="10" s="1"/>
  <c r="R28" i="10"/>
  <c r="M218" i="10"/>
  <c r="M220" i="10" s="1"/>
  <c r="R27" i="10"/>
  <c r="R29" i="10"/>
  <c r="R36" i="10"/>
  <c r="R16" i="10"/>
  <c r="M30" i="10"/>
  <c r="R21" i="10"/>
  <c r="R24" i="10"/>
  <c r="R41" i="10"/>
  <c r="N30" i="10"/>
  <c r="E218" i="10"/>
  <c r="AC36" i="9"/>
  <c r="Z218" i="9"/>
  <c r="Z220" i="9" s="1"/>
  <c r="AC29" i="9"/>
  <c r="AC24" i="9"/>
  <c r="AB218" i="9"/>
  <c r="AB220" i="9" s="1"/>
  <c r="AC41" i="9"/>
  <c r="AB30" i="9"/>
  <c r="AA218" i="9"/>
  <c r="AA220" i="9" s="1"/>
  <c r="AC27" i="9"/>
  <c r="AC16" i="9"/>
  <c r="E218" i="9"/>
  <c r="AC28" i="9"/>
  <c r="E30" i="3"/>
  <c r="AV21" i="3"/>
  <c r="AV27" i="3"/>
  <c r="AV24" i="3"/>
  <c r="AV41" i="3"/>
  <c r="AV16" i="3"/>
  <c r="AV36" i="3"/>
  <c r="AV29" i="3"/>
  <c r="AV28" i="3"/>
  <c r="AV220" i="3" l="1"/>
  <c r="AV218" i="3"/>
  <c r="AC30" i="9"/>
  <c r="AC30" i="11"/>
  <c r="AC218" i="11"/>
  <c r="AC220" i="11"/>
  <c r="R30" i="10"/>
  <c r="R218" i="10"/>
  <c r="E220" i="10"/>
  <c r="R220" i="10" s="1"/>
  <c r="AC218" i="9"/>
  <c r="E220" i="9"/>
  <c r="AC220" i="9" s="1"/>
  <c r="AV30" i="3"/>
  <c r="E218" i="1" l="1"/>
  <c r="E220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<sst xmlns="http://schemas.openxmlformats.org/spreadsheetml/2006/main" count="3119" uniqueCount="259">
  <si>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</si>
  <si>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</si>
  <si>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</si>
  <si>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</si>
  <si>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</si>
  <si>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</si>
  <si>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</si>
  <si>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</si>
  <si>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</si>
  <si>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</si>
  <si>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</si>
  <si>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</si>
  <si>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</si>
  <si>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</si>
  <si>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</si>
  <si>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</si>
  <si>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</si>
  <si>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</si>
  <si>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</si>
  <si>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</si>
  <si>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</si>
  <si>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</si>
  <si>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</si>
  <si>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</si>
  <si>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</si>
  <si>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</si>
  <si>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</si>
  <si>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</si>
  <si>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</si>
  <si>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</si>
  <si>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</si>
  <si>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</si>
  <si>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</si>
  <si>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</si>
  <si>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</si>
  <si>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</si>
  <si>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</si>
  <si>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</si>
  <si>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</si>
  <si>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</si>
  <si>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</si>
  <si>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</si>
  <si>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</si>
  <si>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</si>
  <si>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</si>
  <si>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</si>
  <si>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</si>
  <si>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</si>
  <si>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</si>
  <si>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</si>
  <si>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</si>
  <si>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</si>
  <si>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</si>
  <si>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</si>
  <si>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</si>
  <si>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</si>
  <si>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</si>
  <si>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</si>
  <si>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</si>
  <si>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</si>
  <si>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</si>
  <si>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</si>
  <si>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</si>
  <si>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</si>
  <si>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</si>
  <si>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</si>
  <si>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</si>
  <si>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</si>
  <si>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</si>
  <si>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</si>
  <si>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</si>
  <si>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</si>
  <si>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</si>
  <si>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</si>
  <si>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</si>
  <si>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</si>
  <si>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</si>
  <si>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</si>
  <si>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</si>
  <si>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</si>
  <si>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</si>
  <si>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</si>
  <si>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</si>
  <si>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</si>
  <si>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</si>
  <si>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</si>
  <si>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</si>
  <si>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</si>
  <si>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</si>
  <si>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</si>
  <si>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</si>
  <si>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</si>
  <si>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</si>
  <si>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</si>
  <si>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</si>
  <si>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</si>
  <si>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</si>
  <si>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</si>
  <si>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</si>
  <si>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</si>
  <si>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</si>
  <si>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</si>
  <si>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</si>
  <si>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</si>
  <si>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</si>
  <si>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</si>
  <si>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</si>
  <si>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</si>
  <si>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</si>
  <si>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</si>
  <si>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</si>
  <si>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</si>
  <si>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</si>
  <si>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</si>
  <si>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</si>
  <si>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</si>
  <si>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</si>
  <si>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</si>
  <si>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</si>
  <si>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</si>
  <si>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</si>
  <si>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</si>
  <si>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</si>
  <si>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</si>
  <si>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</si>
  <si>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</si>
  <si>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</si>
  <si>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</si>
  <si>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</si>
  <si>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</si>
  <si>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</si>
  <si>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</si>
  <si>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</si>
  <si>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</si>
  <si>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</si>
  <si>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</si>
  <si>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</si>
  <si>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</si>
  <si>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</si>
  <si>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</si>
  <si>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</si>
  <si>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</si>
  <si>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</si>
  <si>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</si>
  <si>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</si>
  <si>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</si>
  <si>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</si>
  <si>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</si>
  <si>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</si>
  <si>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</si>
  <si>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</si>
  <si>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</si>
  <si>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</si>
  <si>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</si>
  <si>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</si>
  <si>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</si>
  <si>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</si>
  <si>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</si>
  <si>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</si>
  <si>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</si>
  <si>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</si>
  <si>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</si>
  <si>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</si>
  <si>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</si>
  <si>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</si>
  <si>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</si>
  <si>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</si>
  <si>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</si>
  <si>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</si>
  <si>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</si>
  <si>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</si>
  <si>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</si>
  <si>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</si>
  <si>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</si>
  <si>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</si>
  <si>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</si>
  <si>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</si>
  <si>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</si>
  <si>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</si>
  <si>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</si>
  <si>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</si>
  <si>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</si>
  <si>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</si>
  <si>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</si>
  <si>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</si>
  <si>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</si>
  <si>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</si>
  <si>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</si>
  <si>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</si>
  <si>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</si>
  <si>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</si>
  <si>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</si>
  <si>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</si>
  <si>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</si>
  <si>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</si>
  <si>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</si>
  <si>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</si>
  <si>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</si>
  <si>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</si>
  <si>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</si>
  <si>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</si>
  <si>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</si>
  <si>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</si>
  <si>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</si>
  <si>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</si>
  <si>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</si>
  <si>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</si>
  <si>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</si>
  <si>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</si>
  <si>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</si>
  <si>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</si>
  <si>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</si>
  <si>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</si>
  <si>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</si>
  <si>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</si>
  <si>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</si>
  <si>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</si>
  <si>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</si>
  <si>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</si>
  <si>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</si>
  <si>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</si>
  <si>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</si>
  <si>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</si>
  <si>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</si>
  <si>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</si>
  <si>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</si>
  <si>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</si>
  <si>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</si>
  <si>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TPS 031</t>
  </si>
  <si>
    <t>TPS 032</t>
  </si>
  <si>
    <t>TPS 033</t>
  </si>
  <si>
    <t>TPS 034</t>
  </si>
  <si>
    <t>KALIPURO</t>
  </si>
  <si>
    <t>BULUSAN</t>
  </si>
  <si>
    <t>BULUSARI</t>
  </si>
  <si>
    <t>GOMBENGSARI</t>
  </si>
  <si>
    <t>TPS 035</t>
  </si>
  <si>
    <t>TPS 036</t>
  </si>
  <si>
    <t>TPS 037</t>
  </si>
  <si>
    <t>TPS 038</t>
  </si>
  <si>
    <t>TPS 039</t>
  </si>
  <si>
    <t>KELIR</t>
  </si>
  <si>
    <t>KETAPANG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</si>
  <si>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</si>
  <si>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</si>
  <si>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</si>
  <si>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</si>
  <si>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</si>
  <si>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</si>
  <si>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</si>
  <si>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</si>
  <si>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</si>
  <si>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</si>
  <si>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</si>
  <si>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</si>
  <si>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</si>
  <si>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KLATAK</t>
  </si>
  <si>
    <t>PESUCEN</t>
  </si>
  <si>
    <t>TELEMUNG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</si>
</sst>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/>
    <xf numFmtId="0" fontId="9" fillId="0" borderId="16" xfId="0" applyFont="1" applyBorder="1"/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9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abSelected="1" topLeftCell="A194" zoomScaleNormal="100" workbookViewId="0">
      <selection activeCell="A198" sqref="A198:E198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232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56" t="s">
        <v>1</v>
      </c>
      <c r="C12" s="54"/>
      <c r="D12" s="55"/>
      <c r="E12" s="95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61" t="s">
        <v>3</v>
      </c>
      <c r="C13" s="54"/>
      <c r="D13" s="55"/>
      <c r="E13" s="66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62" t="s">
        <v>22</v>
      </c>
      <c r="C14" s="63"/>
      <c r="D14" s="6" t="s">
        <v>23</v>
      </c>
      <c r="E14" s="9">
        <f>BULUSAN!AC14+BULUSARI!R14+GOMBENGSARI!AC14+KALIPURO!AR14+KELIR!W14+KETAPANG!BE14+KLATAK!AV14+PESUCEN!R14+TELEMUNG!T14</f>
        <v>31987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64"/>
      <c r="C15" s="65"/>
      <c r="D15" s="6" t="s">
        <v>24</v>
      </c>
      <c r="E15" s="9">
        <f>BULUSAN!AC15+BULUSARI!R15+GOMBENGSARI!AC15+KALIPURO!AR15+KELIR!W15+KETAPANG!BE15+KLATAK!AV15+PESUCEN!R15+TELEMUNG!T15</f>
        <v>33057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66"/>
      <c r="C16" s="67"/>
      <c r="D16" s="5" t="s">
        <v>25</v>
      </c>
      <c r="E16" s="25">
        <f t="shared" ref="E16" si="0">SUM(E14:E15)</f>
        <v>65044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53"/>
      <c r="B17" s="54"/>
      <c r="C17" s="54"/>
      <c r="D17" s="55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61" t="s">
        <v>27</v>
      </c>
      <c r="C18" s="54"/>
      <c r="D18" s="55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68" t="s">
        <v>28</v>
      </c>
      <c r="C19" s="69" t="s">
        <v>29</v>
      </c>
      <c r="D19" s="6" t="s">
        <v>23</v>
      </c>
      <c r="E19" s="9">
        <f>BULUSAN!AC19+BULUSARI!R19+GOMBENGSARI!AC19+KALIPURO!AR19+KELIR!W19+KETAPANG!BE19+KLATAK!AV19+PESUCEN!R19+TELEMUNG!T19</f>
        <v>24074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65"/>
      <c r="C20" s="70"/>
      <c r="D20" s="6" t="s">
        <v>24</v>
      </c>
      <c r="E20" s="9">
        <f>BULUSAN!AC20+BULUSARI!R20+GOMBENGSARI!AC20+KALIPURO!AR20+KELIR!W20+KETAPANG!BE20+KLATAK!AV20+PESUCEN!R20+TELEMUNG!T20</f>
        <v>26769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67"/>
      <c r="C21" s="71"/>
      <c r="D21" s="5" t="s">
        <v>25</v>
      </c>
      <c r="E21" s="25">
        <f t="shared" ref="E21" si="1">SUM(E19:E20)</f>
        <v>50843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68" t="s">
        <v>30</v>
      </c>
      <c r="C22" s="69" t="s">
        <v>31</v>
      </c>
      <c r="D22" s="6" t="s">
        <v>23</v>
      </c>
      <c r="E22" s="9">
        <f>BULUSAN!AC22+BULUSARI!R22+GOMBENGSARI!AC22+KALIPURO!AR22+KELIR!W22+KETAPANG!BE22+KLATAK!AV22+PESUCEN!R22+TELEMUNG!T22</f>
        <v>114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65"/>
      <c r="C23" s="70"/>
      <c r="D23" s="6" t="s">
        <v>24</v>
      </c>
      <c r="E23" s="9">
        <f>BULUSAN!AC23+BULUSARI!R23+GOMBENGSARI!AC23+KALIPURO!AR23+KELIR!W23+KETAPANG!BE23+KLATAK!AV23+PESUCEN!R23+TELEMUNG!T23</f>
        <v>97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67"/>
      <c r="C24" s="71"/>
      <c r="D24" s="5" t="s">
        <v>25</v>
      </c>
      <c r="E24" s="25">
        <f t="shared" ref="E24" si="2">SUM(E22:E23)</f>
        <v>211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68" t="s">
        <v>32</v>
      </c>
      <c r="C25" s="69" t="s">
        <v>33</v>
      </c>
      <c r="D25" s="6" t="s">
        <v>23</v>
      </c>
      <c r="E25" s="9">
        <f>BULUSAN!AC25+BULUSARI!R25+GOMBENGSARI!AC25+KALIPURO!AR25+KELIR!W25+KETAPANG!BE25+KLATAK!AV25+PESUCEN!R25+TELEMUNG!T25</f>
        <v>361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65"/>
      <c r="C26" s="70"/>
      <c r="D26" s="6" t="s">
        <v>24</v>
      </c>
      <c r="E26" s="9">
        <f>BULUSAN!AC26+BULUSARI!R26+GOMBENGSARI!AC26+KALIPURO!AR26+KELIR!W26+KETAPANG!BE26+KLATAK!AV26+PESUCEN!R26+TELEMUNG!T26</f>
        <v>428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67"/>
      <c r="C27" s="71"/>
      <c r="D27" s="5" t="s">
        <v>25</v>
      </c>
      <c r="E27" s="25">
        <f t="shared" ref="E27" si="3">SUM(E25:E26)</f>
        <v>789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72" t="s">
        <v>34</v>
      </c>
      <c r="C28" s="73" t="s">
        <v>35</v>
      </c>
      <c r="D28" s="5" t="s">
        <v>23</v>
      </c>
      <c r="E28" s="25">
        <f t="shared" ref="E28:E29" si="4">E19+E22+E25</f>
        <v>24549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65"/>
      <c r="C29" s="70"/>
      <c r="D29" s="5" t="s">
        <v>24</v>
      </c>
      <c r="E29" s="25">
        <f t="shared" si="4"/>
        <v>27294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67"/>
      <c r="C30" s="71"/>
      <c r="D30" s="5" t="s">
        <v>25</v>
      </c>
      <c r="E30" s="25">
        <f t="shared" ref="E30" si="5">SUM(E28:E29)</f>
        <v>51843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53"/>
      <c r="B31" s="54"/>
      <c r="C31" s="54"/>
      <c r="D31" s="55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56" t="s">
        <v>37</v>
      </c>
      <c r="C32" s="54"/>
      <c r="D32" s="55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61" t="s">
        <v>38</v>
      </c>
      <c r="C33" s="54"/>
      <c r="D33" s="55"/>
      <c r="E33" s="9">
        <f>BULUSAN!AC33+BULUSARI!R33+GOMBENGSARI!AC33+KALIPURO!AR33+KELIR!W33+KETAPANG!BE33+KLATAK!AV33+PESUCEN!R33+TELEMUNG!T33</f>
        <v>66196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61" t="s">
        <v>39</v>
      </c>
      <c r="C34" s="54"/>
      <c r="D34" s="55"/>
      <c r="E34" s="9">
        <f>BULUSAN!AC34+BULUSARI!R34+GOMBENGSARI!AC34+KALIPURO!AR34+KELIR!W34+KETAPANG!BE34+KLATAK!AV34+PESUCEN!R34+TELEMUNG!T34</f>
        <v>51843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61" t="s">
        <v>40</v>
      </c>
      <c r="C35" s="54"/>
      <c r="D35" s="55"/>
      <c r="E35" s="9">
        <f>BULUSAN!AC35+BULUSARI!R35+GOMBENGSARI!AC35+KALIPURO!AR35+KELIR!W35+KETAPANG!BE35+KLATAK!AV35+PESUCEN!R35+TELEMUNG!T35</f>
        <v>81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61" t="s">
        <v>41</v>
      </c>
      <c r="C36" s="54"/>
      <c r="D36" s="55"/>
      <c r="E36" s="25">
        <f t="shared" ref="E36" si="6">E33-(E34+E35)</f>
        <v>14272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53"/>
      <c r="B37" s="54"/>
      <c r="C37" s="54"/>
      <c r="D37" s="54"/>
      <c r="E37" s="54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56" t="s">
        <v>43</v>
      </c>
      <c r="C38" s="54"/>
      <c r="D38" s="55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78" t="s">
        <v>44</v>
      </c>
      <c r="C39" s="63"/>
      <c r="D39" s="6" t="s">
        <v>23</v>
      </c>
      <c r="E39" s="9">
        <f>BULUSAN!AC39+BULUSARI!R39+GOMBENGSARI!AC39+KALIPURO!AR39+KELIR!W39+KETAPANG!BE39+KLATAK!AV39+PESUCEN!R39+TELEMUNG!T39</f>
        <v>62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79"/>
      <c r="C40" s="65"/>
      <c r="D40" s="6" t="s">
        <v>24</v>
      </c>
      <c r="E40" s="9">
        <f>BULUSAN!AC40+BULUSARI!R40+GOMBENGSARI!AC40+KALIPURO!AR40+KELIR!W40+KETAPANG!BE40+KLATAK!AV40+PESUCEN!R40+TELEMUNG!T40</f>
        <v>85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0"/>
      <c r="C41" s="67"/>
      <c r="D41" s="5" t="s">
        <v>25</v>
      </c>
      <c r="E41" s="25">
        <f t="shared" ref="E41" si="7">SUM(E39:E40)</f>
        <v>147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1"/>
      <c r="B42" s="80"/>
      <c r="C42" s="80"/>
      <c r="D42" s="67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56" t="s">
        <v>46</v>
      </c>
      <c r="C43" s="54"/>
      <c r="D43" s="55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78" t="s">
        <v>47</v>
      </c>
      <c r="B44" s="82"/>
      <c r="C44" s="82"/>
      <c r="D44" s="63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83" t="s">
        <v>49</v>
      </c>
      <c r="D45" s="55"/>
      <c r="E45" s="9">
        <f>BULUSAN!AC45+BULUSARI!R45+GOMBENGSARI!AC45+KALIPURO!AR45+KELIR!W45+KETAPANG!BE45+KLATAK!AV45+PESUCEN!R45+TELEMUNG!T45</f>
        <v>2171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46"/>
      <c r="C46" s="24" t="s">
        <v>110</v>
      </c>
      <c r="D46" s="24"/>
      <c r="E46" s="9">
        <f>BULUSAN!AC46+BULUSARI!R46+GOMBENGSARI!AC46+KALIPURO!AR46+KELIR!W46+KETAPANG!BE46+KLATAK!AV46+PESUCEN!R46+TELEMUNG!T46</f>
        <v>4760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47"/>
      <c r="C47" s="24" t="s">
        <v>111</v>
      </c>
      <c r="D47" s="24"/>
      <c r="E47" s="9">
        <f>BULUSAN!AC47+BULUSARI!R47+GOMBENGSARI!AC47+KALIPURO!AR47+KELIR!W47+KETAPANG!BE47+KLATAK!AV47+PESUCEN!R47+TELEMUNG!T47</f>
        <v>1143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47"/>
      <c r="C48" s="24" t="s">
        <v>112</v>
      </c>
      <c r="D48" s="24"/>
      <c r="E48" s="9">
        <f>BULUSAN!AC48+BULUSARI!R48+GOMBENGSARI!AC48+KALIPURO!AR48+KELIR!W48+KETAPANG!BE48+KLATAK!AV48+PESUCEN!R48+TELEMUNG!T48</f>
        <v>357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47"/>
      <c r="C49" s="24" t="s">
        <v>113</v>
      </c>
      <c r="D49" s="24"/>
      <c r="E49" s="9">
        <f>BULUSAN!AC49+BULUSARI!R49+GOMBENGSARI!AC49+KALIPURO!AR49+KELIR!W49+KETAPANG!BE49+KLATAK!AV49+PESUCEN!R49+TELEMUNG!T49</f>
        <v>259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47"/>
      <c r="C50" s="24" t="s">
        <v>114</v>
      </c>
      <c r="D50" s="24"/>
      <c r="E50" s="9">
        <f>BULUSAN!AC50+BULUSARI!R50+GOMBENGSARI!AC50+KALIPURO!AR50+KELIR!W50+KETAPANG!BE50+KLATAK!AV50+PESUCEN!R50+TELEMUNG!T50</f>
        <v>129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47"/>
      <c r="C51" s="24" t="s">
        <v>115</v>
      </c>
      <c r="D51" s="24"/>
      <c r="E51" s="9">
        <f>BULUSAN!AC51+BULUSARI!R51+GOMBENGSARI!AC51+KALIPURO!AR51+KELIR!W51+KETAPANG!BE51+KLATAK!AV51+PESUCEN!R51+TELEMUNG!T51</f>
        <v>106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47"/>
      <c r="C52" s="24" t="s">
        <v>116</v>
      </c>
      <c r="D52" s="24"/>
      <c r="E52" s="9">
        <f>BULUSAN!AC52+BULUSARI!R52+GOMBENGSARI!AC52+KALIPURO!AR52+KELIR!W52+KETAPANG!BE52+KLATAK!AV52+PESUCEN!R52+TELEMUNG!T52</f>
        <v>84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47"/>
      <c r="C53" s="24" t="s">
        <v>117</v>
      </c>
      <c r="D53" s="24"/>
      <c r="E53" s="9">
        <f>BULUSAN!AC53+BULUSARI!R53+GOMBENGSARI!AC53+KALIPURO!AR53+KELIR!W53+KETAPANG!BE53+KLATAK!AV53+PESUCEN!R53+TELEMUNG!T53</f>
        <v>47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47"/>
      <c r="C54" s="24" t="s">
        <v>118</v>
      </c>
      <c r="D54" s="24"/>
      <c r="E54" s="9">
        <f>BULUSAN!AC54+BULUSARI!R54+GOMBENGSARI!AC54+KALIPURO!AR54+KELIR!W54+KETAPANG!BE54+KLATAK!AV54+PESUCEN!R54+TELEMUNG!T54</f>
        <v>71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74" t="s">
        <v>51</v>
      </c>
      <c r="C55" s="54"/>
      <c r="D55" s="55"/>
      <c r="E55" s="5">
        <f>SUM(E45:E54)</f>
        <v>9127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1"/>
      <c r="B56" s="80"/>
      <c r="C56" s="80"/>
      <c r="D56" s="80"/>
      <c r="E56" s="80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83" t="s">
        <v>52</v>
      </c>
      <c r="D57" s="55"/>
      <c r="E57" s="9">
        <f>BULUSAN!AC57+BULUSARI!R57+GOMBENGSARI!AC57+KALIPURO!AR57+KELIR!W57+KETAPANG!BE57+KLATAK!AV57+PESUCEN!R57+TELEMUNG!T57</f>
        <v>2681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47"/>
      <c r="C58" s="24" t="s">
        <v>119</v>
      </c>
      <c r="D58" s="48"/>
      <c r="E58" s="9">
        <f>BULUSAN!AC58+BULUSARI!R58+GOMBENGSARI!AC58+KALIPURO!AR58+KELIR!W58+KETAPANG!BE58+KLATAK!AV58+PESUCEN!R58+TELEMUNG!T58</f>
        <v>1582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47"/>
      <c r="C59" s="24" t="s">
        <v>120</v>
      </c>
      <c r="D59" s="48"/>
      <c r="E59" s="9">
        <f>BULUSAN!AC59+BULUSARI!R59+GOMBENGSARI!AC59+KALIPURO!AR59+KELIR!W59+KETAPANG!BE59+KLATAK!AV59+PESUCEN!R59+TELEMUNG!T59</f>
        <v>2554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47"/>
      <c r="C60" s="24" t="s">
        <v>121</v>
      </c>
      <c r="D60" s="48"/>
      <c r="E60" s="9">
        <f>BULUSAN!AC60+BULUSARI!R60+GOMBENGSARI!AC60+KALIPURO!AR60+KELIR!W60+KETAPANG!BE60+KLATAK!AV60+PESUCEN!R60+TELEMUNG!T60</f>
        <v>467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47"/>
      <c r="C61" s="24" t="s">
        <v>122</v>
      </c>
      <c r="D61" s="48"/>
      <c r="E61" s="9">
        <f>BULUSAN!AC61+BULUSARI!R61+GOMBENGSARI!AC61+KALIPURO!AR61+KELIR!W61+KETAPANG!BE61+KLATAK!AV61+PESUCEN!R61+TELEMUNG!T61</f>
        <v>654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47"/>
      <c r="C62" s="24" t="s">
        <v>123</v>
      </c>
      <c r="D62" s="48"/>
      <c r="E62" s="9">
        <f>BULUSAN!AC62+BULUSARI!R62+GOMBENGSARI!AC62+KALIPURO!AR62+KELIR!W62+KETAPANG!BE62+KLATAK!AV62+PESUCEN!R62+TELEMUNG!T62</f>
        <v>203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47"/>
      <c r="C63" s="24" t="s">
        <v>124</v>
      </c>
      <c r="D63" s="45"/>
      <c r="E63" s="9">
        <f>BULUSAN!AC63+BULUSARI!R63+GOMBENGSARI!AC63+KALIPURO!AR63+KELIR!W63+KETAPANG!BE63+KLATAK!AV63+PESUCEN!R63+TELEMUNG!T63</f>
        <v>184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47"/>
      <c r="C64" s="24" t="s">
        <v>125</v>
      </c>
      <c r="D64" s="48"/>
      <c r="E64" s="9">
        <f>BULUSAN!AC64+BULUSARI!R64+GOMBENGSARI!AC64+KALIPURO!AR64+KELIR!W64+KETAPANG!BE64+KLATAK!AV64+PESUCEN!R64+TELEMUNG!T64</f>
        <v>56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47"/>
      <c r="C65" s="24" t="s">
        <v>126</v>
      </c>
      <c r="D65" s="48"/>
      <c r="E65" s="9">
        <f>BULUSAN!AC65+BULUSARI!R65+GOMBENGSARI!AC65+KALIPURO!AR65+KELIR!W65+KETAPANG!BE65+KLATAK!AV65+PESUCEN!R65+TELEMUNG!T65</f>
        <v>66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47"/>
      <c r="C66" s="24" t="s">
        <v>127</v>
      </c>
      <c r="D66" s="48"/>
      <c r="E66" s="9">
        <f>BULUSAN!AC66+BULUSARI!R66+GOMBENGSARI!AC66+KALIPURO!AR66+KELIR!W66+KETAPANG!BE66+KLATAK!AV66+PESUCEN!R66+TELEMUNG!T66</f>
        <v>111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74" t="s">
        <v>51</v>
      </c>
      <c r="C67" s="54"/>
      <c r="D67" s="55"/>
      <c r="E67" s="5">
        <f>SUM(E57:E66)</f>
        <v>8558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1"/>
      <c r="B68" s="80"/>
      <c r="C68" s="80"/>
      <c r="D68" s="80"/>
      <c r="E68" s="80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83" t="s">
        <v>53</v>
      </c>
      <c r="D69" s="55"/>
      <c r="E69" s="9">
        <f>BULUSAN!AC69+BULUSARI!R69+GOMBENGSARI!AC69+KALIPURO!AR69+KELIR!W69+KETAPANG!BE69+KLATAK!AV69+PESUCEN!R69+TELEMUNG!T69</f>
        <v>2249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47"/>
      <c r="C70" s="24" t="s">
        <v>128</v>
      </c>
      <c r="D70" s="45"/>
      <c r="E70" s="9">
        <f>BULUSAN!AC70+BULUSARI!R70+GOMBENGSARI!AC70+KALIPURO!AR70+KELIR!W70+KETAPANG!BE70+KLATAK!AV70+PESUCEN!R70+TELEMUNG!T70</f>
        <v>1480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47"/>
      <c r="C71" s="24" t="s">
        <v>129</v>
      </c>
      <c r="D71" s="45"/>
      <c r="E71" s="9">
        <f>BULUSAN!AC71+BULUSARI!R71+GOMBENGSARI!AC71+KALIPURO!AR71+KELIR!W71+KETAPANG!BE71+KLATAK!AV71+PESUCEN!R71+TELEMUNG!T71</f>
        <v>1795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47"/>
      <c r="C72" s="24" t="s">
        <v>130</v>
      </c>
      <c r="D72" s="45"/>
      <c r="E72" s="9">
        <f>BULUSAN!AC72+BULUSARI!R72+GOMBENGSARI!AC72+KALIPURO!AR72+KELIR!W72+KETAPANG!BE72+KLATAK!AV72+PESUCEN!R72+TELEMUNG!T72</f>
        <v>543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47"/>
      <c r="C73" s="24" t="s">
        <v>131</v>
      </c>
      <c r="D73" s="45"/>
      <c r="E73" s="9">
        <f>BULUSAN!AC73+BULUSARI!R73+GOMBENGSARI!AC73+KALIPURO!AR73+KELIR!W73+KETAPANG!BE73+KLATAK!AV73+PESUCEN!R73+TELEMUNG!T73</f>
        <v>2940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47"/>
      <c r="C74" s="24" t="s">
        <v>132</v>
      </c>
      <c r="D74" s="45"/>
      <c r="E74" s="9">
        <f>BULUSAN!AC74+BULUSARI!R74+GOMBENGSARI!AC74+KALIPURO!AR74+KELIR!W74+KETAPANG!BE74+KLATAK!AV74+PESUCEN!R74+TELEMUNG!T74</f>
        <v>227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47"/>
      <c r="C75" s="24" t="s">
        <v>133</v>
      </c>
      <c r="D75" s="45"/>
      <c r="E75" s="9">
        <f>BULUSAN!AC75+BULUSARI!R75+GOMBENGSARI!AC75+KALIPURO!AR75+KELIR!W75+KETAPANG!BE75+KLATAK!AV75+PESUCEN!R75+TELEMUNG!T75</f>
        <v>137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47"/>
      <c r="C76" s="24" t="s">
        <v>134</v>
      </c>
      <c r="D76" s="45"/>
      <c r="E76" s="9">
        <f>BULUSAN!AC76+BULUSARI!R76+GOMBENGSARI!AC76+KALIPURO!AR76+KELIR!W76+KETAPANG!BE76+KLATAK!AV76+PESUCEN!R76+TELEMUNG!T76</f>
        <v>109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47"/>
      <c r="C77" s="24" t="s">
        <v>135</v>
      </c>
      <c r="D77" s="45"/>
      <c r="E77" s="9">
        <f>BULUSAN!AC77+BULUSARI!R77+GOMBENGSARI!AC77+KALIPURO!AR77+KELIR!W77+KETAPANG!BE77+KLATAK!AV77+PESUCEN!R77+TELEMUNG!T77</f>
        <v>75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47"/>
      <c r="C78" s="24" t="s">
        <v>136</v>
      </c>
      <c r="D78" s="45"/>
      <c r="E78" s="9">
        <f>BULUSAN!AC78+BULUSARI!R78+GOMBENGSARI!AC78+KALIPURO!AR78+KELIR!W78+KETAPANG!BE78+KLATAK!AV78+PESUCEN!R78+TELEMUNG!T78</f>
        <v>116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74" t="s">
        <v>51</v>
      </c>
      <c r="C79" s="54"/>
      <c r="D79" s="55"/>
      <c r="E79" s="5">
        <f>SUM(E69:E78)</f>
        <v>9671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1"/>
      <c r="B80" s="80"/>
      <c r="C80" s="80"/>
      <c r="D80" s="80"/>
      <c r="E80" s="80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83" t="s">
        <v>54</v>
      </c>
      <c r="D81" s="55"/>
      <c r="E81" s="9">
        <f>BULUSAN!AC81+BULUSARI!R81+GOMBENGSARI!AC81+KALIPURO!AR81+KELIR!W81+KETAPANG!BE81+KLATAK!AV81+PESUCEN!R81+TELEMUNG!T81</f>
        <v>1591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47"/>
      <c r="C82" s="24" t="s">
        <v>137</v>
      </c>
      <c r="D82" s="45"/>
      <c r="E82" s="9">
        <f>BULUSAN!AC82+BULUSARI!R82+GOMBENGSARI!AC82+KALIPURO!AR82+KELIR!W82+KETAPANG!BE82+KLATAK!AV82+PESUCEN!R82+TELEMUNG!T82</f>
        <v>2909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47"/>
      <c r="C83" s="24" t="s">
        <v>138</v>
      </c>
      <c r="D83" s="45"/>
      <c r="E83" s="9">
        <f>BULUSAN!AC83+BULUSARI!R83+GOMBENGSARI!AC83+KALIPURO!AR83+KELIR!W83+KETAPANG!BE83+KLATAK!AV83+PESUCEN!R83+TELEMUNG!T83</f>
        <v>644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47"/>
      <c r="C84" s="24" t="s">
        <v>139</v>
      </c>
      <c r="D84" s="45"/>
      <c r="E84" s="9">
        <f>BULUSAN!AC84+BULUSARI!R84+GOMBENGSARI!AC84+KALIPURO!AR84+KELIR!W84+KETAPANG!BE84+KLATAK!AV84+PESUCEN!R84+TELEMUNG!T84</f>
        <v>245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47"/>
      <c r="C85" s="24" t="s">
        <v>140</v>
      </c>
      <c r="D85" s="45"/>
      <c r="E85" s="9">
        <f>BULUSAN!AC85+BULUSARI!R85+GOMBENGSARI!AC85+KALIPURO!AR85+KELIR!W85+KETAPANG!BE85+KLATAK!AV85+PESUCEN!R85+TELEMUNG!T85</f>
        <v>384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47"/>
      <c r="C86" s="24" t="s">
        <v>141</v>
      </c>
      <c r="D86" s="45"/>
      <c r="E86" s="9">
        <f>BULUSAN!AC86+BULUSARI!R86+GOMBENGSARI!AC86+KALIPURO!AR86+KELIR!W86+KETAPANG!BE86+KLATAK!AV86+PESUCEN!R86+TELEMUNG!T86</f>
        <v>502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47"/>
      <c r="C87" s="24" t="s">
        <v>142</v>
      </c>
      <c r="D87" s="45"/>
      <c r="E87" s="9">
        <f>BULUSAN!AC87+BULUSARI!R87+GOMBENGSARI!AC87+KALIPURO!AR87+KELIR!W87+KETAPANG!BE87+KLATAK!AV87+PESUCEN!R87+TELEMUNG!T87</f>
        <v>70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47"/>
      <c r="C88" s="24" t="s">
        <v>143</v>
      </c>
      <c r="D88" s="45"/>
      <c r="E88" s="9">
        <f>BULUSAN!AC88+BULUSARI!R88+GOMBENGSARI!AC88+KALIPURO!AR88+KELIR!W88+KETAPANG!BE88+KLATAK!AV88+PESUCEN!R88+TELEMUNG!T88</f>
        <v>43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47"/>
      <c r="C89" s="24" t="s">
        <v>144</v>
      </c>
      <c r="D89" s="45"/>
      <c r="E89" s="9">
        <f>BULUSAN!AC89+BULUSARI!R89+GOMBENGSARI!AC89+KALIPURO!AR89+KELIR!W89+KETAPANG!BE89+KLATAK!AV89+PESUCEN!R89+TELEMUNG!T89</f>
        <v>29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47"/>
      <c r="C90" s="24" t="s">
        <v>145</v>
      </c>
      <c r="D90" s="45"/>
      <c r="E90" s="9">
        <f>BULUSAN!AC90+BULUSARI!R90+GOMBENGSARI!AC90+KALIPURO!AR90+KELIR!W90+KETAPANG!BE90+KLATAK!AV90+PESUCEN!R90+TELEMUNG!T90</f>
        <v>56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74" t="s">
        <v>51</v>
      </c>
      <c r="C91" s="54"/>
      <c r="D91" s="55"/>
      <c r="E91" s="5">
        <f>SUM(E81:E90)</f>
        <v>6473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1"/>
      <c r="B92" s="80"/>
      <c r="C92" s="80"/>
      <c r="D92" s="80"/>
      <c r="E92" s="80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83" t="s">
        <v>56</v>
      </c>
      <c r="D93" s="55"/>
      <c r="E93" s="9">
        <f>BULUSAN!AC93+BULUSARI!R93+GOMBENGSARI!AC93+KALIPURO!AR93+KELIR!W93+KETAPANG!BE93+KLATAK!AV93+PESUCEN!R93+TELEMUNG!T93</f>
        <v>508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47"/>
      <c r="C94" s="24" t="s">
        <v>146</v>
      </c>
      <c r="D94" s="45"/>
      <c r="E94" s="9">
        <f>BULUSAN!AC94+BULUSARI!R94+GOMBENGSARI!AC94+KALIPURO!AR94+KELIR!W94+KETAPANG!BE94+KLATAK!AV94+PESUCEN!R94+TELEMUNG!T94</f>
        <v>718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47"/>
      <c r="C95" s="24" t="s">
        <v>147</v>
      </c>
      <c r="D95" s="45"/>
      <c r="E95" s="9">
        <f>BULUSAN!AC95+BULUSARI!R95+GOMBENGSARI!AC95+KALIPURO!AR95+KELIR!W95+KETAPANG!BE95+KLATAK!AV95+PESUCEN!R95+TELEMUNG!T95</f>
        <v>98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47"/>
      <c r="C96" s="24" t="s">
        <v>148</v>
      </c>
      <c r="D96" s="45"/>
      <c r="E96" s="9">
        <f>BULUSAN!AC96+BULUSARI!R96+GOMBENGSARI!AC96+KALIPURO!AR96+KELIR!W96+KETAPANG!BE96+KLATAK!AV96+PESUCEN!R96+TELEMUNG!T96</f>
        <v>52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47"/>
      <c r="C97" s="24" t="s">
        <v>149</v>
      </c>
      <c r="D97" s="45"/>
      <c r="E97" s="9">
        <f>BULUSAN!AC97+BULUSARI!R97+GOMBENGSARI!AC97+KALIPURO!AR97+KELIR!W97+KETAPANG!BE97+KLATAK!AV97+PESUCEN!R97+TELEMUNG!T97</f>
        <v>85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47"/>
      <c r="C98" s="24" t="s">
        <v>150</v>
      </c>
      <c r="D98" s="45"/>
      <c r="E98" s="9">
        <f>BULUSAN!AC98+BULUSARI!R98+GOMBENGSARI!AC98+KALIPURO!AR98+KELIR!W98+KETAPANG!BE98+KLATAK!AV98+PESUCEN!R98+TELEMUNG!T98</f>
        <v>88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47"/>
      <c r="C99" s="24" t="s">
        <v>151</v>
      </c>
      <c r="D99" s="45"/>
      <c r="E99" s="9">
        <f>BULUSAN!AC99+BULUSARI!R99+GOMBENGSARI!AC99+KALIPURO!AR99+KELIR!W99+KETAPANG!BE99+KLATAK!AV99+PESUCEN!R99+TELEMUNG!T99</f>
        <v>95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47"/>
      <c r="C100" s="24" t="s">
        <v>152</v>
      </c>
      <c r="D100" s="45"/>
      <c r="E100" s="9">
        <f>BULUSAN!AC100+BULUSARI!R100+GOMBENGSARI!AC100+KALIPURO!AR100+KELIR!W100+KETAPANG!BE100+KLATAK!AV100+PESUCEN!R100+TELEMUNG!T100</f>
        <v>8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47"/>
      <c r="C101" s="24" t="s">
        <v>153</v>
      </c>
      <c r="D101" s="45"/>
      <c r="E101" s="9">
        <f>BULUSAN!AC101+BULUSARI!R101+GOMBENGSARI!AC101+KALIPURO!AR101+KELIR!W101+KETAPANG!BE101+KLATAK!AV101+PESUCEN!R101+TELEMUNG!T101</f>
        <v>27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47"/>
      <c r="C102" s="24" t="s">
        <v>154</v>
      </c>
      <c r="D102" s="45"/>
      <c r="E102" s="9">
        <f>BULUSAN!AC102+BULUSARI!R102+GOMBENGSARI!AC102+KALIPURO!AR102+KELIR!W102+KETAPANG!BE102+KLATAK!AV102+PESUCEN!R102+TELEMUNG!T102</f>
        <v>28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74" t="s">
        <v>51</v>
      </c>
      <c r="C103" s="54"/>
      <c r="D103" s="55"/>
      <c r="E103" s="5">
        <f>SUM(E93:E102)</f>
        <v>1707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1"/>
      <c r="B104" s="80"/>
      <c r="C104" s="80"/>
      <c r="D104" s="80"/>
      <c r="E104" s="80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83" t="s">
        <v>58</v>
      </c>
      <c r="D105" s="55"/>
      <c r="E105" s="9">
        <f>BULUSAN!AC105+BULUSARI!R105+GOMBENGSARI!AC105+KALIPURO!AR105+KELIR!W105+KETAPANG!BE105+KLATAK!AV105+PESUCEN!R105+TELEMUNG!T105</f>
        <v>208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47"/>
      <c r="C106" s="24" t="s">
        <v>155</v>
      </c>
      <c r="D106" s="45"/>
      <c r="E106" s="9">
        <f>BULUSAN!AC106+BULUSARI!R106+GOMBENGSARI!AC106+KALIPURO!AR106+KELIR!W106+KETAPANG!BE106+KLATAK!AV106+PESUCEN!R106+TELEMUNG!T106</f>
        <v>73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47"/>
      <c r="C107" s="24" t="s">
        <v>156</v>
      </c>
      <c r="D107" s="45"/>
      <c r="E107" s="9">
        <f>BULUSAN!AC107+BULUSARI!R107+GOMBENGSARI!AC107+KALIPURO!AR107+KELIR!W107+KETAPANG!BE107+KLATAK!AV107+PESUCEN!R107+TELEMUNG!T107</f>
        <v>39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6" t="s">
        <v>26</v>
      </c>
      <c r="B108" s="74" t="s">
        <v>51</v>
      </c>
      <c r="C108" s="84"/>
      <c r="D108" s="85"/>
      <c r="E108" s="5">
        <f>SUM(E105:E107)</f>
        <v>320</v>
      </c>
      <c r="F108" s="42"/>
      <c r="G108" s="27"/>
      <c r="H108" s="27"/>
      <c r="I108" s="27"/>
      <c r="J108" s="27"/>
      <c r="K108" s="27"/>
      <c r="L108" s="27"/>
      <c r="M108" s="27"/>
      <c r="N108" s="27"/>
      <c r="O108" s="27"/>
      <c r="P108" s="37"/>
      <c r="Q108" s="30"/>
      <c r="R108" s="30"/>
      <c r="S108" s="30"/>
      <c r="T108" s="30"/>
      <c r="U108" s="30"/>
      <c r="V108" s="30"/>
      <c r="W108" s="38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0"/>
      <c r="BM108" s="30"/>
      <c r="BN108" s="30"/>
      <c r="BO108" s="30"/>
      <c r="BP108" s="30"/>
      <c r="BQ108" s="30"/>
      <c r="BR108" s="38"/>
      <c r="BS108" s="30"/>
      <c r="BT108" s="30"/>
      <c r="BU108" s="30"/>
      <c r="BV108" s="30"/>
      <c r="BW108" s="30"/>
      <c r="BX108" s="30"/>
      <c r="BY108" s="30"/>
      <c r="BZ108" s="30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8"/>
      <c r="EZ108" s="38"/>
      <c r="FA108" s="38"/>
      <c r="FB108" s="38"/>
      <c r="FC108" s="38"/>
      <c r="FD108" s="38"/>
      <c r="FE108" s="38"/>
      <c r="FF108" s="30"/>
      <c r="FG108" s="30"/>
      <c r="FH108" s="30"/>
      <c r="FI108" s="30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</row>
    <row r="109" spans="1:216" ht="15.75" customHeight="1" x14ac:dyDescent="0.4">
      <c r="A109" s="53"/>
      <c r="B109" s="75"/>
      <c r="C109" s="75"/>
      <c r="D109" s="75"/>
      <c r="E109" s="86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11" t="s">
        <v>48</v>
      </c>
      <c r="B110" s="17" t="s">
        <v>59</v>
      </c>
      <c r="C110" s="83" t="s">
        <v>60</v>
      </c>
      <c r="D110" s="55"/>
      <c r="E110" s="9">
        <f>BULUSAN!AC110+BULUSARI!R110+GOMBENGSARI!AC110+KALIPURO!AR110+KELIR!W110+KETAPANG!BE110+KLATAK!AV110+PESUCEN!R110+TELEMUNG!T110</f>
        <v>163</v>
      </c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11" t="s">
        <v>50</v>
      </c>
      <c r="B111" s="47"/>
      <c r="C111" s="24" t="s">
        <v>157</v>
      </c>
      <c r="D111" s="45"/>
      <c r="E111" s="9">
        <f>BULUSAN!AC111+BULUSARI!R111+GOMBENGSARI!AC111+KALIPURO!AR111+KELIR!W111+KETAPANG!BE111+KLATAK!AV111+PESUCEN!R111+TELEMUNG!T111</f>
        <v>71</v>
      </c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7"/>
      <c r="C112" s="24" t="s">
        <v>158</v>
      </c>
      <c r="D112" s="45"/>
      <c r="E112" s="9">
        <f>BULUSAN!AC112+BULUSARI!R112+GOMBENGSARI!AC112+KALIPURO!AR112+KELIR!W112+KETAPANG!BE112+KLATAK!AV112+PESUCEN!R112+TELEMUNG!T112</f>
        <v>32</v>
      </c>
      <c r="F112" s="39"/>
      <c r="G112" s="20"/>
      <c r="H112" s="20"/>
      <c r="I112" s="20"/>
      <c r="J112" s="20"/>
      <c r="K112" s="20"/>
      <c r="L112" s="20"/>
      <c r="M112" s="20"/>
      <c r="N112" s="20"/>
      <c r="O112" s="20"/>
      <c r="P112" s="32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</row>
    <row r="113" spans="1:216" ht="15.75" customHeight="1" x14ac:dyDescent="0.4">
      <c r="A113" s="7"/>
      <c r="B113" s="47"/>
      <c r="C113" s="24" t="s">
        <v>159</v>
      </c>
      <c r="D113" s="45"/>
      <c r="E113" s="9">
        <f>BULUSAN!AC113+BULUSARI!R113+GOMBENGSARI!AC113+KALIPURO!AR113+KELIR!W113+KETAPANG!BE113+KLATAK!AV113+PESUCEN!R113+TELEMUNG!T113</f>
        <v>11</v>
      </c>
      <c r="F113" s="39"/>
      <c r="G113" s="20"/>
      <c r="H113" s="20"/>
      <c r="I113" s="20"/>
      <c r="J113" s="20"/>
      <c r="K113" s="20"/>
      <c r="L113" s="20"/>
      <c r="M113" s="20"/>
      <c r="N113" s="20"/>
      <c r="O113" s="20"/>
      <c r="P113" s="32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</row>
    <row r="114" spans="1:216" ht="15.75" customHeight="1" x14ac:dyDescent="0.4">
      <c r="A114" s="7"/>
      <c r="B114" s="47"/>
      <c r="C114" s="24" t="s">
        <v>160</v>
      </c>
      <c r="D114" s="45"/>
      <c r="E114" s="9">
        <f>BULUSAN!AC114+BULUSARI!R114+GOMBENGSARI!AC114+KALIPURO!AR114+KELIR!W114+KETAPANG!BE114+KLATAK!AV114+PESUCEN!R114+TELEMUNG!T114</f>
        <v>11</v>
      </c>
      <c r="F114" s="39"/>
      <c r="G114" s="20"/>
      <c r="H114" s="20"/>
      <c r="I114" s="20"/>
      <c r="J114" s="20"/>
      <c r="K114" s="20"/>
      <c r="L114" s="20"/>
      <c r="M114" s="20"/>
      <c r="N114" s="20"/>
      <c r="O114" s="20"/>
      <c r="P114" s="32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</row>
    <row r="115" spans="1:216" ht="15.75" customHeight="1" x14ac:dyDescent="0.4">
      <c r="A115" s="7"/>
      <c r="B115" s="47"/>
      <c r="C115" s="24" t="s">
        <v>161</v>
      </c>
      <c r="D115" s="45"/>
      <c r="E115" s="9">
        <f>BULUSAN!AC115+BULUSARI!R115+GOMBENGSARI!AC115+KALIPURO!AR115+KELIR!W115+KETAPANG!BE115+KLATAK!AV115+PESUCEN!R115+TELEMUNG!T115</f>
        <v>23</v>
      </c>
      <c r="F115" s="39"/>
      <c r="G115" s="20"/>
      <c r="H115" s="20"/>
      <c r="I115" s="20"/>
      <c r="J115" s="20"/>
      <c r="K115" s="20"/>
      <c r="L115" s="20"/>
      <c r="M115" s="20"/>
      <c r="N115" s="20"/>
      <c r="O115" s="20"/>
      <c r="P115" s="32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</row>
    <row r="116" spans="1:216" ht="15.75" customHeight="1" x14ac:dyDescent="0.4">
      <c r="A116" s="6" t="s">
        <v>26</v>
      </c>
      <c r="B116" s="74" t="s">
        <v>51</v>
      </c>
      <c r="C116" s="84"/>
      <c r="D116" s="85"/>
      <c r="E116" s="5">
        <f>SUM(E110:E115)</f>
        <v>311</v>
      </c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53"/>
      <c r="B117" s="75"/>
      <c r="C117" s="75"/>
      <c r="D117" s="75"/>
      <c r="E117" s="86"/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48</v>
      </c>
      <c r="B118" s="17" t="s">
        <v>61</v>
      </c>
      <c r="C118" s="83" t="s">
        <v>62</v>
      </c>
      <c r="D118" s="55"/>
      <c r="E118" s="9">
        <f>BULUSAN!AC118+BULUSARI!R118+GOMBENGSARI!AC118+KALIPURO!AR118+KELIR!W118+KETAPANG!BE118+KLATAK!AV118+PESUCEN!R118+TELEMUNG!T118</f>
        <v>474</v>
      </c>
      <c r="F118" s="40"/>
      <c r="G118" s="1"/>
      <c r="H118" s="1"/>
      <c r="I118" s="1"/>
      <c r="J118" s="1"/>
      <c r="K118" s="1"/>
      <c r="L118" s="1"/>
      <c r="M118" s="1"/>
      <c r="N118" s="1"/>
      <c r="O118" s="1"/>
      <c r="P118" s="34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</row>
    <row r="119" spans="1:216" ht="15.75" customHeight="1" x14ac:dyDescent="0.4">
      <c r="A119" s="11" t="s">
        <v>50</v>
      </c>
      <c r="B119" s="47"/>
      <c r="C119" s="24" t="s">
        <v>162</v>
      </c>
      <c r="D119" s="48"/>
      <c r="E119" s="9">
        <f>BULUSAN!AC119+BULUSARI!R119+GOMBENGSARI!AC119+KALIPURO!AR119+KELIR!W119+KETAPANG!BE119+KLATAK!AV119+PESUCEN!R119+TELEMUNG!T119</f>
        <v>874</v>
      </c>
      <c r="F119" s="42"/>
      <c r="G119" s="27"/>
      <c r="H119" s="27"/>
      <c r="I119" s="27"/>
      <c r="J119" s="27"/>
      <c r="K119" s="27"/>
      <c r="L119" s="27"/>
      <c r="M119" s="27"/>
      <c r="N119" s="27"/>
      <c r="O119" s="27"/>
      <c r="P119" s="37"/>
      <c r="Q119" s="30"/>
      <c r="R119" s="30"/>
      <c r="S119" s="30"/>
      <c r="T119" s="30"/>
      <c r="U119" s="30"/>
      <c r="V119" s="30"/>
      <c r="W119" s="38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0"/>
      <c r="BM119" s="30"/>
      <c r="BN119" s="30"/>
      <c r="BO119" s="30"/>
      <c r="BP119" s="30"/>
      <c r="BQ119" s="30"/>
      <c r="BR119" s="38"/>
      <c r="BS119" s="30"/>
      <c r="BT119" s="30"/>
      <c r="BU119" s="30"/>
      <c r="BV119" s="30"/>
      <c r="BW119" s="30"/>
      <c r="BX119" s="30"/>
      <c r="BY119" s="30"/>
      <c r="BZ119" s="30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8"/>
      <c r="EZ119" s="38"/>
      <c r="FA119" s="38"/>
      <c r="FB119" s="38"/>
      <c r="FC119" s="38"/>
      <c r="FD119" s="38"/>
      <c r="FE119" s="38"/>
      <c r="FF119" s="30"/>
      <c r="FG119" s="30"/>
      <c r="FH119" s="30"/>
      <c r="FI119" s="30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</row>
    <row r="120" spans="1:216" ht="15.75" customHeight="1" x14ac:dyDescent="0.4">
      <c r="A120" s="7"/>
      <c r="B120" s="47"/>
      <c r="C120" s="24" t="s">
        <v>163</v>
      </c>
      <c r="D120" s="48"/>
      <c r="E120" s="9">
        <f>BULUSAN!AC120+BULUSARI!R120+GOMBENGSARI!AC120+KALIPURO!AR120+KELIR!W120+KETAPANG!BE120+KLATAK!AV120+PESUCEN!R120+TELEMUNG!T120</f>
        <v>108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47"/>
      <c r="C121" s="24" t="s">
        <v>164</v>
      </c>
      <c r="D121" s="48"/>
      <c r="E121" s="9">
        <f>BULUSAN!AC121+BULUSARI!R121+GOMBENGSARI!AC121+KALIPURO!AR121+KELIR!W121+KETAPANG!BE121+KLATAK!AV121+PESUCEN!R121+TELEMUNG!T121</f>
        <v>40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47"/>
      <c r="C122" s="24" t="s">
        <v>165</v>
      </c>
      <c r="D122" s="48"/>
      <c r="E122" s="9">
        <f>BULUSAN!AC122+BULUSARI!R122+GOMBENGSARI!AC122+KALIPURO!AR122+KELIR!W122+KETAPANG!BE122+KLATAK!AV122+PESUCEN!R122+TELEMUNG!T122</f>
        <v>29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7"/>
      <c r="C123" s="24" t="s">
        <v>166</v>
      </c>
      <c r="D123" s="48"/>
      <c r="E123" s="9">
        <f>BULUSAN!AC123+BULUSARI!R123+GOMBENGSARI!AC123+KALIPURO!AR123+KELIR!W123+KETAPANG!BE123+KLATAK!AV123+PESUCEN!R123+TELEMUNG!T123</f>
        <v>213</v>
      </c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7"/>
      <c r="C124" s="24" t="s">
        <v>167</v>
      </c>
      <c r="D124" s="45"/>
      <c r="E124" s="9">
        <f>BULUSAN!AC124+BULUSARI!R124+GOMBENGSARI!AC124+KALIPURO!AR124+KELIR!W124+KETAPANG!BE124+KLATAK!AV124+PESUCEN!R124+TELEMUNG!T124</f>
        <v>196</v>
      </c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7"/>
      <c r="C125" s="24" t="s">
        <v>168</v>
      </c>
      <c r="D125" s="48"/>
      <c r="E125" s="9">
        <f>BULUSAN!AC125+BULUSARI!R125+GOMBENGSARI!AC125+KALIPURO!AR125+KELIR!W125+KETAPANG!BE125+KLATAK!AV125+PESUCEN!R125+TELEMUNG!T125</f>
        <v>11</v>
      </c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7"/>
      <c r="C126" s="24" t="s">
        <v>169</v>
      </c>
      <c r="D126" s="48"/>
      <c r="E126" s="9">
        <f>BULUSAN!AC126+BULUSARI!R126+GOMBENGSARI!AC126+KALIPURO!AR126+KELIR!W126+KETAPANG!BE126+KLATAK!AV126+PESUCEN!R126+TELEMUNG!T126</f>
        <v>24</v>
      </c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7"/>
      <c r="B127" s="47"/>
      <c r="C127" s="24" t="s">
        <v>170</v>
      </c>
      <c r="D127" s="48"/>
      <c r="E127" s="9">
        <f>BULUSAN!AC127+BULUSARI!R127+GOMBENGSARI!AC127+KALIPURO!AR127+KELIR!W127+KETAPANG!BE127+KLATAK!AV127+PESUCEN!R127+TELEMUNG!T127</f>
        <v>13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" t="s">
        <v>26</v>
      </c>
      <c r="B128" s="74" t="s">
        <v>51</v>
      </c>
      <c r="C128" s="84"/>
      <c r="D128" s="85"/>
      <c r="E128" s="5">
        <f>SUM(E118:E127)</f>
        <v>1982</v>
      </c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53"/>
      <c r="B129" s="75"/>
      <c r="C129" s="75"/>
      <c r="D129" s="75"/>
      <c r="E129" s="86"/>
      <c r="F129" s="39"/>
      <c r="G129" s="20"/>
      <c r="H129" s="20"/>
      <c r="I129" s="20"/>
      <c r="J129" s="20"/>
      <c r="K129" s="20"/>
      <c r="L129" s="20"/>
      <c r="M129" s="20"/>
      <c r="N129" s="20"/>
      <c r="O129" s="20"/>
      <c r="P129" s="32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</row>
    <row r="130" spans="1:216" ht="15.75" customHeight="1" x14ac:dyDescent="0.4">
      <c r="A130" s="11" t="s">
        <v>48</v>
      </c>
      <c r="B130" s="17" t="s">
        <v>63</v>
      </c>
      <c r="C130" s="83" t="s">
        <v>64</v>
      </c>
      <c r="D130" s="55"/>
      <c r="E130" s="9">
        <f>BULUSAN!AC130+BULUSARI!R130+GOMBENGSARI!AC130+KALIPURO!AR130+KELIR!W130+KETAPANG!BE130+KLATAK!AV130+PESUCEN!R130+TELEMUNG!T130</f>
        <v>16</v>
      </c>
      <c r="F130" s="40"/>
      <c r="G130" s="1"/>
      <c r="H130" s="1"/>
      <c r="I130" s="1"/>
      <c r="J130" s="1"/>
      <c r="K130" s="1"/>
      <c r="L130" s="1"/>
      <c r="M130" s="1"/>
      <c r="N130" s="1"/>
      <c r="O130" s="1"/>
      <c r="P130" s="34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</row>
    <row r="131" spans="1:216" ht="15.75" customHeight="1" x14ac:dyDescent="0.4">
      <c r="A131" s="11" t="s">
        <v>50</v>
      </c>
      <c r="B131" s="47"/>
      <c r="C131" s="24" t="s">
        <v>171</v>
      </c>
      <c r="D131" s="45"/>
      <c r="E131" s="9">
        <f>BULUSAN!AC131+BULUSARI!R131+GOMBENGSARI!AC131+KALIPURO!AR131+KELIR!W131+KETAPANG!BE131+KLATAK!AV131+PESUCEN!R131+TELEMUNG!T131</f>
        <v>15</v>
      </c>
      <c r="F131" s="42"/>
      <c r="G131" s="27"/>
      <c r="H131" s="27"/>
      <c r="I131" s="27"/>
      <c r="J131" s="27"/>
      <c r="K131" s="27"/>
      <c r="L131" s="27"/>
      <c r="M131" s="27"/>
      <c r="N131" s="27"/>
      <c r="O131" s="27"/>
      <c r="P131" s="37"/>
      <c r="Q131" s="30"/>
      <c r="R131" s="30"/>
      <c r="S131" s="30"/>
      <c r="T131" s="30"/>
      <c r="U131" s="30"/>
      <c r="V131" s="30"/>
      <c r="W131" s="38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0"/>
      <c r="BM131" s="30"/>
      <c r="BN131" s="30"/>
      <c r="BO131" s="30"/>
      <c r="BP131" s="30"/>
      <c r="BQ131" s="30"/>
      <c r="BR131" s="38"/>
      <c r="BS131" s="30"/>
      <c r="BT131" s="30"/>
      <c r="BU131" s="30"/>
      <c r="BV131" s="30"/>
      <c r="BW131" s="30"/>
      <c r="BX131" s="30"/>
      <c r="BY131" s="30"/>
      <c r="BZ131" s="30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8"/>
      <c r="EZ131" s="38"/>
      <c r="FA131" s="38"/>
      <c r="FB131" s="38"/>
      <c r="FC131" s="38"/>
      <c r="FD131" s="38"/>
      <c r="FE131" s="38"/>
      <c r="FF131" s="30"/>
      <c r="FG131" s="30"/>
      <c r="FH131" s="30"/>
      <c r="FI131" s="30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/>
      <c r="GJ131" s="38"/>
      <c r="GK131" s="38"/>
      <c r="GL131" s="38"/>
      <c r="GM131" s="38"/>
      <c r="GN131" s="38"/>
      <c r="GO131" s="38"/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</row>
    <row r="132" spans="1:216" ht="15.75" customHeight="1" x14ac:dyDescent="0.4">
      <c r="A132" s="7"/>
      <c r="B132" s="47"/>
      <c r="C132" s="24" t="s">
        <v>172</v>
      </c>
      <c r="D132" s="45"/>
      <c r="E132" s="9">
        <f>BULUSAN!AC132+BULUSARI!R132+GOMBENGSARI!AC132+KALIPURO!AR132+KELIR!W132+KETAPANG!BE132+KLATAK!AV132+PESUCEN!R132+TELEMUNG!T132</f>
        <v>6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47"/>
      <c r="C133" s="24" t="s">
        <v>173</v>
      </c>
      <c r="D133" s="45"/>
      <c r="E133" s="9">
        <f>BULUSAN!AC133+BULUSARI!R133+GOMBENGSARI!AC133+KALIPURO!AR133+KELIR!W133+KETAPANG!BE133+KLATAK!AV133+PESUCEN!R133+TELEMUNG!T133</f>
        <v>5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6" t="s">
        <v>26</v>
      </c>
      <c r="B134" s="74" t="s">
        <v>51</v>
      </c>
      <c r="C134" s="84"/>
      <c r="D134" s="85"/>
      <c r="E134" s="5">
        <f>SUM(E130:E133)</f>
        <v>42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53"/>
      <c r="B135" s="75"/>
      <c r="C135" s="75"/>
      <c r="D135" s="75"/>
      <c r="E135" s="86"/>
      <c r="F135" s="40"/>
      <c r="G135" s="1"/>
      <c r="H135" s="1"/>
      <c r="I135" s="1"/>
      <c r="J135" s="1"/>
      <c r="K135" s="1"/>
      <c r="L135" s="1"/>
      <c r="M135" s="1"/>
      <c r="N135" s="1"/>
      <c r="O135" s="1"/>
      <c r="P135" s="34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</row>
    <row r="136" spans="1:216" ht="15.75" customHeight="1" x14ac:dyDescent="0.4">
      <c r="A136" s="11" t="s">
        <v>48</v>
      </c>
      <c r="B136" s="44" t="s">
        <v>65</v>
      </c>
      <c r="C136" s="87" t="s">
        <v>66</v>
      </c>
      <c r="D136" s="63"/>
      <c r="E136" s="9">
        <f>BULUSAN!AC136+BULUSARI!R136+GOMBENGSARI!AC136+KALIPURO!AR136+KELIR!W136+KETAPANG!BE136+KLATAK!AV136+PESUCEN!R136+TELEMUNG!T136</f>
        <v>143</v>
      </c>
      <c r="F136" s="42"/>
      <c r="G136" s="27"/>
      <c r="H136" s="27"/>
      <c r="I136" s="27"/>
      <c r="J136" s="27"/>
      <c r="K136" s="27"/>
      <c r="L136" s="27"/>
      <c r="M136" s="27"/>
      <c r="N136" s="27"/>
      <c r="O136" s="27"/>
      <c r="P136" s="37"/>
      <c r="Q136" s="30"/>
      <c r="R136" s="30"/>
      <c r="S136" s="30"/>
      <c r="T136" s="30"/>
      <c r="U136" s="30"/>
      <c r="V136" s="30"/>
      <c r="W136" s="38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0"/>
      <c r="BM136" s="30"/>
      <c r="BN136" s="30"/>
      <c r="BO136" s="30"/>
      <c r="BP136" s="30"/>
      <c r="BQ136" s="30"/>
      <c r="BR136" s="38"/>
      <c r="BS136" s="30"/>
      <c r="BT136" s="30"/>
      <c r="BU136" s="30"/>
      <c r="BV136" s="30"/>
      <c r="BW136" s="30"/>
      <c r="BX136" s="30"/>
      <c r="BY136" s="30"/>
      <c r="BZ136" s="30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8"/>
      <c r="EZ136" s="38"/>
      <c r="FA136" s="38"/>
      <c r="FB136" s="38"/>
      <c r="FC136" s="38"/>
      <c r="FD136" s="38"/>
      <c r="FE136" s="38"/>
      <c r="FF136" s="30"/>
      <c r="FG136" s="30"/>
      <c r="FH136" s="30"/>
      <c r="FI136" s="30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</row>
    <row r="137" spans="1:216" ht="15.75" customHeight="1" x14ac:dyDescent="0.4">
      <c r="A137" s="49" t="s">
        <v>50</v>
      </c>
      <c r="B137" s="51"/>
      <c r="C137" s="24" t="s">
        <v>174</v>
      </c>
      <c r="D137" s="52"/>
      <c r="E137" s="9">
        <f>BULUSAN!AC137+BULUSARI!R137+GOMBENGSARI!AC137+KALIPURO!AR137+KELIR!W137+KETAPANG!BE137+KLATAK!AV137+PESUCEN!R137+TELEMUNG!T137</f>
        <v>228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51"/>
      <c r="C138" s="24" t="s">
        <v>175</v>
      </c>
      <c r="D138" s="52"/>
      <c r="E138" s="9">
        <f>BULUSAN!AC138+BULUSARI!R138+GOMBENGSARI!AC138+KALIPURO!AR138+KELIR!W138+KETAPANG!BE138+KLATAK!AV138+PESUCEN!R138+TELEMUNG!T138</f>
        <v>58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7"/>
      <c r="B139" s="51"/>
      <c r="C139" s="24" t="s">
        <v>176</v>
      </c>
      <c r="D139" s="52"/>
      <c r="E139" s="9">
        <f>BULUSAN!AC139+BULUSARI!R139+GOMBENGSARI!AC139+KALIPURO!AR139+KELIR!W139+KETAPANG!BE139+KLATAK!AV139+PESUCEN!R139+TELEMUNG!T139</f>
        <v>34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7"/>
      <c r="B140" s="51"/>
      <c r="C140" s="24" t="s">
        <v>177</v>
      </c>
      <c r="D140" s="52"/>
      <c r="E140" s="9">
        <f>BULUSAN!AC140+BULUSARI!R140+GOMBENGSARI!AC140+KALIPURO!AR140+KELIR!W140+KETAPANG!BE140+KLATAK!AV140+PESUCEN!R140+TELEMUNG!T140</f>
        <v>16</v>
      </c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7"/>
      <c r="B141" s="51"/>
      <c r="C141" s="24" t="s">
        <v>178</v>
      </c>
      <c r="D141" s="52"/>
      <c r="E141" s="9">
        <f>BULUSAN!AC141+BULUSARI!R141+GOMBENGSARI!AC141+KALIPURO!AR141+KELIR!W141+KETAPANG!BE141+KLATAK!AV141+PESUCEN!R141+TELEMUNG!T141</f>
        <v>6</v>
      </c>
      <c r="F141" s="39"/>
      <c r="G141" s="20"/>
      <c r="H141" s="20"/>
      <c r="I141" s="20"/>
      <c r="J141" s="20"/>
      <c r="K141" s="20"/>
      <c r="L141" s="20"/>
      <c r="M141" s="20"/>
      <c r="N141" s="20"/>
      <c r="O141" s="20"/>
      <c r="P141" s="32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</row>
    <row r="142" spans="1:216" ht="15.75" customHeight="1" x14ac:dyDescent="0.4">
      <c r="A142" s="7"/>
      <c r="B142" s="51"/>
      <c r="C142" s="24" t="s">
        <v>179</v>
      </c>
      <c r="D142" s="52"/>
      <c r="E142" s="9">
        <f>BULUSAN!AC142+BULUSARI!R142+GOMBENGSARI!AC142+KALIPURO!AR142+KELIR!W142+KETAPANG!BE142+KLATAK!AV142+PESUCEN!R142+TELEMUNG!T142</f>
        <v>9</v>
      </c>
      <c r="F142" s="39"/>
      <c r="G142" s="20"/>
      <c r="H142" s="20"/>
      <c r="I142" s="20"/>
      <c r="J142" s="20"/>
      <c r="K142" s="20"/>
      <c r="L142" s="20"/>
      <c r="M142" s="20"/>
      <c r="N142" s="20"/>
      <c r="O142" s="20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</row>
    <row r="143" spans="1:216" ht="15.75" customHeight="1" x14ac:dyDescent="0.4">
      <c r="A143" s="7"/>
      <c r="B143" s="51"/>
      <c r="C143" s="24" t="s">
        <v>180</v>
      </c>
      <c r="D143" s="52"/>
      <c r="E143" s="9">
        <f>BULUSAN!AC143+BULUSARI!R143+GOMBENGSARI!AC143+KALIPURO!AR143+KELIR!W143+KETAPANG!BE143+KLATAK!AV143+PESUCEN!R143+TELEMUNG!T143</f>
        <v>10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6" t="s">
        <v>26</v>
      </c>
      <c r="B144" s="88" t="s">
        <v>51</v>
      </c>
      <c r="C144" s="89"/>
      <c r="D144" s="90"/>
      <c r="E144" s="5">
        <f>SUM(E136:E143)</f>
        <v>504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53"/>
      <c r="B145" s="75"/>
      <c r="C145" s="75"/>
      <c r="D145" s="75"/>
      <c r="E145" s="86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11" t="s">
        <v>48</v>
      </c>
      <c r="B146" s="17" t="s">
        <v>67</v>
      </c>
      <c r="C146" s="83" t="s">
        <v>68</v>
      </c>
      <c r="D146" s="55"/>
      <c r="E146" s="9">
        <f>BULUSAN!AC146+BULUSARI!R146+GOMBENGSARI!AC146+KALIPURO!AR146+KELIR!W146+KETAPANG!BE146+KLATAK!AV146+PESUCEN!R146+TELEMUNG!T146</f>
        <v>56</v>
      </c>
      <c r="F146" s="40"/>
      <c r="G146" s="1"/>
      <c r="H146" s="1"/>
      <c r="I146" s="1"/>
      <c r="J146" s="1"/>
      <c r="K146" s="1"/>
      <c r="L146" s="1"/>
      <c r="M146" s="1"/>
      <c r="N146" s="1"/>
      <c r="O146" s="1"/>
      <c r="P146" s="34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</row>
    <row r="147" spans="1:216" ht="15.75" customHeight="1" x14ac:dyDescent="0.4">
      <c r="A147" s="11" t="s">
        <v>50</v>
      </c>
      <c r="B147" s="47"/>
      <c r="C147" s="24" t="s">
        <v>181</v>
      </c>
      <c r="D147" s="45"/>
      <c r="E147" s="9">
        <f>BULUSAN!AC147+BULUSARI!R147+GOMBENGSARI!AC147+KALIPURO!AR147+KELIR!W147+KETAPANG!BE147+KLATAK!AV147+PESUCEN!R147+TELEMUNG!T147</f>
        <v>65</v>
      </c>
      <c r="F147" s="42"/>
      <c r="G147" s="27"/>
      <c r="H147" s="27"/>
      <c r="I147" s="27"/>
      <c r="J147" s="27"/>
      <c r="K147" s="27"/>
      <c r="L147" s="27"/>
      <c r="M147" s="27"/>
      <c r="N147" s="27"/>
      <c r="O147" s="27"/>
      <c r="P147" s="37"/>
      <c r="Q147" s="30"/>
      <c r="R147" s="30"/>
      <c r="S147" s="30"/>
      <c r="T147" s="30"/>
      <c r="U147" s="30"/>
      <c r="V147" s="30"/>
      <c r="W147" s="38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0"/>
      <c r="BM147" s="30"/>
      <c r="BN147" s="30"/>
      <c r="BO147" s="30"/>
      <c r="BP147" s="30"/>
      <c r="BQ147" s="30"/>
      <c r="BR147" s="38"/>
      <c r="BS147" s="30"/>
      <c r="BT147" s="30"/>
      <c r="BU147" s="30"/>
      <c r="BV147" s="30"/>
      <c r="BW147" s="30"/>
      <c r="BX147" s="30"/>
      <c r="BY147" s="30"/>
      <c r="BZ147" s="30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8"/>
      <c r="EZ147" s="38"/>
      <c r="FA147" s="38"/>
      <c r="FB147" s="38"/>
      <c r="FC147" s="38"/>
      <c r="FD147" s="38"/>
      <c r="FE147" s="38"/>
      <c r="FF147" s="30"/>
      <c r="FG147" s="30"/>
      <c r="FH147" s="30"/>
      <c r="FI147" s="30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</row>
    <row r="148" spans="1:216" ht="15.75" customHeight="1" x14ac:dyDescent="0.4">
      <c r="A148" s="6" t="s">
        <v>26</v>
      </c>
      <c r="B148" s="74" t="s">
        <v>51</v>
      </c>
      <c r="C148" s="84"/>
      <c r="D148" s="85"/>
      <c r="E148" s="5">
        <f>SUM(E146:E147)</f>
        <v>121</v>
      </c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53"/>
      <c r="B149" s="75"/>
      <c r="C149" s="75"/>
      <c r="D149" s="75"/>
      <c r="E149" s="86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11" t="s">
        <v>48</v>
      </c>
      <c r="B150" s="17" t="s">
        <v>69</v>
      </c>
      <c r="C150" s="83" t="s">
        <v>70</v>
      </c>
      <c r="D150" s="55"/>
      <c r="E150" s="9">
        <f>BULUSAN!AC150+BULUSARI!R150+GOMBENGSARI!AC150+KALIPURO!AR150+KELIR!W150+KETAPANG!BE150+KLATAK!AV150+PESUCEN!R150+TELEMUNG!T150</f>
        <v>219</v>
      </c>
      <c r="F150" s="40"/>
      <c r="G150" s="1"/>
      <c r="H150" s="1"/>
      <c r="I150" s="1"/>
      <c r="J150" s="1"/>
      <c r="K150" s="1"/>
      <c r="L150" s="1"/>
      <c r="M150" s="1"/>
      <c r="N150" s="1"/>
      <c r="O150" s="1"/>
      <c r="P150" s="34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</row>
    <row r="151" spans="1:216" ht="15.75" customHeight="1" x14ac:dyDescent="0.4">
      <c r="A151" s="11" t="s">
        <v>50</v>
      </c>
      <c r="B151" s="47"/>
      <c r="C151" s="24" t="s">
        <v>182</v>
      </c>
      <c r="D151" s="45"/>
      <c r="E151" s="9">
        <f>BULUSAN!AC151+BULUSARI!R151+GOMBENGSARI!AC151+KALIPURO!AR151+KELIR!W151+KETAPANG!BE151+KLATAK!AV151+PESUCEN!R151+TELEMUNG!T151</f>
        <v>468</v>
      </c>
      <c r="F151" s="42"/>
      <c r="G151" s="27"/>
      <c r="H151" s="27"/>
      <c r="I151" s="27"/>
      <c r="J151" s="27"/>
      <c r="K151" s="27"/>
      <c r="L151" s="27"/>
      <c r="M151" s="27"/>
      <c r="N151" s="27"/>
      <c r="O151" s="27"/>
      <c r="P151" s="37"/>
      <c r="Q151" s="30"/>
      <c r="R151" s="30"/>
      <c r="S151" s="30"/>
      <c r="T151" s="30"/>
      <c r="U151" s="30"/>
      <c r="V151" s="30"/>
      <c r="W151" s="38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0"/>
      <c r="BM151" s="30"/>
      <c r="BN151" s="30"/>
      <c r="BO151" s="30"/>
      <c r="BP151" s="30"/>
      <c r="BQ151" s="30"/>
      <c r="BR151" s="38"/>
      <c r="BS151" s="30"/>
      <c r="BT151" s="30"/>
      <c r="BU151" s="30"/>
      <c r="BV151" s="30"/>
      <c r="BW151" s="30"/>
      <c r="BX151" s="30"/>
      <c r="BY151" s="30"/>
      <c r="BZ151" s="30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8"/>
      <c r="EZ151" s="38"/>
      <c r="FA151" s="38"/>
      <c r="FB151" s="38"/>
      <c r="FC151" s="38"/>
      <c r="FD151" s="38"/>
      <c r="FE151" s="38"/>
      <c r="FF151" s="30"/>
      <c r="FG151" s="30"/>
      <c r="FH151" s="30"/>
      <c r="FI151" s="30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</row>
    <row r="152" spans="1:216" ht="15.75" customHeight="1" x14ac:dyDescent="0.4">
      <c r="A152" s="7"/>
      <c r="B152" s="47"/>
      <c r="C152" s="24" t="s">
        <v>183</v>
      </c>
      <c r="D152" s="45"/>
      <c r="E152" s="9">
        <f>BULUSAN!AC152+BULUSARI!R152+GOMBENGSARI!AC152+KALIPURO!AR152+KELIR!W152+KETAPANG!BE152+KLATAK!AV152+PESUCEN!R152+TELEMUNG!T152</f>
        <v>54</v>
      </c>
      <c r="F152" s="39"/>
      <c r="G152" s="20"/>
      <c r="H152" s="20"/>
      <c r="I152" s="20"/>
      <c r="J152" s="20"/>
      <c r="K152" s="20"/>
      <c r="L152" s="20"/>
      <c r="M152" s="20"/>
      <c r="N152" s="20"/>
      <c r="O152" s="20"/>
      <c r="P152" s="32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</row>
    <row r="153" spans="1:216" ht="15.75" customHeight="1" x14ac:dyDescent="0.4">
      <c r="A153" s="7"/>
      <c r="B153" s="47"/>
      <c r="C153" s="24" t="s">
        <v>184</v>
      </c>
      <c r="D153" s="45"/>
      <c r="E153" s="9">
        <f>BULUSAN!AC153+BULUSARI!R153+GOMBENGSARI!AC153+KALIPURO!AR153+KELIR!W153+KETAPANG!BE153+KLATAK!AV153+PESUCEN!R153+TELEMUNG!T153</f>
        <v>102</v>
      </c>
      <c r="F153" s="39"/>
      <c r="G153" s="20"/>
      <c r="H153" s="20"/>
      <c r="I153" s="20"/>
      <c r="J153" s="20"/>
      <c r="K153" s="20"/>
      <c r="L153" s="20"/>
      <c r="M153" s="20"/>
      <c r="N153" s="20"/>
      <c r="O153" s="20"/>
      <c r="P153" s="32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</row>
    <row r="154" spans="1:216" ht="15.75" customHeight="1" x14ac:dyDescent="0.4">
      <c r="A154" s="7"/>
      <c r="B154" s="47"/>
      <c r="C154" s="24" t="s">
        <v>185</v>
      </c>
      <c r="D154" s="45"/>
      <c r="E154" s="9">
        <f>BULUSAN!AC154+BULUSARI!R154+GOMBENGSARI!AC154+KALIPURO!AR154+KELIR!W154+KETAPANG!BE154+KLATAK!AV154+PESUCEN!R154+TELEMUNG!T154</f>
        <v>93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47"/>
      <c r="C155" s="24" t="s">
        <v>186</v>
      </c>
      <c r="D155" s="45"/>
      <c r="E155" s="9">
        <f>BULUSAN!AC155+BULUSARI!R155+GOMBENGSARI!AC155+KALIPURO!AR155+KELIR!W155+KETAPANG!BE155+KLATAK!AV155+PESUCEN!R155+TELEMUNG!T155</f>
        <v>28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47"/>
      <c r="C156" s="24" t="s">
        <v>187</v>
      </c>
      <c r="D156" s="45"/>
      <c r="E156" s="9">
        <f>BULUSAN!AC156+BULUSARI!R156+GOMBENGSARI!AC156+KALIPURO!AR156+KELIR!W156+KETAPANG!BE156+KLATAK!AV156+PESUCEN!R156+TELEMUNG!T156</f>
        <v>20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47"/>
      <c r="C157" s="24" t="s">
        <v>188</v>
      </c>
      <c r="D157" s="45"/>
      <c r="E157" s="9">
        <f>BULUSAN!AC157+BULUSARI!R157+GOMBENGSARI!AC157+KALIPURO!AR157+KELIR!W157+KETAPANG!BE157+KLATAK!AV157+PESUCEN!R157+TELEMUNG!T157</f>
        <v>12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47"/>
      <c r="C158" s="24" t="s">
        <v>189</v>
      </c>
      <c r="D158" s="45"/>
      <c r="E158" s="9">
        <f>BULUSAN!AC158+BULUSARI!R158+GOMBENGSARI!AC158+KALIPURO!AR158+KELIR!W158+KETAPANG!BE158+KLATAK!AV158+PESUCEN!R158+TELEMUNG!T158</f>
        <v>32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47"/>
      <c r="C159" s="24" t="s">
        <v>190</v>
      </c>
      <c r="D159" s="45"/>
      <c r="E159" s="9">
        <f>BULUSAN!AC159+BULUSARI!R159+GOMBENGSARI!AC159+KALIPURO!AR159+KELIR!W159+KETAPANG!BE159+KLATAK!AV159+PESUCEN!R159+TELEMUNG!T159</f>
        <v>8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6" t="s">
        <v>26</v>
      </c>
      <c r="B160" s="74" t="s">
        <v>51</v>
      </c>
      <c r="C160" s="84"/>
      <c r="D160" s="85"/>
      <c r="E160" s="5">
        <f>SUM(E150:E159)</f>
        <v>1036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53"/>
      <c r="B161" s="75"/>
      <c r="C161" s="75"/>
      <c r="D161" s="75"/>
      <c r="E161" s="8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11" t="s">
        <v>48</v>
      </c>
      <c r="B162" s="17" t="s">
        <v>71</v>
      </c>
      <c r="C162" s="83" t="s">
        <v>72</v>
      </c>
      <c r="D162" s="55"/>
      <c r="E162" s="9">
        <f>BULUSAN!AC162+BULUSARI!R162+GOMBENGSARI!AC162+KALIPURO!AR162+KELIR!W162+KETAPANG!BE162+KLATAK!AV162+PESUCEN!R162+TELEMUNG!T162</f>
        <v>39</v>
      </c>
      <c r="F162" s="40"/>
      <c r="G162" s="1"/>
      <c r="H162" s="1"/>
      <c r="I162" s="1"/>
      <c r="J162" s="1"/>
      <c r="K162" s="1"/>
      <c r="L162" s="1"/>
      <c r="M162" s="1"/>
      <c r="N162" s="1"/>
      <c r="O162" s="1"/>
      <c r="P162" s="34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</row>
    <row r="163" spans="1:216" ht="15.75" customHeight="1" x14ac:dyDescent="0.4">
      <c r="A163" s="11" t="s">
        <v>50</v>
      </c>
      <c r="B163" s="47"/>
      <c r="C163" s="24" t="s">
        <v>191</v>
      </c>
      <c r="D163" s="45"/>
      <c r="E163" s="9">
        <f>BULUSAN!AC163+BULUSARI!R163+GOMBENGSARI!AC163+KALIPURO!AR163+KELIR!W163+KETAPANG!BE163+KLATAK!AV163+PESUCEN!R163+TELEMUNG!T163</f>
        <v>99</v>
      </c>
      <c r="F163" s="42"/>
      <c r="G163" s="27"/>
      <c r="H163" s="27"/>
      <c r="I163" s="27"/>
      <c r="J163" s="27"/>
      <c r="K163" s="27"/>
      <c r="L163" s="27"/>
      <c r="M163" s="27"/>
      <c r="N163" s="27"/>
      <c r="O163" s="27"/>
      <c r="P163" s="37"/>
      <c r="Q163" s="30"/>
      <c r="R163" s="30"/>
      <c r="S163" s="30"/>
      <c r="T163" s="30"/>
      <c r="U163" s="30"/>
      <c r="V163" s="30"/>
      <c r="W163" s="38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0"/>
      <c r="BM163" s="30"/>
      <c r="BN163" s="30"/>
      <c r="BO163" s="30"/>
      <c r="BP163" s="30"/>
      <c r="BQ163" s="30"/>
      <c r="BR163" s="38"/>
      <c r="BS163" s="30"/>
      <c r="BT163" s="30"/>
      <c r="BU163" s="30"/>
      <c r="BV163" s="30"/>
      <c r="BW163" s="30"/>
      <c r="BX163" s="30"/>
      <c r="BY163" s="30"/>
      <c r="BZ163" s="30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8"/>
      <c r="EZ163" s="38"/>
      <c r="FA163" s="38"/>
      <c r="FB163" s="38"/>
      <c r="FC163" s="38"/>
      <c r="FD163" s="38"/>
      <c r="FE163" s="38"/>
      <c r="FF163" s="30"/>
      <c r="FG163" s="30"/>
      <c r="FH163" s="30"/>
      <c r="FI163" s="30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</row>
    <row r="164" spans="1:216" ht="15.75" customHeight="1" x14ac:dyDescent="0.4">
      <c r="A164" s="7"/>
      <c r="B164" s="47"/>
      <c r="C164" s="24" t="s">
        <v>192</v>
      </c>
      <c r="D164" s="45"/>
      <c r="E164" s="9">
        <f>BULUSAN!AC164+BULUSARI!R164+GOMBENGSARI!AC164+KALIPURO!AR164+KELIR!W164+KETAPANG!BE164+KLATAK!AV164+PESUCEN!R164+TELEMUNG!T164</f>
        <v>31</v>
      </c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7"/>
      <c r="B165" s="47"/>
      <c r="C165" s="24" t="s">
        <v>193</v>
      </c>
      <c r="D165" s="45"/>
      <c r="E165" s="9">
        <f>BULUSAN!AC165+BULUSARI!R165+GOMBENGSARI!AC165+KALIPURO!AR165+KELIR!W165+KETAPANG!BE165+KLATAK!AV165+PESUCEN!R165+TELEMUNG!T165</f>
        <v>8</v>
      </c>
      <c r="F165" s="39"/>
      <c r="G165" s="20"/>
      <c r="H165" s="20"/>
      <c r="I165" s="20"/>
      <c r="J165" s="20"/>
      <c r="K165" s="20"/>
      <c r="L165" s="20"/>
      <c r="M165" s="20"/>
      <c r="N165" s="20"/>
      <c r="O165" s="20"/>
      <c r="P165" s="32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</row>
    <row r="166" spans="1:216" ht="15.75" customHeight="1" x14ac:dyDescent="0.4">
      <c r="A166" s="7"/>
      <c r="B166" s="47"/>
      <c r="C166" s="24" t="s">
        <v>194</v>
      </c>
      <c r="D166" s="45"/>
      <c r="E166" s="9">
        <f>BULUSAN!AC166+BULUSARI!R166+GOMBENGSARI!AC166+KALIPURO!AR166+KELIR!W166+KETAPANG!BE166+KLATAK!AV166+PESUCEN!R166+TELEMUNG!T166</f>
        <v>4</v>
      </c>
      <c r="F166" s="39"/>
      <c r="G166" s="20"/>
      <c r="H166" s="20"/>
      <c r="I166" s="20"/>
      <c r="J166" s="20"/>
      <c r="K166" s="20"/>
      <c r="L166" s="20"/>
      <c r="M166" s="20"/>
      <c r="N166" s="20"/>
      <c r="O166" s="20"/>
      <c r="P166" s="32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</row>
    <row r="167" spans="1:216" ht="15.75" customHeight="1" x14ac:dyDescent="0.4">
      <c r="A167" s="7"/>
      <c r="B167" s="47"/>
      <c r="C167" s="24" t="s">
        <v>195</v>
      </c>
      <c r="D167" s="45"/>
      <c r="E167" s="9">
        <f>BULUSAN!AC167+BULUSARI!R167+GOMBENGSARI!AC167+KALIPURO!AR167+KELIR!W167+KETAPANG!BE167+KLATAK!AV167+PESUCEN!R167+TELEMUNG!T167</f>
        <v>6</v>
      </c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7"/>
      <c r="C168" s="24" t="s">
        <v>196</v>
      </c>
      <c r="D168" s="45"/>
      <c r="E168" s="9">
        <f>BULUSAN!AC168+BULUSARI!R168+GOMBENGSARI!AC168+KALIPURO!AR168+KELIR!W168+KETAPANG!BE168+KLATAK!AV168+PESUCEN!R168+TELEMUNG!T168</f>
        <v>1</v>
      </c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7"/>
      <c r="C169" s="24" t="s">
        <v>197</v>
      </c>
      <c r="D169" s="45"/>
      <c r="E169" s="9">
        <f>BULUSAN!AC169+BULUSARI!R169+GOMBENGSARI!AC169+KALIPURO!AR169+KELIR!W169+KETAPANG!BE169+KLATAK!AV169+PESUCEN!R169+TELEMUNG!T169</f>
        <v>2</v>
      </c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7"/>
      <c r="C170" s="24" t="s">
        <v>198</v>
      </c>
      <c r="D170" s="45"/>
      <c r="E170" s="9">
        <f>BULUSAN!AC170+BULUSARI!R170+GOMBENGSARI!AC170+KALIPURO!AR170+KELIR!W170+KETAPANG!BE170+KLATAK!AV170+PESUCEN!R170+TELEMUNG!T170</f>
        <v>3</v>
      </c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7"/>
      <c r="C171" s="24" t="s">
        <v>199</v>
      </c>
      <c r="D171" s="45"/>
      <c r="E171" s="9">
        <f>BULUSAN!AC171+BULUSARI!R171+GOMBENGSARI!AC171+KALIPURO!AR171+KELIR!W171+KETAPANG!BE171+KLATAK!AV171+PESUCEN!R171+TELEMUNG!T171</f>
        <v>6</v>
      </c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6" t="s">
        <v>26</v>
      </c>
      <c r="B172" s="74" t="s">
        <v>51</v>
      </c>
      <c r="C172" s="84"/>
      <c r="D172" s="85"/>
      <c r="E172" s="5">
        <f>SUM(E162:E171)</f>
        <v>199</v>
      </c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53"/>
      <c r="B173" s="75"/>
      <c r="C173" s="75"/>
      <c r="D173" s="75"/>
      <c r="E173" s="86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11" t="s">
        <v>48</v>
      </c>
      <c r="B174" s="17" t="s">
        <v>73</v>
      </c>
      <c r="C174" s="83" t="s">
        <v>74</v>
      </c>
      <c r="D174" s="55"/>
      <c r="E174" s="9">
        <f>BULUSAN!AC174+BULUSARI!R174+GOMBENGSARI!AC174+KALIPURO!AR174+KELIR!W174+KETAPANG!BE174+KLATAK!AV174+PESUCEN!R174+TELEMUNG!T174</f>
        <v>484</v>
      </c>
      <c r="F174" s="40"/>
      <c r="G174" s="1"/>
      <c r="H174" s="1"/>
      <c r="I174" s="1"/>
      <c r="J174" s="1"/>
      <c r="K174" s="1"/>
      <c r="L174" s="1"/>
      <c r="M174" s="1"/>
      <c r="N174" s="1"/>
      <c r="O174" s="1"/>
      <c r="P174" s="34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</row>
    <row r="175" spans="1:216" ht="15.75" customHeight="1" x14ac:dyDescent="0.4">
      <c r="A175" s="11" t="s">
        <v>50</v>
      </c>
      <c r="B175" s="47"/>
      <c r="C175" s="24" t="s">
        <v>200</v>
      </c>
      <c r="D175" s="45"/>
      <c r="E175" s="9">
        <f>BULUSAN!AC175+BULUSARI!R175+GOMBENGSARI!AC175+KALIPURO!AR175+KELIR!W175+KETAPANG!BE175+KLATAK!AV175+PESUCEN!R175+TELEMUNG!T175</f>
        <v>1081</v>
      </c>
      <c r="F175" s="42"/>
      <c r="G175" s="27"/>
      <c r="H175" s="27"/>
      <c r="I175" s="27"/>
      <c r="J175" s="27"/>
      <c r="K175" s="27"/>
      <c r="L175" s="27"/>
      <c r="M175" s="27"/>
      <c r="N175" s="27"/>
      <c r="O175" s="27"/>
      <c r="P175" s="37"/>
      <c r="Q175" s="30"/>
      <c r="R175" s="30"/>
      <c r="S175" s="30"/>
      <c r="T175" s="30"/>
      <c r="U175" s="30"/>
      <c r="V175" s="30"/>
      <c r="W175" s="38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0"/>
      <c r="BM175" s="30"/>
      <c r="BN175" s="30"/>
      <c r="BO175" s="30"/>
      <c r="BP175" s="30"/>
      <c r="BQ175" s="30"/>
      <c r="BR175" s="38"/>
      <c r="BS175" s="30"/>
      <c r="BT175" s="30"/>
      <c r="BU175" s="30"/>
      <c r="BV175" s="30"/>
      <c r="BW175" s="30"/>
      <c r="BX175" s="30"/>
      <c r="BY175" s="30"/>
      <c r="BZ175" s="30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8"/>
      <c r="EZ175" s="38"/>
      <c r="FA175" s="38"/>
      <c r="FB175" s="38"/>
      <c r="FC175" s="38"/>
      <c r="FD175" s="38"/>
      <c r="FE175" s="38"/>
      <c r="FF175" s="30"/>
      <c r="FG175" s="30"/>
      <c r="FH175" s="30"/>
      <c r="FI175" s="30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</row>
    <row r="176" spans="1:216" ht="15.75" customHeight="1" x14ac:dyDescent="0.4">
      <c r="A176" s="7"/>
      <c r="B176" s="47"/>
      <c r="C176" s="24" t="s">
        <v>201</v>
      </c>
      <c r="D176" s="45"/>
      <c r="E176" s="9">
        <f>BULUSAN!AC176+BULUSARI!R176+GOMBENGSARI!AC176+KALIPURO!AR176+KELIR!W176+KETAPANG!BE176+KLATAK!AV176+PESUCEN!R176+TELEMUNG!T176</f>
        <v>401</v>
      </c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7"/>
      <c r="B177" s="47"/>
      <c r="C177" s="24" t="s">
        <v>202</v>
      </c>
      <c r="D177" s="45"/>
      <c r="E177" s="9">
        <f>BULUSAN!AC177+BULUSARI!R177+GOMBENGSARI!AC177+KALIPURO!AR177+KELIR!W177+KETAPANG!BE177+KLATAK!AV177+PESUCEN!R177+TELEMUNG!T177</f>
        <v>71</v>
      </c>
      <c r="F177" s="39"/>
      <c r="G177" s="20"/>
      <c r="H177" s="20"/>
      <c r="I177" s="20"/>
      <c r="J177" s="20"/>
      <c r="K177" s="20"/>
      <c r="L177" s="20"/>
      <c r="M177" s="20"/>
      <c r="N177" s="20"/>
      <c r="O177" s="20"/>
      <c r="P177" s="32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</row>
    <row r="178" spans="1:216" ht="15.75" customHeight="1" x14ac:dyDescent="0.4">
      <c r="A178" s="7"/>
      <c r="B178" s="47"/>
      <c r="C178" s="24" t="s">
        <v>203</v>
      </c>
      <c r="D178" s="45"/>
      <c r="E178" s="9">
        <f>BULUSAN!AC178+BULUSARI!R178+GOMBENGSARI!AC178+KALIPURO!AR178+KELIR!W178+KETAPANG!BE178+KLATAK!AV178+PESUCEN!R178+TELEMUNG!T178</f>
        <v>61</v>
      </c>
      <c r="F178" s="39"/>
      <c r="G178" s="20"/>
      <c r="H178" s="20"/>
      <c r="I178" s="20"/>
      <c r="J178" s="20"/>
      <c r="K178" s="20"/>
      <c r="L178" s="20"/>
      <c r="M178" s="20"/>
      <c r="N178" s="20"/>
      <c r="O178" s="20"/>
      <c r="P178" s="32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</row>
    <row r="179" spans="1:216" ht="15.75" customHeight="1" x14ac:dyDescent="0.4">
      <c r="A179" s="7"/>
      <c r="B179" s="47"/>
      <c r="C179" s="24" t="s">
        <v>204</v>
      </c>
      <c r="D179" s="45"/>
      <c r="E179" s="9">
        <f>BULUSAN!AC179+BULUSARI!R179+GOMBENGSARI!AC179+KALIPURO!AR179+KELIR!W179+KETAPANG!BE179+KLATAK!AV179+PESUCEN!R179+TELEMUNG!T179</f>
        <v>25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47"/>
      <c r="C180" s="24" t="s">
        <v>205</v>
      </c>
      <c r="D180" s="45"/>
      <c r="E180" s="9">
        <f>BULUSAN!AC180+BULUSARI!R180+GOMBENGSARI!AC180+KALIPURO!AR180+KELIR!W180+KETAPANG!BE180+KLATAK!AV180+PESUCEN!R180+TELEMUNG!T180</f>
        <v>46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47"/>
      <c r="C181" s="24" t="s">
        <v>206</v>
      </c>
      <c r="D181" s="45"/>
      <c r="E181" s="9">
        <f>BULUSAN!AC181+BULUSARI!R181+GOMBENGSARI!AC181+KALIPURO!AR181+KELIR!W181+KETAPANG!BE181+KLATAK!AV181+PESUCEN!R181+TELEMUNG!T181</f>
        <v>63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47"/>
      <c r="C182" s="24" t="s">
        <v>207</v>
      </c>
      <c r="D182" s="45"/>
      <c r="E182" s="9">
        <f>BULUSAN!AC182+BULUSARI!R182+GOMBENGSARI!AC182+KALIPURO!AR182+KELIR!W182+KETAPANG!BE182+KLATAK!AV182+PESUCEN!R182+TELEMUNG!T182</f>
        <v>1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47"/>
      <c r="C183" s="24" t="s">
        <v>208</v>
      </c>
      <c r="D183" s="45"/>
      <c r="E183" s="9">
        <f>BULUSAN!AC183+BULUSARI!R183+GOMBENGSARI!AC183+KALIPURO!AR183+KELIR!W183+KETAPANG!BE183+KLATAK!AV183+PESUCEN!R183+TELEMUNG!T183</f>
        <v>17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6" t="s">
        <v>26</v>
      </c>
      <c r="B184" s="74" t="s">
        <v>51</v>
      </c>
      <c r="C184" s="84"/>
      <c r="D184" s="85"/>
      <c r="E184" s="5">
        <f>SUM(E174:E183)</f>
        <v>2250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53"/>
      <c r="B185" s="75"/>
      <c r="C185" s="75"/>
      <c r="D185" s="75"/>
      <c r="E185" s="86"/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11" t="s">
        <v>48</v>
      </c>
      <c r="B186" s="17" t="s">
        <v>75</v>
      </c>
      <c r="C186" s="83" t="s">
        <v>76</v>
      </c>
      <c r="D186" s="55"/>
      <c r="E186" s="9">
        <f>BULUSAN!AC186+BULUSARI!R186+GOMBENGSARI!AC186+KALIPURO!AR186+KELIR!W186+KETAPANG!BE186+KLATAK!AV186+PESUCEN!R186+TELEMUNG!T186</f>
        <v>389</v>
      </c>
      <c r="F186" s="40"/>
      <c r="G186" s="1"/>
      <c r="H186" s="1"/>
      <c r="I186" s="1"/>
      <c r="J186" s="1"/>
      <c r="K186" s="1"/>
      <c r="L186" s="1"/>
      <c r="M186" s="1"/>
      <c r="N186" s="1"/>
      <c r="O186" s="1"/>
      <c r="P186" s="34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</row>
    <row r="187" spans="1:216" ht="15.75" customHeight="1" x14ac:dyDescent="0.4">
      <c r="A187" s="11" t="s">
        <v>50</v>
      </c>
      <c r="B187" s="47"/>
      <c r="C187" s="24" t="s">
        <v>209</v>
      </c>
      <c r="D187" s="48"/>
      <c r="E187" s="9">
        <f>BULUSAN!AC187+BULUSARI!R187+GOMBENGSARI!AC187+KALIPURO!AR187+KELIR!W187+KETAPANG!BE187+KLATAK!AV187+PESUCEN!R187+TELEMUNG!T187</f>
        <v>376</v>
      </c>
      <c r="F187" s="42"/>
      <c r="G187" s="27"/>
      <c r="H187" s="27"/>
      <c r="I187" s="27"/>
      <c r="J187" s="27"/>
      <c r="K187" s="27"/>
      <c r="L187" s="27"/>
      <c r="M187" s="27"/>
      <c r="N187" s="27"/>
      <c r="O187" s="27"/>
      <c r="P187" s="37"/>
      <c r="Q187" s="30"/>
      <c r="R187" s="30"/>
      <c r="S187" s="30"/>
      <c r="T187" s="30"/>
      <c r="U187" s="30"/>
      <c r="V187" s="30"/>
      <c r="W187" s="38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0"/>
      <c r="BM187" s="30"/>
      <c r="BN187" s="30"/>
      <c r="BO187" s="30"/>
      <c r="BP187" s="30"/>
      <c r="BQ187" s="30"/>
      <c r="BR187" s="38"/>
      <c r="BS187" s="30"/>
      <c r="BT187" s="30"/>
      <c r="BU187" s="30"/>
      <c r="BV187" s="30"/>
      <c r="BW187" s="30"/>
      <c r="BX187" s="30"/>
      <c r="BY187" s="30"/>
      <c r="BZ187" s="30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8"/>
      <c r="EZ187" s="38"/>
      <c r="FA187" s="38"/>
      <c r="FB187" s="38"/>
      <c r="FC187" s="38"/>
      <c r="FD187" s="38"/>
      <c r="FE187" s="38"/>
      <c r="FF187" s="30"/>
      <c r="FG187" s="30"/>
      <c r="FH187" s="30"/>
      <c r="FI187" s="30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</row>
    <row r="188" spans="1:216" ht="15.75" customHeight="1" x14ac:dyDescent="0.4">
      <c r="A188" s="7"/>
      <c r="B188" s="47"/>
      <c r="C188" s="24" t="s">
        <v>210</v>
      </c>
      <c r="D188" s="48"/>
      <c r="E188" s="9">
        <f>BULUSAN!AC188+BULUSARI!R188+GOMBENGSARI!AC188+KALIPURO!AR188+KELIR!W188+KETAPANG!BE188+KLATAK!AV188+PESUCEN!R188+TELEMUNG!T188</f>
        <v>226</v>
      </c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7"/>
      <c r="B189" s="47"/>
      <c r="C189" s="24" t="s">
        <v>211</v>
      </c>
      <c r="E189" s="9">
        <f>BULUSAN!AC189+BULUSARI!R189+GOMBENGSARI!AC189+KALIPURO!AR189+KELIR!W189+KETAPANG!BE189+KLATAK!AV189+PESUCEN!R189+TELEMUNG!T189</f>
        <v>49</v>
      </c>
      <c r="F189" s="39"/>
      <c r="G189" s="20"/>
      <c r="H189" s="20"/>
      <c r="I189" s="20"/>
      <c r="J189" s="20"/>
      <c r="K189" s="20"/>
      <c r="L189" s="20"/>
      <c r="M189" s="20"/>
      <c r="N189" s="20"/>
      <c r="O189" s="20"/>
      <c r="P189" s="32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</row>
    <row r="190" spans="1:216" ht="15.75" customHeight="1" x14ac:dyDescent="0.4">
      <c r="A190" s="6" t="s">
        <v>26</v>
      </c>
      <c r="B190" s="74" t="s">
        <v>51</v>
      </c>
      <c r="C190" s="84"/>
      <c r="D190" s="85"/>
      <c r="E190" s="5">
        <f>SUM(E186:E189)</f>
        <v>1040</v>
      </c>
      <c r="F190" s="39"/>
      <c r="G190" s="20"/>
      <c r="H190" s="20"/>
      <c r="I190" s="20"/>
      <c r="J190" s="20"/>
      <c r="K190" s="20"/>
      <c r="L190" s="20"/>
      <c r="M190" s="20"/>
      <c r="N190" s="20"/>
      <c r="O190" s="20"/>
      <c r="P190" s="32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</row>
    <row r="191" spans="1:216" ht="15.75" customHeight="1" x14ac:dyDescent="0.4">
      <c r="A191" s="53"/>
      <c r="B191" s="75"/>
      <c r="C191" s="75"/>
      <c r="D191" s="75"/>
      <c r="E191" s="86"/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11" t="s">
        <v>48</v>
      </c>
      <c r="B192" s="17" t="s">
        <v>77</v>
      </c>
      <c r="C192" s="83" t="s">
        <v>78</v>
      </c>
      <c r="D192" s="55"/>
      <c r="E192" s="9">
        <f>BULUSAN!AC192+BULUSARI!R192+GOMBENGSARI!AC192+KALIPURO!AR192+KELIR!W192+KETAPANG!BE192+KLATAK!AV192+PESUCEN!R192+TELEMUNG!T192</f>
        <v>47</v>
      </c>
      <c r="F192" s="40"/>
      <c r="G192" s="1"/>
      <c r="H192" s="1"/>
      <c r="I192" s="1"/>
      <c r="J192" s="1"/>
      <c r="K192" s="1"/>
      <c r="L192" s="1"/>
      <c r="M192" s="1"/>
      <c r="N192" s="1"/>
      <c r="O192" s="1"/>
      <c r="P192" s="34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</row>
    <row r="193" spans="1:216" ht="15.75" customHeight="1" x14ac:dyDescent="0.4">
      <c r="A193" s="11" t="s">
        <v>50</v>
      </c>
      <c r="B193" s="47"/>
      <c r="C193" s="24" t="s">
        <v>212</v>
      </c>
      <c r="D193" s="45"/>
      <c r="E193" s="9">
        <f>BULUSAN!AC193+BULUSARI!R193+GOMBENGSARI!AC193+KALIPURO!AR193+KELIR!W193+KETAPANG!BE193+KLATAK!AV193+PESUCEN!R193+TELEMUNG!T193</f>
        <v>22</v>
      </c>
      <c r="F193" s="42"/>
      <c r="G193" s="27"/>
      <c r="H193" s="27"/>
      <c r="I193" s="27"/>
      <c r="J193" s="27"/>
      <c r="K193" s="27"/>
      <c r="L193" s="27"/>
      <c r="M193" s="27"/>
      <c r="N193" s="27"/>
      <c r="O193" s="27"/>
      <c r="P193" s="37"/>
      <c r="Q193" s="30"/>
      <c r="R193" s="30"/>
      <c r="S193" s="30"/>
      <c r="T193" s="30"/>
      <c r="U193" s="30"/>
      <c r="V193" s="30"/>
      <c r="W193" s="38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0"/>
      <c r="BM193" s="30"/>
      <c r="BN193" s="30"/>
      <c r="BO193" s="30"/>
      <c r="BP193" s="30"/>
      <c r="BQ193" s="30"/>
      <c r="BR193" s="38"/>
      <c r="BS193" s="30"/>
      <c r="BT193" s="30"/>
      <c r="BU193" s="30"/>
      <c r="BV193" s="30"/>
      <c r="BW193" s="30"/>
      <c r="BX193" s="30"/>
      <c r="BY193" s="30"/>
      <c r="BZ193" s="30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8"/>
      <c r="EZ193" s="38"/>
      <c r="FA193" s="38"/>
      <c r="FB193" s="38"/>
      <c r="FC193" s="38"/>
      <c r="FD193" s="38"/>
      <c r="FE193" s="38"/>
      <c r="FF193" s="30"/>
      <c r="FG193" s="30"/>
      <c r="FH193" s="30"/>
      <c r="FI193" s="30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</row>
    <row r="194" spans="1:216" ht="15.75" customHeight="1" x14ac:dyDescent="0.4">
      <c r="A194" s="7"/>
      <c r="B194" s="47"/>
      <c r="C194" s="24" t="s">
        <v>213</v>
      </c>
      <c r="D194" s="45"/>
      <c r="E194" s="9">
        <f>BULUSAN!AC194+BULUSARI!R194+GOMBENGSARI!AC194+KALIPURO!AR194+KELIR!W194+KETAPANG!BE194+KLATAK!AV194+PESUCEN!R194+TELEMUNG!T194</f>
        <v>25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47"/>
      <c r="C195" s="24" t="s">
        <v>214</v>
      </c>
      <c r="D195" s="45"/>
      <c r="E195" s="9">
        <f>BULUSAN!AC195+BULUSARI!R195+GOMBENGSARI!AC195+KALIPURO!AR195+KELIR!W195+KETAPANG!BE195+KLATAK!AV195+PESUCEN!R195+TELEMUNG!T195</f>
        <v>8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47"/>
      <c r="C196" s="24" t="s">
        <v>215</v>
      </c>
      <c r="D196" s="45"/>
      <c r="E196" s="9">
        <f>BULUSAN!AC196+BULUSARI!R196+GOMBENGSARI!AC196+KALIPURO!AR196+KELIR!W196+KETAPANG!BE196+KLATAK!AV196+PESUCEN!R196+TELEMUNG!T196</f>
        <v>11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6" t="s">
        <v>26</v>
      </c>
      <c r="B197" s="74" t="s">
        <v>51</v>
      </c>
      <c r="C197" s="84"/>
      <c r="D197" s="85"/>
      <c r="E197" s="5">
        <f>SUM(E192:E196)</f>
        <v>113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53"/>
      <c r="B198" s="75"/>
      <c r="C198" s="75"/>
      <c r="D198" s="75"/>
      <c r="E198" s="86"/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11" t="s">
        <v>48</v>
      </c>
      <c r="B199" s="17" t="s">
        <v>79</v>
      </c>
      <c r="C199" s="83" t="s">
        <v>80</v>
      </c>
      <c r="D199" s="55"/>
      <c r="E199" s="9">
        <f>BULUSAN!AC199+BULUSARI!R199+GOMBENGSARI!AC199+KALIPURO!AR199+KELIR!W199+KETAPANG!BE199+KLATAK!AV199+PESUCEN!R199+TELEMUNG!T199</f>
        <v>356</v>
      </c>
      <c r="F199" s="40"/>
      <c r="G199" s="20"/>
      <c r="H199" s="1"/>
      <c r="I199" s="1"/>
      <c r="J199" s="1"/>
      <c r="K199" s="1"/>
      <c r="L199" s="1"/>
      <c r="M199" s="1"/>
      <c r="N199" s="1"/>
      <c r="O199" s="1"/>
      <c r="P199" s="34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</row>
    <row r="200" spans="1:216" ht="15.75" customHeight="1" x14ac:dyDescent="0.4">
      <c r="A200" s="11" t="s">
        <v>50</v>
      </c>
      <c r="B200" s="47"/>
      <c r="C200" s="24" t="s">
        <v>216</v>
      </c>
      <c r="D200" s="45"/>
      <c r="E200" s="9">
        <f>BULUSAN!AC200+BULUSARI!R200+GOMBENGSARI!AC200+KALIPURO!AR200+KELIR!W200+KETAPANG!BE200+KLATAK!AV200+PESUCEN!R200+TELEMUNG!T200</f>
        <v>962</v>
      </c>
      <c r="F200" s="42"/>
      <c r="G200" s="20"/>
      <c r="H200" s="27"/>
      <c r="I200" s="27"/>
      <c r="J200" s="27"/>
      <c r="K200" s="27"/>
      <c r="L200" s="27"/>
      <c r="M200" s="27"/>
      <c r="N200" s="27"/>
      <c r="O200" s="27"/>
      <c r="P200" s="37"/>
      <c r="Q200" s="30"/>
      <c r="R200" s="30"/>
      <c r="S200" s="30"/>
      <c r="T200" s="30"/>
      <c r="U200" s="30"/>
      <c r="V200" s="30"/>
      <c r="W200" s="38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0"/>
      <c r="BM200" s="30"/>
      <c r="BN200" s="30"/>
      <c r="BO200" s="30"/>
      <c r="BP200" s="30"/>
      <c r="BQ200" s="30"/>
      <c r="BR200" s="38"/>
      <c r="BS200" s="30"/>
      <c r="BT200" s="30"/>
      <c r="BU200" s="30"/>
      <c r="BV200" s="30"/>
      <c r="BW200" s="30"/>
      <c r="BX200" s="30"/>
      <c r="BY200" s="30"/>
      <c r="BZ200" s="30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8"/>
      <c r="EZ200" s="38"/>
      <c r="FA200" s="38"/>
      <c r="FB200" s="38"/>
      <c r="FC200" s="38"/>
      <c r="FD200" s="38"/>
      <c r="FE200" s="38"/>
      <c r="FF200" s="30"/>
      <c r="FG200" s="30"/>
      <c r="FH200" s="30"/>
      <c r="FI200" s="30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</row>
    <row r="201" spans="1:216" ht="15.75" customHeight="1" x14ac:dyDescent="0.4">
      <c r="A201" s="7"/>
      <c r="B201" s="47"/>
      <c r="C201" s="24" t="s">
        <v>217</v>
      </c>
      <c r="D201" s="45"/>
      <c r="E201" s="9">
        <f>BULUSAN!AC201+BULUSARI!R201+GOMBENGSARI!AC201+KALIPURO!AR201+KELIR!W201+KETAPANG!BE201+KLATAK!AV201+PESUCEN!R201+TELEMUNG!T201</f>
        <v>351</v>
      </c>
      <c r="F201" s="39"/>
      <c r="G201" s="20"/>
      <c r="H201" s="20"/>
      <c r="I201" s="20"/>
      <c r="J201" s="20"/>
      <c r="K201" s="20"/>
      <c r="L201" s="20"/>
      <c r="M201" s="20"/>
      <c r="N201" s="20"/>
      <c r="O201" s="20"/>
      <c r="P201" s="32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</row>
    <row r="202" spans="1:216" ht="15.75" customHeight="1" x14ac:dyDescent="0.4">
      <c r="A202" s="7"/>
      <c r="B202" s="47"/>
      <c r="C202" s="24" t="s">
        <v>218</v>
      </c>
      <c r="D202" s="45"/>
      <c r="E202" s="9">
        <f>BULUSAN!AC202+BULUSARI!R202+GOMBENGSARI!AC202+KALIPURO!AR202+KELIR!W202+KETAPANG!BE202+KLATAK!AV202+PESUCEN!R202+TELEMUNG!T202</f>
        <v>26</v>
      </c>
      <c r="F202" s="39"/>
      <c r="G202" s="20"/>
      <c r="H202" s="20"/>
      <c r="I202" s="20"/>
      <c r="J202" s="20"/>
      <c r="K202" s="20"/>
      <c r="L202" s="20"/>
      <c r="M202" s="20"/>
      <c r="N202" s="20"/>
      <c r="O202" s="20"/>
      <c r="P202" s="32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</row>
    <row r="203" spans="1:216" ht="15.75" customHeight="1" x14ac:dyDescent="0.4">
      <c r="A203" s="7"/>
      <c r="B203" s="47"/>
      <c r="C203" s="24" t="s">
        <v>219</v>
      </c>
      <c r="D203" s="45"/>
      <c r="E203" s="9">
        <f>BULUSAN!AC203+BULUSARI!R203+GOMBENGSARI!AC203+KALIPURO!AR203+KELIR!W203+KETAPANG!BE203+KLATAK!AV203+PESUCEN!R203+TELEMUNG!T203</f>
        <v>89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47"/>
      <c r="C204" s="24" t="s">
        <v>220</v>
      </c>
      <c r="D204" s="45"/>
      <c r="E204" s="9">
        <f>BULUSAN!AC204+BULUSARI!R204+GOMBENGSARI!AC204+KALIPURO!AR204+KELIR!W204+KETAPANG!BE204+KLATAK!AV204+PESUCEN!R204+TELEMUNG!T204</f>
        <v>54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47"/>
      <c r="C205" s="24" t="s">
        <v>221</v>
      </c>
      <c r="D205" s="45"/>
      <c r="E205" s="9">
        <f>BULUSAN!AC205+BULUSARI!R205+GOMBENGSARI!AC205+KALIPURO!AR205+KELIR!W205+KETAPANG!BE205+KLATAK!AV205+PESUCEN!R205+TELEMUNG!T205</f>
        <v>19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47"/>
      <c r="C206" s="24" t="s">
        <v>222</v>
      </c>
      <c r="D206" s="45"/>
      <c r="E206" s="9">
        <f>BULUSAN!AC206+BULUSARI!R206+GOMBENGSARI!AC206+KALIPURO!AR206+KELIR!W206+KETAPANG!BE206+KLATAK!AV206+PESUCEN!R206+TELEMUNG!T206</f>
        <v>29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47"/>
      <c r="C207" s="24" t="s">
        <v>223</v>
      </c>
      <c r="D207" s="45"/>
      <c r="E207" s="9">
        <f>BULUSAN!AC207+BULUSARI!R207+GOMBENGSARI!AC207+KALIPURO!AR207+KELIR!W207+KETAPANG!BE207+KLATAK!AV207+PESUCEN!R207+TELEMUNG!T207</f>
        <v>9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47"/>
      <c r="C208" s="24" t="s">
        <v>224</v>
      </c>
      <c r="D208" s="45"/>
      <c r="E208" s="9">
        <f>BULUSAN!AC208+BULUSARI!R208+GOMBENGSARI!AC208+KALIPURO!AR208+KELIR!W208+KETAPANG!BE208+KLATAK!AV208+PESUCEN!R208+TELEMUNG!T208</f>
        <v>35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6" t="s">
        <v>26</v>
      </c>
      <c r="B209" s="74" t="s">
        <v>51</v>
      </c>
      <c r="C209" s="84"/>
      <c r="D209" s="85"/>
      <c r="E209" s="5">
        <f>SUM(E199:E208)</f>
        <v>1930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53"/>
      <c r="B210" s="75"/>
      <c r="C210" s="75"/>
      <c r="D210" s="75"/>
      <c r="E210" s="86"/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11" t="s">
        <v>48</v>
      </c>
      <c r="B211" s="17" t="s">
        <v>81</v>
      </c>
      <c r="C211" s="83" t="s">
        <v>82</v>
      </c>
      <c r="D211" s="55"/>
      <c r="E211" s="9">
        <f>BULUSAN!AC211+BULUSARI!R211+GOMBENGSARI!AC211+KALIPURO!AR211+KELIR!W211+KETAPANG!BE211+KLATAK!AV211+PESUCEN!R211+TELEMUNG!T211</f>
        <v>48</v>
      </c>
      <c r="F211" s="40"/>
      <c r="G211" s="20"/>
      <c r="H211" s="1"/>
      <c r="I211" s="1"/>
      <c r="J211" s="1"/>
      <c r="K211" s="1"/>
      <c r="L211" s="1"/>
      <c r="M211" s="1"/>
      <c r="N211" s="1"/>
      <c r="O211" s="1"/>
      <c r="P211" s="34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</row>
    <row r="212" spans="1:216" ht="15.75" customHeight="1" x14ac:dyDescent="0.4">
      <c r="A212" s="11" t="s">
        <v>50</v>
      </c>
      <c r="B212" s="47"/>
      <c r="C212" s="24" t="s">
        <v>225</v>
      </c>
      <c r="D212" s="45"/>
      <c r="E212" s="9">
        <f>BULUSAN!AC212+BULUSARI!R212+GOMBENGSARI!AC212+KALIPURO!AR212+KELIR!W212+KETAPANG!BE212+KLATAK!AV212+PESUCEN!R212+TELEMUNG!T212</f>
        <v>82</v>
      </c>
      <c r="F212" s="39"/>
      <c r="G212" s="20"/>
      <c r="H212" s="20"/>
      <c r="I212" s="20"/>
      <c r="J212" s="20"/>
      <c r="K212" s="20"/>
      <c r="L212" s="20"/>
      <c r="M212" s="20"/>
      <c r="N212" s="20"/>
      <c r="O212" s="23"/>
      <c r="P212" s="35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</row>
    <row r="213" spans="1:216" ht="15.75" customHeight="1" x14ac:dyDescent="0.4">
      <c r="A213" s="7"/>
      <c r="B213" s="47"/>
      <c r="C213" s="24" t="s">
        <v>226</v>
      </c>
      <c r="D213" s="45"/>
      <c r="E213" s="9">
        <f>BULUSAN!AC213+BULUSARI!R213+GOMBENGSARI!AC213+KALIPURO!AR213+KELIR!W213+KETAPANG!BE213+KLATAK!AV213+PESUCEN!R213+TELEMUNG!T213</f>
        <v>8</v>
      </c>
      <c r="F213" s="40"/>
      <c r="G213" s="20"/>
      <c r="H213" s="1"/>
      <c r="I213" s="1"/>
      <c r="J213" s="1"/>
      <c r="K213" s="1"/>
      <c r="L213" s="1"/>
      <c r="M213" s="1"/>
      <c r="N213" s="1"/>
      <c r="O213" s="3"/>
      <c r="P213" s="35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</row>
    <row r="214" spans="1:216" ht="15.75" customHeight="1" x14ac:dyDescent="0.4">
      <c r="A214" s="7"/>
      <c r="B214" s="47"/>
      <c r="C214" s="24" t="s">
        <v>227</v>
      </c>
      <c r="D214" s="45"/>
      <c r="E214" s="9">
        <f>BULUSAN!AC214+BULUSARI!R214+GOMBENGSARI!AC214+KALIPURO!AR214+KELIR!W214+KETAPANG!BE214+KLATAK!AV214+PESUCEN!R214+TELEMUNG!T214</f>
        <v>9</v>
      </c>
      <c r="F214" s="40"/>
      <c r="G214" s="20"/>
      <c r="H214" s="1"/>
      <c r="I214" s="1"/>
      <c r="J214" s="1"/>
      <c r="K214" s="1"/>
      <c r="L214" s="1"/>
      <c r="M214" s="1"/>
      <c r="N214" s="1"/>
      <c r="O214" s="1"/>
      <c r="P214" s="34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</row>
    <row r="215" spans="1:216" ht="15.75" customHeight="1" x14ac:dyDescent="0.4">
      <c r="A215" s="6" t="s">
        <v>26</v>
      </c>
      <c r="B215" s="74" t="s">
        <v>51</v>
      </c>
      <c r="C215" s="84"/>
      <c r="D215" s="85"/>
      <c r="E215" s="5">
        <f>SUM(E211:E214)</f>
        <v>147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</row>
    <row r="216" spans="1:216" ht="15.75" customHeight="1" x14ac:dyDescent="0.4"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</row>
    <row r="217" spans="1:216" ht="15.75" customHeight="1" x14ac:dyDescent="0.4">
      <c r="A217" s="16" t="s">
        <v>83</v>
      </c>
      <c r="B217" s="56" t="s">
        <v>84</v>
      </c>
      <c r="C217" s="93"/>
      <c r="D217" s="94"/>
      <c r="E217" s="5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</row>
    <row r="218" spans="1:216" ht="15.75" customHeight="1" x14ac:dyDescent="0.4">
      <c r="A218" s="16"/>
      <c r="B218" s="19" t="s">
        <v>85</v>
      </c>
      <c r="C218" s="91" t="s">
        <v>86</v>
      </c>
      <c r="D218" s="92"/>
      <c r="E218" s="9">
        <f>BULUSAN!AC218+BULUSARI!R218+GOMBENGSARI!AC218+KALIPURO!AR218+KELIR!W218+KETAPANG!BE218+KLATAK!AV218+PESUCEN!R218+TELEMUNG!T218</f>
        <v>45531</v>
      </c>
      <c r="F218" s="39"/>
      <c r="G218" s="20"/>
      <c r="H218" s="20"/>
      <c r="I218" s="20"/>
      <c r="J218" s="20"/>
      <c r="K218" s="20"/>
      <c r="L218" s="20"/>
      <c r="M218" s="20"/>
      <c r="N218" s="20"/>
      <c r="O218" s="2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</row>
    <row r="219" spans="1:216" ht="15.75" customHeight="1" x14ac:dyDescent="0.4">
      <c r="A219" s="13"/>
      <c r="B219" s="19" t="s">
        <v>87</v>
      </c>
      <c r="C219" s="91" t="s">
        <v>88</v>
      </c>
      <c r="D219" s="92"/>
      <c r="E219" s="9">
        <f>BULUSAN!AC219+BULUSARI!R219+GOMBENGSARI!AC219+KALIPURO!AR219+KELIR!W219+KETAPANG!BE219+KLATAK!AV219+PESUCEN!R219+TELEMUNG!T219</f>
        <v>6312</v>
      </c>
      <c r="F219" s="39"/>
      <c r="G219" s="20"/>
      <c r="H219" s="20"/>
      <c r="I219" s="20"/>
      <c r="J219" s="20"/>
      <c r="K219" s="20"/>
      <c r="L219" s="20"/>
      <c r="M219" s="20"/>
      <c r="N219" s="20"/>
      <c r="O219" s="2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</row>
    <row r="220" spans="1:216" ht="15.75" customHeight="1" x14ac:dyDescent="0.4">
      <c r="A220" s="14"/>
      <c r="B220" s="19" t="s">
        <v>89</v>
      </c>
      <c r="C220" s="91" t="s">
        <v>90</v>
      </c>
      <c r="D220" s="92"/>
      <c r="E220" s="5">
        <f t="shared" ref="E220" si="8">SUM(E218:E219)</f>
        <v>51843</v>
      </c>
      <c r="F220" s="39"/>
      <c r="G220" s="20"/>
      <c r="H220" s="20"/>
      <c r="I220" s="20"/>
      <c r="J220" s="20"/>
      <c r="K220" s="20"/>
      <c r="L220" s="20"/>
      <c r="M220" s="20"/>
      <c r="N220" s="20"/>
      <c r="O220" s="2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</row>
    <row r="221" spans="1:216" ht="15.75" customHeight="1" x14ac:dyDescent="0.4">
      <c r="A221" s="20"/>
      <c r="B221" s="21"/>
      <c r="C221" s="22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</row>
    <row r="222" spans="1:216" ht="15.75" customHeight="1" x14ac:dyDescent="0.4">
      <c r="A222" s="20"/>
      <c r="B222" s="21"/>
      <c r="C222" s="22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</row>
    <row r="223" spans="1:216" ht="15.75" customHeight="1" x14ac:dyDescent="0.4">
      <c r="A223" s="20"/>
      <c r="B223" s="21"/>
      <c r="C223" s="22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</row>
    <row r="224" spans="1:216" ht="15.75" hidden="1" customHeight="1" x14ac:dyDescent="0.4">
      <c r="A224" s="20"/>
      <c r="B224" s="21"/>
      <c r="C224" s="22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</row>
    <row r="225" spans="1:216" ht="15.75" hidden="1" customHeight="1" x14ac:dyDescent="0.4">
      <c r="A225" s="20"/>
      <c r="B225" s="21"/>
      <c r="C225" s="22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</row>
    <row r="226" spans="1:216" ht="15.75" hidden="1" customHeight="1" x14ac:dyDescent="0.4">
      <c r="A226" s="20"/>
      <c r="B226" s="21"/>
      <c r="C226" s="22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</row>
    <row r="227" spans="1:216" ht="15.75" hidden="1" customHeight="1" x14ac:dyDescent="0.4">
      <c r="A227" s="20"/>
      <c r="B227" s="21"/>
      <c r="C227" s="22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</row>
    <row r="228" spans="1:216" ht="15.75" hidden="1" customHeight="1" x14ac:dyDescent="0.4">
      <c r="A228" s="20"/>
      <c r="B228" s="21"/>
      <c r="C228" s="22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</row>
    <row r="229" spans="1:216" ht="15.75" hidden="1" customHeight="1" x14ac:dyDescent="0.4">
      <c r="A229" s="20"/>
      <c r="B229" s="21"/>
      <c r="C229" s="22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</row>
    <row r="230" spans="1:216" ht="15.75" hidden="1" customHeight="1" x14ac:dyDescent="0.4">
      <c r="A230" s="20"/>
      <c r="B230" s="21"/>
      <c r="C230" s="22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</row>
    <row r="231" spans="1:216" ht="15.75" hidden="1" customHeight="1" x14ac:dyDescent="0.4">
      <c r="A231" s="20"/>
      <c r="B231" s="21"/>
      <c r="C231" s="22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</row>
    <row r="232" spans="1:216" ht="15.75" hidden="1" customHeight="1" x14ac:dyDescent="0.4">
      <c r="A232" s="20"/>
      <c r="B232" s="21"/>
      <c r="C232" s="22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</row>
    <row r="233" spans="1:216" ht="15.75" hidden="1" customHeight="1" x14ac:dyDescent="0.4">
      <c r="A233" s="20"/>
      <c r="B233" s="21"/>
      <c r="C233" s="22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</row>
    <row r="234" spans="1:216" ht="15.75" hidden="1" customHeight="1" x14ac:dyDescent="0.4">
      <c r="A234" s="20"/>
      <c r="B234" s="21"/>
      <c r="C234" s="22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</row>
    <row r="235" spans="1:216" ht="15.75" hidden="1" customHeight="1" x14ac:dyDescent="0.4">
      <c r="A235" s="20"/>
      <c r="B235" s="21"/>
      <c r="C235" s="22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</row>
    <row r="236" spans="1:216" ht="15.75" hidden="1" customHeight="1" x14ac:dyDescent="0.4">
      <c r="A236" s="20"/>
      <c r="B236" s="21"/>
      <c r="C236" s="22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</row>
    <row r="237" spans="1:216" ht="15.75" hidden="1" customHeight="1" x14ac:dyDescent="0.4">
      <c r="A237" s="20"/>
      <c r="B237" s="21"/>
      <c r="C237" s="22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</row>
    <row r="238" spans="1:216" ht="15.75" hidden="1" customHeight="1" x14ac:dyDescent="0.4">
      <c r="A238" s="20"/>
      <c r="B238" s="21"/>
      <c r="C238" s="22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</row>
    <row r="239" spans="1:216" ht="15.75" hidden="1" customHeight="1" x14ac:dyDescent="0.4">
      <c r="A239" s="20"/>
      <c r="B239" s="21"/>
      <c r="C239" s="22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</row>
    <row r="240" spans="1:216" ht="15.75" hidden="1" customHeight="1" x14ac:dyDescent="0.4">
      <c r="A240" s="20"/>
      <c r="B240" s="21"/>
      <c r="C240" s="22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</row>
    <row r="241" spans="1:216" ht="15.75" hidden="1" customHeight="1" x14ac:dyDescent="0.4">
      <c r="A241" s="20"/>
      <c r="B241" s="21"/>
      <c r="C241" s="22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</row>
    <row r="242" spans="1:216" ht="15.75" hidden="1" customHeight="1" x14ac:dyDescent="0.4">
      <c r="A242" s="20"/>
      <c r="B242" s="21"/>
      <c r="C242" s="22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</row>
    <row r="243" spans="1:216" ht="15.75" hidden="1" customHeight="1" x14ac:dyDescent="0.4">
      <c r="A243" s="20"/>
      <c r="B243" s="21"/>
      <c r="C243" s="22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</row>
    <row r="244" spans="1:216" ht="15.75" hidden="1" customHeight="1" x14ac:dyDescent="0.4">
      <c r="A244" s="20"/>
      <c r="B244" s="21"/>
      <c r="C244" s="22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</row>
    <row r="245" spans="1:216" ht="15.75" hidden="1" customHeight="1" x14ac:dyDescent="0.4">
      <c r="A245" s="20"/>
      <c r="B245" s="21"/>
      <c r="C245" s="22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</row>
    <row r="246" spans="1:216" ht="15.75" hidden="1" customHeight="1" x14ac:dyDescent="0.4">
      <c r="A246" s="20"/>
      <c r="B246" s="21"/>
      <c r="C246" s="22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</row>
    <row r="247" spans="1:216" ht="15.75" hidden="1" customHeight="1" x14ac:dyDescent="0.4">
      <c r="A247" s="20"/>
      <c r="B247" s="21"/>
      <c r="C247" s="22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</row>
    <row r="248" spans="1:216" ht="15.75" hidden="1" customHeight="1" x14ac:dyDescent="0.4">
      <c r="A248" s="20"/>
      <c r="B248" s="21"/>
      <c r="C248" s="22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</row>
    <row r="249" spans="1:216" ht="15.75" hidden="1" customHeight="1" x14ac:dyDescent="0.4">
      <c r="A249" s="20"/>
      <c r="B249" s="21"/>
      <c r="C249" s="22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</row>
    <row r="250" spans="1:216" ht="15.75" hidden="1" customHeight="1" x14ac:dyDescent="0.4">
      <c r="A250" s="20"/>
      <c r="B250" s="21"/>
      <c r="C250" s="22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hidden="1" customHeight="1" x14ac:dyDescent="0.4">
      <c r="A251" s="20"/>
      <c r="B251" s="21"/>
      <c r="C251" s="22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hidden="1" customHeight="1" x14ac:dyDescent="0.4">
      <c r="A252" s="20"/>
      <c r="B252" s="21"/>
      <c r="C252" s="22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</row>
    <row r="253" spans="1:216" ht="15.75" hidden="1" customHeight="1" x14ac:dyDescent="0.4">
      <c r="A253" s="20"/>
      <c r="B253" s="21"/>
      <c r="C253" s="22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</row>
    <row r="254" spans="1:216" ht="15.75" hidden="1" customHeight="1" x14ac:dyDescent="0.4">
      <c r="A254" s="20"/>
      <c r="B254" s="21"/>
      <c r="C254" s="22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</row>
    <row r="255" spans="1:216" ht="15.75" hidden="1" customHeight="1" x14ac:dyDescent="0.4">
      <c r="A255" s="20"/>
      <c r="B255" s="21"/>
      <c r="C255" s="22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hidden="1" customHeight="1" x14ac:dyDescent="0.4">
      <c r="A256" s="20"/>
      <c r="B256" s="21"/>
      <c r="C256" s="22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hidden="1" customHeight="1" x14ac:dyDescent="0.4">
      <c r="A257" s="20"/>
      <c r="B257" s="21"/>
      <c r="C257" s="22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hidden="1" customHeight="1" x14ac:dyDescent="0.4">
      <c r="A258" s="20"/>
      <c r="B258" s="21"/>
      <c r="C258" s="22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hidden="1" customHeight="1" x14ac:dyDescent="0.4">
      <c r="A259" s="20"/>
      <c r="B259" s="21"/>
      <c r="C259" s="22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hidden="1" customHeight="1" x14ac:dyDescent="0.4">
      <c r="A260" s="20"/>
      <c r="B260" s="21"/>
      <c r="C260" s="22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hidden="1" customHeight="1" x14ac:dyDescent="0.4">
      <c r="A261" s="20"/>
      <c r="B261" s="21"/>
      <c r="C261" s="22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hidden="1" customHeight="1" x14ac:dyDescent="0.4">
      <c r="A262" s="20"/>
      <c r="B262" s="21"/>
      <c r="C262" s="22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hidden="1" customHeight="1" x14ac:dyDescent="0.4">
      <c r="A263" s="20"/>
      <c r="B263" s="21"/>
      <c r="C263" s="22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hidden="1" customHeight="1" x14ac:dyDescent="0.4">
      <c r="A264" s="20"/>
      <c r="B264" s="21"/>
      <c r="C264" s="22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hidden="1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hidden="1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hidden="1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6:216" ht="15.75" hidden="1" customHeight="1" x14ac:dyDescent="0.4"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6:216" ht="15.75" hidden="1" customHeight="1" x14ac:dyDescent="0.4"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6:216" ht="15.75" hidden="1" customHeight="1" x14ac:dyDescent="0.4"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6:216" ht="15.75" hidden="1" customHeight="1" x14ac:dyDescent="0.4"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6:216" ht="15.75" hidden="1" customHeight="1" x14ac:dyDescent="0.4"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6:216" ht="15.75" hidden="1" customHeight="1" x14ac:dyDescent="0.4"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6:216" ht="15.75" hidden="1" customHeight="1" x14ac:dyDescent="0.4"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6:216" ht="15.75" hidden="1" customHeight="1" x14ac:dyDescent="0.4"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6:216" ht="15.75" hidden="1" customHeight="1" x14ac:dyDescent="0.4"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6:216" ht="15.75" hidden="1" customHeight="1" x14ac:dyDescent="0.4"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6:216" ht="15.75" hidden="1" customHeight="1" x14ac:dyDescent="0.4"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6:216" ht="15.75" hidden="1" customHeight="1" x14ac:dyDescent="0.4"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6:216" ht="15.75" hidden="1" customHeight="1" x14ac:dyDescent="0.4"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6:216" ht="15.75" hidden="1" customHeight="1" x14ac:dyDescent="0.4"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6:216" ht="15.75" hidden="1" customHeight="1" x14ac:dyDescent="0.4"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6:216" ht="15.75" hidden="1" customHeight="1" x14ac:dyDescent="0.4"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6:216" ht="15.75" hidden="1" customHeight="1" x14ac:dyDescent="0.4"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6:216" ht="15.75" hidden="1" customHeight="1" x14ac:dyDescent="0.4"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6:216" ht="15.75" hidden="1" customHeight="1" x14ac:dyDescent="0.4"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6:216" ht="15.75" hidden="1" customHeight="1" x14ac:dyDescent="0.4"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6:216" ht="15.75" hidden="1" customHeight="1" x14ac:dyDescent="0.4"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6:216" ht="15.75" hidden="1" customHeight="1" x14ac:dyDescent="0.4"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6:216" ht="15.75" hidden="1" customHeight="1" x14ac:dyDescent="0.4"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6:216" ht="15.75" hidden="1" customHeight="1" x14ac:dyDescent="0.4"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6:216" ht="15.75" hidden="1" customHeight="1" x14ac:dyDescent="0.4"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6:216" ht="15.75" hidden="1" customHeight="1" x14ac:dyDescent="0.4"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6:216" ht="15.75" hidden="1" customHeight="1" x14ac:dyDescent="0.4"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6:216" ht="15.75" hidden="1" customHeight="1" x14ac:dyDescent="0.4"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6:216" ht="15.75" hidden="1" customHeight="1" x14ac:dyDescent="0.4"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6:216" ht="15.75" hidden="1" customHeight="1" x14ac:dyDescent="0.4"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6:216" ht="15.75" hidden="1" customHeight="1" x14ac:dyDescent="0.4"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6:216" ht="15.75" hidden="1" customHeight="1" x14ac:dyDescent="0.4"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6:216" ht="15.75" hidden="1" customHeight="1" x14ac:dyDescent="0.4"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6:216" ht="15.75" hidden="1" customHeight="1" x14ac:dyDescent="0.4"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6:216" ht="15.75" hidden="1" customHeight="1" x14ac:dyDescent="0.4"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6:216" ht="15.75" hidden="1" customHeight="1" x14ac:dyDescent="0.4"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6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6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6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6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6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6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6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6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6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6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6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6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" customHeight="1" x14ac:dyDescent="0.4"/>
    <row r="1173" spans="16:216" ht="15" customHeight="1" x14ac:dyDescent="0.4"/>
    <row r="1174" spans="16:216" ht="15" customHeight="1" x14ac:dyDescent="0.4"/>
    <row r="1175" spans="16:216" ht="15" customHeight="1" x14ac:dyDescent="0.4"/>
    <row r="1176" spans="16:216" ht="15" customHeight="1" x14ac:dyDescent="0.4"/>
    <row r="1177" spans="16:216" ht="15" customHeight="1" x14ac:dyDescent="0.4"/>
    <row r="1178" spans="16:216" ht="15" customHeight="1" x14ac:dyDescent="0.4"/>
    <row r="1179" spans="16:216" ht="15" customHeight="1" x14ac:dyDescent="0.4"/>
    <row r="1180" spans="16:216" ht="15" customHeight="1" x14ac:dyDescent="0.4"/>
    <row r="1181" spans="16:216" ht="15" customHeight="1" x14ac:dyDescent="0.4"/>
    <row r="1182" spans="16:216" ht="15" customHeight="1" x14ac:dyDescent="0.4"/>
    <row r="1183" spans="16:216" ht="15" customHeight="1" x14ac:dyDescent="0.4"/>
    <row r="1184" spans="16:216" ht="15" customHeight="1" x14ac:dyDescent="0.4"/>
    <row r="1185" ht="15" customHeight="1" x14ac:dyDescent="0.4"/>
    <row r="1186" ht="15" customHeight="1" x14ac:dyDescent="0.4"/>
    <row r="1187" ht="15" customHeight="1" x14ac:dyDescent="0.4"/>
    <row r="1188" ht="15" customHeight="1" x14ac:dyDescent="0.4"/>
    <row r="1189" ht="15" customHeight="1" x14ac:dyDescent="0.4"/>
    <row r="1190" ht="15" customHeight="1" x14ac:dyDescent="0.4"/>
    <row r="1191" ht="15" customHeight="1" x14ac:dyDescent="0.4"/>
    <row r="1192" ht="15" customHeight="1" x14ac:dyDescent="0.4"/>
    <row r="1193" ht="15" customHeight="1" x14ac:dyDescent="0.4"/>
    <row r="1194" ht="15" customHeight="1" x14ac:dyDescent="0.4"/>
    <row r="1195" ht="15" customHeight="1" x14ac:dyDescent="0.4"/>
    <row r="1196" ht="15" customHeight="1" x14ac:dyDescent="0.4"/>
    <row r="1197" ht="15" customHeight="1" x14ac:dyDescent="0.4"/>
    <row r="1198" ht="15" customHeight="1" x14ac:dyDescent="0.4"/>
    <row r="1199" ht="15" customHeight="1" x14ac:dyDescent="0.4"/>
    <row r="1200" ht="15" customHeight="1" x14ac:dyDescent="0.4"/>
    <row r="1201" ht="15" customHeight="1" x14ac:dyDescent="0.4"/>
    <row r="1202" ht="15" customHeight="1" x14ac:dyDescent="0.4"/>
    <row r="1203" ht="15" customHeight="1" x14ac:dyDescent="0.4"/>
    <row r="1204" ht="15" customHeight="1" x14ac:dyDescent="0.4"/>
    <row r="1205" ht="15" customHeight="1" x14ac:dyDescent="0.4"/>
    <row r="1206" ht="15" customHeight="1" x14ac:dyDescent="0.4"/>
    <row r="1207" ht="15" customHeight="1" x14ac:dyDescent="0.4"/>
    <row r="1208" ht="15" customHeight="1" x14ac:dyDescent="0.4"/>
    <row r="1209" ht="15" customHeight="1" x14ac:dyDescent="0.4"/>
    <row r="1210" ht="15" customHeight="1" x14ac:dyDescent="0.4"/>
    <row r="1211" ht="15" customHeight="1" x14ac:dyDescent="0.4"/>
    <row r="1212" ht="15" customHeight="1" x14ac:dyDescent="0.4"/>
    <row r="1213" ht="15" customHeight="1" x14ac:dyDescent="0.4"/>
    <row r="1214" ht="15" customHeight="1" x14ac:dyDescent="0.4"/>
    <row r="1215" ht="15" customHeight="1" x14ac:dyDescent="0.4"/>
    <row r="1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A31:D31"/>
    <mergeCell ref="B12:D12"/>
    <mergeCell ref="B25:B27"/>
    <mergeCell ref="C25:C27"/>
    <mergeCell ref="B28:B30"/>
    <mergeCell ref="C28:C30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55:D55"/>
    <mergeCell ref="B43:D43"/>
    <mergeCell ref="A44:D44"/>
    <mergeCell ref="C45:D45"/>
    <mergeCell ref="B67:D67"/>
    <mergeCell ref="A68:E68"/>
    <mergeCell ref="C57:D57"/>
    <mergeCell ref="A56:E56"/>
    <mergeCell ref="C69:D69"/>
    <mergeCell ref="C93:D93"/>
    <mergeCell ref="B91:D91"/>
    <mergeCell ref="A92:E92"/>
    <mergeCell ref="B79:D79"/>
    <mergeCell ref="A80:E80"/>
    <mergeCell ref="C81:D81"/>
    <mergeCell ref="B108:D108"/>
    <mergeCell ref="A109:E109"/>
    <mergeCell ref="C110:D110"/>
    <mergeCell ref="B103:D103"/>
    <mergeCell ref="C105:D105"/>
    <mergeCell ref="A104:E104"/>
    <mergeCell ref="C136:D136"/>
    <mergeCell ref="B134:D134"/>
    <mergeCell ref="A135:E135"/>
    <mergeCell ref="B116:D116"/>
    <mergeCell ref="A117:E117"/>
    <mergeCell ref="C118:D118"/>
    <mergeCell ref="C130:D130"/>
    <mergeCell ref="B128:D128"/>
    <mergeCell ref="A129:E129"/>
    <mergeCell ref="C150:D150"/>
    <mergeCell ref="B148:D148"/>
    <mergeCell ref="A149:E149"/>
    <mergeCell ref="B144:D144"/>
    <mergeCell ref="A145:E145"/>
    <mergeCell ref="C146:D146"/>
    <mergeCell ref="B172:D172"/>
    <mergeCell ref="A173:E173"/>
    <mergeCell ref="C174:D174"/>
    <mergeCell ref="B160:D160"/>
    <mergeCell ref="C162:D162"/>
    <mergeCell ref="A161:E161"/>
    <mergeCell ref="B190:D190"/>
    <mergeCell ref="C192:D192"/>
    <mergeCell ref="A191:E191"/>
    <mergeCell ref="C186:D186"/>
    <mergeCell ref="B184:D184"/>
    <mergeCell ref="A185:E185"/>
    <mergeCell ref="C211:D211"/>
    <mergeCell ref="B209:D209"/>
    <mergeCell ref="A210:E210"/>
    <mergeCell ref="B197:D197"/>
    <mergeCell ref="A198:E198"/>
    <mergeCell ref="C199:D199"/>
    <mergeCell ref="C218:D218"/>
    <mergeCell ref="C219:D219"/>
    <mergeCell ref="C220:D220"/>
    <mergeCell ref="B215:D215"/>
    <mergeCell ref="B217:D217"/>
  </mergeCells>
  <conditionalFormatting sqref="E30">
    <cfRule type="expression" dxfId="238" priority="66">
      <formula>E30&lt;&gt;E220</formula>
    </cfRule>
    <cfRule type="expression" dxfId="237" priority="67">
      <formula>E30&lt;&gt;E34</formula>
    </cfRule>
  </conditionalFormatting>
  <conditionalFormatting sqref="F216:O217 F215 H215:O215">
    <cfRule type="cellIs" dxfId="236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92D050"/>
  </sheetPr>
  <dimension ref="A2:AC220"/>
  <sheetViews>
    <sheetView topLeftCell="E13" zoomScale="85" zoomScaleNormal="85" workbookViewId="0">
      <pane ySplit="1" topLeftCell="A199" activePane="bottomLeft" state="frozen"/>
      <selection activeCell="A108" sqref="A108:XFD114"/>
      <selection pane="bottomLeft" activeCell="AC219" sqref="AC219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232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233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</row>
    <row r="12" spans="1:29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 t="s">
        <v>103</v>
      </c>
    </row>
    <row r="13" spans="1:29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60"/>
    </row>
    <row r="14" spans="1:29" x14ac:dyDescent="0.4">
      <c r="A14" s="7"/>
      <c r="B14" s="62" t="s">
        <v>22</v>
      </c>
      <c r="C14" s="63"/>
      <c r="D14" s="6" t="s">
        <v>23</v>
      </c>
      <c r="E14" s="6">
        <v>148</v>
      </c>
      <c r="F14" s="6">
        <v>140</v>
      </c>
      <c r="G14" s="6">
        <v>133</v>
      </c>
      <c r="H14" s="6">
        <v>145</v>
      </c>
      <c r="I14" s="6">
        <v>130</v>
      </c>
      <c r="J14" s="6">
        <v>136</v>
      </c>
      <c r="K14" s="6">
        <v>147</v>
      </c>
      <c r="L14" s="6">
        <v>130</v>
      </c>
      <c r="M14" s="6">
        <v>139</v>
      </c>
      <c r="N14" s="6">
        <v>140</v>
      </c>
      <c r="O14" s="6">
        <v>129</v>
      </c>
      <c r="P14" s="6">
        <v>109</v>
      </c>
      <c r="Q14" s="6">
        <v>148</v>
      </c>
      <c r="R14" s="6">
        <v>138</v>
      </c>
      <c r="S14" s="6">
        <v>139</v>
      </c>
      <c r="T14" s="6">
        <v>143</v>
      </c>
      <c r="U14" s="6">
        <v>140</v>
      </c>
      <c r="V14" s="6">
        <v>131</v>
      </c>
      <c r="W14" s="6">
        <v>132</v>
      </c>
      <c r="X14" s="6">
        <v>144</v>
      </c>
      <c r="Y14" s="6">
        <v>104</v>
      </c>
      <c r="Z14" s="6">
        <v>86</v>
      </c>
      <c r="AA14" s="6">
        <v>146</v>
      </c>
      <c r="AB14" s="6">
        <v>116</v>
      </c>
      <c r="AC14" s="5">
        <f>SUM(E14:AB14)</f>
        <v>3193</v>
      </c>
    </row>
    <row r="15" spans="1:29" x14ac:dyDescent="0.4">
      <c r="A15" s="7"/>
      <c r="B15" s="64"/>
      <c r="C15" s="65"/>
      <c r="D15" s="6" t="s">
        <v>24</v>
      </c>
      <c r="E15" s="6">
        <v>146</v>
      </c>
      <c r="F15" s="6">
        <v>139</v>
      </c>
      <c r="G15" s="6">
        <v>139</v>
      </c>
      <c r="H15" s="6">
        <v>150</v>
      </c>
      <c r="I15" s="6">
        <v>136</v>
      </c>
      <c r="J15" s="6">
        <v>144</v>
      </c>
      <c r="K15" s="6">
        <v>133</v>
      </c>
      <c r="L15" s="6">
        <v>153</v>
      </c>
      <c r="M15" s="6">
        <v>145</v>
      </c>
      <c r="N15" s="6">
        <v>134</v>
      </c>
      <c r="O15" s="6">
        <v>144</v>
      </c>
      <c r="P15" s="6">
        <v>118</v>
      </c>
      <c r="Q15" s="6">
        <v>140</v>
      </c>
      <c r="R15" s="6">
        <v>146</v>
      </c>
      <c r="S15" s="6">
        <v>139</v>
      </c>
      <c r="T15" s="6">
        <v>142</v>
      </c>
      <c r="U15" s="6">
        <v>137</v>
      </c>
      <c r="V15" s="6">
        <v>134</v>
      </c>
      <c r="W15" s="6">
        <v>149</v>
      </c>
      <c r="X15" s="6">
        <v>148</v>
      </c>
      <c r="Y15" s="6">
        <v>122</v>
      </c>
      <c r="Z15" s="6">
        <v>110</v>
      </c>
      <c r="AA15" s="6">
        <v>142</v>
      </c>
      <c r="AB15" s="6">
        <v>124</v>
      </c>
      <c r="AC15" s="5">
        <f>SUM(E15:AB15)</f>
        <v>3314</v>
      </c>
    </row>
    <row r="16" spans="1:29" x14ac:dyDescent="0.4">
      <c r="A16" s="8"/>
      <c r="B16" s="66"/>
      <c r="C16" s="67"/>
      <c r="D16" s="5" t="s">
        <v>25</v>
      </c>
      <c r="E16" s="5">
        <f t="shared" ref="E16:AB16" si="0">SUM(E14:E15)</f>
        <v>294</v>
      </c>
      <c r="F16" s="5">
        <f t="shared" ref="F16:N16" si="1">SUM(F14:F15)</f>
        <v>279</v>
      </c>
      <c r="G16" s="5">
        <f t="shared" si="1"/>
        <v>272</v>
      </c>
      <c r="H16" s="5">
        <f t="shared" si="1"/>
        <v>295</v>
      </c>
      <c r="I16" s="5">
        <f t="shared" si="1"/>
        <v>266</v>
      </c>
      <c r="J16" s="5">
        <f t="shared" si="1"/>
        <v>280</v>
      </c>
      <c r="K16" s="5">
        <f t="shared" si="1"/>
        <v>280</v>
      </c>
      <c r="L16" s="5">
        <f t="shared" si="1"/>
        <v>283</v>
      </c>
      <c r="M16" s="5">
        <f t="shared" si="1"/>
        <v>284</v>
      </c>
      <c r="N16" s="5">
        <f t="shared" si="1"/>
        <v>274</v>
      </c>
      <c r="O16" s="5">
        <f t="shared" si="0"/>
        <v>273</v>
      </c>
      <c r="P16" s="5">
        <f t="shared" si="0"/>
        <v>227</v>
      </c>
      <c r="Q16" s="5">
        <f t="shared" si="0"/>
        <v>288</v>
      </c>
      <c r="R16" s="5">
        <f t="shared" si="0"/>
        <v>284</v>
      </c>
      <c r="S16" s="5">
        <f t="shared" si="0"/>
        <v>278</v>
      </c>
      <c r="T16" s="5">
        <f t="shared" si="0"/>
        <v>285</v>
      </c>
      <c r="U16" s="5">
        <f t="shared" si="0"/>
        <v>277</v>
      </c>
      <c r="V16" s="5">
        <f t="shared" si="0"/>
        <v>265</v>
      </c>
      <c r="W16" s="5">
        <f t="shared" si="0"/>
        <v>281</v>
      </c>
      <c r="X16" s="5">
        <f t="shared" si="0"/>
        <v>292</v>
      </c>
      <c r="Y16" s="5">
        <f t="shared" ref="Y16" si="2">SUM(Y14:Y15)</f>
        <v>226</v>
      </c>
      <c r="Z16" s="5">
        <f t="shared" si="0"/>
        <v>196</v>
      </c>
      <c r="AA16" s="5">
        <f t="shared" si="0"/>
        <v>288</v>
      </c>
      <c r="AB16" s="5">
        <f t="shared" si="0"/>
        <v>240</v>
      </c>
      <c r="AC16" s="5">
        <f>SUM(E16:AB16)</f>
        <v>6507</v>
      </c>
    </row>
    <row r="17" spans="1:29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28"/>
    </row>
    <row r="18" spans="1:29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28"/>
    </row>
    <row r="19" spans="1:29" x14ac:dyDescent="0.4">
      <c r="A19" s="11"/>
      <c r="B19" s="68" t="s">
        <v>28</v>
      </c>
      <c r="C19" s="69" t="s">
        <v>29</v>
      </c>
      <c r="D19" s="6" t="s">
        <v>23</v>
      </c>
      <c r="E19" s="6">
        <v>101</v>
      </c>
      <c r="F19" s="6">
        <v>102</v>
      </c>
      <c r="G19" s="6">
        <v>101</v>
      </c>
      <c r="H19" s="6">
        <v>122</v>
      </c>
      <c r="I19" s="6">
        <v>82</v>
      </c>
      <c r="J19" s="6">
        <v>102</v>
      </c>
      <c r="K19" s="6">
        <v>111</v>
      </c>
      <c r="L19" s="6">
        <v>98</v>
      </c>
      <c r="M19" s="6">
        <v>95</v>
      </c>
      <c r="N19" s="6">
        <v>102</v>
      </c>
      <c r="O19" s="6">
        <v>88</v>
      </c>
      <c r="P19" s="6">
        <v>68</v>
      </c>
      <c r="Q19" s="6">
        <v>92</v>
      </c>
      <c r="R19" s="6">
        <v>92</v>
      </c>
      <c r="S19" s="6">
        <v>86</v>
      </c>
      <c r="T19" s="6">
        <v>117</v>
      </c>
      <c r="U19" s="6">
        <v>122</v>
      </c>
      <c r="V19" s="6">
        <v>108</v>
      </c>
      <c r="W19" s="6">
        <v>106</v>
      </c>
      <c r="X19" s="6">
        <v>104</v>
      </c>
      <c r="Y19" s="6">
        <v>89</v>
      </c>
      <c r="Z19" s="6">
        <v>65</v>
      </c>
      <c r="AA19" s="6">
        <v>92</v>
      </c>
      <c r="AB19" s="6">
        <v>94</v>
      </c>
      <c r="AC19" s="5">
        <f t="shared" ref="AC19:AC30" si="3">SUM(E19:AB19)</f>
        <v>2339</v>
      </c>
    </row>
    <row r="20" spans="1:29" x14ac:dyDescent="0.4">
      <c r="A20" s="12"/>
      <c r="B20" s="65"/>
      <c r="C20" s="70"/>
      <c r="D20" s="6" t="s">
        <v>24</v>
      </c>
      <c r="E20" s="6">
        <v>117</v>
      </c>
      <c r="F20" s="6">
        <v>115</v>
      </c>
      <c r="G20" s="6">
        <v>119</v>
      </c>
      <c r="H20" s="6">
        <v>125</v>
      </c>
      <c r="I20" s="6">
        <v>107</v>
      </c>
      <c r="J20" s="6">
        <v>119</v>
      </c>
      <c r="K20" s="6">
        <v>107</v>
      </c>
      <c r="L20" s="6">
        <v>121</v>
      </c>
      <c r="M20" s="6">
        <v>119</v>
      </c>
      <c r="N20" s="6">
        <v>111</v>
      </c>
      <c r="O20" s="6">
        <v>116</v>
      </c>
      <c r="P20" s="6">
        <v>100</v>
      </c>
      <c r="Q20" s="6">
        <v>97</v>
      </c>
      <c r="R20" s="6">
        <v>109</v>
      </c>
      <c r="S20" s="6">
        <v>111</v>
      </c>
      <c r="T20" s="6">
        <v>121</v>
      </c>
      <c r="U20" s="6">
        <v>121</v>
      </c>
      <c r="V20" s="6">
        <v>121</v>
      </c>
      <c r="W20" s="6">
        <v>118</v>
      </c>
      <c r="X20" s="6">
        <v>116</v>
      </c>
      <c r="Y20" s="6">
        <v>101</v>
      </c>
      <c r="Z20" s="6">
        <v>91</v>
      </c>
      <c r="AA20" s="6">
        <v>110</v>
      </c>
      <c r="AB20" s="6">
        <v>108</v>
      </c>
      <c r="AC20" s="5">
        <f t="shared" si="3"/>
        <v>2700</v>
      </c>
    </row>
    <row r="21" spans="1:29" x14ac:dyDescent="0.4">
      <c r="A21" s="13"/>
      <c r="B21" s="67"/>
      <c r="C21" s="71"/>
      <c r="D21" s="5" t="s">
        <v>25</v>
      </c>
      <c r="E21" s="5">
        <f t="shared" ref="E21:AB21" si="4">SUM(E19:E20)</f>
        <v>218</v>
      </c>
      <c r="F21" s="5">
        <f t="shared" ref="F21:N21" si="5">SUM(F19:F20)</f>
        <v>217</v>
      </c>
      <c r="G21" s="5">
        <f t="shared" si="5"/>
        <v>220</v>
      </c>
      <c r="H21" s="5">
        <f t="shared" si="5"/>
        <v>247</v>
      </c>
      <c r="I21" s="5">
        <f t="shared" si="5"/>
        <v>189</v>
      </c>
      <c r="J21" s="5">
        <f t="shared" si="5"/>
        <v>221</v>
      </c>
      <c r="K21" s="5">
        <f t="shared" si="5"/>
        <v>218</v>
      </c>
      <c r="L21" s="5">
        <f t="shared" si="5"/>
        <v>219</v>
      </c>
      <c r="M21" s="5">
        <f t="shared" si="5"/>
        <v>214</v>
      </c>
      <c r="N21" s="5">
        <f t="shared" si="5"/>
        <v>213</v>
      </c>
      <c r="O21" s="5">
        <f t="shared" si="4"/>
        <v>204</v>
      </c>
      <c r="P21" s="5">
        <f t="shared" si="4"/>
        <v>168</v>
      </c>
      <c r="Q21" s="5">
        <f t="shared" si="4"/>
        <v>189</v>
      </c>
      <c r="R21" s="5">
        <f t="shared" si="4"/>
        <v>201</v>
      </c>
      <c r="S21" s="5">
        <f t="shared" si="4"/>
        <v>197</v>
      </c>
      <c r="T21" s="5">
        <f t="shared" si="4"/>
        <v>238</v>
      </c>
      <c r="U21" s="5">
        <f t="shared" si="4"/>
        <v>243</v>
      </c>
      <c r="V21" s="5">
        <f t="shared" si="4"/>
        <v>229</v>
      </c>
      <c r="W21" s="5">
        <f t="shared" si="4"/>
        <v>224</v>
      </c>
      <c r="X21" s="5">
        <f t="shared" si="4"/>
        <v>220</v>
      </c>
      <c r="Y21" s="5">
        <f t="shared" ref="Y21" si="6">SUM(Y19:Y20)</f>
        <v>190</v>
      </c>
      <c r="Z21" s="5">
        <f t="shared" si="4"/>
        <v>156</v>
      </c>
      <c r="AA21" s="5">
        <f t="shared" si="4"/>
        <v>202</v>
      </c>
      <c r="AB21" s="5">
        <f t="shared" si="4"/>
        <v>202</v>
      </c>
      <c r="AC21" s="5">
        <f t="shared" si="3"/>
        <v>5039</v>
      </c>
    </row>
    <row r="22" spans="1:29" x14ac:dyDescent="0.4">
      <c r="A22" s="12"/>
      <c r="B22" s="68" t="s">
        <v>30</v>
      </c>
      <c r="C22" s="69" t="s">
        <v>31</v>
      </c>
      <c r="D22" s="6" t="s">
        <v>23</v>
      </c>
      <c r="E22" s="6">
        <v>1</v>
      </c>
      <c r="F22" s="6">
        <v>0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7</v>
      </c>
    </row>
    <row r="23" spans="1:29" x14ac:dyDescent="0.4">
      <c r="A23" s="12"/>
      <c r="B23" s="65"/>
      <c r="C23" s="70"/>
      <c r="D23" s="6" t="s">
        <v>24</v>
      </c>
      <c r="E23" s="6">
        <v>1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1</v>
      </c>
      <c r="T23" s="6">
        <v>2</v>
      </c>
      <c r="U23" s="6">
        <v>1</v>
      </c>
      <c r="V23" s="6">
        <v>1</v>
      </c>
      <c r="W23" s="6">
        <v>0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5">
        <f t="shared" si="3"/>
        <v>16</v>
      </c>
    </row>
    <row r="24" spans="1:29" x14ac:dyDescent="0.4">
      <c r="A24" s="13"/>
      <c r="B24" s="67"/>
      <c r="C24" s="71"/>
      <c r="D24" s="5" t="s">
        <v>25</v>
      </c>
      <c r="E24" s="5">
        <f t="shared" ref="E24:AB24" si="7">SUM(E22:E23)</f>
        <v>2</v>
      </c>
      <c r="F24" s="5">
        <f t="shared" ref="F24:N24" si="8">SUM(F22:F23)</f>
        <v>1</v>
      </c>
      <c r="G24" s="5">
        <f t="shared" si="8"/>
        <v>1</v>
      </c>
      <c r="H24" s="5">
        <f t="shared" si="8"/>
        <v>1</v>
      </c>
      <c r="I24" s="5">
        <f t="shared" si="8"/>
        <v>0</v>
      </c>
      <c r="J24" s="5">
        <f t="shared" si="8"/>
        <v>1</v>
      </c>
      <c r="K24" s="5">
        <f t="shared" si="8"/>
        <v>1</v>
      </c>
      <c r="L24" s="5">
        <v>1</v>
      </c>
      <c r="M24" s="5">
        <v>1</v>
      </c>
      <c r="N24" s="5">
        <f t="shared" si="8"/>
        <v>0</v>
      </c>
      <c r="O24" s="5">
        <f t="shared" si="7"/>
        <v>0</v>
      </c>
      <c r="P24" s="5">
        <f t="shared" si="7"/>
        <v>1</v>
      </c>
      <c r="Q24" s="5">
        <f t="shared" si="7"/>
        <v>1</v>
      </c>
      <c r="R24" s="5">
        <f t="shared" si="7"/>
        <v>1</v>
      </c>
      <c r="S24" s="5">
        <f t="shared" si="7"/>
        <v>1</v>
      </c>
      <c r="T24" s="5">
        <f t="shared" si="7"/>
        <v>2</v>
      </c>
      <c r="U24" s="5">
        <f t="shared" si="7"/>
        <v>1</v>
      </c>
      <c r="V24" s="5">
        <f t="shared" si="7"/>
        <v>1</v>
      </c>
      <c r="W24" s="5">
        <f t="shared" si="7"/>
        <v>1</v>
      </c>
      <c r="X24" s="5">
        <f t="shared" si="7"/>
        <v>1</v>
      </c>
      <c r="Y24" s="5">
        <f t="shared" ref="Y24" si="9">SUM(Y22:Y23)</f>
        <v>1</v>
      </c>
      <c r="Z24" s="5">
        <f t="shared" si="7"/>
        <v>1</v>
      </c>
      <c r="AA24" s="5">
        <f t="shared" si="7"/>
        <v>1</v>
      </c>
      <c r="AB24" s="5">
        <f t="shared" si="7"/>
        <v>1</v>
      </c>
      <c r="AC24" s="5">
        <f t="shared" si="3"/>
        <v>23</v>
      </c>
    </row>
    <row r="25" spans="1:29" x14ac:dyDescent="0.4">
      <c r="A25" s="12"/>
      <c r="B25" s="68" t="s">
        <v>32</v>
      </c>
      <c r="C25" s="69" t="s">
        <v>33</v>
      </c>
      <c r="D25" s="6" t="s">
        <v>23</v>
      </c>
      <c r="E25" s="6">
        <v>2</v>
      </c>
      <c r="F25" s="6">
        <v>1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4</v>
      </c>
      <c r="M25" s="6">
        <v>0</v>
      </c>
      <c r="N25" s="6">
        <v>0</v>
      </c>
      <c r="O25" s="6">
        <v>0</v>
      </c>
      <c r="P25" s="6">
        <v>3</v>
      </c>
      <c r="Q25" s="6">
        <v>1</v>
      </c>
      <c r="R25" s="6">
        <v>0</v>
      </c>
      <c r="S25" s="6">
        <v>1</v>
      </c>
      <c r="T25" s="6">
        <v>0</v>
      </c>
      <c r="U25" s="6">
        <v>3</v>
      </c>
      <c r="V25" s="6">
        <v>1</v>
      </c>
      <c r="W25" s="6">
        <v>0</v>
      </c>
      <c r="X25" s="6">
        <v>1</v>
      </c>
      <c r="Y25" s="6">
        <v>0</v>
      </c>
      <c r="Z25" s="6">
        <v>5</v>
      </c>
      <c r="AA25" s="6">
        <v>0</v>
      </c>
      <c r="AB25" s="6">
        <v>3</v>
      </c>
      <c r="AC25" s="5">
        <f t="shared" si="3"/>
        <v>27</v>
      </c>
    </row>
    <row r="26" spans="1:29" x14ac:dyDescent="0.4">
      <c r="A26" s="12"/>
      <c r="B26" s="65"/>
      <c r="C26" s="70"/>
      <c r="D26" s="6" t="s">
        <v>24</v>
      </c>
      <c r="E26" s="6">
        <v>4</v>
      </c>
      <c r="F26" s="6">
        <v>3</v>
      </c>
      <c r="G26" s="6">
        <v>0</v>
      </c>
      <c r="H26" s="6">
        <v>0</v>
      </c>
      <c r="I26" s="6">
        <v>1</v>
      </c>
      <c r="J26" s="6">
        <v>1</v>
      </c>
      <c r="K26" s="6">
        <v>0</v>
      </c>
      <c r="L26" s="6">
        <v>4</v>
      </c>
      <c r="M26" s="6">
        <v>0</v>
      </c>
      <c r="N26" s="6">
        <v>1</v>
      </c>
      <c r="O26" s="6">
        <v>1</v>
      </c>
      <c r="P26" s="6">
        <v>4</v>
      </c>
      <c r="Q26" s="6">
        <v>1</v>
      </c>
      <c r="R26" s="6">
        <v>0</v>
      </c>
      <c r="S26" s="6">
        <v>2</v>
      </c>
      <c r="T26" s="6">
        <v>0</v>
      </c>
      <c r="U26" s="6">
        <v>1</v>
      </c>
      <c r="V26" s="6">
        <v>1</v>
      </c>
      <c r="W26" s="6">
        <v>0</v>
      </c>
      <c r="X26" s="6">
        <v>3</v>
      </c>
      <c r="Y26" s="6">
        <v>0</v>
      </c>
      <c r="Z26" s="6">
        <v>1</v>
      </c>
      <c r="AA26" s="6">
        <v>0</v>
      </c>
      <c r="AB26" s="6">
        <v>4</v>
      </c>
      <c r="AC26" s="5">
        <f t="shared" si="3"/>
        <v>32</v>
      </c>
    </row>
    <row r="27" spans="1:29" x14ac:dyDescent="0.4">
      <c r="A27" s="13"/>
      <c r="B27" s="67"/>
      <c r="C27" s="71"/>
      <c r="D27" s="5" t="s">
        <v>25</v>
      </c>
      <c r="E27" s="5">
        <f t="shared" ref="E27:AB27" si="10">SUM(E25:E26)</f>
        <v>6</v>
      </c>
      <c r="F27" s="5">
        <f t="shared" ref="F27:N27" si="11">SUM(F25:F26)</f>
        <v>4</v>
      </c>
      <c r="G27" s="5">
        <f t="shared" si="11"/>
        <v>0</v>
      </c>
      <c r="H27" s="5">
        <f t="shared" si="11"/>
        <v>0</v>
      </c>
      <c r="I27" s="5">
        <f t="shared" si="11"/>
        <v>1</v>
      </c>
      <c r="J27" s="5">
        <f t="shared" si="11"/>
        <v>1</v>
      </c>
      <c r="K27" s="5">
        <f t="shared" si="11"/>
        <v>2</v>
      </c>
      <c r="L27" s="5">
        <f t="shared" si="11"/>
        <v>8</v>
      </c>
      <c r="M27" s="5">
        <f t="shared" si="11"/>
        <v>0</v>
      </c>
      <c r="N27" s="5">
        <f t="shared" si="11"/>
        <v>1</v>
      </c>
      <c r="O27" s="5">
        <f t="shared" si="10"/>
        <v>1</v>
      </c>
      <c r="P27" s="5">
        <f t="shared" si="10"/>
        <v>7</v>
      </c>
      <c r="Q27" s="5">
        <f t="shared" si="10"/>
        <v>2</v>
      </c>
      <c r="R27" s="5">
        <f t="shared" si="10"/>
        <v>0</v>
      </c>
      <c r="S27" s="5">
        <f t="shared" si="10"/>
        <v>3</v>
      </c>
      <c r="T27" s="5">
        <f t="shared" si="10"/>
        <v>0</v>
      </c>
      <c r="U27" s="5">
        <f t="shared" si="10"/>
        <v>4</v>
      </c>
      <c r="V27" s="5">
        <f t="shared" si="10"/>
        <v>2</v>
      </c>
      <c r="W27" s="5">
        <f t="shared" si="10"/>
        <v>0</v>
      </c>
      <c r="X27" s="5">
        <f t="shared" si="10"/>
        <v>4</v>
      </c>
      <c r="Y27" s="5">
        <f t="shared" ref="Y27" si="12">SUM(Y25:Y26)</f>
        <v>0</v>
      </c>
      <c r="Z27" s="5">
        <f t="shared" si="10"/>
        <v>6</v>
      </c>
      <c r="AA27" s="5">
        <f t="shared" si="10"/>
        <v>0</v>
      </c>
      <c r="AB27" s="5">
        <f t="shared" si="10"/>
        <v>7</v>
      </c>
      <c r="AC27" s="5">
        <f t="shared" si="3"/>
        <v>59</v>
      </c>
    </row>
    <row r="28" spans="1:2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104</v>
      </c>
      <c r="F28" s="5">
        <f t="shared" ref="F28:N28" si="13">SUM(F19,F22,F25)</f>
        <v>103</v>
      </c>
      <c r="G28" s="5">
        <f t="shared" si="13"/>
        <v>102</v>
      </c>
      <c r="H28" s="5">
        <f t="shared" si="13"/>
        <v>123</v>
      </c>
      <c r="I28" s="5">
        <f t="shared" si="13"/>
        <v>82</v>
      </c>
      <c r="J28" s="5">
        <f t="shared" si="13"/>
        <v>102</v>
      </c>
      <c r="K28" s="5">
        <f t="shared" si="13"/>
        <v>113</v>
      </c>
      <c r="L28" s="5">
        <f t="shared" si="13"/>
        <v>102</v>
      </c>
      <c r="M28" s="5">
        <f t="shared" si="13"/>
        <v>96</v>
      </c>
      <c r="N28" s="5">
        <f t="shared" si="13"/>
        <v>102</v>
      </c>
      <c r="O28" s="5">
        <f t="shared" ref="O28:AB29" si="14">SUM(O19,O22,O25)</f>
        <v>88</v>
      </c>
      <c r="P28" s="5">
        <f t="shared" si="14"/>
        <v>71</v>
      </c>
      <c r="Q28" s="5">
        <f t="shared" si="14"/>
        <v>94</v>
      </c>
      <c r="R28" s="5">
        <f t="shared" si="14"/>
        <v>93</v>
      </c>
      <c r="S28" s="5">
        <f t="shared" si="14"/>
        <v>87</v>
      </c>
      <c r="T28" s="5">
        <f t="shared" si="14"/>
        <v>117</v>
      </c>
      <c r="U28" s="5">
        <f t="shared" si="14"/>
        <v>125</v>
      </c>
      <c r="V28" s="5">
        <f t="shared" si="14"/>
        <v>109</v>
      </c>
      <c r="W28" s="5">
        <f t="shared" si="14"/>
        <v>107</v>
      </c>
      <c r="X28" s="5">
        <f t="shared" si="14"/>
        <v>105</v>
      </c>
      <c r="Y28" s="5">
        <f t="shared" ref="Y28" si="15">SUM(Y19,Y22,Y25)</f>
        <v>89</v>
      </c>
      <c r="Z28" s="5">
        <f t="shared" si="14"/>
        <v>70</v>
      </c>
      <c r="AA28" s="5">
        <f t="shared" si="14"/>
        <v>92</v>
      </c>
      <c r="AB28" s="5">
        <f t="shared" si="14"/>
        <v>97</v>
      </c>
      <c r="AC28" s="5">
        <f t="shared" si="3"/>
        <v>2373</v>
      </c>
    </row>
    <row r="29" spans="1:29" x14ac:dyDescent="0.4">
      <c r="A29" s="13"/>
      <c r="B29" s="65"/>
      <c r="C29" s="70"/>
      <c r="D29" s="5" t="s">
        <v>24</v>
      </c>
      <c r="E29" s="5">
        <f>SUM(E20,E23,E26)</f>
        <v>122</v>
      </c>
      <c r="F29" s="5">
        <f t="shared" ref="F29:N29" si="16">SUM(F20,F23,F26)</f>
        <v>119</v>
      </c>
      <c r="G29" s="5">
        <f t="shared" si="16"/>
        <v>119</v>
      </c>
      <c r="H29" s="5">
        <f t="shared" si="16"/>
        <v>125</v>
      </c>
      <c r="I29" s="5">
        <f t="shared" si="16"/>
        <v>108</v>
      </c>
      <c r="J29" s="5">
        <f t="shared" si="16"/>
        <v>121</v>
      </c>
      <c r="K29" s="5">
        <f t="shared" si="16"/>
        <v>108</v>
      </c>
      <c r="L29" s="5">
        <f t="shared" si="16"/>
        <v>126</v>
      </c>
      <c r="M29" s="5">
        <f t="shared" si="16"/>
        <v>119</v>
      </c>
      <c r="N29" s="5">
        <f t="shared" si="16"/>
        <v>112</v>
      </c>
      <c r="O29" s="5">
        <f t="shared" si="14"/>
        <v>117</v>
      </c>
      <c r="P29" s="5">
        <f t="shared" si="14"/>
        <v>105</v>
      </c>
      <c r="Q29" s="5">
        <f t="shared" si="14"/>
        <v>98</v>
      </c>
      <c r="R29" s="5">
        <f t="shared" si="14"/>
        <v>109</v>
      </c>
      <c r="S29" s="5">
        <f t="shared" si="14"/>
        <v>114</v>
      </c>
      <c r="T29" s="5">
        <f t="shared" si="14"/>
        <v>123</v>
      </c>
      <c r="U29" s="5">
        <f t="shared" si="14"/>
        <v>123</v>
      </c>
      <c r="V29" s="5">
        <f t="shared" si="14"/>
        <v>123</v>
      </c>
      <c r="W29" s="5">
        <f t="shared" si="14"/>
        <v>118</v>
      </c>
      <c r="X29" s="5">
        <f t="shared" si="14"/>
        <v>120</v>
      </c>
      <c r="Y29" s="5">
        <f t="shared" ref="Y29" si="17">SUM(Y20,Y23,Y26)</f>
        <v>102</v>
      </c>
      <c r="Z29" s="5">
        <f t="shared" si="14"/>
        <v>93</v>
      </c>
      <c r="AA29" s="5">
        <f t="shared" si="14"/>
        <v>111</v>
      </c>
      <c r="AB29" s="5">
        <f t="shared" si="14"/>
        <v>113</v>
      </c>
      <c r="AC29" s="5">
        <f t="shared" si="3"/>
        <v>2748</v>
      </c>
    </row>
    <row r="30" spans="1:29" x14ac:dyDescent="0.4">
      <c r="A30" s="13"/>
      <c r="B30" s="67"/>
      <c r="C30" s="71"/>
      <c r="D30" s="5" t="s">
        <v>25</v>
      </c>
      <c r="E30" s="5">
        <f t="shared" ref="E30:AB30" si="18">SUM(E28:E29)</f>
        <v>226</v>
      </c>
      <c r="F30" s="5">
        <f t="shared" ref="F30:N30" si="19">SUM(F28:F29)</f>
        <v>222</v>
      </c>
      <c r="G30" s="5">
        <f t="shared" si="19"/>
        <v>221</v>
      </c>
      <c r="H30" s="5">
        <f t="shared" si="19"/>
        <v>248</v>
      </c>
      <c r="I30" s="5">
        <f t="shared" si="19"/>
        <v>190</v>
      </c>
      <c r="J30" s="5">
        <f t="shared" si="19"/>
        <v>223</v>
      </c>
      <c r="K30" s="5">
        <f t="shared" si="19"/>
        <v>221</v>
      </c>
      <c r="L30" s="5">
        <f t="shared" si="19"/>
        <v>228</v>
      </c>
      <c r="M30" s="5">
        <f t="shared" si="19"/>
        <v>215</v>
      </c>
      <c r="N30" s="5">
        <f t="shared" si="19"/>
        <v>214</v>
      </c>
      <c r="O30" s="5">
        <f t="shared" si="18"/>
        <v>205</v>
      </c>
      <c r="P30" s="5">
        <f t="shared" si="18"/>
        <v>176</v>
      </c>
      <c r="Q30" s="5">
        <f t="shared" si="18"/>
        <v>192</v>
      </c>
      <c r="R30" s="5">
        <f t="shared" si="18"/>
        <v>202</v>
      </c>
      <c r="S30" s="5">
        <f t="shared" si="18"/>
        <v>201</v>
      </c>
      <c r="T30" s="5">
        <f t="shared" si="18"/>
        <v>240</v>
      </c>
      <c r="U30" s="5">
        <f t="shared" si="18"/>
        <v>248</v>
      </c>
      <c r="V30" s="5">
        <f t="shared" si="18"/>
        <v>232</v>
      </c>
      <c r="W30" s="5">
        <f t="shared" si="18"/>
        <v>225</v>
      </c>
      <c r="X30" s="5">
        <f t="shared" si="18"/>
        <v>225</v>
      </c>
      <c r="Y30" s="5">
        <f t="shared" ref="Y30" si="20">SUM(Y28:Y29)</f>
        <v>191</v>
      </c>
      <c r="Z30" s="5">
        <f t="shared" si="18"/>
        <v>163</v>
      </c>
      <c r="AA30" s="5">
        <f t="shared" si="18"/>
        <v>203</v>
      </c>
      <c r="AB30" s="5">
        <f t="shared" si="18"/>
        <v>210</v>
      </c>
      <c r="AC30" s="5">
        <f t="shared" si="3"/>
        <v>5121</v>
      </c>
    </row>
    <row r="31" spans="1:29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28"/>
    </row>
    <row r="32" spans="1:29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28"/>
    </row>
    <row r="33" spans="1:29" x14ac:dyDescent="0.4">
      <c r="A33" s="6">
        <v>1</v>
      </c>
      <c r="B33" s="61" t="s">
        <v>38</v>
      </c>
      <c r="C33" s="54"/>
      <c r="D33" s="55"/>
      <c r="E33" s="6">
        <v>300</v>
      </c>
      <c r="F33" s="6">
        <v>286</v>
      </c>
      <c r="G33" s="6">
        <v>278</v>
      </c>
      <c r="H33" s="6">
        <v>301</v>
      </c>
      <c r="I33" s="6">
        <v>272</v>
      </c>
      <c r="J33" s="6">
        <v>286</v>
      </c>
      <c r="K33" s="6">
        <v>286</v>
      </c>
      <c r="L33" s="6">
        <v>289</v>
      </c>
      <c r="M33" s="6">
        <v>271</v>
      </c>
      <c r="N33" s="6">
        <v>280</v>
      </c>
      <c r="O33" s="6">
        <v>279</v>
      </c>
      <c r="P33" s="6">
        <v>232</v>
      </c>
      <c r="Q33" s="6">
        <v>295</v>
      </c>
      <c r="R33" s="6">
        <v>290</v>
      </c>
      <c r="S33" s="6">
        <v>284</v>
      </c>
      <c r="T33" s="6">
        <v>291</v>
      </c>
      <c r="U33" s="6">
        <v>283</v>
      </c>
      <c r="V33" s="6">
        <v>270</v>
      </c>
      <c r="W33" s="6">
        <v>287</v>
      </c>
      <c r="X33" s="6">
        <v>298</v>
      </c>
      <c r="Y33" s="6">
        <v>231</v>
      </c>
      <c r="Z33" s="6">
        <v>200</v>
      </c>
      <c r="AA33" s="6">
        <v>294</v>
      </c>
      <c r="AB33" s="6">
        <v>245</v>
      </c>
      <c r="AC33" s="5">
        <f>SUM(E33:AB33)</f>
        <v>6628</v>
      </c>
    </row>
    <row r="34" spans="1:29" x14ac:dyDescent="0.4">
      <c r="A34" s="6">
        <v>2</v>
      </c>
      <c r="B34" s="61" t="s">
        <v>39</v>
      </c>
      <c r="C34" s="54"/>
      <c r="D34" s="55"/>
      <c r="E34" s="5">
        <v>226</v>
      </c>
      <c r="F34" s="5">
        <v>222</v>
      </c>
      <c r="G34" s="5">
        <v>221</v>
      </c>
      <c r="H34" s="5">
        <v>248</v>
      </c>
      <c r="I34" s="5">
        <v>190</v>
      </c>
      <c r="J34" s="5">
        <v>223</v>
      </c>
      <c r="K34" s="5">
        <v>221</v>
      </c>
      <c r="L34" s="5">
        <v>228</v>
      </c>
      <c r="M34" s="5">
        <v>215</v>
      </c>
      <c r="N34" s="5">
        <v>214</v>
      </c>
      <c r="O34" s="5">
        <v>205</v>
      </c>
      <c r="P34" s="5">
        <v>176</v>
      </c>
      <c r="Q34" s="5">
        <v>192</v>
      </c>
      <c r="R34" s="5">
        <v>202</v>
      </c>
      <c r="S34" s="5">
        <v>201</v>
      </c>
      <c r="T34" s="5">
        <v>240</v>
      </c>
      <c r="U34" s="5">
        <v>248</v>
      </c>
      <c r="V34" s="5">
        <v>232</v>
      </c>
      <c r="W34" s="5">
        <v>225</v>
      </c>
      <c r="X34" s="5">
        <v>225</v>
      </c>
      <c r="Y34" s="5">
        <v>191</v>
      </c>
      <c r="Z34" s="5">
        <v>163</v>
      </c>
      <c r="AA34" s="5">
        <v>203</v>
      </c>
      <c r="AB34" s="5">
        <v>210</v>
      </c>
      <c r="AC34" s="5">
        <f>SUM(E34:AB34)</f>
        <v>5121</v>
      </c>
    </row>
    <row r="35" spans="1:29" x14ac:dyDescent="0.4">
      <c r="A35" s="6">
        <v>3</v>
      </c>
      <c r="B35" s="61" t="s">
        <v>40</v>
      </c>
      <c r="C35" s="54"/>
      <c r="D35" s="55"/>
      <c r="E35" s="6">
        <v>0</v>
      </c>
      <c r="F35" s="6">
        <v>0</v>
      </c>
      <c r="G35" s="6">
        <v>2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6">
        <v>2</v>
      </c>
      <c r="U35" s="6">
        <v>2</v>
      </c>
      <c r="V35" s="6">
        <v>0</v>
      </c>
      <c r="W35" s="6">
        <v>0</v>
      </c>
      <c r="X35" s="6">
        <v>0</v>
      </c>
      <c r="Y35" s="6">
        <v>0</v>
      </c>
      <c r="Z35" s="6">
        <v>17</v>
      </c>
      <c r="AA35" s="6">
        <v>1</v>
      </c>
      <c r="AB35" s="6">
        <v>0</v>
      </c>
      <c r="AC35" s="5">
        <f>SUM(E35:AB35)</f>
        <v>26</v>
      </c>
    </row>
    <row r="36" spans="1:29" x14ac:dyDescent="0.4">
      <c r="A36" s="6">
        <v>4</v>
      </c>
      <c r="B36" s="61" t="s">
        <v>41</v>
      </c>
      <c r="C36" s="54"/>
      <c r="D36" s="55"/>
      <c r="E36" s="5">
        <f t="shared" ref="E36:AB36" si="21">E33-(E34+E35)</f>
        <v>74</v>
      </c>
      <c r="F36" s="5">
        <f t="shared" ref="F36:N36" si="22">F33-(F34+F35)</f>
        <v>64</v>
      </c>
      <c r="G36" s="5">
        <f t="shared" si="22"/>
        <v>55</v>
      </c>
      <c r="H36" s="5">
        <f t="shared" si="22"/>
        <v>53</v>
      </c>
      <c r="I36" s="5">
        <f t="shared" si="22"/>
        <v>82</v>
      </c>
      <c r="J36" s="5">
        <f t="shared" si="22"/>
        <v>63</v>
      </c>
      <c r="K36" s="5">
        <f t="shared" si="22"/>
        <v>64</v>
      </c>
      <c r="L36" s="5">
        <f t="shared" si="22"/>
        <v>61</v>
      </c>
      <c r="M36" s="5">
        <f t="shared" si="22"/>
        <v>56</v>
      </c>
      <c r="N36" s="5">
        <f t="shared" si="22"/>
        <v>66</v>
      </c>
      <c r="O36" s="5">
        <f t="shared" si="21"/>
        <v>74</v>
      </c>
      <c r="P36" s="5">
        <f t="shared" si="21"/>
        <v>55</v>
      </c>
      <c r="Q36" s="5">
        <f t="shared" si="21"/>
        <v>103</v>
      </c>
      <c r="R36" s="5">
        <f t="shared" si="21"/>
        <v>88</v>
      </c>
      <c r="S36" s="5">
        <f t="shared" si="21"/>
        <v>83</v>
      </c>
      <c r="T36" s="5">
        <f t="shared" si="21"/>
        <v>49</v>
      </c>
      <c r="U36" s="5">
        <f t="shared" si="21"/>
        <v>33</v>
      </c>
      <c r="V36" s="5">
        <f t="shared" si="21"/>
        <v>38</v>
      </c>
      <c r="W36" s="5">
        <f t="shared" si="21"/>
        <v>62</v>
      </c>
      <c r="X36" s="5">
        <f t="shared" si="21"/>
        <v>73</v>
      </c>
      <c r="Y36" s="5">
        <f t="shared" ref="Y36" si="23">Y33-(Y34+Y35)</f>
        <v>40</v>
      </c>
      <c r="Z36" s="5">
        <f t="shared" si="21"/>
        <v>20</v>
      </c>
      <c r="AA36" s="5">
        <f t="shared" si="21"/>
        <v>90</v>
      </c>
      <c r="AB36" s="5">
        <f t="shared" si="21"/>
        <v>35</v>
      </c>
      <c r="AC36" s="5">
        <f>SUM(E36:AB36)</f>
        <v>1481</v>
      </c>
    </row>
    <row r="37" spans="1:29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7"/>
      <c r="AC37" s="28"/>
    </row>
    <row r="38" spans="1:29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28"/>
    </row>
    <row r="39" spans="1:29" x14ac:dyDescent="0.4">
      <c r="A39" s="11"/>
      <c r="B39" s="78" t="s">
        <v>44</v>
      </c>
      <c r="C39" s="63"/>
      <c r="D39" s="6" t="s">
        <v>23</v>
      </c>
      <c r="E39" s="6"/>
      <c r="F39" s="6"/>
      <c r="G39" s="6"/>
      <c r="H39" s="6"/>
      <c r="I39" s="6">
        <v>1</v>
      </c>
      <c r="J39" s="6"/>
      <c r="K39" s="6">
        <v>3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5">
        <f>SUM(E39:AB39)</f>
        <v>4</v>
      </c>
    </row>
    <row r="40" spans="1:29" x14ac:dyDescent="0.4">
      <c r="A40" s="12"/>
      <c r="B40" s="79"/>
      <c r="C40" s="65"/>
      <c r="D40" s="6" t="s">
        <v>24</v>
      </c>
      <c r="E40" s="6"/>
      <c r="F40" s="6"/>
      <c r="G40" s="6"/>
      <c r="H40" s="6"/>
      <c r="I40" s="6"/>
      <c r="J40" s="6"/>
      <c r="K40" s="6">
        <v>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5">
        <f>SUM(E40:AB40)</f>
        <v>6</v>
      </c>
    </row>
    <row r="41" spans="1:29" x14ac:dyDescent="0.4">
      <c r="A41" s="14"/>
      <c r="B41" s="80"/>
      <c r="C41" s="67"/>
      <c r="D41" s="5" t="s">
        <v>25</v>
      </c>
      <c r="E41" s="5">
        <f t="shared" ref="E41:AB41" si="24">SUM(E39:E40)</f>
        <v>0</v>
      </c>
      <c r="F41" s="5">
        <f t="shared" ref="F41:N41" si="25">SUM(F39:F40)</f>
        <v>0</v>
      </c>
      <c r="G41" s="5">
        <f t="shared" si="25"/>
        <v>0</v>
      </c>
      <c r="H41" s="5">
        <f t="shared" si="25"/>
        <v>0</v>
      </c>
      <c r="I41" s="5">
        <f t="shared" si="25"/>
        <v>1</v>
      </c>
      <c r="J41" s="5">
        <f t="shared" si="25"/>
        <v>0</v>
      </c>
      <c r="K41" s="5">
        <f t="shared" si="25"/>
        <v>9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4"/>
        <v>0</v>
      </c>
      <c r="P41" s="5">
        <f t="shared" si="24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" si="26">SUM(Y39:Y40)</f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>SUM(E41:AB41)</f>
        <v>10</v>
      </c>
    </row>
    <row r="42" spans="1:29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75"/>
      <c r="M42" s="75"/>
      <c r="N42" s="75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"/>
    </row>
    <row r="43" spans="1:29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</row>
    <row r="44" spans="1:29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5"/>
    </row>
    <row r="45" spans="1:29" x14ac:dyDescent="0.4">
      <c r="A45" s="11" t="s">
        <v>48</v>
      </c>
      <c r="B45" s="17" t="s">
        <v>28</v>
      </c>
      <c r="C45" s="83" t="s">
        <v>49</v>
      </c>
      <c r="D45" s="55"/>
      <c r="E45" s="6">
        <v>6</v>
      </c>
      <c r="F45" s="6">
        <v>15</v>
      </c>
      <c r="G45" s="6">
        <v>10</v>
      </c>
      <c r="H45" s="6">
        <v>12</v>
      </c>
      <c r="I45" s="6">
        <v>5</v>
      </c>
      <c r="J45" s="6">
        <v>13</v>
      </c>
      <c r="K45" s="6">
        <v>11</v>
      </c>
      <c r="L45" s="6">
        <v>22</v>
      </c>
      <c r="M45" s="6">
        <v>4</v>
      </c>
      <c r="N45" s="6">
        <v>7</v>
      </c>
      <c r="O45" s="6">
        <v>8</v>
      </c>
      <c r="P45" s="6">
        <v>2</v>
      </c>
      <c r="Q45" s="6">
        <v>6</v>
      </c>
      <c r="R45" s="6">
        <v>4</v>
      </c>
      <c r="S45" s="6">
        <v>2</v>
      </c>
      <c r="T45" s="6">
        <v>7</v>
      </c>
      <c r="U45" s="6">
        <v>17</v>
      </c>
      <c r="V45" s="6">
        <v>14</v>
      </c>
      <c r="W45" s="6">
        <v>14</v>
      </c>
      <c r="X45" s="6">
        <v>5</v>
      </c>
      <c r="Y45" s="6">
        <v>7</v>
      </c>
      <c r="Z45" s="6">
        <v>13</v>
      </c>
      <c r="AA45" s="6">
        <v>15</v>
      </c>
      <c r="AB45" s="6">
        <v>11</v>
      </c>
      <c r="AC45" s="5">
        <f t="shared" ref="AC45:AC54" si="27">SUM(E45:AB45)</f>
        <v>230</v>
      </c>
    </row>
    <row r="46" spans="1:29" x14ac:dyDescent="0.4">
      <c r="A46" s="11" t="s">
        <v>50</v>
      </c>
      <c r="B46" s="46"/>
      <c r="C46" s="24" t="s">
        <v>110</v>
      </c>
      <c r="D46" s="24"/>
      <c r="E46" s="6">
        <v>24</v>
      </c>
      <c r="F46" s="6">
        <v>31</v>
      </c>
      <c r="G46" s="6">
        <v>27</v>
      </c>
      <c r="H46" s="6">
        <v>18</v>
      </c>
      <c r="I46" s="6">
        <v>38</v>
      </c>
      <c r="J46" s="6">
        <v>10</v>
      </c>
      <c r="K46" s="6">
        <v>37</v>
      </c>
      <c r="L46" s="6">
        <v>36</v>
      </c>
      <c r="M46" s="6">
        <v>28</v>
      </c>
      <c r="N46" s="6">
        <v>23</v>
      </c>
      <c r="O46" s="6">
        <v>13</v>
      </c>
      <c r="P46" s="6">
        <v>10</v>
      </c>
      <c r="Q46" s="6">
        <v>16</v>
      </c>
      <c r="R46" s="6">
        <v>26</v>
      </c>
      <c r="S46" s="6">
        <v>4</v>
      </c>
      <c r="T46" s="6">
        <v>42</v>
      </c>
      <c r="U46" s="6">
        <v>36</v>
      </c>
      <c r="V46" s="6">
        <v>23</v>
      </c>
      <c r="W46" s="6">
        <v>30</v>
      </c>
      <c r="X46" s="6">
        <v>52</v>
      </c>
      <c r="Y46" s="6">
        <v>6</v>
      </c>
      <c r="Z46" s="6">
        <v>11</v>
      </c>
      <c r="AA46" s="6">
        <v>28</v>
      </c>
      <c r="AB46" s="6">
        <v>14</v>
      </c>
      <c r="AC46" s="5">
        <f t="shared" si="27"/>
        <v>583</v>
      </c>
    </row>
    <row r="47" spans="1:29" x14ac:dyDescent="0.4">
      <c r="A47" s="7"/>
      <c r="B47" s="47"/>
      <c r="C47" s="24" t="s">
        <v>111</v>
      </c>
      <c r="D47" s="24"/>
      <c r="E47" s="6">
        <v>1</v>
      </c>
      <c r="F47" s="6">
        <v>5</v>
      </c>
      <c r="G47" s="6">
        <v>14</v>
      </c>
      <c r="H47" s="6">
        <v>2</v>
      </c>
      <c r="I47" s="6">
        <v>1</v>
      </c>
      <c r="J47" s="6">
        <v>3</v>
      </c>
      <c r="K47" s="6">
        <v>2</v>
      </c>
      <c r="L47" s="6">
        <v>5</v>
      </c>
      <c r="M47" s="6">
        <v>10</v>
      </c>
      <c r="N47" s="6">
        <v>0</v>
      </c>
      <c r="O47" s="6">
        <v>6</v>
      </c>
      <c r="P47" s="6">
        <v>14</v>
      </c>
      <c r="Q47" s="6">
        <v>50</v>
      </c>
      <c r="R47" s="6">
        <v>0</v>
      </c>
      <c r="S47" s="6">
        <v>1</v>
      </c>
      <c r="T47" s="6">
        <v>5</v>
      </c>
      <c r="U47" s="6">
        <v>30</v>
      </c>
      <c r="V47" s="6">
        <v>9</v>
      </c>
      <c r="W47" s="6">
        <v>1</v>
      </c>
      <c r="X47" s="6">
        <v>3</v>
      </c>
      <c r="Y47" s="6">
        <v>6</v>
      </c>
      <c r="Z47" s="6">
        <v>4</v>
      </c>
      <c r="AA47" s="6">
        <v>1</v>
      </c>
      <c r="AB47" s="6">
        <v>6</v>
      </c>
      <c r="AC47" s="5">
        <f t="shared" si="27"/>
        <v>179</v>
      </c>
    </row>
    <row r="48" spans="1:29" x14ac:dyDescent="0.4">
      <c r="A48" s="7"/>
      <c r="B48" s="47"/>
      <c r="C48" s="24" t="s">
        <v>112</v>
      </c>
      <c r="D48" s="24"/>
      <c r="E48" s="6">
        <v>1</v>
      </c>
      <c r="F48" s="6">
        <v>7</v>
      </c>
      <c r="G48" s="6">
        <v>0</v>
      </c>
      <c r="H48" s="6">
        <v>1</v>
      </c>
      <c r="I48" s="6">
        <v>1</v>
      </c>
      <c r="J48" s="6">
        <v>3</v>
      </c>
      <c r="K48" s="6">
        <v>0</v>
      </c>
      <c r="L48" s="6">
        <v>2</v>
      </c>
      <c r="M48" s="6">
        <v>2</v>
      </c>
      <c r="N48" s="6">
        <v>1</v>
      </c>
      <c r="O48" s="6">
        <v>1</v>
      </c>
      <c r="P48" s="6">
        <v>2</v>
      </c>
      <c r="Q48" s="6">
        <v>3</v>
      </c>
      <c r="R48" s="6">
        <v>3</v>
      </c>
      <c r="S48" s="6">
        <v>1</v>
      </c>
      <c r="T48" s="6">
        <v>12</v>
      </c>
      <c r="U48" s="6">
        <v>15</v>
      </c>
      <c r="V48" s="6">
        <v>3</v>
      </c>
      <c r="W48" s="6">
        <v>2</v>
      </c>
      <c r="X48" s="6">
        <v>6</v>
      </c>
      <c r="Y48" s="6">
        <v>1</v>
      </c>
      <c r="Z48" s="6">
        <v>0</v>
      </c>
      <c r="AA48" s="6">
        <v>1</v>
      </c>
      <c r="AB48" s="6">
        <v>2</v>
      </c>
      <c r="AC48" s="5">
        <f t="shared" si="27"/>
        <v>70</v>
      </c>
    </row>
    <row r="49" spans="1:29" x14ac:dyDescent="0.4">
      <c r="A49" s="7"/>
      <c r="B49" s="47"/>
      <c r="C49" s="24" t="s">
        <v>113</v>
      </c>
      <c r="D49" s="24"/>
      <c r="E49" s="6">
        <v>1</v>
      </c>
      <c r="F49" s="6">
        <v>3</v>
      </c>
      <c r="G49" s="6">
        <v>2</v>
      </c>
      <c r="H49" s="6">
        <v>1</v>
      </c>
      <c r="I49" s="6">
        <v>3</v>
      </c>
      <c r="J49" s="6">
        <v>3</v>
      </c>
      <c r="K49" s="6">
        <v>7</v>
      </c>
      <c r="L49" s="6">
        <v>8</v>
      </c>
      <c r="M49" s="6">
        <v>2</v>
      </c>
      <c r="N49" s="6">
        <v>0</v>
      </c>
      <c r="O49" s="6">
        <v>3</v>
      </c>
      <c r="P49" s="6">
        <v>1</v>
      </c>
      <c r="Q49" s="6">
        <v>0</v>
      </c>
      <c r="R49" s="6">
        <v>0</v>
      </c>
      <c r="S49" s="6">
        <v>0</v>
      </c>
      <c r="T49" s="6">
        <v>3</v>
      </c>
      <c r="U49" s="6">
        <v>3</v>
      </c>
      <c r="V49" s="6">
        <v>3</v>
      </c>
      <c r="W49" s="6">
        <v>4</v>
      </c>
      <c r="X49" s="6">
        <v>3</v>
      </c>
      <c r="Y49" s="6">
        <v>27</v>
      </c>
      <c r="Z49" s="6">
        <v>3</v>
      </c>
      <c r="AA49" s="6">
        <v>1</v>
      </c>
      <c r="AB49" s="6">
        <v>7</v>
      </c>
      <c r="AC49" s="5">
        <f t="shared" si="27"/>
        <v>88</v>
      </c>
    </row>
    <row r="50" spans="1:29" x14ac:dyDescent="0.4">
      <c r="A50" s="7"/>
      <c r="B50" s="47"/>
      <c r="C50" s="24" t="s">
        <v>114</v>
      </c>
      <c r="D50" s="24"/>
      <c r="E50" s="6">
        <v>0</v>
      </c>
      <c r="F50" s="6">
        <v>0</v>
      </c>
      <c r="G50" s="6">
        <v>1</v>
      </c>
      <c r="H50" s="6">
        <v>0</v>
      </c>
      <c r="I50" s="6">
        <v>3</v>
      </c>
      <c r="J50" s="6">
        <v>3</v>
      </c>
      <c r="K50" s="6">
        <v>1</v>
      </c>
      <c r="L50" s="6">
        <v>1</v>
      </c>
      <c r="M50" s="6">
        <v>4</v>
      </c>
      <c r="N50" s="6">
        <v>2</v>
      </c>
      <c r="O50" s="6">
        <v>0</v>
      </c>
      <c r="P50" s="6">
        <v>1</v>
      </c>
      <c r="Q50" s="6">
        <v>1</v>
      </c>
      <c r="R50" s="6">
        <v>0</v>
      </c>
      <c r="S50" s="6">
        <v>1</v>
      </c>
      <c r="T50" s="6">
        <v>1</v>
      </c>
      <c r="U50" s="6">
        <v>2</v>
      </c>
      <c r="V50" s="6">
        <v>0</v>
      </c>
      <c r="W50" s="6">
        <v>1</v>
      </c>
      <c r="X50" s="6">
        <v>1</v>
      </c>
      <c r="Y50" s="6">
        <v>0</v>
      </c>
      <c r="Z50" s="6">
        <v>0</v>
      </c>
      <c r="AA50" s="6">
        <v>0</v>
      </c>
      <c r="AB50" s="6">
        <v>0</v>
      </c>
      <c r="AC50" s="5">
        <f t="shared" si="27"/>
        <v>23</v>
      </c>
    </row>
    <row r="51" spans="1:29" x14ac:dyDescent="0.4">
      <c r="A51" s="7"/>
      <c r="B51" s="47"/>
      <c r="C51" s="24" t="s">
        <v>115</v>
      </c>
      <c r="D51" s="24"/>
      <c r="E51" s="6">
        <v>0</v>
      </c>
      <c r="F51" s="6">
        <v>1</v>
      </c>
      <c r="G51" s="6">
        <v>2</v>
      </c>
      <c r="H51" s="6">
        <v>1</v>
      </c>
      <c r="I51" s="6">
        <v>1</v>
      </c>
      <c r="J51" s="6">
        <v>0</v>
      </c>
      <c r="K51" s="6">
        <v>1</v>
      </c>
      <c r="L51" s="6">
        <v>3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1</v>
      </c>
      <c r="S51" s="6">
        <v>0</v>
      </c>
      <c r="T51" s="6">
        <v>0</v>
      </c>
      <c r="U51" s="6">
        <v>2</v>
      </c>
      <c r="V51" s="6">
        <v>1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5">
        <f t="shared" si="27"/>
        <v>16</v>
      </c>
    </row>
    <row r="52" spans="1:29" ht="13.15" customHeight="1" x14ac:dyDescent="0.4">
      <c r="A52" s="7"/>
      <c r="B52" s="47"/>
      <c r="C52" s="24" t="s">
        <v>116</v>
      </c>
      <c r="D52" s="24"/>
      <c r="E52" s="6">
        <v>0</v>
      </c>
      <c r="F52" s="6">
        <v>1</v>
      </c>
      <c r="G52" s="6">
        <v>1</v>
      </c>
      <c r="H52" s="6">
        <v>0</v>
      </c>
      <c r="I52" s="6">
        <v>0</v>
      </c>
      <c r="J52" s="6">
        <v>1</v>
      </c>
      <c r="K52" s="6">
        <v>3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1</v>
      </c>
      <c r="U52" s="6">
        <v>3</v>
      </c>
      <c r="V52" s="6">
        <v>0</v>
      </c>
      <c r="W52" s="6">
        <v>5</v>
      </c>
      <c r="X52" s="6">
        <v>0</v>
      </c>
      <c r="Y52" s="6">
        <v>0</v>
      </c>
      <c r="Z52" s="6">
        <v>0</v>
      </c>
      <c r="AA52" s="6">
        <v>2</v>
      </c>
      <c r="AB52" s="6">
        <v>0</v>
      </c>
      <c r="AC52" s="5">
        <f t="shared" si="27"/>
        <v>19</v>
      </c>
    </row>
    <row r="53" spans="1:29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1</v>
      </c>
      <c r="AA53" s="6">
        <v>0</v>
      </c>
      <c r="AB53" s="6">
        <v>3</v>
      </c>
      <c r="AC53" s="5">
        <f t="shared" si="27"/>
        <v>7</v>
      </c>
    </row>
    <row r="54" spans="1:29" ht="13.15" customHeight="1" x14ac:dyDescent="0.4">
      <c r="A54" s="7"/>
      <c r="B54" s="47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2</v>
      </c>
      <c r="K54" s="6">
        <v>2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1</v>
      </c>
      <c r="X54" s="6">
        <v>0</v>
      </c>
      <c r="Y54" s="6">
        <v>1</v>
      </c>
      <c r="Z54" s="6">
        <v>0</v>
      </c>
      <c r="AA54" s="6">
        <v>1</v>
      </c>
      <c r="AB54" s="6">
        <v>0</v>
      </c>
      <c r="AC54" s="5">
        <f t="shared" si="27"/>
        <v>9</v>
      </c>
    </row>
    <row r="55" spans="1:29" x14ac:dyDescent="0.4">
      <c r="A55" s="6" t="s">
        <v>26</v>
      </c>
      <c r="B55" s="74" t="s">
        <v>51</v>
      </c>
      <c r="C55" s="54"/>
      <c r="D55" s="55"/>
      <c r="E55" s="6">
        <f>SUM(E45:E54)</f>
        <v>33</v>
      </c>
      <c r="F55" s="6">
        <f t="shared" ref="F55:AC55" si="28">SUM(F45:F54)</f>
        <v>63</v>
      </c>
      <c r="G55" s="6">
        <f t="shared" si="28"/>
        <v>58</v>
      </c>
      <c r="H55" s="6">
        <f t="shared" si="28"/>
        <v>35</v>
      </c>
      <c r="I55" s="6">
        <f t="shared" si="28"/>
        <v>52</v>
      </c>
      <c r="J55" s="6">
        <f t="shared" si="28"/>
        <v>38</v>
      </c>
      <c r="K55" s="6">
        <f t="shared" si="28"/>
        <v>64</v>
      </c>
      <c r="L55" s="6">
        <f t="shared" si="28"/>
        <v>79</v>
      </c>
      <c r="M55" s="6">
        <f t="shared" si="28"/>
        <v>51</v>
      </c>
      <c r="N55" s="6">
        <f t="shared" si="28"/>
        <v>35</v>
      </c>
      <c r="O55" s="6">
        <f t="shared" si="28"/>
        <v>31</v>
      </c>
      <c r="P55" s="6">
        <f t="shared" si="28"/>
        <v>30</v>
      </c>
      <c r="Q55" s="6">
        <f t="shared" si="28"/>
        <v>78</v>
      </c>
      <c r="R55" s="6">
        <f t="shared" si="28"/>
        <v>34</v>
      </c>
      <c r="S55" s="6">
        <f t="shared" si="28"/>
        <v>9</v>
      </c>
      <c r="T55" s="6">
        <f t="shared" si="28"/>
        <v>71</v>
      </c>
      <c r="U55" s="6">
        <f t="shared" si="28"/>
        <v>108</v>
      </c>
      <c r="V55" s="6">
        <f t="shared" si="28"/>
        <v>54</v>
      </c>
      <c r="W55" s="6">
        <f t="shared" si="28"/>
        <v>58</v>
      </c>
      <c r="X55" s="6">
        <f t="shared" si="28"/>
        <v>70</v>
      </c>
      <c r="Y55" s="6">
        <f t="shared" si="28"/>
        <v>49</v>
      </c>
      <c r="Z55" s="6">
        <f t="shared" si="28"/>
        <v>32</v>
      </c>
      <c r="AA55" s="6">
        <f t="shared" si="28"/>
        <v>49</v>
      </c>
      <c r="AB55" s="6">
        <f t="shared" si="28"/>
        <v>43</v>
      </c>
      <c r="AC55" s="6">
        <f t="shared" si="28"/>
        <v>1224</v>
      </c>
    </row>
    <row r="56" spans="1:29" x14ac:dyDescent="0.4">
      <c r="A56" s="81"/>
      <c r="B56" s="80"/>
      <c r="C56" s="80"/>
      <c r="D56" s="80"/>
      <c r="E56" s="80"/>
      <c r="AC56" s="5"/>
    </row>
    <row r="57" spans="1:29" x14ac:dyDescent="0.4">
      <c r="A57" s="11" t="s">
        <v>48</v>
      </c>
      <c r="B57" s="17" t="s">
        <v>30</v>
      </c>
      <c r="C57" s="83" t="s">
        <v>52</v>
      </c>
      <c r="D57" s="55"/>
      <c r="E57" s="6">
        <v>14</v>
      </c>
      <c r="F57" s="6">
        <v>10</v>
      </c>
      <c r="G57" s="6">
        <v>5</v>
      </c>
      <c r="H57" s="6">
        <v>10</v>
      </c>
      <c r="I57" s="6">
        <v>10</v>
      </c>
      <c r="J57" s="6">
        <v>4</v>
      </c>
      <c r="K57" s="6">
        <v>14</v>
      </c>
      <c r="L57" s="6">
        <v>11</v>
      </c>
      <c r="M57" s="6">
        <v>6</v>
      </c>
      <c r="N57" s="6">
        <v>11</v>
      </c>
      <c r="O57" s="6">
        <v>10</v>
      </c>
      <c r="P57" s="6">
        <v>8</v>
      </c>
      <c r="Q57" s="6">
        <v>5</v>
      </c>
      <c r="R57" s="6">
        <v>14</v>
      </c>
      <c r="S57" s="6">
        <v>8</v>
      </c>
      <c r="T57" s="6">
        <v>7</v>
      </c>
      <c r="U57" s="6">
        <v>9</v>
      </c>
      <c r="V57" s="6">
        <v>6</v>
      </c>
      <c r="W57" s="6">
        <v>7</v>
      </c>
      <c r="X57" s="6">
        <v>9</v>
      </c>
      <c r="Y57" s="6">
        <v>11</v>
      </c>
      <c r="Z57" s="6">
        <v>10</v>
      </c>
      <c r="AA57" s="6">
        <v>10</v>
      </c>
      <c r="AB57" s="6">
        <v>7</v>
      </c>
      <c r="AC57" s="5">
        <f t="shared" ref="AC57:AC66" si="29">SUM(E57:AB57)</f>
        <v>216</v>
      </c>
    </row>
    <row r="58" spans="1:29" x14ac:dyDescent="0.4">
      <c r="A58" s="11" t="s">
        <v>50</v>
      </c>
      <c r="B58" s="47"/>
      <c r="C58" s="24" t="s">
        <v>119</v>
      </c>
      <c r="D58" s="48"/>
      <c r="E58" s="6">
        <v>2</v>
      </c>
      <c r="F58" s="6">
        <v>7</v>
      </c>
      <c r="G58" s="6">
        <v>5</v>
      </c>
      <c r="H58" s="6">
        <v>5</v>
      </c>
      <c r="I58" s="6">
        <v>7</v>
      </c>
      <c r="J58" s="6">
        <v>10</v>
      </c>
      <c r="K58" s="6">
        <v>10</v>
      </c>
      <c r="L58" s="6">
        <v>6</v>
      </c>
      <c r="M58" s="6">
        <v>7</v>
      </c>
      <c r="N58" s="6">
        <v>8</v>
      </c>
      <c r="O58" s="6">
        <v>4</v>
      </c>
      <c r="P58" s="6">
        <v>2</v>
      </c>
      <c r="Q58" s="6">
        <v>2</v>
      </c>
      <c r="R58" s="6">
        <v>6</v>
      </c>
      <c r="S58" s="6">
        <v>4</v>
      </c>
      <c r="T58" s="6">
        <v>12</v>
      </c>
      <c r="U58" s="6">
        <v>5</v>
      </c>
      <c r="V58" s="6">
        <v>8</v>
      </c>
      <c r="W58" s="6">
        <v>7</v>
      </c>
      <c r="X58" s="6">
        <v>4</v>
      </c>
      <c r="Y58" s="6">
        <v>4</v>
      </c>
      <c r="Z58" s="6">
        <v>8</v>
      </c>
      <c r="AA58" s="6">
        <v>4</v>
      </c>
      <c r="AB58" s="6">
        <v>3</v>
      </c>
      <c r="AC58" s="5">
        <f t="shared" si="29"/>
        <v>140</v>
      </c>
    </row>
    <row r="59" spans="1:29" x14ac:dyDescent="0.4">
      <c r="A59" s="7"/>
      <c r="B59" s="47"/>
      <c r="C59" s="24" t="s">
        <v>120</v>
      </c>
      <c r="D59" s="48"/>
      <c r="E59" s="6">
        <v>14</v>
      </c>
      <c r="F59" s="6">
        <v>9</v>
      </c>
      <c r="G59" s="6">
        <v>6</v>
      </c>
      <c r="H59" s="6">
        <v>4</v>
      </c>
      <c r="I59" s="6">
        <v>6</v>
      </c>
      <c r="J59" s="6">
        <v>19</v>
      </c>
      <c r="K59" s="6">
        <v>8</v>
      </c>
      <c r="L59" s="6">
        <v>9</v>
      </c>
      <c r="M59" s="6">
        <v>4</v>
      </c>
      <c r="N59" s="6">
        <v>12</v>
      </c>
      <c r="O59" s="6">
        <v>7</v>
      </c>
      <c r="P59" s="6">
        <v>8</v>
      </c>
      <c r="Q59" s="6">
        <v>7</v>
      </c>
      <c r="R59" s="6">
        <v>1</v>
      </c>
      <c r="S59" s="6">
        <v>4</v>
      </c>
      <c r="T59" s="6">
        <v>7</v>
      </c>
      <c r="U59" s="6">
        <v>5</v>
      </c>
      <c r="V59" s="6">
        <v>10</v>
      </c>
      <c r="W59" s="6">
        <v>8</v>
      </c>
      <c r="X59" s="6">
        <v>6</v>
      </c>
      <c r="Y59" s="6">
        <v>10</v>
      </c>
      <c r="Z59" s="6">
        <v>6</v>
      </c>
      <c r="AA59" s="6">
        <v>8</v>
      </c>
      <c r="AB59" s="6">
        <v>12</v>
      </c>
      <c r="AC59" s="5">
        <f t="shared" si="29"/>
        <v>190</v>
      </c>
    </row>
    <row r="60" spans="1:29" x14ac:dyDescent="0.4">
      <c r="A60" s="7"/>
      <c r="B60" s="47"/>
      <c r="C60" s="24" t="s">
        <v>121</v>
      </c>
      <c r="D60" s="48"/>
      <c r="E60" s="6">
        <v>3</v>
      </c>
      <c r="F60" s="6">
        <v>0</v>
      </c>
      <c r="G60" s="6">
        <v>2</v>
      </c>
      <c r="H60" s="6">
        <v>0</v>
      </c>
      <c r="I60" s="6">
        <v>1</v>
      </c>
      <c r="J60" s="6">
        <v>1</v>
      </c>
      <c r="K60" s="6">
        <v>3</v>
      </c>
      <c r="L60" s="6">
        <v>3</v>
      </c>
      <c r="M60" s="6">
        <v>2</v>
      </c>
      <c r="N60" s="6">
        <v>4</v>
      </c>
      <c r="O60" s="6">
        <v>3</v>
      </c>
      <c r="P60" s="6">
        <v>1</v>
      </c>
      <c r="Q60" s="6">
        <v>1</v>
      </c>
      <c r="R60" s="6">
        <v>3</v>
      </c>
      <c r="S60" s="6">
        <v>0</v>
      </c>
      <c r="T60" s="6">
        <v>0</v>
      </c>
      <c r="U60" s="6">
        <v>0</v>
      </c>
      <c r="V60" s="6">
        <v>1</v>
      </c>
      <c r="W60" s="6">
        <v>2</v>
      </c>
      <c r="X60" s="6">
        <v>1</v>
      </c>
      <c r="Y60" s="6">
        <v>0</v>
      </c>
      <c r="Z60" s="6">
        <v>2</v>
      </c>
      <c r="AA60" s="6">
        <v>2</v>
      </c>
      <c r="AB60" s="6">
        <v>1</v>
      </c>
      <c r="AC60" s="5">
        <f t="shared" si="29"/>
        <v>36</v>
      </c>
    </row>
    <row r="61" spans="1:29" x14ac:dyDescent="0.4">
      <c r="A61" s="7"/>
      <c r="B61" s="47"/>
      <c r="C61" s="24" t="s">
        <v>122</v>
      </c>
      <c r="D61" s="48"/>
      <c r="E61" s="6">
        <v>2</v>
      </c>
      <c r="F61" s="6">
        <v>0</v>
      </c>
      <c r="G61" s="6">
        <v>2</v>
      </c>
      <c r="H61" s="6">
        <v>1</v>
      </c>
      <c r="I61" s="6">
        <v>0</v>
      </c>
      <c r="J61" s="6">
        <v>1</v>
      </c>
      <c r="K61" s="6">
        <v>3</v>
      </c>
      <c r="L61" s="6">
        <v>5</v>
      </c>
      <c r="M61" s="6">
        <v>0</v>
      </c>
      <c r="N61" s="6">
        <v>3</v>
      </c>
      <c r="O61" s="6">
        <v>2</v>
      </c>
      <c r="P61" s="6">
        <v>1</v>
      </c>
      <c r="Q61" s="6">
        <v>0</v>
      </c>
      <c r="R61" s="6">
        <v>4</v>
      </c>
      <c r="S61" s="6">
        <v>3</v>
      </c>
      <c r="T61" s="6">
        <v>2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2</v>
      </c>
      <c r="AA61" s="6">
        <v>1</v>
      </c>
      <c r="AB61" s="6">
        <v>1</v>
      </c>
      <c r="AC61" s="5">
        <f t="shared" si="29"/>
        <v>38</v>
      </c>
    </row>
    <row r="62" spans="1:29" x14ac:dyDescent="0.4">
      <c r="A62" s="7"/>
      <c r="B62" s="47"/>
      <c r="C62" s="24" t="s">
        <v>123</v>
      </c>
      <c r="D62" s="48"/>
      <c r="E62" s="6">
        <v>3</v>
      </c>
      <c r="F62" s="6">
        <v>1</v>
      </c>
      <c r="G62" s="6">
        <v>4</v>
      </c>
      <c r="H62" s="6">
        <v>0</v>
      </c>
      <c r="I62" s="6">
        <v>2</v>
      </c>
      <c r="J62" s="6">
        <v>0</v>
      </c>
      <c r="K62" s="6">
        <v>1</v>
      </c>
      <c r="L62" s="6">
        <v>1</v>
      </c>
      <c r="M62" s="6">
        <v>1</v>
      </c>
      <c r="N62" s="6">
        <v>2</v>
      </c>
      <c r="O62" s="6">
        <v>2</v>
      </c>
      <c r="P62" s="6">
        <v>2</v>
      </c>
      <c r="Q62" s="6">
        <v>0</v>
      </c>
      <c r="R62" s="6">
        <v>2</v>
      </c>
      <c r="S62" s="6">
        <v>2</v>
      </c>
      <c r="T62" s="6">
        <v>0</v>
      </c>
      <c r="U62" s="6">
        <v>0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6">
        <v>0</v>
      </c>
      <c r="AC62" s="5">
        <f t="shared" si="29"/>
        <v>24</v>
      </c>
    </row>
    <row r="63" spans="1:29" ht="13.15" customHeight="1" x14ac:dyDescent="0.4">
      <c r="A63" s="7"/>
      <c r="B63" s="47"/>
      <c r="C63" s="24" t="s">
        <v>124</v>
      </c>
      <c r="D63" s="45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2</v>
      </c>
      <c r="K63" s="6">
        <v>0</v>
      </c>
      <c r="L63" s="6">
        <v>0</v>
      </c>
      <c r="M63" s="6">
        <v>2</v>
      </c>
      <c r="N63" s="6">
        <v>1</v>
      </c>
      <c r="O63" s="6">
        <v>2</v>
      </c>
      <c r="P63" s="6">
        <v>1</v>
      </c>
      <c r="Q63" s="6">
        <v>0</v>
      </c>
      <c r="R63" s="6">
        <v>0</v>
      </c>
      <c r="S63" s="6">
        <v>0</v>
      </c>
      <c r="T63" s="6">
        <v>1</v>
      </c>
      <c r="U63" s="6">
        <v>0</v>
      </c>
      <c r="V63" s="6">
        <v>0</v>
      </c>
      <c r="W63" s="6">
        <v>0</v>
      </c>
      <c r="X63" s="6">
        <v>1</v>
      </c>
      <c r="Y63" s="6">
        <v>0</v>
      </c>
      <c r="Z63" s="6">
        <v>1</v>
      </c>
      <c r="AA63" s="6">
        <v>1</v>
      </c>
      <c r="AB63" s="6">
        <v>0</v>
      </c>
      <c r="AC63" s="5">
        <f t="shared" si="29"/>
        <v>12</v>
      </c>
    </row>
    <row r="64" spans="1:29" x14ac:dyDescent="0.4">
      <c r="A64" s="7"/>
      <c r="B64" s="47"/>
      <c r="C64" s="24" t="s">
        <v>125</v>
      </c>
      <c r="D64" s="48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0</v>
      </c>
      <c r="S64" s="6"/>
      <c r="T64" s="6">
        <v>0</v>
      </c>
      <c r="U64" s="6">
        <v>1</v>
      </c>
      <c r="V64" s="6">
        <v>1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5">
        <f t="shared" si="29"/>
        <v>4</v>
      </c>
    </row>
    <row r="65" spans="1:29" x14ac:dyDescent="0.4">
      <c r="A65" s="7"/>
      <c r="B65" s="47"/>
      <c r="C65" s="24" t="s">
        <v>126</v>
      </c>
      <c r="D65" s="48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/>
      <c r="T65" s="6">
        <v>0</v>
      </c>
      <c r="U65" s="6">
        <v>1</v>
      </c>
      <c r="V65" s="6">
        <v>0</v>
      </c>
      <c r="W65" s="6">
        <v>1</v>
      </c>
      <c r="X65" s="6">
        <v>1</v>
      </c>
      <c r="Y65" s="6">
        <v>0</v>
      </c>
      <c r="Z65" s="6">
        <v>0</v>
      </c>
      <c r="AA65" s="6">
        <v>0</v>
      </c>
      <c r="AB65" s="6">
        <v>0</v>
      </c>
      <c r="AC65" s="5">
        <f t="shared" si="29"/>
        <v>5</v>
      </c>
    </row>
    <row r="66" spans="1:29" x14ac:dyDescent="0.4">
      <c r="A66" s="7"/>
      <c r="B66" s="47"/>
      <c r="C66" s="24" t="s">
        <v>127</v>
      </c>
      <c r="D66" s="48"/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1</v>
      </c>
      <c r="K66" s="6">
        <v>1</v>
      </c>
      <c r="L66" s="6">
        <v>0</v>
      </c>
      <c r="M66" s="6">
        <v>0</v>
      </c>
      <c r="N66" s="6">
        <v>1</v>
      </c>
      <c r="O66" s="6">
        <v>4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5">
        <f t="shared" si="29"/>
        <v>10</v>
      </c>
    </row>
    <row r="67" spans="1:29" x14ac:dyDescent="0.4">
      <c r="A67" s="6" t="s">
        <v>26</v>
      </c>
      <c r="B67" s="74" t="s">
        <v>51</v>
      </c>
      <c r="C67" s="54"/>
      <c r="D67" s="55"/>
      <c r="E67" s="6">
        <f t="shared" ref="E67:AC67" si="30">SUM(E57:E66)</f>
        <v>39</v>
      </c>
      <c r="F67" s="6">
        <f t="shared" si="30"/>
        <v>27</v>
      </c>
      <c r="G67" s="6">
        <f t="shared" si="30"/>
        <v>24</v>
      </c>
      <c r="H67" s="6">
        <f t="shared" si="30"/>
        <v>21</v>
      </c>
      <c r="I67" s="6">
        <f t="shared" si="30"/>
        <v>26</v>
      </c>
      <c r="J67" s="6">
        <f t="shared" si="30"/>
        <v>38</v>
      </c>
      <c r="K67" s="6">
        <f t="shared" si="30"/>
        <v>40</v>
      </c>
      <c r="L67" s="6">
        <f t="shared" si="30"/>
        <v>36</v>
      </c>
      <c r="M67" s="6">
        <f t="shared" si="30"/>
        <v>22</v>
      </c>
      <c r="N67" s="6">
        <f t="shared" si="30"/>
        <v>42</v>
      </c>
      <c r="O67" s="6">
        <f t="shared" si="30"/>
        <v>36</v>
      </c>
      <c r="P67" s="6">
        <f t="shared" si="30"/>
        <v>23</v>
      </c>
      <c r="Q67" s="6">
        <f t="shared" si="30"/>
        <v>15</v>
      </c>
      <c r="R67" s="6">
        <f t="shared" si="30"/>
        <v>30</v>
      </c>
      <c r="S67" s="6">
        <f t="shared" si="30"/>
        <v>21</v>
      </c>
      <c r="T67" s="6">
        <f t="shared" si="30"/>
        <v>29</v>
      </c>
      <c r="U67" s="6">
        <f t="shared" si="30"/>
        <v>22</v>
      </c>
      <c r="V67" s="6">
        <f t="shared" si="30"/>
        <v>27</v>
      </c>
      <c r="W67" s="6">
        <f t="shared" si="30"/>
        <v>28</v>
      </c>
      <c r="X67" s="6">
        <f t="shared" si="30"/>
        <v>24</v>
      </c>
      <c r="Y67" s="6">
        <f t="shared" si="30"/>
        <v>26</v>
      </c>
      <c r="Z67" s="6">
        <f t="shared" si="30"/>
        <v>29</v>
      </c>
      <c r="AA67" s="6">
        <f t="shared" si="30"/>
        <v>26</v>
      </c>
      <c r="AB67" s="6">
        <f t="shared" si="30"/>
        <v>24</v>
      </c>
      <c r="AC67" s="6">
        <f t="shared" si="30"/>
        <v>675</v>
      </c>
    </row>
    <row r="68" spans="1:29" x14ac:dyDescent="0.4">
      <c r="A68" s="81"/>
      <c r="B68" s="80"/>
      <c r="C68" s="80"/>
      <c r="D68" s="80"/>
      <c r="E68" s="80"/>
    </row>
    <row r="69" spans="1:29" x14ac:dyDescent="0.4">
      <c r="A69" s="11" t="s">
        <v>48</v>
      </c>
      <c r="B69" s="17" t="s">
        <v>32</v>
      </c>
      <c r="C69" s="83" t="s">
        <v>53</v>
      </c>
      <c r="D69" s="55"/>
      <c r="E69" s="6">
        <v>7</v>
      </c>
      <c r="F69" s="6">
        <v>8</v>
      </c>
      <c r="G69" s="6">
        <v>9</v>
      </c>
      <c r="H69" s="6">
        <v>5</v>
      </c>
      <c r="I69" s="6">
        <v>2</v>
      </c>
      <c r="J69" s="6">
        <v>10</v>
      </c>
      <c r="K69" s="6">
        <v>4</v>
      </c>
      <c r="L69" s="6">
        <v>12</v>
      </c>
      <c r="M69" s="6">
        <v>15</v>
      </c>
      <c r="N69" s="6">
        <v>20</v>
      </c>
      <c r="O69" s="6">
        <v>11</v>
      </c>
      <c r="P69" s="6">
        <v>17</v>
      </c>
      <c r="Q69" s="6">
        <v>9</v>
      </c>
      <c r="R69" s="6">
        <v>22</v>
      </c>
      <c r="S69" s="6">
        <v>19</v>
      </c>
      <c r="T69" s="6">
        <v>4</v>
      </c>
      <c r="U69" s="6">
        <v>8</v>
      </c>
      <c r="V69" s="6">
        <v>9</v>
      </c>
      <c r="W69" s="6">
        <v>9</v>
      </c>
      <c r="X69" s="6">
        <v>10</v>
      </c>
      <c r="Y69" s="6">
        <v>14</v>
      </c>
      <c r="Z69" s="6">
        <v>5</v>
      </c>
      <c r="AA69" s="6">
        <v>10</v>
      </c>
      <c r="AB69" s="6">
        <v>12</v>
      </c>
      <c r="AC69" s="5">
        <f t="shared" ref="AC69:AC78" si="31">SUM(E69:AB69)</f>
        <v>251</v>
      </c>
    </row>
    <row r="70" spans="1:29" x14ac:dyDescent="0.4">
      <c r="A70" s="11" t="s">
        <v>50</v>
      </c>
      <c r="B70" s="47"/>
      <c r="C70" s="24" t="s">
        <v>128</v>
      </c>
      <c r="D70" s="45"/>
      <c r="E70" s="6">
        <v>3</v>
      </c>
      <c r="F70" s="6">
        <v>6</v>
      </c>
      <c r="G70" s="6">
        <v>3</v>
      </c>
      <c r="H70" s="6">
        <v>4</v>
      </c>
      <c r="I70" s="6">
        <v>1</v>
      </c>
      <c r="J70" s="6">
        <v>2</v>
      </c>
      <c r="K70" s="6">
        <v>3</v>
      </c>
      <c r="L70" s="6">
        <v>3</v>
      </c>
      <c r="M70" s="6">
        <v>6</v>
      </c>
      <c r="N70" s="6">
        <v>2</v>
      </c>
      <c r="O70" s="6">
        <v>4</v>
      </c>
      <c r="P70" s="6">
        <v>7</v>
      </c>
      <c r="Q70" s="6">
        <v>7</v>
      </c>
      <c r="R70" s="6">
        <v>4</v>
      </c>
      <c r="S70" s="6">
        <v>20</v>
      </c>
      <c r="T70" s="6">
        <v>5</v>
      </c>
      <c r="U70" s="6">
        <v>5</v>
      </c>
      <c r="V70" s="6">
        <v>10</v>
      </c>
      <c r="W70" s="6">
        <v>4</v>
      </c>
      <c r="X70" s="6">
        <v>10</v>
      </c>
      <c r="Y70" s="6">
        <v>8</v>
      </c>
      <c r="Z70" s="6">
        <v>2</v>
      </c>
      <c r="AA70" s="6">
        <v>3</v>
      </c>
      <c r="AB70" s="6">
        <v>6</v>
      </c>
      <c r="AC70" s="5">
        <f t="shared" si="31"/>
        <v>128</v>
      </c>
    </row>
    <row r="71" spans="1:29" x14ac:dyDescent="0.4">
      <c r="A71" s="7"/>
      <c r="B71" s="47"/>
      <c r="C71" s="24" t="s">
        <v>129</v>
      </c>
      <c r="D71" s="45"/>
      <c r="E71" s="6">
        <v>5</v>
      </c>
      <c r="F71" s="6">
        <v>2</v>
      </c>
      <c r="G71" s="6">
        <v>6</v>
      </c>
      <c r="H71" s="6">
        <v>2</v>
      </c>
      <c r="I71" s="6">
        <v>10</v>
      </c>
      <c r="J71" s="6">
        <v>4</v>
      </c>
      <c r="K71" s="6">
        <v>8</v>
      </c>
      <c r="L71" s="6">
        <v>4</v>
      </c>
      <c r="M71" s="6">
        <v>4</v>
      </c>
      <c r="N71" s="6">
        <v>0</v>
      </c>
      <c r="O71" s="6">
        <v>6</v>
      </c>
      <c r="P71" s="6">
        <v>5</v>
      </c>
      <c r="Q71" s="6">
        <v>6</v>
      </c>
      <c r="R71" s="6">
        <v>9</v>
      </c>
      <c r="S71" s="6">
        <v>7</v>
      </c>
      <c r="T71" s="6">
        <v>5</v>
      </c>
      <c r="U71" s="6">
        <v>5</v>
      </c>
      <c r="V71" s="6">
        <v>7</v>
      </c>
      <c r="W71" s="6">
        <v>1</v>
      </c>
      <c r="X71" s="6">
        <v>10</v>
      </c>
      <c r="Y71" s="6">
        <v>9</v>
      </c>
      <c r="Z71" s="6">
        <v>2</v>
      </c>
      <c r="AA71" s="6">
        <v>8</v>
      </c>
      <c r="AB71" s="6">
        <v>7</v>
      </c>
      <c r="AC71" s="5">
        <f t="shared" si="31"/>
        <v>132</v>
      </c>
    </row>
    <row r="72" spans="1:29" x14ac:dyDescent="0.4">
      <c r="A72" s="7"/>
      <c r="B72" s="47"/>
      <c r="C72" s="24" t="s">
        <v>130</v>
      </c>
      <c r="D72" s="45"/>
      <c r="E72" s="6">
        <v>1</v>
      </c>
      <c r="F72" s="6">
        <v>3</v>
      </c>
      <c r="G72" s="6">
        <v>0</v>
      </c>
      <c r="H72" s="6">
        <v>2</v>
      </c>
      <c r="I72" s="6">
        <v>3</v>
      </c>
      <c r="J72" s="6">
        <v>5</v>
      </c>
      <c r="K72" s="6">
        <v>3</v>
      </c>
      <c r="L72" s="6">
        <v>1</v>
      </c>
      <c r="M72" s="6">
        <v>4</v>
      </c>
      <c r="N72" s="6">
        <v>2</v>
      </c>
      <c r="O72" s="6">
        <v>2</v>
      </c>
      <c r="P72" s="6">
        <v>1</v>
      </c>
      <c r="Q72" s="6">
        <v>2</v>
      </c>
      <c r="R72" s="6">
        <v>2</v>
      </c>
      <c r="S72" s="6">
        <v>2</v>
      </c>
      <c r="T72" s="6">
        <v>2</v>
      </c>
      <c r="U72" s="6">
        <v>2</v>
      </c>
      <c r="V72" s="6">
        <v>2</v>
      </c>
      <c r="W72" s="6">
        <v>2</v>
      </c>
      <c r="X72" s="6">
        <v>3</v>
      </c>
      <c r="Y72" s="6">
        <v>0</v>
      </c>
      <c r="Z72" s="6">
        <v>0</v>
      </c>
      <c r="AA72" s="6">
        <v>2</v>
      </c>
      <c r="AB72" s="6">
        <v>4</v>
      </c>
      <c r="AC72" s="5">
        <f t="shared" si="31"/>
        <v>50</v>
      </c>
    </row>
    <row r="73" spans="1:29" x14ac:dyDescent="0.4">
      <c r="A73" s="7"/>
      <c r="B73" s="47"/>
      <c r="C73" s="24" t="s">
        <v>131</v>
      </c>
      <c r="D73" s="45"/>
      <c r="E73" s="6">
        <v>10</v>
      </c>
      <c r="F73" s="6">
        <v>23</v>
      </c>
      <c r="G73" s="6">
        <v>12</v>
      </c>
      <c r="H73" s="6">
        <v>2</v>
      </c>
      <c r="I73" s="6">
        <v>3</v>
      </c>
      <c r="J73" s="6">
        <v>30</v>
      </c>
      <c r="K73" s="6">
        <v>17</v>
      </c>
      <c r="L73" s="6">
        <v>14</v>
      </c>
      <c r="M73" s="6">
        <v>42</v>
      </c>
      <c r="N73" s="6">
        <v>27</v>
      </c>
      <c r="O73" s="6">
        <v>22</v>
      </c>
      <c r="P73" s="6">
        <v>22</v>
      </c>
      <c r="Q73" s="6">
        <v>8</v>
      </c>
      <c r="R73" s="6">
        <v>14</v>
      </c>
      <c r="S73" s="6">
        <v>27</v>
      </c>
      <c r="T73" s="6">
        <v>14</v>
      </c>
      <c r="U73" s="6">
        <v>6</v>
      </c>
      <c r="V73" s="6">
        <v>38</v>
      </c>
      <c r="W73" s="6">
        <v>10</v>
      </c>
      <c r="X73" s="6">
        <v>18</v>
      </c>
      <c r="Y73" s="6">
        <v>27</v>
      </c>
      <c r="Z73" s="6">
        <v>19</v>
      </c>
      <c r="AA73" s="6">
        <v>14</v>
      </c>
      <c r="AB73" s="6">
        <v>25</v>
      </c>
      <c r="AC73" s="5">
        <f t="shared" si="31"/>
        <v>444</v>
      </c>
    </row>
    <row r="74" spans="1:29" ht="13.15" customHeight="1" x14ac:dyDescent="0.4">
      <c r="A74" s="7"/>
      <c r="B74" s="47"/>
      <c r="C74" s="24" t="s">
        <v>132</v>
      </c>
      <c r="D74" s="45"/>
      <c r="E74" s="6">
        <v>0</v>
      </c>
      <c r="F74" s="6">
        <v>0</v>
      </c>
      <c r="G74" s="6">
        <v>1</v>
      </c>
      <c r="H74" s="6">
        <v>0</v>
      </c>
      <c r="I74" s="6">
        <v>1</v>
      </c>
      <c r="J74" s="6">
        <v>4</v>
      </c>
      <c r="K74" s="6">
        <v>1</v>
      </c>
      <c r="L74" s="6">
        <v>1</v>
      </c>
      <c r="M74" s="6">
        <v>2</v>
      </c>
      <c r="N74" s="6">
        <v>0</v>
      </c>
      <c r="O74" s="6">
        <v>1</v>
      </c>
      <c r="P74" s="6">
        <v>2</v>
      </c>
      <c r="Q74" s="6">
        <v>1</v>
      </c>
      <c r="R74" s="6">
        <v>1</v>
      </c>
      <c r="S74" s="6">
        <v>3</v>
      </c>
      <c r="T74" s="6">
        <v>1</v>
      </c>
      <c r="U74" s="6">
        <v>1</v>
      </c>
      <c r="V74" s="6">
        <v>3</v>
      </c>
      <c r="W74" s="6">
        <v>1</v>
      </c>
      <c r="X74" s="6">
        <v>0</v>
      </c>
      <c r="Y74" s="6">
        <v>0</v>
      </c>
      <c r="Z74" s="6">
        <v>1</v>
      </c>
      <c r="AA74" s="6">
        <v>0</v>
      </c>
      <c r="AB74" s="6">
        <v>1</v>
      </c>
      <c r="AC74" s="5">
        <f t="shared" si="31"/>
        <v>26</v>
      </c>
    </row>
    <row r="75" spans="1:29" x14ac:dyDescent="0.4">
      <c r="A75" s="7"/>
      <c r="B75" s="47"/>
      <c r="C75" s="24" t="s">
        <v>133</v>
      </c>
      <c r="D75" s="45"/>
      <c r="E75" s="6">
        <v>1</v>
      </c>
      <c r="F75" s="6">
        <v>0</v>
      </c>
      <c r="G75" s="6">
        <v>0</v>
      </c>
      <c r="H75" s="6">
        <v>0</v>
      </c>
      <c r="I75" s="6">
        <v>2</v>
      </c>
      <c r="J75" s="6">
        <v>0</v>
      </c>
      <c r="K75" s="6">
        <v>1</v>
      </c>
      <c r="L75" s="6">
        <v>1</v>
      </c>
      <c r="M75" s="6">
        <v>2</v>
      </c>
      <c r="N75" s="6">
        <v>1</v>
      </c>
      <c r="O75" s="6">
        <v>1</v>
      </c>
      <c r="P75" s="6">
        <v>0</v>
      </c>
      <c r="Q75" s="6">
        <v>2</v>
      </c>
      <c r="R75" s="6">
        <v>2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1</v>
      </c>
      <c r="AB75" s="6">
        <v>0</v>
      </c>
      <c r="AC75" s="5">
        <f t="shared" si="31"/>
        <v>16</v>
      </c>
    </row>
    <row r="76" spans="1:29" x14ac:dyDescent="0.4">
      <c r="A76" s="7"/>
      <c r="B76" s="47"/>
      <c r="C76" s="24" t="s">
        <v>134</v>
      </c>
      <c r="D76" s="45"/>
      <c r="E76" s="6">
        <v>2</v>
      </c>
      <c r="F76" s="6">
        <v>0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2</v>
      </c>
      <c r="T76" s="6">
        <v>0</v>
      </c>
      <c r="U76" s="6">
        <v>7</v>
      </c>
      <c r="V76" s="6">
        <v>1</v>
      </c>
      <c r="W76" s="6">
        <v>3</v>
      </c>
      <c r="X76" s="6">
        <v>0</v>
      </c>
      <c r="Y76" s="6">
        <v>0</v>
      </c>
      <c r="Z76" s="6">
        <v>0</v>
      </c>
      <c r="AA76" s="6">
        <v>0</v>
      </c>
      <c r="AB76" s="6">
        <v>1</v>
      </c>
      <c r="AC76" s="5">
        <f t="shared" si="31"/>
        <v>18</v>
      </c>
    </row>
    <row r="77" spans="1:29" x14ac:dyDescent="0.4">
      <c r="A77" s="7"/>
      <c r="B77" s="47"/>
      <c r="C77" s="24" t="s">
        <v>135</v>
      </c>
      <c r="D77" s="45"/>
      <c r="E77" s="6">
        <v>1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1</v>
      </c>
      <c r="R77" s="6">
        <v>2</v>
      </c>
      <c r="S77" s="6">
        <v>0</v>
      </c>
      <c r="T77" s="6">
        <v>0</v>
      </c>
      <c r="U77" s="6">
        <v>0</v>
      </c>
      <c r="V77" s="6">
        <v>1</v>
      </c>
      <c r="W77" s="6">
        <v>0</v>
      </c>
      <c r="X77" s="6">
        <v>1</v>
      </c>
      <c r="Y77" s="6">
        <v>2</v>
      </c>
      <c r="Z77" s="6">
        <v>0</v>
      </c>
      <c r="AA77" s="6">
        <v>0</v>
      </c>
      <c r="AB77" s="6">
        <v>0</v>
      </c>
      <c r="AC77" s="5">
        <f t="shared" si="31"/>
        <v>11</v>
      </c>
    </row>
    <row r="78" spans="1:29" x14ac:dyDescent="0.4">
      <c r="A78" s="7"/>
      <c r="B78" s="47"/>
      <c r="C78" s="24" t="s">
        <v>136</v>
      </c>
      <c r="D78" s="45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0</v>
      </c>
      <c r="O78" s="6">
        <v>0</v>
      </c>
      <c r="P78" s="6">
        <v>2</v>
      </c>
      <c r="Q78" s="6">
        <v>2</v>
      </c>
      <c r="R78" s="6">
        <v>0</v>
      </c>
      <c r="S78" s="6">
        <v>3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5">
        <f t="shared" si="31"/>
        <v>9</v>
      </c>
    </row>
    <row r="79" spans="1:29" x14ac:dyDescent="0.4">
      <c r="A79" s="6" t="s">
        <v>26</v>
      </c>
      <c r="B79" s="74" t="s">
        <v>51</v>
      </c>
      <c r="C79" s="54"/>
      <c r="D79" s="55"/>
      <c r="E79" s="6">
        <f t="shared" ref="E79:AC79" si="32">SUM(E69:E78)</f>
        <v>31</v>
      </c>
      <c r="F79" s="6">
        <f t="shared" si="32"/>
        <v>42</v>
      </c>
      <c r="G79" s="6">
        <f t="shared" si="32"/>
        <v>31</v>
      </c>
      <c r="H79" s="6">
        <f t="shared" si="32"/>
        <v>16</v>
      </c>
      <c r="I79" s="6">
        <f t="shared" si="32"/>
        <v>23</v>
      </c>
      <c r="J79" s="6">
        <f t="shared" si="32"/>
        <v>55</v>
      </c>
      <c r="K79" s="6">
        <f t="shared" si="32"/>
        <v>38</v>
      </c>
      <c r="L79" s="6">
        <f t="shared" si="32"/>
        <v>37</v>
      </c>
      <c r="M79" s="6">
        <f t="shared" si="32"/>
        <v>75</v>
      </c>
      <c r="N79" s="6">
        <f t="shared" si="32"/>
        <v>52</v>
      </c>
      <c r="O79" s="6">
        <f t="shared" si="32"/>
        <v>48</v>
      </c>
      <c r="P79" s="6">
        <f t="shared" si="32"/>
        <v>57</v>
      </c>
      <c r="Q79" s="6">
        <f t="shared" si="32"/>
        <v>38</v>
      </c>
      <c r="R79" s="6">
        <f t="shared" si="32"/>
        <v>56</v>
      </c>
      <c r="S79" s="6">
        <f t="shared" si="32"/>
        <v>84</v>
      </c>
      <c r="T79" s="6">
        <f t="shared" si="32"/>
        <v>31</v>
      </c>
      <c r="U79" s="6">
        <f t="shared" si="32"/>
        <v>34</v>
      </c>
      <c r="V79" s="6">
        <f t="shared" si="32"/>
        <v>71</v>
      </c>
      <c r="W79" s="6">
        <f t="shared" si="32"/>
        <v>30</v>
      </c>
      <c r="X79" s="6">
        <f t="shared" si="32"/>
        <v>53</v>
      </c>
      <c r="Y79" s="6">
        <f t="shared" si="32"/>
        <v>60</v>
      </c>
      <c r="Z79" s="6">
        <f t="shared" si="32"/>
        <v>29</v>
      </c>
      <c r="AA79" s="6">
        <f t="shared" si="32"/>
        <v>38</v>
      </c>
      <c r="AB79" s="6">
        <f t="shared" si="32"/>
        <v>56</v>
      </c>
      <c r="AC79" s="6">
        <f t="shared" si="32"/>
        <v>1085</v>
      </c>
    </row>
    <row r="80" spans="1:29" x14ac:dyDescent="0.4">
      <c r="A80" s="81"/>
      <c r="B80" s="80"/>
      <c r="C80" s="80"/>
      <c r="D80" s="80"/>
      <c r="E80" s="80"/>
    </row>
    <row r="81" spans="1:29" x14ac:dyDescent="0.4">
      <c r="A81" s="11" t="s">
        <v>48</v>
      </c>
      <c r="B81" s="17" t="s">
        <v>34</v>
      </c>
      <c r="C81" s="83" t="s">
        <v>54</v>
      </c>
      <c r="D81" s="55"/>
      <c r="E81" s="6">
        <v>2</v>
      </c>
      <c r="F81" s="6">
        <v>3</v>
      </c>
      <c r="G81" s="6">
        <v>3</v>
      </c>
      <c r="H81" s="6">
        <v>6</v>
      </c>
      <c r="I81" s="6">
        <v>6</v>
      </c>
      <c r="J81" s="6">
        <v>3</v>
      </c>
      <c r="K81" s="6">
        <v>3</v>
      </c>
      <c r="L81" s="6">
        <v>4</v>
      </c>
      <c r="M81" s="6">
        <v>1</v>
      </c>
      <c r="N81" s="6">
        <v>6</v>
      </c>
      <c r="O81" s="6">
        <v>4</v>
      </c>
      <c r="P81" s="6">
        <v>2</v>
      </c>
      <c r="Q81" s="6">
        <v>1</v>
      </c>
      <c r="R81" s="6">
        <v>3</v>
      </c>
      <c r="S81" s="6">
        <v>2</v>
      </c>
      <c r="T81" s="6">
        <v>11</v>
      </c>
      <c r="U81" s="6">
        <v>3</v>
      </c>
      <c r="V81" s="6">
        <v>10</v>
      </c>
      <c r="W81" s="6">
        <v>17</v>
      </c>
      <c r="X81" s="6">
        <v>5</v>
      </c>
      <c r="Y81" s="6">
        <v>9</v>
      </c>
      <c r="Z81" s="6">
        <v>10</v>
      </c>
      <c r="AA81" s="6">
        <v>2</v>
      </c>
      <c r="AB81" s="6">
        <v>6</v>
      </c>
      <c r="AC81" s="5">
        <f t="shared" ref="AC81:AC90" si="33">SUM(E81:AB81)</f>
        <v>122</v>
      </c>
    </row>
    <row r="82" spans="1:29" x14ac:dyDescent="0.4">
      <c r="A82" s="11" t="s">
        <v>50</v>
      </c>
      <c r="B82" s="47"/>
      <c r="C82" s="24" t="s">
        <v>137</v>
      </c>
      <c r="D82" s="45"/>
      <c r="E82" s="6">
        <v>2</v>
      </c>
      <c r="F82" s="6">
        <v>6</v>
      </c>
      <c r="G82" s="6">
        <v>4</v>
      </c>
      <c r="H82" s="6">
        <v>5</v>
      </c>
      <c r="I82" s="6">
        <v>3</v>
      </c>
      <c r="J82" s="6">
        <v>1</v>
      </c>
      <c r="K82" s="6">
        <v>3</v>
      </c>
      <c r="L82" s="6">
        <v>2</v>
      </c>
      <c r="M82" s="6">
        <v>4</v>
      </c>
      <c r="N82" s="6">
        <v>4</v>
      </c>
      <c r="O82" s="6">
        <v>2</v>
      </c>
      <c r="P82" s="6">
        <v>4</v>
      </c>
      <c r="Q82" s="6">
        <v>1</v>
      </c>
      <c r="R82" s="6">
        <v>2</v>
      </c>
      <c r="S82" s="6">
        <v>2</v>
      </c>
      <c r="T82" s="6">
        <v>9</v>
      </c>
      <c r="U82" s="6">
        <v>7</v>
      </c>
      <c r="V82" s="6">
        <v>11</v>
      </c>
      <c r="W82" s="6">
        <v>29</v>
      </c>
      <c r="X82" s="6">
        <v>5</v>
      </c>
      <c r="Y82" s="6">
        <v>4</v>
      </c>
      <c r="Z82" s="6">
        <v>3</v>
      </c>
      <c r="AA82" s="6">
        <v>2</v>
      </c>
      <c r="AB82" s="6">
        <v>13</v>
      </c>
      <c r="AC82" s="5">
        <f t="shared" si="33"/>
        <v>128</v>
      </c>
    </row>
    <row r="83" spans="1:29" x14ac:dyDescent="0.4">
      <c r="A83" s="7"/>
      <c r="B83" s="47"/>
      <c r="C83" s="24" t="s">
        <v>138</v>
      </c>
      <c r="D83" s="45"/>
      <c r="E83" s="6">
        <v>0</v>
      </c>
      <c r="F83" s="6">
        <v>0</v>
      </c>
      <c r="G83" s="6">
        <v>1</v>
      </c>
      <c r="H83" s="6">
        <v>4</v>
      </c>
      <c r="I83" s="6">
        <v>6</v>
      </c>
      <c r="J83" s="6">
        <v>0</v>
      </c>
      <c r="K83" s="6">
        <v>1</v>
      </c>
      <c r="L83" s="6">
        <v>0</v>
      </c>
      <c r="M83" s="6">
        <v>1</v>
      </c>
      <c r="N83" s="6">
        <v>3</v>
      </c>
      <c r="O83" s="6">
        <v>1</v>
      </c>
      <c r="P83" s="6">
        <v>0</v>
      </c>
      <c r="Q83" s="6">
        <v>0</v>
      </c>
      <c r="R83" s="6">
        <v>2</v>
      </c>
      <c r="S83" s="6">
        <v>2</v>
      </c>
      <c r="T83" s="6">
        <v>20</v>
      </c>
      <c r="U83" s="6">
        <v>3</v>
      </c>
      <c r="V83" s="6">
        <v>1</v>
      </c>
      <c r="W83" s="6">
        <v>3</v>
      </c>
      <c r="X83" s="6">
        <v>0</v>
      </c>
      <c r="Y83" s="6">
        <v>1</v>
      </c>
      <c r="Z83" s="6">
        <v>1</v>
      </c>
      <c r="AA83" s="6">
        <v>1</v>
      </c>
      <c r="AB83" s="6">
        <v>2</v>
      </c>
      <c r="AC83" s="5">
        <f t="shared" si="33"/>
        <v>53</v>
      </c>
    </row>
    <row r="84" spans="1:29" x14ac:dyDescent="0.4">
      <c r="A84" s="7"/>
      <c r="B84" s="47"/>
      <c r="C84" s="24" t="s">
        <v>139</v>
      </c>
      <c r="D84" s="45"/>
      <c r="E84" s="6">
        <v>0</v>
      </c>
      <c r="F84" s="6">
        <v>0</v>
      </c>
      <c r="G84" s="6">
        <v>0</v>
      </c>
      <c r="H84" s="6">
        <v>3</v>
      </c>
      <c r="I84" s="6">
        <v>3</v>
      </c>
      <c r="J84" s="6">
        <v>1</v>
      </c>
      <c r="K84" s="6">
        <v>1</v>
      </c>
      <c r="L84" s="6">
        <v>0</v>
      </c>
      <c r="M84" s="6">
        <v>1</v>
      </c>
      <c r="N84" s="6">
        <v>1</v>
      </c>
      <c r="O84" s="6">
        <v>1</v>
      </c>
      <c r="P84" s="6">
        <v>2</v>
      </c>
      <c r="Q84" s="6">
        <v>2</v>
      </c>
      <c r="R84" s="6">
        <v>0</v>
      </c>
      <c r="S84" s="6">
        <v>2</v>
      </c>
      <c r="T84" s="6">
        <v>4</v>
      </c>
      <c r="U84" s="6">
        <v>2</v>
      </c>
      <c r="V84" s="6">
        <v>1</v>
      </c>
      <c r="W84" s="6">
        <v>3</v>
      </c>
      <c r="X84" s="6">
        <v>0</v>
      </c>
      <c r="Y84" s="6">
        <v>0</v>
      </c>
      <c r="Z84" s="6">
        <v>2</v>
      </c>
      <c r="AA84" s="6">
        <v>1</v>
      </c>
      <c r="AB84" s="6">
        <v>2</v>
      </c>
      <c r="AC84" s="5">
        <f t="shared" si="33"/>
        <v>32</v>
      </c>
    </row>
    <row r="85" spans="1:29" ht="13.15" customHeight="1" x14ac:dyDescent="0.4">
      <c r="A85" s="7"/>
      <c r="B85" s="47"/>
      <c r="C85" s="24" t="s">
        <v>140</v>
      </c>
      <c r="D85" s="45"/>
      <c r="E85" s="6">
        <v>0</v>
      </c>
      <c r="F85" s="6">
        <v>1</v>
      </c>
      <c r="G85" s="6">
        <v>1</v>
      </c>
      <c r="H85" s="6">
        <v>0</v>
      </c>
      <c r="I85" s="6">
        <v>3</v>
      </c>
      <c r="J85" s="6">
        <v>0</v>
      </c>
      <c r="K85" s="6">
        <v>1</v>
      </c>
      <c r="L85" s="6">
        <v>1</v>
      </c>
      <c r="M85" s="6">
        <v>1</v>
      </c>
      <c r="N85" s="6">
        <v>3</v>
      </c>
      <c r="O85" s="6">
        <v>0</v>
      </c>
      <c r="P85" s="6">
        <v>1</v>
      </c>
      <c r="Q85" s="6">
        <v>1</v>
      </c>
      <c r="R85" s="6">
        <v>0</v>
      </c>
      <c r="S85" s="6">
        <v>1</v>
      </c>
      <c r="T85" s="6">
        <v>10</v>
      </c>
      <c r="U85" s="6">
        <v>2</v>
      </c>
      <c r="V85" s="6">
        <v>2</v>
      </c>
      <c r="W85" s="6">
        <v>0</v>
      </c>
      <c r="X85" s="6">
        <v>0</v>
      </c>
      <c r="Y85" s="6">
        <v>0</v>
      </c>
      <c r="Z85" s="6">
        <v>1</v>
      </c>
      <c r="AA85" s="6">
        <v>2</v>
      </c>
      <c r="AB85" s="6">
        <v>0</v>
      </c>
      <c r="AC85" s="5">
        <f t="shared" si="33"/>
        <v>31</v>
      </c>
    </row>
    <row r="86" spans="1:29" x14ac:dyDescent="0.4">
      <c r="A86" s="7"/>
      <c r="B86" s="47"/>
      <c r="C86" s="24" t="s">
        <v>141</v>
      </c>
      <c r="D86" s="45"/>
      <c r="E86" s="6">
        <v>0</v>
      </c>
      <c r="F86" s="6">
        <v>0</v>
      </c>
      <c r="G86" s="6">
        <v>0</v>
      </c>
      <c r="H86" s="6">
        <v>0</v>
      </c>
      <c r="I86" s="6">
        <v>2</v>
      </c>
      <c r="J86" s="6">
        <v>2</v>
      </c>
      <c r="K86" s="6">
        <v>0</v>
      </c>
      <c r="L86" s="6">
        <v>0</v>
      </c>
      <c r="M86" s="6">
        <v>0</v>
      </c>
      <c r="N86" s="6">
        <v>1</v>
      </c>
      <c r="O86" s="6">
        <v>1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3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5">
        <f t="shared" si="33"/>
        <v>11</v>
      </c>
    </row>
    <row r="87" spans="1:29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1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5">
        <f t="shared" si="33"/>
        <v>5</v>
      </c>
    </row>
    <row r="88" spans="1:29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2</v>
      </c>
      <c r="V88" s="6">
        <v>0</v>
      </c>
      <c r="W88" s="6">
        <v>0</v>
      </c>
      <c r="X88" s="6">
        <v>2</v>
      </c>
      <c r="Y88" s="6">
        <v>0</v>
      </c>
      <c r="Z88" s="6">
        <v>0</v>
      </c>
      <c r="AA88" s="6">
        <v>0</v>
      </c>
      <c r="AB88" s="6">
        <v>0</v>
      </c>
      <c r="AC88" s="5">
        <f t="shared" si="33"/>
        <v>5</v>
      </c>
    </row>
    <row r="89" spans="1:29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33"/>
        <v>1</v>
      </c>
    </row>
    <row r="90" spans="1:29" x14ac:dyDescent="0.4">
      <c r="A90" s="7"/>
      <c r="B90" s="47"/>
      <c r="C90" s="24" t="s">
        <v>145</v>
      </c>
      <c r="D90" s="45"/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1</v>
      </c>
      <c r="AC90" s="5">
        <f t="shared" si="33"/>
        <v>4</v>
      </c>
    </row>
    <row r="91" spans="1:29" x14ac:dyDescent="0.4">
      <c r="A91" s="6" t="s">
        <v>26</v>
      </c>
      <c r="B91" s="74" t="s">
        <v>51</v>
      </c>
      <c r="C91" s="54"/>
      <c r="D91" s="55"/>
      <c r="E91" s="6">
        <f t="shared" ref="E91:AC91" si="34">SUM(E81:E90)</f>
        <v>4</v>
      </c>
      <c r="F91" s="6">
        <f t="shared" si="34"/>
        <v>10</v>
      </c>
      <c r="G91" s="6">
        <f t="shared" si="34"/>
        <v>10</v>
      </c>
      <c r="H91" s="6">
        <f t="shared" si="34"/>
        <v>20</v>
      </c>
      <c r="I91" s="6">
        <f t="shared" si="34"/>
        <v>23</v>
      </c>
      <c r="J91" s="6">
        <f t="shared" si="34"/>
        <v>7</v>
      </c>
      <c r="K91" s="6">
        <f t="shared" si="34"/>
        <v>10</v>
      </c>
      <c r="L91" s="6">
        <f t="shared" si="34"/>
        <v>7</v>
      </c>
      <c r="M91" s="6">
        <f t="shared" si="34"/>
        <v>8</v>
      </c>
      <c r="N91" s="6">
        <f t="shared" si="34"/>
        <v>19</v>
      </c>
      <c r="O91" s="6">
        <f t="shared" si="34"/>
        <v>10</v>
      </c>
      <c r="P91" s="6">
        <f t="shared" si="34"/>
        <v>9</v>
      </c>
      <c r="Q91" s="6">
        <f t="shared" si="34"/>
        <v>6</v>
      </c>
      <c r="R91" s="6">
        <f t="shared" si="34"/>
        <v>8</v>
      </c>
      <c r="S91" s="6">
        <f t="shared" si="34"/>
        <v>10</v>
      </c>
      <c r="T91" s="6">
        <f t="shared" si="34"/>
        <v>54</v>
      </c>
      <c r="U91" s="6">
        <f t="shared" si="34"/>
        <v>20</v>
      </c>
      <c r="V91" s="6">
        <f t="shared" si="34"/>
        <v>26</v>
      </c>
      <c r="W91" s="6">
        <f t="shared" si="34"/>
        <v>55</v>
      </c>
      <c r="X91" s="6">
        <f t="shared" si="34"/>
        <v>12</v>
      </c>
      <c r="Y91" s="6">
        <f t="shared" si="34"/>
        <v>14</v>
      </c>
      <c r="Z91" s="6">
        <f t="shared" si="34"/>
        <v>17</v>
      </c>
      <c r="AA91" s="6">
        <f t="shared" si="34"/>
        <v>8</v>
      </c>
      <c r="AB91" s="6">
        <f t="shared" si="34"/>
        <v>25</v>
      </c>
      <c r="AC91" s="6">
        <f t="shared" si="34"/>
        <v>392</v>
      </c>
    </row>
    <row r="92" spans="1:29" x14ac:dyDescent="0.4">
      <c r="A92" s="81"/>
      <c r="B92" s="80"/>
      <c r="C92" s="80"/>
      <c r="D92" s="80"/>
      <c r="E92" s="80"/>
    </row>
    <row r="93" spans="1:29" x14ac:dyDescent="0.4">
      <c r="A93" s="11" t="s">
        <v>48</v>
      </c>
      <c r="B93" s="17" t="s">
        <v>55</v>
      </c>
      <c r="C93" s="83" t="s">
        <v>56</v>
      </c>
      <c r="D93" s="55"/>
      <c r="E93" s="6">
        <v>2</v>
      </c>
      <c r="F93" s="6">
        <v>1</v>
      </c>
      <c r="G93" s="6">
        <v>0</v>
      </c>
      <c r="H93" s="6">
        <v>0</v>
      </c>
      <c r="I93" s="6">
        <v>0</v>
      </c>
      <c r="J93" s="6">
        <v>3</v>
      </c>
      <c r="K93" s="6">
        <v>0</v>
      </c>
      <c r="L93" s="6">
        <v>3</v>
      </c>
      <c r="M93" s="6">
        <v>1</v>
      </c>
      <c r="N93" s="6">
        <v>0</v>
      </c>
      <c r="O93" s="6">
        <v>6</v>
      </c>
      <c r="P93" s="6">
        <v>2</v>
      </c>
      <c r="Q93" s="6">
        <v>1</v>
      </c>
      <c r="R93" s="6">
        <v>1</v>
      </c>
      <c r="S93" s="6">
        <v>0</v>
      </c>
      <c r="T93" s="6">
        <v>0</v>
      </c>
      <c r="U93" s="6">
        <v>1</v>
      </c>
      <c r="V93" s="6">
        <v>1</v>
      </c>
      <c r="W93" s="6">
        <v>0</v>
      </c>
      <c r="X93" s="6">
        <v>4</v>
      </c>
      <c r="Y93" s="6">
        <v>1</v>
      </c>
      <c r="Z93" s="6">
        <v>2</v>
      </c>
      <c r="AA93" s="6">
        <v>3</v>
      </c>
      <c r="AB93" s="6">
        <v>0</v>
      </c>
      <c r="AC93" s="5">
        <f t="shared" ref="AC93:AC102" si="35">SUM(E93:AB93)</f>
        <v>32</v>
      </c>
    </row>
    <row r="94" spans="1:29" x14ac:dyDescent="0.4">
      <c r="A94" s="11" t="s">
        <v>50</v>
      </c>
      <c r="B94" s="47"/>
      <c r="C94" s="24" t="s">
        <v>146</v>
      </c>
      <c r="D94" s="45"/>
      <c r="E94" s="6">
        <v>2</v>
      </c>
      <c r="F94" s="6">
        <v>1</v>
      </c>
      <c r="G94" s="6">
        <v>0</v>
      </c>
      <c r="H94" s="6">
        <v>0</v>
      </c>
      <c r="I94" s="6">
        <v>0</v>
      </c>
      <c r="J94" s="6">
        <v>2</v>
      </c>
      <c r="K94" s="6">
        <v>1</v>
      </c>
      <c r="L94" s="6">
        <v>1</v>
      </c>
      <c r="M94" s="6">
        <v>1</v>
      </c>
      <c r="N94" s="6">
        <v>1</v>
      </c>
      <c r="O94" s="6">
        <v>2</v>
      </c>
      <c r="P94" s="6">
        <v>2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1</v>
      </c>
      <c r="W94" s="6">
        <v>2</v>
      </c>
      <c r="X94" s="6">
        <v>1</v>
      </c>
      <c r="Y94" s="6">
        <v>0</v>
      </c>
      <c r="Z94" s="6">
        <v>0</v>
      </c>
      <c r="AA94" s="6">
        <v>3</v>
      </c>
      <c r="AB94" s="6">
        <v>0</v>
      </c>
      <c r="AC94" s="5">
        <f t="shared" si="35"/>
        <v>20</v>
      </c>
    </row>
    <row r="95" spans="1:29" x14ac:dyDescent="0.4">
      <c r="A95" s="7"/>
      <c r="B95" s="47"/>
      <c r="C95" s="24" t="s">
        <v>147</v>
      </c>
      <c r="D95" s="45"/>
      <c r="E95" s="6">
        <v>1</v>
      </c>
      <c r="F95" s="6">
        <v>0</v>
      </c>
      <c r="G95" s="6">
        <v>0</v>
      </c>
      <c r="H95" s="6">
        <v>0</v>
      </c>
      <c r="I95" s="6">
        <v>2</v>
      </c>
      <c r="J95" s="6">
        <v>1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5">
        <f t="shared" si="35"/>
        <v>6</v>
      </c>
    </row>
    <row r="96" spans="1:29" ht="13.15" customHeight="1" x14ac:dyDescent="0.4">
      <c r="A96" s="7"/>
      <c r="B96" s="47"/>
      <c r="C96" s="24" t="s">
        <v>148</v>
      </c>
      <c r="D96" s="45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1</v>
      </c>
      <c r="AA96" s="6">
        <v>0</v>
      </c>
      <c r="AB96" s="6">
        <v>0</v>
      </c>
      <c r="AC96" s="5">
        <f t="shared" si="35"/>
        <v>4</v>
      </c>
    </row>
    <row r="97" spans="1:29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2</v>
      </c>
      <c r="M97" s="6">
        <v>0</v>
      </c>
      <c r="N97" s="6">
        <v>1</v>
      </c>
      <c r="O97" s="6">
        <v>0</v>
      </c>
      <c r="P97" s="6">
        <v>0</v>
      </c>
      <c r="Q97" s="6">
        <v>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</v>
      </c>
      <c r="Y97" s="6">
        <v>0</v>
      </c>
      <c r="Z97" s="6">
        <v>1</v>
      </c>
      <c r="AA97" s="6">
        <v>1</v>
      </c>
      <c r="AB97" s="6">
        <v>0</v>
      </c>
      <c r="AC97" s="5">
        <f t="shared" si="35"/>
        <v>8</v>
      </c>
    </row>
    <row r="98" spans="1:29" x14ac:dyDescent="0.4">
      <c r="A98" s="7"/>
      <c r="B98" s="47"/>
      <c r="C98" s="24" t="s">
        <v>150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2</v>
      </c>
      <c r="X98" s="6">
        <v>0</v>
      </c>
      <c r="Y98" s="6">
        <v>0</v>
      </c>
      <c r="Z98" s="6">
        <v>1</v>
      </c>
      <c r="AA98" s="6">
        <v>0</v>
      </c>
      <c r="AB98" s="6">
        <v>0</v>
      </c>
      <c r="AC98" s="5">
        <f t="shared" si="35"/>
        <v>5</v>
      </c>
    </row>
    <row r="99" spans="1:29" x14ac:dyDescent="0.4">
      <c r="A99" s="7"/>
      <c r="B99" s="47"/>
      <c r="C99" s="24" t="s">
        <v>151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35"/>
        <v>0</v>
      </c>
    </row>
    <row r="100" spans="1:29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35"/>
        <v>2</v>
      </c>
    </row>
    <row r="101" spans="1:29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1</v>
      </c>
      <c r="Q101" s="6">
        <v>2</v>
      </c>
      <c r="R101" s="6">
        <v>0</v>
      </c>
      <c r="S101" s="6">
        <v>0</v>
      </c>
      <c r="T101" s="6">
        <v>0</v>
      </c>
      <c r="U101" s="6">
        <v>0</v>
      </c>
      <c r="V101" s="6">
        <v>3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0</v>
      </c>
      <c r="AC101" s="5">
        <f t="shared" si="35"/>
        <v>7</v>
      </c>
    </row>
    <row r="102" spans="1:29" x14ac:dyDescent="0.4">
      <c r="A102" s="7"/>
      <c r="B102" s="47"/>
      <c r="C102" s="24" t="s">
        <v>154</v>
      </c>
      <c r="D102" s="45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1</v>
      </c>
      <c r="AC102" s="5">
        <f t="shared" si="35"/>
        <v>1</v>
      </c>
    </row>
    <row r="103" spans="1:29" x14ac:dyDescent="0.4">
      <c r="A103" s="6" t="s">
        <v>26</v>
      </c>
      <c r="B103" s="74" t="s">
        <v>51</v>
      </c>
      <c r="C103" s="54"/>
      <c r="D103" s="55"/>
      <c r="E103" s="6">
        <f t="shared" ref="E103:AC103" si="36">SUM(E93:E102)</f>
        <v>6</v>
      </c>
      <c r="F103" s="6">
        <f t="shared" si="36"/>
        <v>2</v>
      </c>
      <c r="G103" s="6">
        <f t="shared" si="36"/>
        <v>0</v>
      </c>
      <c r="H103" s="6">
        <f t="shared" si="36"/>
        <v>0</v>
      </c>
      <c r="I103" s="6">
        <f t="shared" si="36"/>
        <v>2</v>
      </c>
      <c r="J103" s="6">
        <f t="shared" si="36"/>
        <v>7</v>
      </c>
      <c r="K103" s="6">
        <f t="shared" si="36"/>
        <v>2</v>
      </c>
      <c r="L103" s="6">
        <f t="shared" si="36"/>
        <v>8</v>
      </c>
      <c r="M103" s="6">
        <f t="shared" si="36"/>
        <v>3</v>
      </c>
      <c r="N103" s="6">
        <f t="shared" si="36"/>
        <v>2</v>
      </c>
      <c r="O103" s="6">
        <f t="shared" si="36"/>
        <v>10</v>
      </c>
      <c r="P103" s="6">
        <f t="shared" si="36"/>
        <v>5</v>
      </c>
      <c r="Q103" s="6">
        <f t="shared" si="36"/>
        <v>4</v>
      </c>
      <c r="R103" s="6">
        <f t="shared" si="36"/>
        <v>1</v>
      </c>
      <c r="S103" s="6">
        <f t="shared" si="36"/>
        <v>1</v>
      </c>
      <c r="T103" s="6">
        <f t="shared" si="36"/>
        <v>0</v>
      </c>
      <c r="U103" s="6">
        <f t="shared" si="36"/>
        <v>1</v>
      </c>
      <c r="V103" s="6">
        <f t="shared" si="36"/>
        <v>5</v>
      </c>
      <c r="W103" s="6">
        <f t="shared" si="36"/>
        <v>4</v>
      </c>
      <c r="X103" s="6">
        <f t="shared" si="36"/>
        <v>7</v>
      </c>
      <c r="Y103" s="6">
        <f t="shared" si="36"/>
        <v>1</v>
      </c>
      <c r="Z103" s="6">
        <f t="shared" si="36"/>
        <v>5</v>
      </c>
      <c r="AA103" s="6">
        <f t="shared" si="36"/>
        <v>8</v>
      </c>
      <c r="AB103" s="6">
        <f t="shared" si="36"/>
        <v>1</v>
      </c>
      <c r="AC103" s="6">
        <f t="shared" si="36"/>
        <v>85</v>
      </c>
    </row>
    <row r="104" spans="1:29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83" t="s">
        <v>58</v>
      </c>
      <c r="D105" s="55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2</v>
      </c>
      <c r="X105" s="6">
        <v>4</v>
      </c>
      <c r="Y105" s="6">
        <v>0</v>
      </c>
      <c r="Z105" s="6">
        <v>0</v>
      </c>
      <c r="AA105" s="6">
        <v>1</v>
      </c>
      <c r="AB105" s="6">
        <v>0</v>
      </c>
      <c r="AC105" s="5">
        <f>SUM(E105:AB105)</f>
        <v>10</v>
      </c>
    </row>
    <row r="106" spans="1:29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2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0</v>
      </c>
      <c r="T106" s="6">
        <v>0</v>
      </c>
      <c r="U106" s="6">
        <v>0</v>
      </c>
      <c r="V106" s="6">
        <v>1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5">
        <f>SUM(E106:AB106)</f>
        <v>7</v>
      </c>
    </row>
    <row r="107" spans="1:29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6">
        <v>0</v>
      </c>
      <c r="Z107" s="6">
        <v>1</v>
      </c>
      <c r="AA107" s="6">
        <v>0</v>
      </c>
      <c r="AB107" s="6">
        <v>0</v>
      </c>
      <c r="AC107" s="5">
        <f>SUM(E107:AB107)</f>
        <v>5</v>
      </c>
    </row>
    <row r="108" spans="1:29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AC108" si="37">SUM(E105:E107)</f>
        <v>0</v>
      </c>
      <c r="F108" s="6">
        <f t="shared" si="37"/>
        <v>0</v>
      </c>
      <c r="G108" s="6">
        <f t="shared" si="37"/>
        <v>0</v>
      </c>
      <c r="H108" s="6">
        <f t="shared" si="37"/>
        <v>1</v>
      </c>
      <c r="I108" s="6">
        <f t="shared" si="37"/>
        <v>1</v>
      </c>
      <c r="J108" s="6">
        <f t="shared" si="37"/>
        <v>2</v>
      </c>
      <c r="K108" s="6">
        <f t="shared" si="37"/>
        <v>2</v>
      </c>
      <c r="L108" s="6">
        <f t="shared" si="37"/>
        <v>1</v>
      </c>
      <c r="M108" s="6">
        <f t="shared" si="37"/>
        <v>0</v>
      </c>
      <c r="N108" s="6">
        <f t="shared" si="37"/>
        <v>2</v>
      </c>
      <c r="O108" s="6">
        <f t="shared" si="37"/>
        <v>0</v>
      </c>
      <c r="P108" s="6">
        <f t="shared" si="37"/>
        <v>0</v>
      </c>
      <c r="Q108" s="6">
        <f t="shared" si="37"/>
        <v>0</v>
      </c>
      <c r="R108" s="6">
        <f t="shared" si="37"/>
        <v>2</v>
      </c>
      <c r="S108" s="6">
        <f t="shared" si="37"/>
        <v>0</v>
      </c>
      <c r="T108" s="6">
        <f t="shared" si="37"/>
        <v>0</v>
      </c>
      <c r="U108" s="6">
        <f t="shared" si="37"/>
        <v>1</v>
      </c>
      <c r="V108" s="6">
        <f t="shared" si="37"/>
        <v>1</v>
      </c>
      <c r="W108" s="6">
        <f t="shared" si="37"/>
        <v>2</v>
      </c>
      <c r="X108" s="6">
        <f t="shared" si="37"/>
        <v>5</v>
      </c>
      <c r="Y108" s="6">
        <f t="shared" si="37"/>
        <v>0</v>
      </c>
      <c r="Z108" s="6">
        <f t="shared" si="37"/>
        <v>1</v>
      </c>
      <c r="AA108" s="6">
        <f t="shared" si="37"/>
        <v>1</v>
      </c>
      <c r="AB108" s="6">
        <f t="shared" si="37"/>
        <v>0</v>
      </c>
      <c r="AC108" s="6">
        <f t="shared" si="37"/>
        <v>22</v>
      </c>
    </row>
    <row r="109" spans="1:29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5"/>
    </row>
    <row r="110" spans="1:29" x14ac:dyDescent="0.4">
      <c r="A110" s="11" t="s">
        <v>48</v>
      </c>
      <c r="B110" s="17" t="s">
        <v>59</v>
      </c>
      <c r="C110" s="83" t="s">
        <v>60</v>
      </c>
      <c r="D110" s="55"/>
      <c r="E110" s="6">
        <v>1</v>
      </c>
      <c r="F110" s="6">
        <v>0</v>
      </c>
      <c r="G110" s="6">
        <v>0</v>
      </c>
      <c r="H110" s="6">
        <v>1</v>
      </c>
      <c r="I110" s="6">
        <v>0</v>
      </c>
      <c r="J110" s="6">
        <v>2</v>
      </c>
      <c r="K110" s="6">
        <v>1</v>
      </c>
      <c r="L110" s="6">
        <v>0</v>
      </c>
      <c r="M110" s="6">
        <v>1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1</v>
      </c>
      <c r="T110" s="6">
        <v>0</v>
      </c>
      <c r="U110" s="6">
        <v>1</v>
      </c>
      <c r="V110" s="6">
        <v>0</v>
      </c>
      <c r="W110" s="6">
        <v>2</v>
      </c>
      <c r="X110" s="6">
        <v>2</v>
      </c>
      <c r="Y110" s="6">
        <v>2</v>
      </c>
      <c r="Z110" s="6">
        <v>1</v>
      </c>
      <c r="AA110" s="6">
        <v>1</v>
      </c>
      <c r="AB110" s="6">
        <v>1</v>
      </c>
      <c r="AC110" s="5">
        <f t="shared" ref="AC110:AC115" si="38">SUM(E110:AB110)</f>
        <v>17</v>
      </c>
    </row>
    <row r="111" spans="1:29" x14ac:dyDescent="0.4">
      <c r="A111" s="11" t="s">
        <v>50</v>
      </c>
      <c r="B111" s="47"/>
      <c r="C111" s="24" t="s">
        <v>157</v>
      </c>
      <c r="D111" s="45"/>
      <c r="E111" s="6">
        <v>1</v>
      </c>
      <c r="F111" s="6">
        <v>0</v>
      </c>
      <c r="G111" s="6">
        <v>1</v>
      </c>
      <c r="H111" s="6">
        <v>0</v>
      </c>
      <c r="I111" s="6">
        <v>0</v>
      </c>
      <c r="J111" s="6">
        <v>0</v>
      </c>
      <c r="K111" s="6">
        <v>1</v>
      </c>
      <c r="L111" s="6">
        <v>1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1</v>
      </c>
      <c r="AC111" s="5">
        <f t="shared" si="38"/>
        <v>6</v>
      </c>
    </row>
    <row r="112" spans="1:29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1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1</v>
      </c>
      <c r="V112" s="6">
        <v>0</v>
      </c>
      <c r="W112" s="6">
        <v>0</v>
      </c>
      <c r="X112" s="6">
        <v>0</v>
      </c>
      <c r="Y112" s="6">
        <v>0</v>
      </c>
      <c r="Z112" s="6">
        <v>2</v>
      </c>
      <c r="AA112" s="6">
        <v>0</v>
      </c>
      <c r="AB112" s="6">
        <v>0</v>
      </c>
      <c r="AC112" s="5">
        <f t="shared" si="38"/>
        <v>6</v>
      </c>
    </row>
    <row r="113" spans="1:29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5">
        <f t="shared" si="38"/>
        <v>0</v>
      </c>
    </row>
    <row r="114" spans="1:29" x14ac:dyDescent="0.4">
      <c r="A114" s="7"/>
      <c r="B114" s="47"/>
      <c r="C114" s="24" t="s">
        <v>160</v>
      </c>
      <c r="D114" s="45"/>
      <c r="E114" s="6">
        <v>1</v>
      </c>
      <c r="F114" s="6">
        <v>0</v>
      </c>
      <c r="G114" s="6">
        <v>1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1</v>
      </c>
      <c r="V114" s="6">
        <v>0</v>
      </c>
      <c r="W114" s="6">
        <v>0</v>
      </c>
      <c r="X114" s="6">
        <v>1</v>
      </c>
      <c r="Y114" s="6">
        <v>0</v>
      </c>
      <c r="Z114" s="6">
        <v>0</v>
      </c>
      <c r="AA114" s="6">
        <v>0</v>
      </c>
      <c r="AB114" s="6">
        <v>0</v>
      </c>
      <c r="AC114" s="5">
        <f t="shared" si="38"/>
        <v>4</v>
      </c>
    </row>
    <row r="115" spans="1:29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1</v>
      </c>
      <c r="AC115" s="5">
        <f t="shared" si="38"/>
        <v>2</v>
      </c>
    </row>
    <row r="116" spans="1:29" x14ac:dyDescent="0.4">
      <c r="A116" s="6" t="s">
        <v>26</v>
      </c>
      <c r="B116" s="74" t="s">
        <v>51</v>
      </c>
      <c r="C116" s="84"/>
      <c r="D116" s="85"/>
      <c r="E116" s="6">
        <f t="shared" ref="E116:AC116" si="39">SUM(E110:E115)</f>
        <v>3</v>
      </c>
      <c r="F116" s="6">
        <f t="shared" si="39"/>
        <v>0</v>
      </c>
      <c r="G116" s="6">
        <f t="shared" si="39"/>
        <v>2</v>
      </c>
      <c r="H116" s="6">
        <f t="shared" si="39"/>
        <v>1</v>
      </c>
      <c r="I116" s="6">
        <f t="shared" si="39"/>
        <v>1</v>
      </c>
      <c r="J116" s="6">
        <f t="shared" si="39"/>
        <v>2</v>
      </c>
      <c r="K116" s="6">
        <f t="shared" si="39"/>
        <v>2</v>
      </c>
      <c r="L116" s="6">
        <f t="shared" si="39"/>
        <v>1</v>
      </c>
      <c r="M116" s="6">
        <f t="shared" si="39"/>
        <v>3</v>
      </c>
      <c r="N116" s="6">
        <f t="shared" si="39"/>
        <v>0</v>
      </c>
      <c r="O116" s="6">
        <f t="shared" si="39"/>
        <v>0</v>
      </c>
      <c r="P116" s="6">
        <f t="shared" si="39"/>
        <v>0</v>
      </c>
      <c r="Q116" s="6">
        <f t="shared" si="39"/>
        <v>0</v>
      </c>
      <c r="R116" s="6">
        <f t="shared" si="39"/>
        <v>0</v>
      </c>
      <c r="S116" s="6">
        <f t="shared" si="39"/>
        <v>2</v>
      </c>
      <c r="T116" s="6">
        <f t="shared" si="39"/>
        <v>0</v>
      </c>
      <c r="U116" s="6">
        <f t="shared" si="39"/>
        <v>4</v>
      </c>
      <c r="V116" s="6">
        <f t="shared" si="39"/>
        <v>0</v>
      </c>
      <c r="W116" s="6">
        <f t="shared" si="39"/>
        <v>2</v>
      </c>
      <c r="X116" s="6">
        <f t="shared" si="39"/>
        <v>3</v>
      </c>
      <c r="Y116" s="6">
        <f t="shared" si="39"/>
        <v>2</v>
      </c>
      <c r="Z116" s="6">
        <f t="shared" si="39"/>
        <v>3</v>
      </c>
      <c r="AA116" s="6">
        <f t="shared" si="39"/>
        <v>1</v>
      </c>
      <c r="AB116" s="6">
        <f t="shared" si="39"/>
        <v>3</v>
      </c>
      <c r="AC116" s="6">
        <f t="shared" si="39"/>
        <v>35</v>
      </c>
    </row>
    <row r="117" spans="1:29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spans="1:29" x14ac:dyDescent="0.4">
      <c r="A118" s="11" t="s">
        <v>48</v>
      </c>
      <c r="B118" s="17" t="s">
        <v>61</v>
      </c>
      <c r="C118" s="83" t="s">
        <v>62</v>
      </c>
      <c r="D118" s="55"/>
      <c r="E118" s="6">
        <v>14</v>
      </c>
      <c r="F118" s="6">
        <v>11</v>
      </c>
      <c r="G118" s="6">
        <v>17</v>
      </c>
      <c r="H118" s="6">
        <v>1</v>
      </c>
      <c r="I118" s="6">
        <v>0</v>
      </c>
      <c r="J118" s="6">
        <v>0</v>
      </c>
      <c r="K118" s="6">
        <v>5</v>
      </c>
      <c r="L118" s="6">
        <v>6</v>
      </c>
      <c r="M118" s="6">
        <v>1</v>
      </c>
      <c r="N118" s="6">
        <v>1</v>
      </c>
      <c r="O118" s="6">
        <v>2</v>
      </c>
      <c r="P118" s="6">
        <v>2</v>
      </c>
      <c r="Q118" s="6">
        <v>5</v>
      </c>
      <c r="R118" s="6">
        <v>6</v>
      </c>
      <c r="S118" s="6">
        <v>1</v>
      </c>
      <c r="T118" s="6">
        <v>0</v>
      </c>
      <c r="U118" s="6">
        <v>2</v>
      </c>
      <c r="V118" s="6">
        <v>0</v>
      </c>
      <c r="W118" s="6">
        <v>1</v>
      </c>
      <c r="X118" s="6">
        <v>2</v>
      </c>
      <c r="Y118" s="6">
        <v>3</v>
      </c>
      <c r="Z118" s="6">
        <v>2</v>
      </c>
      <c r="AA118" s="6">
        <v>17</v>
      </c>
      <c r="AB118" s="6">
        <v>5</v>
      </c>
      <c r="AC118" s="5">
        <f t="shared" ref="AC118:AC127" si="40">SUM(E118:AB118)</f>
        <v>104</v>
      </c>
    </row>
    <row r="119" spans="1:29" ht="13.15" customHeight="1" x14ac:dyDescent="0.4">
      <c r="A119" s="11" t="s">
        <v>50</v>
      </c>
      <c r="B119" s="47"/>
      <c r="C119" s="24" t="s">
        <v>162</v>
      </c>
      <c r="D119" s="48"/>
      <c r="E119" s="6">
        <v>31</v>
      </c>
      <c r="F119" s="6">
        <v>22</v>
      </c>
      <c r="G119" s="6">
        <v>23</v>
      </c>
      <c r="H119" s="6">
        <v>10</v>
      </c>
      <c r="I119" s="6">
        <v>0</v>
      </c>
      <c r="J119" s="6">
        <v>0</v>
      </c>
      <c r="K119" s="6">
        <v>1</v>
      </c>
      <c r="L119" s="6">
        <v>6</v>
      </c>
      <c r="M119" s="6">
        <v>3</v>
      </c>
      <c r="N119" s="6">
        <v>0</v>
      </c>
      <c r="O119" s="6">
        <v>2</v>
      </c>
      <c r="P119" s="6">
        <v>1</v>
      </c>
      <c r="Q119" s="6">
        <v>4</v>
      </c>
      <c r="R119" s="6">
        <v>3</v>
      </c>
      <c r="S119" s="6">
        <v>0</v>
      </c>
      <c r="T119" s="6">
        <v>5</v>
      </c>
      <c r="U119" s="6">
        <v>0</v>
      </c>
      <c r="V119" s="6">
        <v>0</v>
      </c>
      <c r="W119" s="6">
        <v>1</v>
      </c>
      <c r="X119" s="6">
        <v>3</v>
      </c>
      <c r="Y119" s="6">
        <v>1</v>
      </c>
      <c r="Z119" s="6">
        <v>1</v>
      </c>
      <c r="AA119" s="6">
        <v>14</v>
      </c>
      <c r="AB119" s="6">
        <v>1</v>
      </c>
      <c r="AC119" s="5">
        <f t="shared" si="40"/>
        <v>132</v>
      </c>
    </row>
    <row r="120" spans="1:29" x14ac:dyDescent="0.4">
      <c r="A120" s="7"/>
      <c r="B120" s="47"/>
      <c r="C120" s="24" t="s">
        <v>163</v>
      </c>
      <c r="D120" s="48"/>
      <c r="E120" s="6">
        <v>5</v>
      </c>
      <c r="F120" s="6">
        <v>2</v>
      </c>
      <c r="G120" s="6">
        <v>1</v>
      </c>
      <c r="H120" s="6">
        <v>0</v>
      </c>
      <c r="I120" s="6">
        <v>0</v>
      </c>
      <c r="J120" s="6">
        <v>0</v>
      </c>
      <c r="K120" s="6">
        <v>3</v>
      </c>
      <c r="L120" s="6">
        <v>2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1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3</v>
      </c>
      <c r="Y120" s="6">
        <v>0</v>
      </c>
      <c r="Z120" s="6">
        <v>1</v>
      </c>
      <c r="AA120" s="6">
        <v>1</v>
      </c>
      <c r="AB120" s="6">
        <v>0</v>
      </c>
      <c r="AC120" s="5">
        <f t="shared" si="40"/>
        <v>20</v>
      </c>
    </row>
    <row r="121" spans="1:29" x14ac:dyDescent="0.4">
      <c r="A121" s="7"/>
      <c r="B121" s="47"/>
      <c r="C121" s="24" t="s">
        <v>164</v>
      </c>
      <c r="D121" s="48"/>
      <c r="E121" s="6">
        <v>1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1</v>
      </c>
      <c r="X121" s="6">
        <v>0</v>
      </c>
      <c r="Y121" s="6">
        <v>0</v>
      </c>
      <c r="Z121" s="6">
        <v>0</v>
      </c>
      <c r="AA121" s="6">
        <v>2</v>
      </c>
      <c r="AB121" s="6">
        <v>0</v>
      </c>
      <c r="AC121" s="5">
        <f t="shared" si="40"/>
        <v>6</v>
      </c>
    </row>
    <row r="122" spans="1:29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1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1</v>
      </c>
      <c r="AB122" s="6">
        <v>0</v>
      </c>
      <c r="AC122" s="5">
        <f t="shared" si="40"/>
        <v>4</v>
      </c>
    </row>
    <row r="123" spans="1:29" x14ac:dyDescent="0.4">
      <c r="A123" s="7"/>
      <c r="B123" s="47"/>
      <c r="C123" s="24" t="s">
        <v>166</v>
      </c>
      <c r="D123" s="48"/>
      <c r="E123" s="6">
        <v>1</v>
      </c>
      <c r="F123" s="6">
        <v>1</v>
      </c>
      <c r="G123" s="6">
        <v>0</v>
      </c>
      <c r="H123" s="6">
        <v>0</v>
      </c>
      <c r="I123" s="6">
        <v>2</v>
      </c>
      <c r="J123" s="6">
        <v>4</v>
      </c>
      <c r="K123" s="6">
        <v>4</v>
      </c>
      <c r="L123" s="6">
        <v>0</v>
      </c>
      <c r="M123" s="6">
        <v>2</v>
      </c>
      <c r="N123" s="6">
        <v>2</v>
      </c>
      <c r="O123" s="6">
        <v>1</v>
      </c>
      <c r="P123" s="6">
        <v>1</v>
      </c>
      <c r="Q123" s="6">
        <v>2</v>
      </c>
      <c r="R123" s="6">
        <v>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1</v>
      </c>
      <c r="Z123" s="6">
        <v>0</v>
      </c>
      <c r="AA123" s="6">
        <v>2</v>
      </c>
      <c r="AB123" s="6">
        <v>0</v>
      </c>
      <c r="AC123" s="5">
        <f t="shared" si="40"/>
        <v>24</v>
      </c>
    </row>
    <row r="124" spans="1:29" x14ac:dyDescent="0.4">
      <c r="A124" s="7"/>
      <c r="B124" s="47"/>
      <c r="C124" s="24" t="s">
        <v>167</v>
      </c>
      <c r="D124" s="45"/>
      <c r="E124" s="6">
        <v>0</v>
      </c>
      <c r="F124" s="6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1</v>
      </c>
      <c r="N124" s="6">
        <v>0</v>
      </c>
      <c r="O124" s="6">
        <v>2</v>
      </c>
      <c r="P124" s="6">
        <v>0</v>
      </c>
      <c r="Q124" s="6">
        <v>0</v>
      </c>
      <c r="R124" s="6">
        <v>1</v>
      </c>
      <c r="S124" s="6">
        <v>2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5">
        <f t="shared" si="40"/>
        <v>7</v>
      </c>
    </row>
    <row r="125" spans="1:29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5">
        <f t="shared" si="40"/>
        <v>1</v>
      </c>
    </row>
    <row r="126" spans="1:29" x14ac:dyDescent="0.4">
      <c r="A126" s="7"/>
      <c r="B126" s="47"/>
      <c r="C126" s="24" t="s">
        <v>169</v>
      </c>
      <c r="D126" s="48"/>
      <c r="E126" s="6">
        <v>1</v>
      </c>
      <c r="F126" s="6">
        <v>0</v>
      </c>
      <c r="G126" s="6">
        <v>1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3</v>
      </c>
      <c r="AB126" s="6">
        <v>0</v>
      </c>
      <c r="AC126" s="5">
        <f t="shared" si="40"/>
        <v>5</v>
      </c>
    </row>
    <row r="127" spans="1:29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5">
        <f t="shared" si="40"/>
        <v>0</v>
      </c>
    </row>
    <row r="128" spans="1:29" x14ac:dyDescent="0.4">
      <c r="A128" s="6" t="s">
        <v>26</v>
      </c>
      <c r="B128" s="74" t="s">
        <v>51</v>
      </c>
      <c r="C128" s="84"/>
      <c r="D128" s="85"/>
      <c r="E128" s="6">
        <f t="shared" ref="E128:AC128" si="41">SUM(E118:E127)</f>
        <v>53</v>
      </c>
      <c r="F128" s="6">
        <f t="shared" si="41"/>
        <v>37</v>
      </c>
      <c r="G128" s="6">
        <f t="shared" si="41"/>
        <v>43</v>
      </c>
      <c r="H128" s="6">
        <f t="shared" si="41"/>
        <v>11</v>
      </c>
      <c r="I128" s="6">
        <f t="shared" si="41"/>
        <v>3</v>
      </c>
      <c r="J128" s="6">
        <f t="shared" si="41"/>
        <v>4</v>
      </c>
      <c r="K128" s="6">
        <f t="shared" si="41"/>
        <v>13</v>
      </c>
      <c r="L128" s="6">
        <f t="shared" si="41"/>
        <v>14</v>
      </c>
      <c r="M128" s="6">
        <f t="shared" si="41"/>
        <v>8</v>
      </c>
      <c r="N128" s="6">
        <f t="shared" si="41"/>
        <v>4</v>
      </c>
      <c r="O128" s="6">
        <f t="shared" si="41"/>
        <v>8</v>
      </c>
      <c r="P128" s="6">
        <f t="shared" si="41"/>
        <v>4</v>
      </c>
      <c r="Q128" s="6">
        <f t="shared" si="41"/>
        <v>11</v>
      </c>
      <c r="R128" s="6">
        <f t="shared" si="41"/>
        <v>13</v>
      </c>
      <c r="S128" s="6">
        <f t="shared" si="41"/>
        <v>3</v>
      </c>
      <c r="T128" s="6">
        <f t="shared" si="41"/>
        <v>5</v>
      </c>
      <c r="U128" s="6">
        <f t="shared" si="41"/>
        <v>2</v>
      </c>
      <c r="V128" s="6">
        <f t="shared" si="41"/>
        <v>0</v>
      </c>
      <c r="W128" s="6">
        <f t="shared" si="41"/>
        <v>4</v>
      </c>
      <c r="X128" s="6">
        <f t="shared" si="41"/>
        <v>8</v>
      </c>
      <c r="Y128" s="6">
        <f t="shared" si="41"/>
        <v>5</v>
      </c>
      <c r="Z128" s="6">
        <f t="shared" si="41"/>
        <v>4</v>
      </c>
      <c r="AA128" s="6">
        <f t="shared" si="41"/>
        <v>40</v>
      </c>
      <c r="AB128" s="6">
        <f t="shared" si="41"/>
        <v>6</v>
      </c>
      <c r="AC128" s="6">
        <f t="shared" si="41"/>
        <v>303</v>
      </c>
    </row>
    <row r="129" spans="1:29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spans="1:29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>SUM(E130:AB130)</f>
        <v>0</v>
      </c>
    </row>
    <row r="131" spans="1:29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>SUM(E131:AB131)</f>
        <v>0</v>
      </c>
    </row>
    <row r="132" spans="1:29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>SUM(E132:AB132)</f>
        <v>0</v>
      </c>
    </row>
    <row r="133" spans="1:29" x14ac:dyDescent="0.4">
      <c r="A133" s="7"/>
      <c r="B133" s="47"/>
      <c r="C133" s="24" t="s">
        <v>173</v>
      </c>
      <c r="D133" s="45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>SUM(E133:AB133)</f>
        <v>1</v>
      </c>
    </row>
    <row r="134" spans="1:29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AC134" si="42">SUM(E130:E133)</f>
        <v>1</v>
      </c>
      <c r="F134" s="6">
        <f t="shared" si="42"/>
        <v>0</v>
      </c>
      <c r="G134" s="6">
        <f t="shared" si="42"/>
        <v>0</v>
      </c>
      <c r="H134" s="6">
        <f t="shared" si="42"/>
        <v>0</v>
      </c>
      <c r="I134" s="6">
        <f t="shared" si="42"/>
        <v>0</v>
      </c>
      <c r="J134" s="6">
        <f t="shared" si="42"/>
        <v>0</v>
      </c>
      <c r="K134" s="6">
        <f t="shared" si="42"/>
        <v>0</v>
      </c>
      <c r="L134" s="6">
        <f t="shared" si="42"/>
        <v>0</v>
      </c>
      <c r="M134" s="6">
        <f t="shared" si="42"/>
        <v>0</v>
      </c>
      <c r="N134" s="6">
        <f t="shared" si="42"/>
        <v>0</v>
      </c>
      <c r="O134" s="6">
        <f t="shared" si="42"/>
        <v>0</v>
      </c>
      <c r="P134" s="6">
        <f t="shared" si="42"/>
        <v>0</v>
      </c>
      <c r="Q134" s="6">
        <f t="shared" si="42"/>
        <v>0</v>
      </c>
      <c r="R134" s="6">
        <f t="shared" si="42"/>
        <v>0</v>
      </c>
      <c r="S134" s="6">
        <f t="shared" si="42"/>
        <v>0</v>
      </c>
      <c r="T134" s="6">
        <f t="shared" si="42"/>
        <v>0</v>
      </c>
      <c r="U134" s="6">
        <f t="shared" si="42"/>
        <v>0</v>
      </c>
      <c r="V134" s="6">
        <f t="shared" si="42"/>
        <v>0</v>
      </c>
      <c r="W134" s="6">
        <f t="shared" si="42"/>
        <v>0</v>
      </c>
      <c r="X134" s="6">
        <f t="shared" si="42"/>
        <v>0</v>
      </c>
      <c r="Y134" s="6">
        <f t="shared" si="42"/>
        <v>0</v>
      </c>
      <c r="Z134" s="6">
        <f t="shared" si="42"/>
        <v>0</v>
      </c>
      <c r="AA134" s="6">
        <f t="shared" si="42"/>
        <v>0</v>
      </c>
      <c r="AB134" s="6">
        <f t="shared" si="42"/>
        <v>0</v>
      </c>
      <c r="AC134" s="6">
        <f t="shared" si="42"/>
        <v>1</v>
      </c>
    </row>
    <row r="135" spans="1:29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5"/>
    </row>
    <row r="136" spans="1:29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0</v>
      </c>
      <c r="H136" s="6">
        <v>4</v>
      </c>
      <c r="I136" s="6">
        <v>0</v>
      </c>
      <c r="J136" s="6">
        <v>2</v>
      </c>
      <c r="K136" s="6">
        <v>2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3</v>
      </c>
      <c r="R136" s="6">
        <v>2</v>
      </c>
      <c r="S136" s="6">
        <v>8</v>
      </c>
      <c r="T136" s="6">
        <v>2</v>
      </c>
      <c r="U136" s="6">
        <v>0</v>
      </c>
      <c r="V136" s="6">
        <v>0</v>
      </c>
      <c r="W136" s="6">
        <v>2</v>
      </c>
      <c r="X136" s="6">
        <v>6</v>
      </c>
      <c r="Y136" s="6">
        <v>1</v>
      </c>
      <c r="Z136" s="6">
        <v>4</v>
      </c>
      <c r="AA136" s="6">
        <v>1</v>
      </c>
      <c r="AB136" s="6">
        <v>2</v>
      </c>
      <c r="AC136" s="5">
        <f t="shared" ref="AC136:AC143" si="43">SUM(E136:AB136)</f>
        <v>40</v>
      </c>
    </row>
    <row r="137" spans="1:29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1</v>
      </c>
      <c r="G137" s="6">
        <v>2</v>
      </c>
      <c r="H137" s="6">
        <v>2</v>
      </c>
      <c r="I137" s="6">
        <v>0</v>
      </c>
      <c r="J137" s="6">
        <v>4</v>
      </c>
      <c r="K137" s="6">
        <v>3</v>
      </c>
      <c r="L137" s="6">
        <v>0</v>
      </c>
      <c r="M137" s="6">
        <v>0</v>
      </c>
      <c r="N137" s="6">
        <v>0</v>
      </c>
      <c r="O137" s="6">
        <v>1</v>
      </c>
      <c r="P137" s="6">
        <v>1</v>
      </c>
      <c r="Q137" s="6">
        <v>0</v>
      </c>
      <c r="R137" s="6">
        <v>2</v>
      </c>
      <c r="S137" s="6">
        <v>7</v>
      </c>
      <c r="T137" s="6">
        <v>2</v>
      </c>
      <c r="U137" s="6">
        <v>0</v>
      </c>
      <c r="V137" s="6">
        <v>2</v>
      </c>
      <c r="W137" s="6">
        <v>8</v>
      </c>
      <c r="X137" s="6">
        <v>6</v>
      </c>
      <c r="Y137" s="6">
        <v>1</v>
      </c>
      <c r="Z137" s="6">
        <v>5</v>
      </c>
      <c r="AA137" s="6">
        <v>2</v>
      </c>
      <c r="AB137" s="6">
        <v>1</v>
      </c>
      <c r="AC137" s="5">
        <f t="shared" si="43"/>
        <v>50</v>
      </c>
    </row>
    <row r="138" spans="1:29" x14ac:dyDescent="0.4">
      <c r="A138" s="7"/>
      <c r="B138" s="51"/>
      <c r="C138" s="24" t="s">
        <v>175</v>
      </c>
      <c r="D138" s="52"/>
      <c r="E138" s="50">
        <v>1</v>
      </c>
      <c r="F138" s="6">
        <v>0</v>
      </c>
      <c r="G138" s="6">
        <v>0</v>
      </c>
      <c r="H138" s="6">
        <v>2</v>
      </c>
      <c r="I138" s="6">
        <v>0</v>
      </c>
      <c r="J138" s="6">
        <v>0</v>
      </c>
      <c r="K138" s="6">
        <v>2</v>
      </c>
      <c r="L138" s="6">
        <v>0</v>
      </c>
      <c r="M138" s="6">
        <v>0</v>
      </c>
      <c r="N138" s="6">
        <v>0</v>
      </c>
      <c r="O138" s="6">
        <v>1</v>
      </c>
      <c r="P138" s="6">
        <v>1</v>
      </c>
      <c r="Q138" s="6">
        <v>1</v>
      </c>
      <c r="R138" s="6">
        <v>2</v>
      </c>
      <c r="S138" s="6">
        <v>1</v>
      </c>
      <c r="T138" s="6">
        <v>0</v>
      </c>
      <c r="U138" s="6">
        <v>0</v>
      </c>
      <c r="V138" s="6">
        <v>1</v>
      </c>
      <c r="W138" s="6">
        <v>0</v>
      </c>
      <c r="X138" s="6">
        <v>1</v>
      </c>
      <c r="Y138" s="6">
        <v>0</v>
      </c>
      <c r="Z138" s="6">
        <v>2</v>
      </c>
      <c r="AA138" s="6">
        <v>0</v>
      </c>
      <c r="AB138" s="6">
        <v>2</v>
      </c>
      <c r="AC138" s="5">
        <f t="shared" si="43"/>
        <v>17</v>
      </c>
    </row>
    <row r="139" spans="1:29" x14ac:dyDescent="0.4">
      <c r="A139" s="7"/>
      <c r="B139" s="51"/>
      <c r="C139" s="24" t="s">
        <v>176</v>
      </c>
      <c r="D139" s="52"/>
      <c r="E139" s="50">
        <v>0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0</v>
      </c>
      <c r="N139" s="6">
        <v>1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1</v>
      </c>
      <c r="U139" s="6">
        <v>1</v>
      </c>
      <c r="V139" s="6">
        <v>0</v>
      </c>
      <c r="W139" s="6">
        <v>2</v>
      </c>
      <c r="X139" s="6">
        <v>0</v>
      </c>
      <c r="Y139" s="6">
        <v>1</v>
      </c>
      <c r="Z139" s="6">
        <v>0</v>
      </c>
      <c r="AA139" s="6">
        <v>0</v>
      </c>
      <c r="AB139" s="6">
        <v>0</v>
      </c>
      <c r="AC139" s="5">
        <f t="shared" si="43"/>
        <v>10</v>
      </c>
    </row>
    <row r="140" spans="1:29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5">
        <f t="shared" si="43"/>
        <v>2</v>
      </c>
    </row>
    <row r="141" spans="1:29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1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1</v>
      </c>
      <c r="AA141" s="6">
        <v>0</v>
      </c>
      <c r="AB141" s="6">
        <v>0</v>
      </c>
      <c r="AC141" s="5">
        <f t="shared" si="43"/>
        <v>4</v>
      </c>
    </row>
    <row r="142" spans="1:29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1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1</v>
      </c>
      <c r="Y142" s="6">
        <v>0</v>
      </c>
      <c r="Z142" s="6">
        <v>0</v>
      </c>
      <c r="AA142" s="6">
        <v>0</v>
      </c>
      <c r="AB142" s="6">
        <v>0</v>
      </c>
      <c r="AC142" s="5">
        <f t="shared" si="43"/>
        <v>3</v>
      </c>
    </row>
    <row r="143" spans="1:29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1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si="43"/>
        <v>1</v>
      </c>
    </row>
    <row r="144" spans="1:29" x14ac:dyDescent="0.4">
      <c r="A144" s="6" t="s">
        <v>26</v>
      </c>
      <c r="B144" s="88" t="s">
        <v>51</v>
      </c>
      <c r="C144" s="89"/>
      <c r="D144" s="90"/>
      <c r="E144" s="6">
        <f t="shared" ref="E144:AC144" si="44">SUM(E136:E143)</f>
        <v>1</v>
      </c>
      <c r="F144" s="6">
        <f t="shared" si="44"/>
        <v>2</v>
      </c>
      <c r="G144" s="6">
        <f t="shared" si="44"/>
        <v>2</v>
      </c>
      <c r="H144" s="6">
        <f t="shared" si="44"/>
        <v>9</v>
      </c>
      <c r="I144" s="6">
        <f t="shared" si="44"/>
        <v>0</v>
      </c>
      <c r="J144" s="6">
        <f t="shared" si="44"/>
        <v>8</v>
      </c>
      <c r="K144" s="6">
        <f t="shared" si="44"/>
        <v>9</v>
      </c>
      <c r="L144" s="6">
        <f t="shared" si="44"/>
        <v>1</v>
      </c>
      <c r="M144" s="6">
        <f t="shared" si="44"/>
        <v>1</v>
      </c>
      <c r="N144" s="6">
        <f t="shared" si="44"/>
        <v>3</v>
      </c>
      <c r="O144" s="6">
        <f t="shared" si="44"/>
        <v>3</v>
      </c>
      <c r="P144" s="6">
        <f t="shared" si="44"/>
        <v>3</v>
      </c>
      <c r="Q144" s="6">
        <f t="shared" si="44"/>
        <v>5</v>
      </c>
      <c r="R144" s="6">
        <f t="shared" si="44"/>
        <v>6</v>
      </c>
      <c r="S144" s="6">
        <f t="shared" si="44"/>
        <v>16</v>
      </c>
      <c r="T144" s="6">
        <f t="shared" si="44"/>
        <v>5</v>
      </c>
      <c r="U144" s="6">
        <f t="shared" si="44"/>
        <v>1</v>
      </c>
      <c r="V144" s="6">
        <f t="shared" si="44"/>
        <v>3</v>
      </c>
      <c r="W144" s="6">
        <f t="shared" si="44"/>
        <v>12</v>
      </c>
      <c r="X144" s="6">
        <f t="shared" si="44"/>
        <v>14</v>
      </c>
      <c r="Y144" s="6">
        <f t="shared" si="44"/>
        <v>3</v>
      </c>
      <c r="Z144" s="6">
        <f t="shared" si="44"/>
        <v>12</v>
      </c>
      <c r="AA144" s="6">
        <f t="shared" si="44"/>
        <v>3</v>
      </c>
      <c r="AB144" s="6">
        <f t="shared" si="44"/>
        <v>5</v>
      </c>
      <c r="AC144" s="6">
        <f t="shared" si="44"/>
        <v>127</v>
      </c>
    </row>
    <row r="145" spans="1:29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spans="1:29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1</v>
      </c>
      <c r="S146" s="6">
        <v>1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f>SUM(E146:AB146)</f>
        <v>3</v>
      </c>
    </row>
    <row r="147" spans="1:29" x14ac:dyDescent="0.4">
      <c r="A147" s="11" t="s">
        <v>50</v>
      </c>
      <c r="B147" s="47"/>
      <c r="C147" s="24" t="s">
        <v>181</v>
      </c>
      <c r="D147" s="45"/>
      <c r="E147" s="6">
        <v>1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1</v>
      </c>
      <c r="Q147" s="6">
        <v>0</v>
      </c>
      <c r="R147" s="6">
        <v>1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1</v>
      </c>
      <c r="Y147" s="6">
        <v>0</v>
      </c>
      <c r="Z147" s="6">
        <v>0</v>
      </c>
      <c r="AA147" s="6">
        <v>0</v>
      </c>
      <c r="AB147" s="6">
        <v>0</v>
      </c>
      <c r="AC147" s="5">
        <f>SUM(E147:AB147)</f>
        <v>6</v>
      </c>
    </row>
    <row r="148" spans="1:29" x14ac:dyDescent="0.4">
      <c r="A148" s="6" t="s">
        <v>26</v>
      </c>
      <c r="B148" s="74" t="s">
        <v>51</v>
      </c>
      <c r="C148" s="84"/>
      <c r="D148" s="85"/>
      <c r="E148" s="6">
        <f t="shared" ref="E148:AC148" si="45">SUM(E146:E147)</f>
        <v>1</v>
      </c>
      <c r="F148" s="6">
        <f t="shared" si="45"/>
        <v>0</v>
      </c>
      <c r="G148" s="6">
        <f t="shared" si="45"/>
        <v>0</v>
      </c>
      <c r="H148" s="6">
        <f t="shared" si="45"/>
        <v>0</v>
      </c>
      <c r="I148" s="6">
        <f t="shared" si="45"/>
        <v>1</v>
      </c>
      <c r="J148" s="6">
        <f t="shared" si="45"/>
        <v>1</v>
      </c>
      <c r="K148" s="6">
        <f t="shared" si="45"/>
        <v>1</v>
      </c>
      <c r="L148" s="6">
        <f t="shared" si="45"/>
        <v>0</v>
      </c>
      <c r="M148" s="6">
        <f t="shared" si="45"/>
        <v>0</v>
      </c>
      <c r="N148" s="6">
        <f t="shared" si="45"/>
        <v>0</v>
      </c>
      <c r="O148" s="6">
        <f t="shared" si="45"/>
        <v>0</v>
      </c>
      <c r="P148" s="6">
        <f t="shared" si="45"/>
        <v>1</v>
      </c>
      <c r="Q148" s="6">
        <f t="shared" si="45"/>
        <v>0</v>
      </c>
      <c r="R148" s="6">
        <f t="shared" si="45"/>
        <v>2</v>
      </c>
      <c r="S148" s="6">
        <f t="shared" si="45"/>
        <v>1</v>
      </c>
      <c r="T148" s="6">
        <f t="shared" si="45"/>
        <v>0</v>
      </c>
      <c r="U148" s="6">
        <f t="shared" si="45"/>
        <v>0</v>
      </c>
      <c r="V148" s="6">
        <f t="shared" si="45"/>
        <v>0</v>
      </c>
      <c r="W148" s="6">
        <f t="shared" si="45"/>
        <v>0</v>
      </c>
      <c r="X148" s="6">
        <f t="shared" si="45"/>
        <v>1</v>
      </c>
      <c r="Y148" s="6">
        <f t="shared" si="45"/>
        <v>0</v>
      </c>
      <c r="Z148" s="6">
        <f t="shared" si="45"/>
        <v>0</v>
      </c>
      <c r="AA148" s="6">
        <f t="shared" si="45"/>
        <v>0</v>
      </c>
      <c r="AB148" s="6">
        <f t="shared" si="45"/>
        <v>0</v>
      </c>
      <c r="AC148" s="6">
        <f t="shared" si="45"/>
        <v>9</v>
      </c>
    </row>
    <row r="149" spans="1:29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spans="1:29" x14ac:dyDescent="0.4">
      <c r="A150" s="11" t="s">
        <v>48</v>
      </c>
      <c r="B150" s="17" t="s">
        <v>69</v>
      </c>
      <c r="C150" s="83" t="s">
        <v>70</v>
      </c>
      <c r="D150" s="55"/>
      <c r="E150" s="6">
        <v>2</v>
      </c>
      <c r="F150" s="6">
        <v>1</v>
      </c>
      <c r="G150" s="6">
        <v>0</v>
      </c>
      <c r="H150" s="6">
        <v>2</v>
      </c>
      <c r="I150" s="6">
        <v>1</v>
      </c>
      <c r="J150" s="6">
        <v>0</v>
      </c>
      <c r="K150" s="6">
        <v>0</v>
      </c>
      <c r="L150" s="6">
        <v>1</v>
      </c>
      <c r="M150" s="6">
        <v>2</v>
      </c>
      <c r="N150" s="6">
        <v>3</v>
      </c>
      <c r="O150" s="6">
        <v>2</v>
      </c>
      <c r="P150" s="6">
        <v>2</v>
      </c>
      <c r="Q150" s="6">
        <v>3</v>
      </c>
      <c r="R150" s="6">
        <v>0</v>
      </c>
      <c r="S150" s="6">
        <v>1</v>
      </c>
      <c r="T150" s="6">
        <v>1</v>
      </c>
      <c r="U150" s="6">
        <v>2</v>
      </c>
      <c r="V150" s="6">
        <v>2</v>
      </c>
      <c r="W150" s="6">
        <v>1</v>
      </c>
      <c r="X150" s="6">
        <v>0</v>
      </c>
      <c r="Y150" s="6">
        <v>0</v>
      </c>
      <c r="Z150" s="6">
        <v>0</v>
      </c>
      <c r="AA150" s="6">
        <v>1</v>
      </c>
      <c r="AB150" s="6">
        <v>0</v>
      </c>
      <c r="AC150" s="5">
        <f t="shared" ref="AC150:AC159" si="46">SUM(E150:AB150)</f>
        <v>27</v>
      </c>
    </row>
    <row r="151" spans="1:29" x14ac:dyDescent="0.4">
      <c r="A151" s="11" t="s">
        <v>50</v>
      </c>
      <c r="B151" s="47"/>
      <c r="C151" s="24" t="s">
        <v>182</v>
      </c>
      <c r="D151" s="45"/>
      <c r="E151" s="6">
        <v>2</v>
      </c>
      <c r="F151" s="6">
        <v>1</v>
      </c>
      <c r="G151" s="6">
        <v>2</v>
      </c>
      <c r="H151" s="6">
        <v>0</v>
      </c>
      <c r="I151" s="6">
        <v>2</v>
      </c>
      <c r="J151" s="6">
        <v>1</v>
      </c>
      <c r="K151" s="6">
        <v>2</v>
      </c>
      <c r="L151" s="6">
        <v>1</v>
      </c>
      <c r="M151" s="6">
        <v>1</v>
      </c>
      <c r="N151" s="6">
        <v>2</v>
      </c>
      <c r="O151" s="6">
        <v>11</v>
      </c>
      <c r="P151" s="6">
        <v>1</v>
      </c>
      <c r="Q151" s="6">
        <v>1</v>
      </c>
      <c r="R151" s="6">
        <v>0</v>
      </c>
      <c r="S151" s="6">
        <v>0</v>
      </c>
      <c r="T151" s="6">
        <v>6</v>
      </c>
      <c r="U151" s="6">
        <v>27</v>
      </c>
      <c r="V151" s="6">
        <v>5</v>
      </c>
      <c r="W151" s="6">
        <v>1</v>
      </c>
      <c r="X151" s="6">
        <v>0</v>
      </c>
      <c r="Y151" s="6">
        <v>1</v>
      </c>
      <c r="Z151" s="6">
        <v>0</v>
      </c>
      <c r="AA151" s="6">
        <v>0</v>
      </c>
      <c r="AB151" s="6">
        <v>0</v>
      </c>
      <c r="AC151" s="5">
        <f t="shared" si="46"/>
        <v>67</v>
      </c>
    </row>
    <row r="152" spans="1:29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1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1</v>
      </c>
      <c r="S152" s="6">
        <v>0</v>
      </c>
      <c r="T152" s="6">
        <v>1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5">
        <f t="shared" si="46"/>
        <v>5</v>
      </c>
    </row>
    <row r="153" spans="1:29" x14ac:dyDescent="0.4">
      <c r="A153" s="7"/>
      <c r="B153" s="47"/>
      <c r="C153" s="24" t="s">
        <v>184</v>
      </c>
      <c r="D153" s="45"/>
      <c r="E153" s="6">
        <v>2</v>
      </c>
      <c r="F153" s="6">
        <v>0</v>
      </c>
      <c r="G153" s="6">
        <v>1</v>
      </c>
      <c r="H153" s="6">
        <v>1</v>
      </c>
      <c r="I153" s="6">
        <v>0</v>
      </c>
      <c r="J153" s="6">
        <v>1</v>
      </c>
      <c r="K153" s="6">
        <v>0</v>
      </c>
      <c r="L153" s="6">
        <v>1</v>
      </c>
      <c r="M153" s="6">
        <v>1</v>
      </c>
      <c r="N153" s="6">
        <v>0</v>
      </c>
      <c r="O153" s="6">
        <v>1</v>
      </c>
      <c r="P153" s="6">
        <v>0</v>
      </c>
      <c r="Q153" s="6">
        <v>1</v>
      </c>
      <c r="R153" s="6">
        <v>0</v>
      </c>
      <c r="S153" s="6">
        <v>1</v>
      </c>
      <c r="T153" s="6">
        <v>2</v>
      </c>
      <c r="U153" s="6">
        <v>0</v>
      </c>
      <c r="V153" s="6">
        <v>0</v>
      </c>
      <c r="W153" s="6">
        <v>1</v>
      </c>
      <c r="X153" s="6">
        <v>1</v>
      </c>
      <c r="Y153" s="6">
        <v>1</v>
      </c>
      <c r="Z153" s="6">
        <v>0</v>
      </c>
      <c r="AA153" s="6">
        <v>0</v>
      </c>
      <c r="AB153" s="6">
        <v>0</v>
      </c>
      <c r="AC153" s="5">
        <f t="shared" si="46"/>
        <v>15</v>
      </c>
    </row>
    <row r="154" spans="1:29" x14ac:dyDescent="0.4">
      <c r="A154" s="7"/>
      <c r="B154" s="47"/>
      <c r="C154" s="24" t="s">
        <v>185</v>
      </c>
      <c r="D154" s="45"/>
      <c r="E154" s="6">
        <v>1</v>
      </c>
      <c r="F154" s="6">
        <v>1</v>
      </c>
      <c r="G154" s="6">
        <v>0</v>
      </c>
      <c r="H154" s="6">
        <v>1</v>
      </c>
      <c r="I154" s="6">
        <v>0</v>
      </c>
      <c r="J154" s="6">
        <v>1</v>
      </c>
      <c r="K154" s="6">
        <v>1</v>
      </c>
      <c r="L154" s="6">
        <v>0</v>
      </c>
      <c r="M154" s="6">
        <v>0</v>
      </c>
      <c r="N154" s="6">
        <v>1</v>
      </c>
      <c r="O154" s="6">
        <v>0</v>
      </c>
      <c r="P154" s="6">
        <v>1</v>
      </c>
      <c r="Q154" s="6">
        <v>0</v>
      </c>
      <c r="R154" s="6">
        <v>0</v>
      </c>
      <c r="S154" s="6">
        <v>0</v>
      </c>
      <c r="T154" s="6">
        <v>1</v>
      </c>
      <c r="U154" s="6">
        <v>4</v>
      </c>
      <c r="V154" s="6">
        <v>2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f t="shared" si="46"/>
        <v>14</v>
      </c>
    </row>
    <row r="155" spans="1:29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2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 t="shared" si="46"/>
        <v>4</v>
      </c>
    </row>
    <row r="156" spans="1:29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2</v>
      </c>
      <c r="H156" s="6">
        <v>0</v>
      </c>
      <c r="I156" s="6">
        <v>0</v>
      </c>
      <c r="J156" s="6">
        <v>1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46"/>
        <v>5</v>
      </c>
    </row>
    <row r="157" spans="1:29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3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46"/>
        <v>4</v>
      </c>
    </row>
    <row r="158" spans="1:29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1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1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46"/>
        <v>3</v>
      </c>
    </row>
    <row r="159" spans="1:29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46"/>
        <v>1</v>
      </c>
    </row>
    <row r="160" spans="1:29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" si="47">SUM(E150:E159)</f>
        <v>7</v>
      </c>
      <c r="F160" s="6">
        <f t="shared" ref="F160" si="48">SUM(F150:F159)</f>
        <v>3</v>
      </c>
      <c r="G160" s="6">
        <f t="shared" ref="G160" si="49">SUM(G150:G159)</f>
        <v>6</v>
      </c>
      <c r="H160" s="6">
        <f t="shared" ref="H160" si="50">SUM(H150:H159)</f>
        <v>4</v>
      </c>
      <c r="I160" s="6">
        <f t="shared" ref="I160" si="51">SUM(I150:I159)</f>
        <v>4</v>
      </c>
      <c r="J160" s="6">
        <f t="shared" ref="J160" si="52">SUM(J150:J159)</f>
        <v>5</v>
      </c>
      <c r="K160" s="6">
        <f t="shared" ref="K160" si="53">SUM(K150:K159)</f>
        <v>4</v>
      </c>
      <c r="L160" s="6">
        <f t="shared" ref="L160" si="54">SUM(L150:L159)</f>
        <v>3</v>
      </c>
      <c r="M160" s="6">
        <f t="shared" ref="M160" si="55">SUM(M150:M159)</f>
        <v>6</v>
      </c>
      <c r="N160" s="6">
        <f t="shared" ref="N160" si="56">SUM(N150:N159)</f>
        <v>7</v>
      </c>
      <c r="O160" s="6">
        <f t="shared" ref="O160" si="57">SUM(O150:O159)</f>
        <v>16</v>
      </c>
      <c r="P160" s="6">
        <f t="shared" ref="P160" si="58">SUM(P150:P159)</f>
        <v>5</v>
      </c>
      <c r="Q160" s="6">
        <f t="shared" ref="Q160" si="59">SUM(Q150:Q159)</f>
        <v>6</v>
      </c>
      <c r="R160" s="6">
        <f t="shared" ref="R160" si="60">SUM(R150:R159)</f>
        <v>1</v>
      </c>
      <c r="S160" s="6">
        <f t="shared" ref="S160" si="61">SUM(S150:S159)</f>
        <v>3</v>
      </c>
      <c r="T160" s="6">
        <f t="shared" ref="T160" si="62">SUM(T150:T159)</f>
        <v>12</v>
      </c>
      <c r="U160" s="6">
        <f t="shared" ref="U160" si="63">SUM(U150:U159)</f>
        <v>36</v>
      </c>
      <c r="V160" s="6">
        <f t="shared" ref="V160" si="64">SUM(V150:V159)</f>
        <v>9</v>
      </c>
      <c r="W160" s="6">
        <f t="shared" ref="W160" si="65">SUM(W150:W159)</f>
        <v>3</v>
      </c>
      <c r="X160" s="6">
        <f t="shared" ref="X160" si="66">SUM(X150:X159)</f>
        <v>2</v>
      </c>
      <c r="Y160" s="6">
        <f t="shared" ref="Y160" si="67">SUM(Y150:Y159)</f>
        <v>2</v>
      </c>
      <c r="Z160" s="6">
        <f t="shared" ref="Z160" si="68">SUM(Z150:Z159)</f>
        <v>0</v>
      </c>
      <c r="AA160" s="6">
        <f t="shared" ref="AA160" si="69">SUM(AA150:AA159)</f>
        <v>1</v>
      </c>
      <c r="AB160" s="6">
        <f t="shared" ref="AB160" si="70">SUM(AB150:AB159)</f>
        <v>0</v>
      </c>
      <c r="AC160" s="6">
        <f t="shared" ref="AC160" si="71">SUM(AC150:AC159)</f>
        <v>145</v>
      </c>
    </row>
    <row r="161" spans="1:29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5"/>
    </row>
    <row r="162" spans="1:29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1</v>
      </c>
      <c r="Z162" s="6">
        <v>0</v>
      </c>
      <c r="AA162" s="6">
        <v>0</v>
      </c>
      <c r="AB162" s="6">
        <v>0</v>
      </c>
      <c r="AC162" s="5">
        <f t="shared" ref="AC162:AC171" si="72">SUM(E162:AB162)</f>
        <v>2</v>
      </c>
    </row>
    <row r="163" spans="1:29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2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5</v>
      </c>
      <c r="R163" s="6">
        <v>0</v>
      </c>
      <c r="S163" s="6">
        <v>0</v>
      </c>
      <c r="T163" s="6">
        <v>0</v>
      </c>
      <c r="U163" s="6">
        <v>1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5">
        <f t="shared" si="72"/>
        <v>8</v>
      </c>
    </row>
    <row r="164" spans="1:29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0</v>
      </c>
      <c r="O164" s="6">
        <v>0</v>
      </c>
      <c r="P164" s="6">
        <v>0</v>
      </c>
      <c r="Q164" s="6">
        <v>0</v>
      </c>
      <c r="R164" s="6">
        <v>1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5">
        <f t="shared" si="72"/>
        <v>2</v>
      </c>
    </row>
    <row r="165" spans="1:29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5">
        <f t="shared" si="72"/>
        <v>2</v>
      </c>
    </row>
    <row r="166" spans="1:29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72"/>
        <v>1</v>
      </c>
    </row>
    <row r="167" spans="1:29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5">
        <f t="shared" si="72"/>
        <v>0</v>
      </c>
    </row>
    <row r="168" spans="1:29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5">
        <f t="shared" si="72"/>
        <v>0</v>
      </c>
    </row>
    <row r="169" spans="1:29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5">
        <f t="shared" si="72"/>
        <v>0</v>
      </c>
    </row>
    <row r="170" spans="1:29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5">
        <f t="shared" si="72"/>
        <v>0</v>
      </c>
    </row>
    <row r="171" spans="1:29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5">
        <f t="shared" si="72"/>
        <v>0</v>
      </c>
    </row>
    <row r="172" spans="1:29" x14ac:dyDescent="0.4">
      <c r="A172" s="6" t="s">
        <v>26</v>
      </c>
      <c r="B172" s="74" t="s">
        <v>51</v>
      </c>
      <c r="C172" s="84"/>
      <c r="D172" s="85"/>
      <c r="E172" s="6">
        <f t="shared" ref="E172" si="73">SUM(E162:E171)</f>
        <v>0</v>
      </c>
      <c r="F172" s="6">
        <f t="shared" ref="F172" si="74">SUM(F162:F171)</f>
        <v>0</v>
      </c>
      <c r="G172" s="6">
        <f t="shared" ref="G172" si="75">SUM(G162:G171)</f>
        <v>0</v>
      </c>
      <c r="H172" s="6">
        <f t="shared" ref="H172" si="76">SUM(H162:H171)</f>
        <v>1</v>
      </c>
      <c r="I172" s="6">
        <f t="shared" ref="I172" si="77">SUM(I162:I171)</f>
        <v>2</v>
      </c>
      <c r="J172" s="6">
        <f t="shared" ref="J172" si="78">SUM(J162:J171)</f>
        <v>0</v>
      </c>
      <c r="K172" s="6">
        <f t="shared" ref="K172" si="79">SUM(K162:K171)</f>
        <v>0</v>
      </c>
      <c r="L172" s="6">
        <f t="shared" ref="L172" si="80">SUM(L162:L171)</f>
        <v>1</v>
      </c>
      <c r="M172" s="6">
        <f t="shared" ref="M172" si="81">SUM(M162:M171)</f>
        <v>1</v>
      </c>
      <c r="N172" s="6">
        <f t="shared" ref="N172" si="82">SUM(N162:N171)</f>
        <v>0</v>
      </c>
      <c r="O172" s="6">
        <f t="shared" ref="O172" si="83">SUM(O162:O171)</f>
        <v>1</v>
      </c>
      <c r="P172" s="6">
        <f t="shared" ref="P172" si="84">SUM(P162:P171)</f>
        <v>0</v>
      </c>
      <c r="Q172" s="6">
        <f t="shared" ref="Q172" si="85">SUM(Q162:Q171)</f>
        <v>5</v>
      </c>
      <c r="R172" s="6">
        <f t="shared" ref="R172" si="86">SUM(R162:R171)</f>
        <v>1</v>
      </c>
      <c r="S172" s="6">
        <f t="shared" ref="S172" si="87">SUM(S162:S171)</f>
        <v>1</v>
      </c>
      <c r="T172" s="6">
        <f t="shared" ref="T172" si="88">SUM(T162:T171)</f>
        <v>0</v>
      </c>
      <c r="U172" s="6">
        <f t="shared" ref="U172" si="89">SUM(U162:U171)</f>
        <v>1</v>
      </c>
      <c r="V172" s="6">
        <f t="shared" ref="V172" si="90">SUM(V162:V171)</f>
        <v>0</v>
      </c>
      <c r="W172" s="6">
        <f t="shared" ref="W172" si="91">SUM(W162:W171)</f>
        <v>0</v>
      </c>
      <c r="X172" s="6">
        <f t="shared" ref="X172" si="92">SUM(X162:X171)</f>
        <v>0</v>
      </c>
      <c r="Y172" s="6">
        <f t="shared" ref="Y172" si="93">SUM(Y162:Y171)</f>
        <v>1</v>
      </c>
      <c r="Z172" s="6">
        <f t="shared" ref="Z172" si="94">SUM(Z162:Z171)</f>
        <v>0</v>
      </c>
      <c r="AA172" s="6">
        <f t="shared" ref="AA172" si="95">SUM(AA162:AA171)</f>
        <v>0</v>
      </c>
      <c r="AB172" s="6">
        <f t="shared" ref="AB172" si="96">SUM(AB162:AB171)</f>
        <v>0</v>
      </c>
      <c r="AC172" s="6">
        <f t="shared" ref="AC172" si="97">SUM(AC162:AC171)</f>
        <v>15</v>
      </c>
    </row>
    <row r="173" spans="1:29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spans="1:29" x14ac:dyDescent="0.4">
      <c r="A174" s="11" t="s">
        <v>48</v>
      </c>
      <c r="B174" s="17" t="s">
        <v>73</v>
      </c>
      <c r="C174" s="83" t="s">
        <v>74</v>
      </c>
      <c r="D174" s="55"/>
      <c r="E174" s="6">
        <v>5</v>
      </c>
      <c r="F174" s="6">
        <v>1</v>
      </c>
      <c r="G174" s="6">
        <v>2</v>
      </c>
      <c r="H174" s="6">
        <v>7</v>
      </c>
      <c r="I174" s="6">
        <v>1</v>
      </c>
      <c r="J174" s="6">
        <v>2</v>
      </c>
      <c r="K174" s="6">
        <v>2</v>
      </c>
      <c r="L174" s="6">
        <v>7</v>
      </c>
      <c r="M174" s="6">
        <v>3</v>
      </c>
      <c r="N174" s="6">
        <v>4</v>
      </c>
      <c r="O174" s="6">
        <v>0</v>
      </c>
      <c r="P174" s="6">
        <v>1</v>
      </c>
      <c r="Q174" s="6">
        <v>0</v>
      </c>
      <c r="R174" s="6">
        <v>4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2</v>
      </c>
      <c r="Y174" s="6">
        <v>1</v>
      </c>
      <c r="Z174" s="6">
        <v>0</v>
      </c>
      <c r="AA174" s="6">
        <v>1</v>
      </c>
      <c r="AB174" s="6">
        <v>2</v>
      </c>
      <c r="AC174" s="5">
        <f t="shared" ref="AC174:AC183" si="98">SUM(E174:AB174)</f>
        <v>45</v>
      </c>
    </row>
    <row r="175" spans="1:29" x14ac:dyDescent="0.4">
      <c r="A175" s="11" t="s">
        <v>50</v>
      </c>
      <c r="B175" s="47"/>
      <c r="C175" s="24" t="s">
        <v>200</v>
      </c>
      <c r="D175" s="45"/>
      <c r="E175" s="6">
        <v>2</v>
      </c>
      <c r="F175" s="6">
        <v>2</v>
      </c>
      <c r="G175" s="6">
        <v>18</v>
      </c>
      <c r="H175" s="6">
        <v>90</v>
      </c>
      <c r="I175" s="6">
        <v>15</v>
      </c>
      <c r="J175" s="6">
        <v>2</v>
      </c>
      <c r="K175" s="6">
        <v>3</v>
      </c>
      <c r="L175" s="6">
        <v>2</v>
      </c>
      <c r="M175" s="6">
        <v>1</v>
      </c>
      <c r="N175" s="6">
        <v>2</v>
      </c>
      <c r="O175" s="6">
        <v>5</v>
      </c>
      <c r="P175" s="6">
        <v>3</v>
      </c>
      <c r="Q175" s="6">
        <v>0</v>
      </c>
      <c r="R175" s="6">
        <v>2</v>
      </c>
      <c r="S175" s="6">
        <v>0</v>
      </c>
      <c r="T175" s="6">
        <v>1</v>
      </c>
      <c r="U175" s="6">
        <v>1</v>
      </c>
      <c r="V175" s="6">
        <v>2</v>
      </c>
      <c r="W175" s="6">
        <v>2</v>
      </c>
      <c r="X175" s="6">
        <v>3</v>
      </c>
      <c r="Y175" s="6">
        <v>0</v>
      </c>
      <c r="Z175" s="6">
        <v>2</v>
      </c>
      <c r="AA175" s="6">
        <v>0</v>
      </c>
      <c r="AB175" s="6">
        <v>9</v>
      </c>
      <c r="AC175" s="5">
        <f t="shared" si="98"/>
        <v>167</v>
      </c>
    </row>
    <row r="176" spans="1:29" x14ac:dyDescent="0.4">
      <c r="A176" s="7"/>
      <c r="B176" s="47"/>
      <c r="C176" s="24" t="s">
        <v>201</v>
      </c>
      <c r="D176" s="45"/>
      <c r="E176" s="6">
        <v>2</v>
      </c>
      <c r="F176" s="6">
        <v>2</v>
      </c>
      <c r="G176" s="6">
        <v>2</v>
      </c>
      <c r="H176" s="6">
        <v>4</v>
      </c>
      <c r="I176" s="6">
        <v>0</v>
      </c>
      <c r="J176" s="6">
        <v>3</v>
      </c>
      <c r="K176" s="6">
        <v>1</v>
      </c>
      <c r="L176" s="6">
        <v>1</v>
      </c>
      <c r="M176" s="6">
        <v>1</v>
      </c>
      <c r="N176" s="6">
        <v>1</v>
      </c>
      <c r="O176" s="6">
        <v>5</v>
      </c>
      <c r="P176" s="6">
        <v>1</v>
      </c>
      <c r="Q176" s="6">
        <v>0</v>
      </c>
      <c r="R176" s="6">
        <v>2</v>
      </c>
      <c r="S176" s="6">
        <v>1</v>
      </c>
      <c r="T176" s="6">
        <v>0</v>
      </c>
      <c r="U176" s="6">
        <v>0</v>
      </c>
      <c r="V176" s="6">
        <v>0</v>
      </c>
      <c r="W176" s="6">
        <v>1</v>
      </c>
      <c r="X176" s="6">
        <v>0</v>
      </c>
      <c r="Y176" s="6">
        <v>0</v>
      </c>
      <c r="Z176" s="6">
        <v>3</v>
      </c>
      <c r="AA176" s="6">
        <v>0</v>
      </c>
      <c r="AB176" s="6">
        <v>1</v>
      </c>
      <c r="AC176" s="5">
        <f t="shared" si="98"/>
        <v>31</v>
      </c>
    </row>
    <row r="177" spans="1:29" x14ac:dyDescent="0.4">
      <c r="A177" s="7"/>
      <c r="B177" s="47"/>
      <c r="C177" s="24" t="s">
        <v>202</v>
      </c>
      <c r="D177" s="45"/>
      <c r="E177" s="6">
        <v>0</v>
      </c>
      <c r="F177" s="6">
        <v>2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2</v>
      </c>
      <c r="P177" s="6">
        <v>1</v>
      </c>
      <c r="Q177" s="6">
        <v>1</v>
      </c>
      <c r="R177" s="6">
        <v>0</v>
      </c>
      <c r="S177" s="6">
        <v>1</v>
      </c>
      <c r="T177" s="6">
        <v>0</v>
      </c>
      <c r="U177" s="6">
        <v>0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1</v>
      </c>
      <c r="AB177" s="6">
        <v>0</v>
      </c>
      <c r="AC177" s="5">
        <f t="shared" si="98"/>
        <v>9</v>
      </c>
    </row>
    <row r="178" spans="1:29" x14ac:dyDescent="0.4">
      <c r="A178" s="7"/>
      <c r="B178" s="47"/>
      <c r="C178" s="24" t="s">
        <v>203</v>
      </c>
      <c r="D178" s="45"/>
      <c r="E178" s="6">
        <v>0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1</v>
      </c>
      <c r="S178" s="6">
        <v>0</v>
      </c>
      <c r="T178" s="6">
        <v>0</v>
      </c>
      <c r="U178" s="6">
        <v>1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0</v>
      </c>
      <c r="AB178" s="6">
        <v>0</v>
      </c>
      <c r="AC178" s="5">
        <f t="shared" si="98"/>
        <v>6</v>
      </c>
    </row>
    <row r="179" spans="1:29" x14ac:dyDescent="0.4">
      <c r="A179" s="7"/>
      <c r="B179" s="47"/>
      <c r="C179" s="24" t="s">
        <v>204</v>
      </c>
      <c r="D179" s="45"/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f t="shared" si="98"/>
        <v>3</v>
      </c>
    </row>
    <row r="180" spans="1:29" ht="13.15" customHeight="1" x14ac:dyDescent="0.4">
      <c r="A180" s="7"/>
      <c r="B180" s="47"/>
      <c r="C180" s="24" t="s">
        <v>205</v>
      </c>
      <c r="D180" s="45"/>
      <c r="E180" s="6">
        <v>1</v>
      </c>
      <c r="F180" s="6">
        <v>0</v>
      </c>
      <c r="G180" s="6">
        <v>1</v>
      </c>
      <c r="H180" s="6">
        <v>0</v>
      </c>
      <c r="I180" s="6">
        <v>2</v>
      </c>
      <c r="J180" s="6">
        <v>1</v>
      </c>
      <c r="K180" s="6">
        <v>1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5">
        <f t="shared" si="98"/>
        <v>7</v>
      </c>
    </row>
    <row r="181" spans="1:29" x14ac:dyDescent="0.4">
      <c r="A181" s="7"/>
      <c r="B181" s="47"/>
      <c r="C181" s="24" t="s">
        <v>206</v>
      </c>
      <c r="D181" s="45"/>
      <c r="E181" s="6">
        <v>1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1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1</v>
      </c>
      <c r="AA181" s="6">
        <v>0</v>
      </c>
      <c r="AB181" s="6">
        <v>0</v>
      </c>
      <c r="AC181" s="5">
        <f t="shared" si="98"/>
        <v>5</v>
      </c>
    </row>
    <row r="182" spans="1:29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98"/>
        <v>0</v>
      </c>
    </row>
    <row r="183" spans="1:29" x14ac:dyDescent="0.4">
      <c r="A183" s="7"/>
      <c r="B183" s="47"/>
      <c r="C183" s="24" t="s">
        <v>208</v>
      </c>
      <c r="D183" s="45"/>
      <c r="E183" s="6">
        <v>1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98"/>
        <v>3</v>
      </c>
    </row>
    <row r="184" spans="1:29" x14ac:dyDescent="0.4">
      <c r="A184" s="6" t="s">
        <v>26</v>
      </c>
      <c r="B184" s="74" t="s">
        <v>51</v>
      </c>
      <c r="C184" s="84"/>
      <c r="D184" s="85"/>
      <c r="E184" s="6">
        <f t="shared" ref="E184" si="99">SUM(E174:E183)</f>
        <v>13</v>
      </c>
      <c r="F184" s="6">
        <f t="shared" ref="F184" si="100">SUM(F174:F183)</f>
        <v>9</v>
      </c>
      <c r="G184" s="6">
        <f t="shared" ref="G184" si="101">SUM(G174:G183)</f>
        <v>23</v>
      </c>
      <c r="H184" s="6">
        <f t="shared" ref="H184" si="102">SUM(H174:H183)</f>
        <v>101</v>
      </c>
      <c r="I184" s="6">
        <f t="shared" ref="I184" si="103">SUM(I174:I183)</f>
        <v>20</v>
      </c>
      <c r="J184" s="6">
        <f t="shared" ref="J184" si="104">SUM(J174:J183)</f>
        <v>9</v>
      </c>
      <c r="K184" s="6">
        <f t="shared" ref="K184" si="105">SUM(K174:K183)</f>
        <v>7</v>
      </c>
      <c r="L184" s="6">
        <f t="shared" ref="L184" si="106">SUM(L174:L183)</f>
        <v>11</v>
      </c>
      <c r="M184" s="6">
        <f t="shared" ref="M184" si="107">SUM(M174:M183)</f>
        <v>6</v>
      </c>
      <c r="N184" s="6">
        <f t="shared" ref="N184" si="108">SUM(N174:N183)</f>
        <v>7</v>
      </c>
      <c r="O184" s="6">
        <f t="shared" ref="O184" si="109">SUM(O174:O183)</f>
        <v>14</v>
      </c>
      <c r="P184" s="6">
        <f t="shared" ref="P184" si="110">SUM(P174:P183)</f>
        <v>7</v>
      </c>
      <c r="Q184" s="6">
        <f t="shared" ref="Q184" si="111">SUM(Q174:Q183)</f>
        <v>1</v>
      </c>
      <c r="R184" s="6">
        <f t="shared" ref="R184" si="112">SUM(R174:R183)</f>
        <v>9</v>
      </c>
      <c r="S184" s="6">
        <f t="shared" ref="S184" si="113">SUM(S174:S183)</f>
        <v>2</v>
      </c>
      <c r="T184" s="6">
        <f t="shared" ref="T184" si="114">SUM(T174:T183)</f>
        <v>1</v>
      </c>
      <c r="U184" s="6">
        <f t="shared" ref="U184" si="115">SUM(U174:U183)</f>
        <v>3</v>
      </c>
      <c r="V184" s="6">
        <f t="shared" ref="V184" si="116">SUM(V174:V183)</f>
        <v>2</v>
      </c>
      <c r="W184" s="6">
        <f t="shared" ref="W184" si="117">SUM(W174:W183)</f>
        <v>4</v>
      </c>
      <c r="X184" s="6">
        <f t="shared" ref="X184" si="118">SUM(X174:X183)</f>
        <v>5</v>
      </c>
      <c r="Y184" s="6">
        <f t="shared" ref="Y184" si="119">SUM(Y174:Y183)</f>
        <v>1</v>
      </c>
      <c r="Z184" s="6">
        <f t="shared" ref="Z184" si="120">SUM(Z174:Z183)</f>
        <v>7</v>
      </c>
      <c r="AA184" s="6">
        <f t="shared" ref="AA184" si="121">SUM(AA174:AA183)</f>
        <v>2</v>
      </c>
      <c r="AB184" s="6">
        <f t="shared" ref="AB184" si="122">SUM(AB174:AB183)</f>
        <v>12</v>
      </c>
      <c r="AC184" s="6">
        <f t="shared" ref="AC184" si="123">SUM(AC174:AC183)</f>
        <v>276</v>
      </c>
    </row>
    <row r="185" spans="1:29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spans="1:29" x14ac:dyDescent="0.4">
      <c r="A186" s="11" t="s">
        <v>48</v>
      </c>
      <c r="B186" s="17" t="s">
        <v>75</v>
      </c>
      <c r="C186" s="83" t="s">
        <v>76</v>
      </c>
      <c r="D186" s="55"/>
      <c r="E186" s="6">
        <v>2</v>
      </c>
      <c r="F186" s="6">
        <v>0</v>
      </c>
      <c r="G186" s="6">
        <v>0</v>
      </c>
      <c r="H186" s="6">
        <v>2</v>
      </c>
      <c r="I186" s="6">
        <v>3</v>
      </c>
      <c r="J186" s="6">
        <v>1</v>
      </c>
      <c r="K186" s="6">
        <v>1</v>
      </c>
      <c r="L186" s="6">
        <v>2</v>
      </c>
      <c r="M186" s="6">
        <v>1</v>
      </c>
      <c r="N186" s="6">
        <v>0</v>
      </c>
      <c r="O186" s="6">
        <v>1</v>
      </c>
      <c r="P186" s="6">
        <v>0</v>
      </c>
      <c r="Q186" s="6">
        <v>2</v>
      </c>
      <c r="R186" s="6">
        <v>3</v>
      </c>
      <c r="S186" s="6">
        <v>4</v>
      </c>
      <c r="T186" s="6">
        <v>1</v>
      </c>
      <c r="U186" s="6">
        <v>0</v>
      </c>
      <c r="V186" s="6">
        <v>2</v>
      </c>
      <c r="W186" s="6">
        <v>0</v>
      </c>
      <c r="X186" s="6">
        <v>2</v>
      </c>
      <c r="Y186" s="6">
        <v>4</v>
      </c>
      <c r="Z186" s="6">
        <v>0</v>
      </c>
      <c r="AA186" s="6">
        <v>1</v>
      </c>
      <c r="AB186" s="6">
        <v>3</v>
      </c>
      <c r="AC186" s="5">
        <f>SUM(E186:AB186)</f>
        <v>35</v>
      </c>
    </row>
    <row r="187" spans="1:29" x14ac:dyDescent="0.4">
      <c r="A187" s="11" t="s">
        <v>50</v>
      </c>
      <c r="B187" s="47"/>
      <c r="C187" s="24" t="s">
        <v>209</v>
      </c>
      <c r="D187" s="48"/>
      <c r="E187" s="6">
        <v>0</v>
      </c>
      <c r="F187" s="6">
        <v>2</v>
      </c>
      <c r="G187" s="6">
        <v>1</v>
      </c>
      <c r="H187" s="6">
        <v>0</v>
      </c>
      <c r="I187" s="6">
        <v>3</v>
      </c>
      <c r="J187" s="6">
        <v>4</v>
      </c>
      <c r="K187" s="6">
        <v>2</v>
      </c>
      <c r="L187" s="6">
        <v>0</v>
      </c>
      <c r="M187" s="6">
        <v>1</v>
      </c>
      <c r="N187" s="6">
        <v>1</v>
      </c>
      <c r="O187" s="6">
        <v>2</v>
      </c>
      <c r="P187" s="6">
        <v>0</v>
      </c>
      <c r="Q187" s="6">
        <v>1</v>
      </c>
      <c r="R187" s="6">
        <v>1</v>
      </c>
      <c r="S187" s="6">
        <v>2</v>
      </c>
      <c r="T187" s="6">
        <v>1</v>
      </c>
      <c r="U187" s="6">
        <v>0</v>
      </c>
      <c r="V187" s="6">
        <v>2</v>
      </c>
      <c r="W187" s="6">
        <v>0</v>
      </c>
      <c r="X187" s="6">
        <v>1</v>
      </c>
      <c r="Y187" s="6">
        <v>2</v>
      </c>
      <c r="Z187" s="6">
        <v>2</v>
      </c>
      <c r="AA187" s="6">
        <v>3</v>
      </c>
      <c r="AB187" s="6">
        <v>3</v>
      </c>
      <c r="AC187" s="5">
        <f>SUM(E187:AB187)</f>
        <v>34</v>
      </c>
    </row>
    <row r="188" spans="1:29" x14ac:dyDescent="0.4">
      <c r="A188" s="7"/>
      <c r="B188" s="47"/>
      <c r="C188" s="24" t="s">
        <v>210</v>
      </c>
      <c r="D188" s="48"/>
      <c r="E188" s="6">
        <v>4</v>
      </c>
      <c r="F188" s="6">
        <v>3</v>
      </c>
      <c r="G188" s="6">
        <v>1</v>
      </c>
      <c r="H188" s="6">
        <v>2</v>
      </c>
      <c r="I188" s="6">
        <v>3</v>
      </c>
      <c r="J188" s="6">
        <v>2</v>
      </c>
      <c r="K188" s="6">
        <v>2</v>
      </c>
      <c r="L188" s="6">
        <v>1</v>
      </c>
      <c r="M188" s="6">
        <v>0</v>
      </c>
      <c r="N188" s="6">
        <v>0</v>
      </c>
      <c r="O188" s="6">
        <v>3</v>
      </c>
      <c r="P188" s="6">
        <v>3</v>
      </c>
      <c r="Q188" s="6">
        <v>2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2</v>
      </c>
      <c r="AA188" s="6">
        <v>0</v>
      </c>
      <c r="AB188" s="6">
        <v>2</v>
      </c>
      <c r="AC188" s="5">
        <f>SUM(E188:AB188)</f>
        <v>30</v>
      </c>
    </row>
    <row r="189" spans="1:29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  <c r="U189" s="6">
        <v>0</v>
      </c>
      <c r="V189" s="6">
        <v>1</v>
      </c>
      <c r="W189" s="6">
        <v>0</v>
      </c>
      <c r="X189" s="6">
        <v>0</v>
      </c>
      <c r="Y189" s="6">
        <v>1</v>
      </c>
      <c r="Z189" s="6">
        <v>0</v>
      </c>
      <c r="AA189" s="6">
        <v>0</v>
      </c>
      <c r="AB189" s="6">
        <v>0</v>
      </c>
      <c r="AC189" s="5">
        <f>SUM(E189:AB189)</f>
        <v>6</v>
      </c>
    </row>
    <row r="190" spans="1:29" x14ac:dyDescent="0.4">
      <c r="A190" s="6" t="s">
        <v>26</v>
      </c>
      <c r="B190" s="74" t="s">
        <v>51</v>
      </c>
      <c r="C190" s="84"/>
      <c r="D190" s="85"/>
      <c r="E190" s="6">
        <f t="shared" ref="E190:AC190" si="124">SUM(E186:E189)</f>
        <v>6</v>
      </c>
      <c r="F190" s="6">
        <f t="shared" si="124"/>
        <v>5</v>
      </c>
      <c r="G190" s="6">
        <f t="shared" si="124"/>
        <v>2</v>
      </c>
      <c r="H190" s="6">
        <f t="shared" si="124"/>
        <v>4</v>
      </c>
      <c r="I190" s="6">
        <f t="shared" si="124"/>
        <v>9</v>
      </c>
      <c r="J190" s="6">
        <f t="shared" si="124"/>
        <v>8</v>
      </c>
      <c r="K190" s="6">
        <f t="shared" si="124"/>
        <v>5</v>
      </c>
      <c r="L190" s="6">
        <f t="shared" si="124"/>
        <v>3</v>
      </c>
      <c r="M190" s="6">
        <f t="shared" si="124"/>
        <v>2</v>
      </c>
      <c r="N190" s="6">
        <f t="shared" si="124"/>
        <v>3</v>
      </c>
      <c r="O190" s="6">
        <f t="shared" si="124"/>
        <v>6</v>
      </c>
      <c r="P190" s="6">
        <f t="shared" si="124"/>
        <v>3</v>
      </c>
      <c r="Q190" s="6">
        <f t="shared" si="124"/>
        <v>6</v>
      </c>
      <c r="R190" s="6">
        <f t="shared" si="124"/>
        <v>4</v>
      </c>
      <c r="S190" s="6">
        <f t="shared" si="124"/>
        <v>6</v>
      </c>
      <c r="T190" s="6">
        <f t="shared" si="124"/>
        <v>2</v>
      </c>
      <c r="U190" s="6">
        <f t="shared" si="124"/>
        <v>0</v>
      </c>
      <c r="V190" s="6">
        <f t="shared" si="124"/>
        <v>5</v>
      </c>
      <c r="W190" s="6">
        <f t="shared" si="124"/>
        <v>0</v>
      </c>
      <c r="X190" s="6">
        <f t="shared" si="124"/>
        <v>3</v>
      </c>
      <c r="Y190" s="6">
        <f t="shared" si="124"/>
        <v>7</v>
      </c>
      <c r="Z190" s="6">
        <f t="shared" si="124"/>
        <v>4</v>
      </c>
      <c r="AA190" s="6">
        <f t="shared" si="124"/>
        <v>4</v>
      </c>
      <c r="AB190" s="6">
        <f t="shared" si="124"/>
        <v>8</v>
      </c>
      <c r="AC190" s="6">
        <f t="shared" si="124"/>
        <v>105</v>
      </c>
    </row>
    <row r="191" spans="1:29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spans="1:29" x14ac:dyDescent="0.4">
      <c r="A192" s="11" t="s">
        <v>48</v>
      </c>
      <c r="B192" s="17" t="s">
        <v>77</v>
      </c>
      <c r="C192" s="83" t="s">
        <v>78</v>
      </c>
      <c r="D192" s="55"/>
      <c r="E192" s="6">
        <v>1</v>
      </c>
      <c r="F192" s="6">
        <v>0</v>
      </c>
      <c r="G192" s="6">
        <v>1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1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3</v>
      </c>
      <c r="AB192" s="6">
        <v>0</v>
      </c>
      <c r="AC192" s="5">
        <f>SUM(E192:AB192)</f>
        <v>9</v>
      </c>
    </row>
    <row r="193" spans="1:29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  <c r="K193" s="6">
        <v>1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1</v>
      </c>
      <c r="AC193" s="5">
        <f>SUM(E193:AB193)</f>
        <v>3</v>
      </c>
    </row>
    <row r="194" spans="1:29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1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>SUM(E194:AB194)</f>
        <v>2</v>
      </c>
    </row>
    <row r="195" spans="1:29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>SUM(E195:AB195)</f>
        <v>1</v>
      </c>
    </row>
    <row r="196" spans="1:29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>SUM(E196:AB196)</f>
        <v>1</v>
      </c>
    </row>
    <row r="197" spans="1:29" x14ac:dyDescent="0.4">
      <c r="A197" s="6" t="s">
        <v>26</v>
      </c>
      <c r="B197" s="74" t="s">
        <v>51</v>
      </c>
      <c r="C197" s="84"/>
      <c r="D197" s="85"/>
      <c r="E197" s="6">
        <f t="shared" ref="E197:AC197" si="125">SUM(E192:E196)</f>
        <v>1</v>
      </c>
      <c r="F197" s="6">
        <f t="shared" si="125"/>
        <v>1</v>
      </c>
      <c r="G197" s="6">
        <f t="shared" si="125"/>
        <v>1</v>
      </c>
      <c r="H197" s="6">
        <f t="shared" si="125"/>
        <v>0</v>
      </c>
      <c r="I197" s="6">
        <f t="shared" si="125"/>
        <v>1</v>
      </c>
      <c r="J197" s="6">
        <f t="shared" si="125"/>
        <v>1</v>
      </c>
      <c r="K197" s="6">
        <f t="shared" si="125"/>
        <v>2</v>
      </c>
      <c r="L197" s="6">
        <f t="shared" si="125"/>
        <v>0</v>
      </c>
      <c r="M197" s="6">
        <f t="shared" si="125"/>
        <v>0</v>
      </c>
      <c r="N197" s="6">
        <f t="shared" si="125"/>
        <v>2</v>
      </c>
      <c r="O197" s="6">
        <f t="shared" si="125"/>
        <v>1</v>
      </c>
      <c r="P197" s="6">
        <f t="shared" si="125"/>
        <v>0</v>
      </c>
      <c r="Q197" s="6">
        <f t="shared" si="125"/>
        <v>0</v>
      </c>
      <c r="R197" s="6">
        <f t="shared" si="125"/>
        <v>1</v>
      </c>
      <c r="S197" s="6">
        <f t="shared" si="125"/>
        <v>1</v>
      </c>
      <c r="T197" s="6">
        <f t="shared" si="125"/>
        <v>0</v>
      </c>
      <c r="U197" s="6">
        <f t="shared" si="125"/>
        <v>0</v>
      </c>
      <c r="V197" s="6">
        <f t="shared" si="125"/>
        <v>0</v>
      </c>
      <c r="W197" s="6">
        <f t="shared" si="125"/>
        <v>0</v>
      </c>
      <c r="X197" s="6">
        <f t="shared" si="125"/>
        <v>0</v>
      </c>
      <c r="Y197" s="6">
        <f t="shared" si="125"/>
        <v>0</v>
      </c>
      <c r="Z197" s="6">
        <f t="shared" si="125"/>
        <v>0</v>
      </c>
      <c r="AA197" s="6">
        <f t="shared" si="125"/>
        <v>3</v>
      </c>
      <c r="AB197" s="6">
        <f t="shared" si="125"/>
        <v>1</v>
      </c>
      <c r="AC197" s="6">
        <f t="shared" si="125"/>
        <v>16</v>
      </c>
    </row>
    <row r="198" spans="1:29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29" x14ac:dyDescent="0.4">
      <c r="A199" s="11" t="s">
        <v>48</v>
      </c>
      <c r="B199" s="17" t="s">
        <v>79</v>
      </c>
      <c r="C199" s="83" t="s">
        <v>80</v>
      </c>
      <c r="D199" s="55"/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1</v>
      </c>
      <c r="L199" s="6">
        <v>0</v>
      </c>
      <c r="M199" s="6">
        <v>1</v>
      </c>
      <c r="N199" s="6">
        <v>0</v>
      </c>
      <c r="O199" s="6">
        <v>1</v>
      </c>
      <c r="P199" s="6">
        <v>0</v>
      </c>
      <c r="Q199" s="6">
        <v>0</v>
      </c>
      <c r="R199" s="6">
        <v>0</v>
      </c>
      <c r="S199" s="6">
        <v>0</v>
      </c>
      <c r="T199" s="6">
        <v>2</v>
      </c>
      <c r="U199" s="6">
        <v>1</v>
      </c>
      <c r="V199" s="6">
        <v>1</v>
      </c>
      <c r="W199" s="6">
        <v>1</v>
      </c>
      <c r="X199" s="6">
        <v>0</v>
      </c>
      <c r="Y199" s="6">
        <v>1</v>
      </c>
      <c r="Z199" s="6">
        <v>0</v>
      </c>
      <c r="AA199" s="6">
        <v>1</v>
      </c>
      <c r="AB199" s="6">
        <v>2</v>
      </c>
      <c r="AC199" s="5">
        <f t="shared" ref="AC199:AC208" si="126">SUM(E199:AB199)</f>
        <v>18</v>
      </c>
    </row>
    <row r="200" spans="1:29" x14ac:dyDescent="0.4">
      <c r="A200" s="11" t="s">
        <v>50</v>
      </c>
      <c r="B200" s="47"/>
      <c r="C200" s="24" t="s">
        <v>216</v>
      </c>
      <c r="D200" s="45"/>
      <c r="E200" s="6">
        <v>0</v>
      </c>
      <c r="F200" s="6">
        <v>0</v>
      </c>
      <c r="G200" s="6">
        <v>1</v>
      </c>
      <c r="H200" s="6">
        <v>1</v>
      </c>
      <c r="I200" s="6">
        <v>0</v>
      </c>
      <c r="J200" s="6">
        <v>1</v>
      </c>
      <c r="K200" s="6">
        <v>0</v>
      </c>
      <c r="L200" s="6">
        <v>0</v>
      </c>
      <c r="M200" s="6">
        <v>2</v>
      </c>
      <c r="N200" s="6">
        <v>0</v>
      </c>
      <c r="O200" s="6">
        <v>2</v>
      </c>
      <c r="P200" s="6">
        <v>1</v>
      </c>
      <c r="Q200" s="6">
        <v>0</v>
      </c>
      <c r="R200" s="6">
        <v>0</v>
      </c>
      <c r="S200" s="6">
        <v>0</v>
      </c>
      <c r="T200" s="6">
        <v>12</v>
      </c>
      <c r="U200" s="6">
        <v>1</v>
      </c>
      <c r="V200" s="6">
        <v>0</v>
      </c>
      <c r="W200" s="6">
        <v>0</v>
      </c>
      <c r="X200" s="6">
        <v>2</v>
      </c>
      <c r="Y200" s="6">
        <v>0</v>
      </c>
      <c r="Z200" s="6">
        <v>3</v>
      </c>
      <c r="AA200" s="6">
        <v>0</v>
      </c>
      <c r="AB200" s="6">
        <v>1</v>
      </c>
      <c r="AC200" s="5">
        <f t="shared" si="126"/>
        <v>27</v>
      </c>
    </row>
    <row r="201" spans="1:29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1</v>
      </c>
      <c r="K201" s="6">
        <v>1</v>
      </c>
      <c r="L201" s="6">
        <v>0</v>
      </c>
      <c r="M201" s="6">
        <v>0</v>
      </c>
      <c r="N201" s="6">
        <v>0</v>
      </c>
      <c r="O201" s="6">
        <v>0</v>
      </c>
      <c r="P201" s="6">
        <v>2</v>
      </c>
      <c r="Q201" s="6">
        <v>0</v>
      </c>
      <c r="R201" s="6">
        <v>0</v>
      </c>
      <c r="S201" s="6">
        <v>3</v>
      </c>
      <c r="T201" s="6">
        <v>2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2</v>
      </c>
      <c r="AB201" s="6">
        <v>1</v>
      </c>
      <c r="AC201" s="5">
        <f t="shared" si="126"/>
        <v>12</v>
      </c>
    </row>
    <row r="202" spans="1:29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5">
        <f t="shared" si="126"/>
        <v>1</v>
      </c>
    </row>
    <row r="203" spans="1:29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1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5">
        <f t="shared" si="126"/>
        <v>2</v>
      </c>
    </row>
    <row r="204" spans="1:29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1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5">
        <f t="shared" si="126"/>
        <v>2</v>
      </c>
    </row>
    <row r="205" spans="1:29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5">
        <f t="shared" si="126"/>
        <v>0</v>
      </c>
    </row>
    <row r="206" spans="1:29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5">
        <f t="shared" si="126"/>
        <v>0</v>
      </c>
    </row>
    <row r="207" spans="1:29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126"/>
        <v>0</v>
      </c>
    </row>
    <row r="208" spans="1:29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5">
        <f t="shared" si="126"/>
        <v>1</v>
      </c>
    </row>
    <row r="209" spans="1:29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" si="127">SUM(E199:E208)</f>
        <v>1</v>
      </c>
      <c r="F209" s="6">
        <f t="shared" ref="F209" si="128">SUM(F199:F208)</f>
        <v>1</v>
      </c>
      <c r="G209" s="6">
        <f t="shared" ref="G209" si="129">SUM(G199:G208)</f>
        <v>3</v>
      </c>
      <c r="H209" s="6">
        <f t="shared" ref="H209" si="130">SUM(H199:H208)</f>
        <v>2</v>
      </c>
      <c r="I209" s="6">
        <f t="shared" ref="I209" si="131">SUM(I199:I208)</f>
        <v>1</v>
      </c>
      <c r="J209" s="6">
        <f t="shared" ref="J209" si="132">SUM(J199:J208)</f>
        <v>3</v>
      </c>
      <c r="K209" s="6">
        <f t="shared" ref="K209" si="133">SUM(K199:K208)</f>
        <v>4</v>
      </c>
      <c r="L209" s="6">
        <f t="shared" ref="L209" si="134">SUM(L199:L208)</f>
        <v>0</v>
      </c>
      <c r="M209" s="6">
        <f t="shared" ref="M209" si="135">SUM(M199:M208)</f>
        <v>3</v>
      </c>
      <c r="N209" s="6">
        <f t="shared" ref="N209" si="136">SUM(N199:N208)</f>
        <v>0</v>
      </c>
      <c r="O209" s="6">
        <f t="shared" ref="O209" si="137">SUM(O199:O208)</f>
        <v>3</v>
      </c>
      <c r="P209" s="6">
        <f t="shared" ref="P209" si="138">SUM(P199:P208)</f>
        <v>3</v>
      </c>
      <c r="Q209" s="6">
        <f t="shared" ref="Q209" si="139">SUM(Q199:Q208)</f>
        <v>0</v>
      </c>
      <c r="R209" s="6">
        <f t="shared" ref="R209" si="140">SUM(R199:R208)</f>
        <v>1</v>
      </c>
      <c r="S209" s="6">
        <f t="shared" ref="S209" si="141">SUM(S199:S208)</f>
        <v>3</v>
      </c>
      <c r="T209" s="6">
        <f t="shared" ref="T209" si="142">SUM(T199:T208)</f>
        <v>17</v>
      </c>
      <c r="U209" s="6">
        <f t="shared" ref="U209" si="143">SUM(U199:U208)</f>
        <v>2</v>
      </c>
      <c r="V209" s="6">
        <f t="shared" ref="V209" si="144">SUM(V199:V208)</f>
        <v>2</v>
      </c>
      <c r="W209" s="6">
        <f t="shared" ref="W209" si="145">SUM(W199:W208)</f>
        <v>1</v>
      </c>
      <c r="X209" s="6">
        <f t="shared" ref="X209" si="146">SUM(X199:X208)</f>
        <v>2</v>
      </c>
      <c r="Y209" s="6">
        <f t="shared" ref="Y209" si="147">SUM(Y199:Y208)</f>
        <v>1</v>
      </c>
      <c r="Z209" s="6">
        <f t="shared" ref="Z209" si="148">SUM(Z199:Z208)</f>
        <v>3</v>
      </c>
      <c r="AA209" s="6">
        <f t="shared" ref="AA209" si="149">SUM(AA199:AA208)</f>
        <v>3</v>
      </c>
      <c r="AB209" s="6">
        <f t="shared" ref="AB209" si="150">SUM(AB199:AB208)</f>
        <v>4</v>
      </c>
      <c r="AC209" s="6">
        <f t="shared" ref="AC209" si="151">SUM(AC199:AC208)</f>
        <v>63</v>
      </c>
    </row>
    <row r="210" spans="1:29" x14ac:dyDescent="0.4">
      <c r="A210" s="53"/>
      <c r="B210" s="75"/>
      <c r="C210" s="75"/>
      <c r="D210" s="75"/>
      <c r="E210" s="86"/>
    </row>
    <row r="211" spans="1:29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2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1</v>
      </c>
      <c r="Z211" s="6">
        <v>0</v>
      </c>
      <c r="AA211" s="6">
        <v>1</v>
      </c>
      <c r="AB211" s="6">
        <v>0</v>
      </c>
      <c r="AC211" s="5">
        <f>SUM(E211:AB211)</f>
        <v>5</v>
      </c>
    </row>
    <row r="212" spans="1:29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1</v>
      </c>
      <c r="P212" s="6">
        <v>0</v>
      </c>
      <c r="Q212" s="6">
        <v>1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5">
        <f>SUM(E212:AB212)</f>
        <v>3</v>
      </c>
    </row>
    <row r="213" spans="1:29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1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5">
        <f>SUM(E213:AB213)</f>
        <v>1</v>
      </c>
    </row>
    <row r="214" spans="1:29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5">
        <f>SUM(E214:AB214)</f>
        <v>0</v>
      </c>
    </row>
    <row r="215" spans="1:29" x14ac:dyDescent="0.4">
      <c r="A215" s="6" t="s">
        <v>26</v>
      </c>
      <c r="B215" s="74" t="s">
        <v>51</v>
      </c>
      <c r="C215" s="84"/>
      <c r="D215" s="85"/>
      <c r="E215" s="6">
        <f t="shared" ref="E215:AC215" si="152">SUM(E211:E214)</f>
        <v>0</v>
      </c>
      <c r="F215" s="6">
        <f t="shared" si="152"/>
        <v>0</v>
      </c>
      <c r="G215" s="6">
        <f t="shared" si="152"/>
        <v>0</v>
      </c>
      <c r="H215" s="6">
        <f t="shared" si="152"/>
        <v>0</v>
      </c>
      <c r="I215" s="6">
        <f t="shared" si="152"/>
        <v>0</v>
      </c>
      <c r="J215" s="6">
        <f t="shared" si="152"/>
        <v>0</v>
      </c>
      <c r="K215" s="6">
        <f t="shared" si="152"/>
        <v>0</v>
      </c>
      <c r="L215" s="6">
        <f t="shared" si="152"/>
        <v>0</v>
      </c>
      <c r="M215" s="6">
        <f t="shared" si="152"/>
        <v>0</v>
      </c>
      <c r="N215" s="6">
        <f t="shared" si="152"/>
        <v>1</v>
      </c>
      <c r="O215" s="6">
        <f t="shared" si="152"/>
        <v>1</v>
      </c>
      <c r="P215" s="6">
        <f t="shared" si="152"/>
        <v>0</v>
      </c>
      <c r="Q215" s="6">
        <f t="shared" si="152"/>
        <v>2</v>
      </c>
      <c r="R215" s="6">
        <f t="shared" si="152"/>
        <v>3</v>
      </c>
      <c r="S215" s="6">
        <f t="shared" si="152"/>
        <v>0</v>
      </c>
      <c r="T215" s="6">
        <f t="shared" si="152"/>
        <v>0</v>
      </c>
      <c r="U215" s="6">
        <f t="shared" si="152"/>
        <v>0</v>
      </c>
      <c r="V215" s="6">
        <f t="shared" si="152"/>
        <v>0</v>
      </c>
      <c r="W215" s="6">
        <f t="shared" si="152"/>
        <v>0</v>
      </c>
      <c r="X215" s="6">
        <f t="shared" si="152"/>
        <v>0</v>
      </c>
      <c r="Y215" s="6">
        <f t="shared" si="152"/>
        <v>1</v>
      </c>
      <c r="Z215" s="6">
        <f t="shared" si="152"/>
        <v>0</v>
      </c>
      <c r="AA215" s="6">
        <f t="shared" si="152"/>
        <v>1</v>
      </c>
      <c r="AB215" s="6">
        <f t="shared" si="152"/>
        <v>0</v>
      </c>
      <c r="AC215" s="6">
        <f t="shared" si="152"/>
        <v>9</v>
      </c>
    </row>
    <row r="217" spans="1:29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5"/>
      <c r="P217" s="5"/>
      <c r="Q217" s="5"/>
      <c r="R217" s="5"/>
      <c r="S217" s="5"/>
      <c r="T217" s="5"/>
      <c r="U217" s="5"/>
      <c r="V217" s="5"/>
      <c r="W217" s="5"/>
      <c r="X217" s="15"/>
      <c r="Y217" s="5"/>
      <c r="Z217" s="5"/>
      <c r="AA217" s="5"/>
      <c r="AB217" s="5"/>
      <c r="AC217" s="5"/>
    </row>
    <row r="218" spans="1:29" x14ac:dyDescent="0.4">
      <c r="A218" s="16"/>
      <c r="B218" s="19" t="s">
        <v>85</v>
      </c>
      <c r="C218" s="91" t="s">
        <v>86</v>
      </c>
      <c r="D218" s="92"/>
      <c r="E218" s="6">
        <f t="shared" ref="E218:AB218" si="153">E55+E67+E79+E91+E103+E108+E116+E128+E134+E144+E148+E160+E172+E184+E190+E197+E209+E215</f>
        <v>200</v>
      </c>
      <c r="F218" s="6">
        <f t="shared" si="153"/>
        <v>202</v>
      </c>
      <c r="G218" s="6">
        <f t="shared" si="153"/>
        <v>205</v>
      </c>
      <c r="H218" s="6">
        <f t="shared" si="153"/>
        <v>226</v>
      </c>
      <c r="I218" s="6">
        <f t="shared" si="153"/>
        <v>169</v>
      </c>
      <c r="J218" s="6">
        <f t="shared" si="153"/>
        <v>188</v>
      </c>
      <c r="K218" s="6">
        <f t="shared" si="153"/>
        <v>203</v>
      </c>
      <c r="L218" s="6">
        <f t="shared" si="153"/>
        <v>202</v>
      </c>
      <c r="M218" s="6">
        <f t="shared" si="153"/>
        <v>189</v>
      </c>
      <c r="N218" s="6">
        <f t="shared" si="153"/>
        <v>179</v>
      </c>
      <c r="O218" s="6">
        <f t="shared" si="153"/>
        <v>188</v>
      </c>
      <c r="P218" s="6">
        <f t="shared" si="153"/>
        <v>150</v>
      </c>
      <c r="Q218" s="6">
        <f t="shared" si="153"/>
        <v>177</v>
      </c>
      <c r="R218" s="6">
        <f t="shared" si="153"/>
        <v>172</v>
      </c>
      <c r="S218" s="6">
        <f t="shared" si="153"/>
        <v>163</v>
      </c>
      <c r="T218" s="6">
        <f t="shared" si="153"/>
        <v>227</v>
      </c>
      <c r="U218" s="6">
        <f t="shared" si="153"/>
        <v>235</v>
      </c>
      <c r="V218" s="6">
        <f t="shared" si="153"/>
        <v>205</v>
      </c>
      <c r="W218" s="6">
        <f t="shared" si="153"/>
        <v>203</v>
      </c>
      <c r="X218" s="6">
        <f t="shared" si="153"/>
        <v>209</v>
      </c>
      <c r="Y218" s="6">
        <f t="shared" si="153"/>
        <v>173</v>
      </c>
      <c r="Z218" s="6">
        <f t="shared" si="153"/>
        <v>146</v>
      </c>
      <c r="AA218" s="6">
        <f t="shared" si="153"/>
        <v>188</v>
      </c>
      <c r="AB218" s="6">
        <f t="shared" si="153"/>
        <v>188</v>
      </c>
      <c r="AC218" s="5">
        <f>SUM(E218:AB218)</f>
        <v>4587</v>
      </c>
    </row>
    <row r="219" spans="1:29" x14ac:dyDescent="0.4">
      <c r="A219" s="13"/>
      <c r="B219" s="19" t="s">
        <v>87</v>
      </c>
      <c r="C219" s="91" t="s">
        <v>88</v>
      </c>
      <c r="D219" s="92"/>
      <c r="E219" s="6">
        <v>26</v>
      </c>
      <c r="F219" s="6">
        <v>20</v>
      </c>
      <c r="G219" s="6">
        <v>16</v>
      </c>
      <c r="H219" s="6">
        <v>22</v>
      </c>
      <c r="I219" s="6">
        <v>21</v>
      </c>
      <c r="J219" s="6">
        <v>35</v>
      </c>
      <c r="K219" s="6">
        <v>18</v>
      </c>
      <c r="L219" s="6">
        <v>26</v>
      </c>
      <c r="M219" s="6">
        <v>26</v>
      </c>
      <c r="N219" s="6">
        <v>35</v>
      </c>
      <c r="O219" s="6">
        <v>17</v>
      </c>
      <c r="P219" s="6">
        <v>26</v>
      </c>
      <c r="Q219" s="6">
        <v>15</v>
      </c>
      <c r="R219" s="6">
        <v>30</v>
      </c>
      <c r="S219" s="6">
        <v>38</v>
      </c>
      <c r="T219" s="6">
        <v>13</v>
      </c>
      <c r="U219" s="6">
        <v>13</v>
      </c>
      <c r="V219" s="6">
        <v>27</v>
      </c>
      <c r="W219" s="6">
        <v>22</v>
      </c>
      <c r="X219" s="6">
        <v>16</v>
      </c>
      <c r="Y219" s="6">
        <v>18</v>
      </c>
      <c r="Z219" s="6">
        <v>17</v>
      </c>
      <c r="AA219" s="6">
        <v>15</v>
      </c>
      <c r="AB219" s="6">
        <v>22</v>
      </c>
      <c r="AC219" s="5">
        <f>SUM(E219:AB219)</f>
        <v>534</v>
      </c>
    </row>
    <row r="220" spans="1:29" x14ac:dyDescent="0.4">
      <c r="A220" s="14"/>
      <c r="B220" s="19" t="s">
        <v>89</v>
      </c>
      <c r="C220" s="91" t="s">
        <v>90</v>
      </c>
      <c r="D220" s="92"/>
      <c r="E220" s="5">
        <f>SUM(E218:E219)</f>
        <v>226</v>
      </c>
      <c r="F220" s="5">
        <f t="shared" ref="F220:N220" si="154">SUM(F218:F219)</f>
        <v>222</v>
      </c>
      <c r="G220" s="5">
        <f t="shared" si="154"/>
        <v>221</v>
      </c>
      <c r="H220" s="5">
        <f t="shared" si="154"/>
        <v>248</v>
      </c>
      <c r="I220" s="5">
        <f t="shared" si="154"/>
        <v>190</v>
      </c>
      <c r="J220" s="5">
        <f t="shared" si="154"/>
        <v>223</v>
      </c>
      <c r="K220" s="5">
        <f t="shared" si="154"/>
        <v>221</v>
      </c>
      <c r="L220" s="5">
        <f t="shared" si="154"/>
        <v>228</v>
      </c>
      <c r="M220" s="5">
        <f t="shared" si="154"/>
        <v>215</v>
      </c>
      <c r="N220" s="5">
        <f t="shared" si="154"/>
        <v>214</v>
      </c>
      <c r="O220" s="5">
        <f t="shared" ref="O220:AB220" si="155">SUM(O218:O219)</f>
        <v>205</v>
      </c>
      <c r="P220" s="5">
        <f t="shared" si="155"/>
        <v>176</v>
      </c>
      <c r="Q220" s="5">
        <f t="shared" si="155"/>
        <v>192</v>
      </c>
      <c r="R220" s="5">
        <f t="shared" si="155"/>
        <v>202</v>
      </c>
      <c r="S220" s="5">
        <f t="shared" si="155"/>
        <v>201</v>
      </c>
      <c r="T220" s="5">
        <f t="shared" si="155"/>
        <v>240</v>
      </c>
      <c r="U220" s="5">
        <f t="shared" si="155"/>
        <v>248</v>
      </c>
      <c r="V220" s="5">
        <f t="shared" si="155"/>
        <v>232</v>
      </c>
      <c r="W220" s="5">
        <f t="shared" si="155"/>
        <v>225</v>
      </c>
      <c r="X220" s="5">
        <f t="shared" si="155"/>
        <v>225</v>
      </c>
      <c r="Y220" s="5">
        <f t="shared" ref="Y220" si="156">SUM(Y218:Y219)</f>
        <v>191</v>
      </c>
      <c r="Z220" s="5">
        <f t="shared" si="155"/>
        <v>163</v>
      </c>
      <c r="AA220" s="5">
        <f t="shared" si="155"/>
        <v>203</v>
      </c>
      <c r="AB220" s="5">
        <f t="shared" si="155"/>
        <v>210</v>
      </c>
      <c r="AC220" s="5">
        <f>SUM(E220:AB220)</f>
        <v>5121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B37"/>
    <mergeCell ref="B38:D38"/>
    <mergeCell ref="A42:D42"/>
    <mergeCell ref="E42:AB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219:D219"/>
    <mergeCell ref="C220:D220"/>
    <mergeCell ref="B209:D209"/>
    <mergeCell ref="A210:E210"/>
    <mergeCell ref="C211:D211"/>
    <mergeCell ref="B215:D215"/>
    <mergeCell ref="B217:D217"/>
    <mergeCell ref="C218:D218"/>
  </mergeCells>
  <phoneticPr fontId="8" type="noConversion"/>
  <conditionalFormatting sqref="E14:AB15 E19:AB20 E22:AB23 E25:AB26 E33:AB33 E35:AB35 E39:AB40 E45:AB54 E57:AB66 E69:AB78 E81:AB90 E93:AB102 E105:AB107 E110:AB115 E118:AB127 E130:AB133 E136:AB143 E146:AB147 E150:AB159 E162:AB171 E174:AB183 E186:AB189 E192:AB196 E199:AB208 E211:AB214 E218:AB219">
    <cfRule type="containsBlanks" dxfId="235" priority="21">
      <formula>LEN(TRIM(E14))=0</formula>
    </cfRule>
  </conditionalFormatting>
  <conditionalFormatting sqref="E30:AB30">
    <cfRule type="expression" dxfId="234" priority="26">
      <formula>E30&lt;&gt;E47</formula>
    </cfRule>
    <cfRule type="expression" dxfId="233" priority="27">
      <formula>E30&lt;&gt;E34</formula>
    </cfRule>
  </conditionalFormatting>
  <conditionalFormatting sqref="E34:AB34">
    <cfRule type="expression" dxfId="232" priority="22">
      <formula>E30&lt;&gt;E34</formula>
    </cfRule>
    <cfRule type="expression" dxfId="231" priority="23">
      <formula>E30=E34</formula>
    </cfRule>
    <cfRule type="expression" dxfId="230" priority="28">
      <formula>E34&lt;&gt;E30</formula>
    </cfRule>
    <cfRule type="expression" dxfId="229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92D050"/>
  </sheetPr>
  <dimension ref="A2:R220"/>
  <sheetViews>
    <sheetView topLeftCell="A13" zoomScale="85" zoomScaleNormal="85" workbookViewId="0">
      <pane ySplit="1" topLeftCell="A197" activePane="bottomLeft" state="frozen"/>
      <selection activeCell="E14" sqref="E14"/>
      <selection pane="bottomLeft" activeCell="R219" sqref="R219"/>
    </sheetView>
  </sheetViews>
  <sheetFormatPr defaultRowHeight="13.15" x14ac:dyDescent="0.4"/>
  <cols>
    <col min="3" max="3" width="67.140625" bestFit="1" customWidth="1"/>
    <col min="4" max="4" width="5.85546875" bestFit="1" customWidth="1"/>
    <col min="18" max="18" width="13.28515625" customWidth="1"/>
  </cols>
  <sheetData>
    <row r="2" spans="1:18" x14ac:dyDescent="0.4">
      <c r="C2" s="43" t="s">
        <v>104</v>
      </c>
      <c r="D2" s="43" t="s">
        <v>232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234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9" t="s">
        <v>103</v>
      </c>
    </row>
    <row r="13" spans="1:18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60"/>
    </row>
    <row r="14" spans="1:18" x14ac:dyDescent="0.4">
      <c r="A14" s="7"/>
      <c r="B14" s="62" t="s">
        <v>22</v>
      </c>
      <c r="C14" s="63"/>
      <c r="D14" s="6" t="s">
        <v>23</v>
      </c>
      <c r="E14" s="6">
        <v>135</v>
      </c>
      <c r="F14" s="6">
        <v>127</v>
      </c>
      <c r="G14" s="6">
        <v>141</v>
      </c>
      <c r="H14" s="6">
        <v>142</v>
      </c>
      <c r="I14" s="6">
        <v>122</v>
      </c>
      <c r="J14" s="6">
        <v>103</v>
      </c>
      <c r="K14" s="6">
        <v>120</v>
      </c>
      <c r="L14" s="6">
        <v>109</v>
      </c>
      <c r="M14" s="6">
        <v>129</v>
      </c>
      <c r="N14" s="6">
        <v>137</v>
      </c>
      <c r="O14" s="6">
        <v>111</v>
      </c>
      <c r="P14" s="6">
        <v>114</v>
      </c>
      <c r="Q14" s="6">
        <v>141</v>
      </c>
      <c r="R14" s="5">
        <f>SUM(E14:Q14)</f>
        <v>1631</v>
      </c>
    </row>
    <row r="15" spans="1:18" x14ac:dyDescent="0.4">
      <c r="A15" s="7"/>
      <c r="B15" s="64"/>
      <c r="C15" s="65"/>
      <c r="D15" s="6" t="s">
        <v>24</v>
      </c>
      <c r="E15" s="6">
        <v>135</v>
      </c>
      <c r="F15" s="6">
        <v>125</v>
      </c>
      <c r="G15" s="6">
        <v>117</v>
      </c>
      <c r="H15" s="6">
        <v>141</v>
      </c>
      <c r="I15" s="6">
        <v>117</v>
      </c>
      <c r="J15" s="6">
        <v>108</v>
      </c>
      <c r="K15" s="6">
        <v>118</v>
      </c>
      <c r="L15" s="6">
        <v>128</v>
      </c>
      <c r="M15" s="6">
        <v>136</v>
      </c>
      <c r="N15" s="6">
        <v>122</v>
      </c>
      <c r="O15" s="6">
        <v>110</v>
      </c>
      <c r="P15" s="6">
        <v>112</v>
      </c>
      <c r="Q15" s="6">
        <v>128</v>
      </c>
      <c r="R15" s="5">
        <f>SUM(E15:Q15)</f>
        <v>1597</v>
      </c>
    </row>
    <row r="16" spans="1:18" x14ac:dyDescent="0.4">
      <c r="A16" s="8"/>
      <c r="B16" s="66"/>
      <c r="C16" s="67"/>
      <c r="D16" s="5" t="s">
        <v>25</v>
      </c>
      <c r="E16" s="5">
        <f t="shared" ref="E16:O16" si="0">SUM(E14:E15)</f>
        <v>270</v>
      </c>
      <c r="F16" s="5">
        <f t="shared" ref="F16:K16" si="1">SUM(F14:F15)</f>
        <v>252</v>
      </c>
      <c r="G16" s="5">
        <f t="shared" si="1"/>
        <v>258</v>
      </c>
      <c r="H16" s="5">
        <f t="shared" si="1"/>
        <v>283</v>
      </c>
      <c r="I16" s="5">
        <f t="shared" si="1"/>
        <v>239</v>
      </c>
      <c r="J16" s="5">
        <f t="shared" si="1"/>
        <v>211</v>
      </c>
      <c r="K16" s="5">
        <f t="shared" si="1"/>
        <v>238</v>
      </c>
      <c r="L16" s="5">
        <f t="shared" si="0"/>
        <v>237</v>
      </c>
      <c r="M16" s="5">
        <f t="shared" si="0"/>
        <v>265</v>
      </c>
      <c r="N16" s="5">
        <f t="shared" si="0"/>
        <v>259</v>
      </c>
      <c r="O16" s="5">
        <f t="shared" si="0"/>
        <v>221</v>
      </c>
      <c r="P16" s="5">
        <f t="shared" ref="P16:Q16" si="2">SUM(P14:P15)</f>
        <v>226</v>
      </c>
      <c r="Q16" s="5">
        <f t="shared" si="2"/>
        <v>269</v>
      </c>
      <c r="R16" s="5">
        <f>SUM(E16:Q16)</f>
        <v>3228</v>
      </c>
    </row>
    <row r="17" spans="1:18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28"/>
    </row>
    <row r="18" spans="1:18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28"/>
    </row>
    <row r="19" spans="1:18" x14ac:dyDescent="0.4">
      <c r="A19" s="11"/>
      <c r="B19" s="68" t="s">
        <v>28</v>
      </c>
      <c r="C19" s="69" t="s">
        <v>29</v>
      </c>
      <c r="D19" s="6" t="s">
        <v>23</v>
      </c>
      <c r="E19" s="6">
        <v>114</v>
      </c>
      <c r="F19" s="6">
        <v>89</v>
      </c>
      <c r="G19" s="6">
        <v>119</v>
      </c>
      <c r="H19" s="6">
        <v>120</v>
      </c>
      <c r="I19" s="6">
        <v>109</v>
      </c>
      <c r="J19" s="6">
        <v>98</v>
      </c>
      <c r="K19" s="6">
        <v>93</v>
      </c>
      <c r="L19" s="6">
        <v>99</v>
      </c>
      <c r="M19" s="6">
        <v>101</v>
      </c>
      <c r="N19" s="6">
        <v>115</v>
      </c>
      <c r="O19" s="6">
        <v>93</v>
      </c>
      <c r="P19" s="6">
        <v>93</v>
      </c>
      <c r="Q19" s="6">
        <v>101</v>
      </c>
      <c r="R19" s="5">
        <f t="shared" ref="R19:R30" si="3">SUM(E19:Q19)</f>
        <v>1344</v>
      </c>
    </row>
    <row r="20" spans="1:18" x14ac:dyDescent="0.4">
      <c r="A20" s="12"/>
      <c r="B20" s="65"/>
      <c r="C20" s="70"/>
      <c r="D20" s="6" t="s">
        <v>24</v>
      </c>
      <c r="E20" s="6">
        <v>120</v>
      </c>
      <c r="F20" s="6">
        <v>120</v>
      </c>
      <c r="G20" s="6">
        <v>97</v>
      </c>
      <c r="H20" s="6">
        <v>127</v>
      </c>
      <c r="I20" s="6">
        <v>112</v>
      </c>
      <c r="J20" s="6">
        <v>95</v>
      </c>
      <c r="K20" s="6">
        <v>102</v>
      </c>
      <c r="L20" s="6">
        <v>117</v>
      </c>
      <c r="M20" s="6">
        <v>116</v>
      </c>
      <c r="N20" s="6">
        <v>109</v>
      </c>
      <c r="O20" s="6">
        <v>100</v>
      </c>
      <c r="P20" s="6">
        <v>100</v>
      </c>
      <c r="Q20" s="6">
        <v>113</v>
      </c>
      <c r="R20" s="5">
        <f t="shared" si="3"/>
        <v>1428</v>
      </c>
    </row>
    <row r="21" spans="1:18" x14ac:dyDescent="0.4">
      <c r="A21" s="13"/>
      <c r="B21" s="67"/>
      <c r="C21" s="71"/>
      <c r="D21" s="5" t="s">
        <v>25</v>
      </c>
      <c r="E21" s="5">
        <f t="shared" ref="E21:O21" si="4">SUM(E19:E20)</f>
        <v>234</v>
      </c>
      <c r="F21" s="5">
        <f t="shared" ref="F21:K21" si="5">SUM(F19:F20)</f>
        <v>209</v>
      </c>
      <c r="G21" s="5">
        <f t="shared" si="5"/>
        <v>216</v>
      </c>
      <c r="H21" s="5">
        <f t="shared" si="5"/>
        <v>247</v>
      </c>
      <c r="I21" s="5">
        <f t="shared" si="5"/>
        <v>221</v>
      </c>
      <c r="J21" s="5">
        <f t="shared" si="5"/>
        <v>193</v>
      </c>
      <c r="K21" s="5">
        <f t="shared" si="5"/>
        <v>195</v>
      </c>
      <c r="L21" s="5">
        <f t="shared" si="4"/>
        <v>216</v>
      </c>
      <c r="M21" s="5">
        <f t="shared" si="4"/>
        <v>217</v>
      </c>
      <c r="N21" s="5">
        <f t="shared" si="4"/>
        <v>224</v>
      </c>
      <c r="O21" s="5">
        <f t="shared" si="4"/>
        <v>193</v>
      </c>
      <c r="P21" s="5">
        <f t="shared" ref="P21:Q21" si="6">SUM(P19:P20)</f>
        <v>193</v>
      </c>
      <c r="Q21" s="5">
        <f t="shared" si="6"/>
        <v>214</v>
      </c>
      <c r="R21" s="5">
        <f t="shared" si="3"/>
        <v>2772</v>
      </c>
    </row>
    <row r="22" spans="1:18" x14ac:dyDescent="0.4">
      <c r="A22" s="12"/>
      <c r="B22" s="68" t="s">
        <v>30</v>
      </c>
      <c r="C22" s="69" t="s">
        <v>31</v>
      </c>
      <c r="D22" s="6" t="s">
        <v>23</v>
      </c>
      <c r="E22" s="6">
        <v>3</v>
      </c>
      <c r="F22" s="6">
        <v>0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  <c r="Q22" s="6">
        <v>1</v>
      </c>
      <c r="R22" s="5">
        <f t="shared" si="3"/>
        <v>7</v>
      </c>
    </row>
    <row r="23" spans="1:18" x14ac:dyDescent="0.4">
      <c r="A23" s="12"/>
      <c r="B23" s="65"/>
      <c r="C23" s="70"/>
      <c r="D23" s="6" t="s">
        <v>24</v>
      </c>
      <c r="E23" s="6">
        <v>0</v>
      </c>
      <c r="F23" s="6">
        <v>3</v>
      </c>
      <c r="G23" s="6">
        <v>0</v>
      </c>
      <c r="H23" s="6">
        <v>0</v>
      </c>
      <c r="I23" s="6">
        <v>1</v>
      </c>
      <c r="J23" s="6">
        <v>1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3"/>
        <v>6</v>
      </c>
    </row>
    <row r="24" spans="1:18" x14ac:dyDescent="0.4">
      <c r="A24" s="13"/>
      <c r="B24" s="67"/>
      <c r="C24" s="71"/>
      <c r="D24" s="5" t="s">
        <v>25</v>
      </c>
      <c r="E24" s="5">
        <f t="shared" ref="E24:O24" si="7">SUM(E22:E23)</f>
        <v>3</v>
      </c>
      <c r="F24" s="5">
        <f t="shared" ref="F24:K24" si="8">SUM(F22:F23)</f>
        <v>3</v>
      </c>
      <c r="G24" s="5">
        <f t="shared" si="8"/>
        <v>0</v>
      </c>
      <c r="H24" s="5">
        <f t="shared" si="8"/>
        <v>2</v>
      </c>
      <c r="I24" s="5">
        <f t="shared" si="8"/>
        <v>1</v>
      </c>
      <c r="J24" s="5">
        <f t="shared" si="8"/>
        <v>1</v>
      </c>
      <c r="K24" s="5">
        <f t="shared" si="8"/>
        <v>0</v>
      </c>
      <c r="L24" s="5">
        <f t="shared" si="7"/>
        <v>1</v>
      </c>
      <c r="M24" s="5">
        <f t="shared" si="7"/>
        <v>0</v>
      </c>
      <c r="N24" s="5">
        <f t="shared" si="7"/>
        <v>0</v>
      </c>
      <c r="O24" s="5">
        <f t="shared" si="7"/>
        <v>1</v>
      </c>
      <c r="P24" s="5">
        <f t="shared" ref="P24:Q24" si="9">SUM(P22:P23)</f>
        <v>0</v>
      </c>
      <c r="Q24" s="5">
        <f t="shared" si="9"/>
        <v>1</v>
      </c>
      <c r="R24" s="5">
        <f t="shared" si="3"/>
        <v>13</v>
      </c>
    </row>
    <row r="25" spans="1:18" x14ac:dyDescent="0.4">
      <c r="A25" s="12"/>
      <c r="B25" s="68" t="s">
        <v>32</v>
      </c>
      <c r="C25" s="69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3</v>
      </c>
      <c r="K25" s="6">
        <v>1</v>
      </c>
      <c r="L25" s="6">
        <v>0</v>
      </c>
      <c r="M25" s="6">
        <v>0</v>
      </c>
      <c r="N25" s="6">
        <v>5</v>
      </c>
      <c r="O25" s="6">
        <v>2</v>
      </c>
      <c r="P25" s="6">
        <v>0</v>
      </c>
      <c r="Q25" s="6">
        <v>2</v>
      </c>
      <c r="R25" s="5">
        <f t="shared" si="3"/>
        <v>15</v>
      </c>
    </row>
    <row r="26" spans="1:18" x14ac:dyDescent="0.4">
      <c r="A26" s="12"/>
      <c r="B26" s="65"/>
      <c r="C26" s="70"/>
      <c r="D26" s="6" t="s">
        <v>24</v>
      </c>
      <c r="E26" s="6">
        <v>0</v>
      </c>
      <c r="F26" s="6">
        <v>2</v>
      </c>
      <c r="G26" s="6">
        <v>0</v>
      </c>
      <c r="H26" s="6">
        <v>0</v>
      </c>
      <c r="I26" s="6">
        <v>3</v>
      </c>
      <c r="J26" s="6">
        <v>4</v>
      </c>
      <c r="K26" s="6">
        <v>2</v>
      </c>
      <c r="L26" s="6">
        <v>0</v>
      </c>
      <c r="M26" s="6">
        <v>0</v>
      </c>
      <c r="N26" s="6">
        <v>5</v>
      </c>
      <c r="O26" s="6">
        <v>0</v>
      </c>
      <c r="P26" s="6">
        <v>1</v>
      </c>
      <c r="Q26" s="6">
        <v>1</v>
      </c>
      <c r="R26" s="5">
        <f t="shared" si="3"/>
        <v>18</v>
      </c>
    </row>
    <row r="27" spans="1:18" x14ac:dyDescent="0.4">
      <c r="A27" s="13"/>
      <c r="B27" s="67"/>
      <c r="C27" s="71"/>
      <c r="D27" s="5" t="s">
        <v>25</v>
      </c>
      <c r="E27" s="5">
        <f t="shared" ref="E27:O27" si="10">SUM(E25:E26)</f>
        <v>0</v>
      </c>
      <c r="F27" s="5">
        <f t="shared" ref="F27:K27" si="11">SUM(F25:F26)</f>
        <v>3</v>
      </c>
      <c r="G27" s="5">
        <f t="shared" si="11"/>
        <v>0</v>
      </c>
      <c r="H27" s="5">
        <f t="shared" si="11"/>
        <v>0</v>
      </c>
      <c r="I27" s="5">
        <f t="shared" si="11"/>
        <v>4</v>
      </c>
      <c r="J27" s="5">
        <f t="shared" si="11"/>
        <v>7</v>
      </c>
      <c r="K27" s="5">
        <f t="shared" si="11"/>
        <v>3</v>
      </c>
      <c r="L27" s="5">
        <f t="shared" si="10"/>
        <v>0</v>
      </c>
      <c r="M27" s="5">
        <f t="shared" si="10"/>
        <v>0</v>
      </c>
      <c r="N27" s="5">
        <f t="shared" si="10"/>
        <v>10</v>
      </c>
      <c r="O27" s="5">
        <f t="shared" si="10"/>
        <v>2</v>
      </c>
      <c r="P27" s="5">
        <f t="shared" ref="P27:Q27" si="12">SUM(P25:P26)</f>
        <v>1</v>
      </c>
      <c r="Q27" s="5">
        <f t="shared" si="12"/>
        <v>3</v>
      </c>
      <c r="R27" s="5">
        <f t="shared" si="3"/>
        <v>33</v>
      </c>
    </row>
    <row r="28" spans="1:18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117</v>
      </c>
      <c r="F28" s="5">
        <f t="shared" ref="F28:K28" si="13">SUM(F19,F22,F25)</f>
        <v>90</v>
      </c>
      <c r="G28" s="5">
        <f t="shared" si="13"/>
        <v>119</v>
      </c>
      <c r="H28" s="5">
        <f t="shared" si="13"/>
        <v>122</v>
      </c>
      <c r="I28" s="5">
        <f t="shared" si="13"/>
        <v>110</v>
      </c>
      <c r="J28" s="5">
        <f t="shared" si="13"/>
        <v>101</v>
      </c>
      <c r="K28" s="5">
        <f t="shared" si="13"/>
        <v>94</v>
      </c>
      <c r="L28" s="5">
        <f t="shared" ref="L28:O29" si="14">SUM(L19,L22,L25)</f>
        <v>99</v>
      </c>
      <c r="M28" s="5">
        <f t="shared" si="14"/>
        <v>101</v>
      </c>
      <c r="N28" s="5">
        <f t="shared" si="14"/>
        <v>120</v>
      </c>
      <c r="O28" s="5">
        <f t="shared" si="14"/>
        <v>96</v>
      </c>
      <c r="P28" s="5">
        <f t="shared" ref="P28:Q28" si="15">SUM(P19,P22,P25)</f>
        <v>93</v>
      </c>
      <c r="Q28" s="5">
        <f t="shared" si="15"/>
        <v>104</v>
      </c>
      <c r="R28" s="5">
        <f t="shared" si="3"/>
        <v>1366</v>
      </c>
    </row>
    <row r="29" spans="1:18" x14ac:dyDescent="0.4">
      <c r="A29" s="13"/>
      <c r="B29" s="65"/>
      <c r="C29" s="70"/>
      <c r="D29" s="5" t="s">
        <v>24</v>
      </c>
      <c r="E29" s="5">
        <f>SUM(E20,E23,E26)</f>
        <v>120</v>
      </c>
      <c r="F29" s="5">
        <f t="shared" ref="F29:K29" si="16">SUM(F20,F23,F26)</f>
        <v>125</v>
      </c>
      <c r="G29" s="5">
        <f t="shared" si="16"/>
        <v>97</v>
      </c>
      <c r="H29" s="5">
        <f t="shared" si="16"/>
        <v>127</v>
      </c>
      <c r="I29" s="5">
        <f t="shared" si="16"/>
        <v>116</v>
      </c>
      <c r="J29" s="5">
        <f t="shared" si="16"/>
        <v>100</v>
      </c>
      <c r="K29" s="5">
        <f t="shared" si="16"/>
        <v>104</v>
      </c>
      <c r="L29" s="5">
        <f t="shared" si="14"/>
        <v>118</v>
      </c>
      <c r="M29" s="5">
        <f t="shared" si="14"/>
        <v>116</v>
      </c>
      <c r="N29" s="5">
        <f t="shared" si="14"/>
        <v>114</v>
      </c>
      <c r="O29" s="5">
        <f t="shared" si="14"/>
        <v>100</v>
      </c>
      <c r="P29" s="5">
        <f t="shared" ref="P29:Q29" si="17">SUM(P20,P23,P26)</f>
        <v>101</v>
      </c>
      <c r="Q29" s="5">
        <f t="shared" si="17"/>
        <v>114</v>
      </c>
      <c r="R29" s="5">
        <f t="shared" si="3"/>
        <v>1452</v>
      </c>
    </row>
    <row r="30" spans="1:18" x14ac:dyDescent="0.4">
      <c r="A30" s="13"/>
      <c r="B30" s="67"/>
      <c r="C30" s="71"/>
      <c r="D30" s="5" t="s">
        <v>25</v>
      </c>
      <c r="E30" s="5">
        <f t="shared" ref="E30:O30" si="18">SUM(E28:E29)</f>
        <v>237</v>
      </c>
      <c r="F30" s="5">
        <f t="shared" ref="F30:K30" si="19">SUM(F28:F29)</f>
        <v>215</v>
      </c>
      <c r="G30" s="5">
        <f t="shared" si="19"/>
        <v>216</v>
      </c>
      <c r="H30" s="5">
        <f t="shared" si="19"/>
        <v>249</v>
      </c>
      <c r="I30" s="5">
        <f t="shared" si="19"/>
        <v>226</v>
      </c>
      <c r="J30" s="5">
        <f t="shared" si="19"/>
        <v>201</v>
      </c>
      <c r="K30" s="5">
        <f t="shared" si="19"/>
        <v>198</v>
      </c>
      <c r="L30" s="5">
        <f t="shared" si="18"/>
        <v>217</v>
      </c>
      <c r="M30" s="5">
        <f t="shared" si="18"/>
        <v>217</v>
      </c>
      <c r="N30" s="5">
        <f t="shared" si="18"/>
        <v>234</v>
      </c>
      <c r="O30" s="5">
        <f t="shared" si="18"/>
        <v>196</v>
      </c>
      <c r="P30" s="5">
        <f t="shared" ref="P30:Q30" si="20">SUM(P28:P29)</f>
        <v>194</v>
      </c>
      <c r="Q30" s="5">
        <f t="shared" si="20"/>
        <v>218</v>
      </c>
      <c r="R30" s="5">
        <f t="shared" si="3"/>
        <v>2818</v>
      </c>
    </row>
    <row r="31" spans="1:18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8"/>
    </row>
    <row r="32" spans="1:18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8"/>
    </row>
    <row r="33" spans="1:18" x14ac:dyDescent="0.4">
      <c r="A33" s="6">
        <v>1</v>
      </c>
      <c r="B33" s="61" t="s">
        <v>38</v>
      </c>
      <c r="C33" s="54"/>
      <c r="D33" s="55"/>
      <c r="E33" s="6">
        <v>276</v>
      </c>
      <c r="F33" s="6">
        <v>259</v>
      </c>
      <c r="G33" s="6">
        <v>264</v>
      </c>
      <c r="H33" s="6">
        <v>290</v>
      </c>
      <c r="I33" s="6">
        <v>245</v>
      </c>
      <c r="J33" s="6">
        <v>216</v>
      </c>
      <c r="K33" s="6">
        <v>243</v>
      </c>
      <c r="L33" s="6">
        <v>243</v>
      </c>
      <c r="M33" s="6">
        <v>271</v>
      </c>
      <c r="N33" s="6">
        <v>262</v>
      </c>
      <c r="O33" s="6">
        <v>226</v>
      </c>
      <c r="P33" s="6">
        <v>232</v>
      </c>
      <c r="Q33" s="6">
        <v>275</v>
      </c>
      <c r="R33" s="5">
        <f>SUM(E33:Q33)</f>
        <v>3302</v>
      </c>
    </row>
    <row r="34" spans="1:18" x14ac:dyDescent="0.4">
      <c r="A34" s="6">
        <v>2</v>
      </c>
      <c r="B34" s="61" t="s">
        <v>39</v>
      </c>
      <c r="C34" s="54"/>
      <c r="D34" s="55"/>
      <c r="E34" s="5">
        <v>237</v>
      </c>
      <c r="F34" s="5">
        <v>215</v>
      </c>
      <c r="G34" s="5">
        <v>216</v>
      </c>
      <c r="H34" s="5">
        <v>249</v>
      </c>
      <c r="I34" s="5">
        <v>226</v>
      </c>
      <c r="J34" s="5">
        <v>201</v>
      </c>
      <c r="K34" s="5">
        <v>198</v>
      </c>
      <c r="L34" s="5">
        <v>217</v>
      </c>
      <c r="M34" s="5">
        <v>217</v>
      </c>
      <c r="N34" s="5">
        <v>234</v>
      </c>
      <c r="O34" s="5">
        <v>196</v>
      </c>
      <c r="P34" s="5">
        <v>194</v>
      </c>
      <c r="Q34" s="5">
        <v>218</v>
      </c>
      <c r="R34" s="5">
        <f>SUM(E34:Q34)</f>
        <v>2818</v>
      </c>
    </row>
    <row r="35" spans="1:18" x14ac:dyDescent="0.4">
      <c r="A35" s="6">
        <v>3</v>
      </c>
      <c r="B35" s="61" t="s">
        <v>40</v>
      </c>
      <c r="C35" s="54"/>
      <c r="D35" s="55"/>
      <c r="E35" s="6"/>
      <c r="F35" s="6">
        <v>1</v>
      </c>
      <c r="G35" s="6"/>
      <c r="H35" s="6"/>
      <c r="I35" s="6"/>
      <c r="J35" s="6"/>
      <c r="K35" s="6"/>
      <c r="L35" s="6"/>
      <c r="M35" s="6"/>
      <c r="N35" s="6"/>
      <c r="O35" s="6">
        <v>1</v>
      </c>
      <c r="P35" s="6"/>
      <c r="Q35" s="6"/>
      <c r="R35" s="5">
        <f>SUM(E35:Q35)</f>
        <v>2</v>
      </c>
    </row>
    <row r="36" spans="1:18" x14ac:dyDescent="0.4">
      <c r="A36" s="6">
        <v>4</v>
      </c>
      <c r="B36" s="61" t="s">
        <v>41</v>
      </c>
      <c r="C36" s="54"/>
      <c r="D36" s="55"/>
      <c r="E36" s="5">
        <f t="shared" ref="E36:O36" si="21">E33-(E34+E35)</f>
        <v>39</v>
      </c>
      <c r="F36" s="5">
        <f t="shared" ref="F36:K36" si="22">F33-(F34+F35)</f>
        <v>43</v>
      </c>
      <c r="G36" s="5">
        <f t="shared" si="22"/>
        <v>48</v>
      </c>
      <c r="H36" s="5">
        <f t="shared" si="22"/>
        <v>41</v>
      </c>
      <c r="I36" s="5">
        <f t="shared" si="22"/>
        <v>19</v>
      </c>
      <c r="J36" s="5">
        <f t="shared" si="22"/>
        <v>15</v>
      </c>
      <c r="K36" s="5">
        <f t="shared" si="22"/>
        <v>45</v>
      </c>
      <c r="L36" s="5">
        <f t="shared" si="21"/>
        <v>26</v>
      </c>
      <c r="M36" s="5">
        <f t="shared" si="21"/>
        <v>54</v>
      </c>
      <c r="N36" s="5">
        <f t="shared" si="21"/>
        <v>28</v>
      </c>
      <c r="O36" s="5">
        <f t="shared" si="21"/>
        <v>29</v>
      </c>
      <c r="P36" s="5">
        <f t="shared" ref="P36:Q36" si="23">P33-(P34+P35)</f>
        <v>38</v>
      </c>
      <c r="Q36" s="5">
        <f t="shared" si="23"/>
        <v>57</v>
      </c>
      <c r="R36" s="5">
        <f>SUM(E36:Q36)</f>
        <v>482</v>
      </c>
    </row>
    <row r="37" spans="1:18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6"/>
      <c r="M37" s="76"/>
      <c r="N37" s="76"/>
      <c r="O37" s="77"/>
      <c r="P37" s="6"/>
      <c r="Q37" s="6"/>
      <c r="R37" s="28"/>
    </row>
    <row r="38" spans="1:18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8"/>
    </row>
    <row r="39" spans="1:18" x14ac:dyDescent="0.4">
      <c r="A39" s="11"/>
      <c r="B39" s="78" t="s">
        <v>44</v>
      </c>
      <c r="C39" s="63"/>
      <c r="D39" s="6" t="s">
        <v>23</v>
      </c>
      <c r="E39" s="6"/>
      <c r="F39" s="6">
        <v>1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5">
        <f>SUM(E39:Q39)</f>
        <v>1</v>
      </c>
    </row>
    <row r="40" spans="1:18" x14ac:dyDescent="0.4">
      <c r="A40" s="12"/>
      <c r="B40" s="79"/>
      <c r="C40" s="65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5">
        <f>SUM(E40:Q40)</f>
        <v>0</v>
      </c>
    </row>
    <row r="41" spans="1:18" x14ac:dyDescent="0.4">
      <c r="A41" s="14"/>
      <c r="B41" s="80"/>
      <c r="C41" s="67"/>
      <c r="D41" s="5" t="s">
        <v>25</v>
      </c>
      <c r="E41" s="5">
        <f t="shared" ref="E41:O41" si="24">SUM(E39:E40)</f>
        <v>0</v>
      </c>
      <c r="F41" s="5">
        <f t="shared" ref="F41:K41" si="25">SUM(F39:F40)</f>
        <v>1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4"/>
        <v>0</v>
      </c>
      <c r="M41" s="5">
        <f t="shared" si="24"/>
        <v>0</v>
      </c>
      <c r="N41" s="5">
        <f t="shared" si="24"/>
        <v>0</v>
      </c>
      <c r="O41" s="5">
        <f t="shared" si="24"/>
        <v>0</v>
      </c>
      <c r="P41" s="5">
        <f t="shared" ref="P41:Q41" si="26">SUM(P39:P40)</f>
        <v>0</v>
      </c>
      <c r="Q41" s="5">
        <f t="shared" si="26"/>
        <v>0</v>
      </c>
      <c r="R41" s="5">
        <f>SUM(E41:Q41)</f>
        <v>1</v>
      </c>
    </row>
    <row r="42" spans="1:18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54"/>
      <c r="M42" s="54"/>
      <c r="N42" s="54"/>
      <c r="O42" s="55"/>
      <c r="P42" s="6"/>
      <c r="Q42" s="6"/>
      <c r="R42" s="5"/>
    </row>
    <row r="43" spans="1:18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5"/>
    </row>
    <row r="45" spans="1:18" x14ac:dyDescent="0.4">
      <c r="A45" s="11" t="s">
        <v>48</v>
      </c>
      <c r="B45" s="17" t="s">
        <v>28</v>
      </c>
      <c r="C45" s="83" t="s">
        <v>49</v>
      </c>
      <c r="D45" s="55"/>
      <c r="E45" s="6">
        <v>9</v>
      </c>
      <c r="F45" s="6">
        <v>7</v>
      </c>
      <c r="G45" s="6">
        <v>8</v>
      </c>
      <c r="H45" s="6">
        <v>11</v>
      </c>
      <c r="I45" s="6">
        <v>5</v>
      </c>
      <c r="J45" s="6">
        <v>6</v>
      </c>
      <c r="K45" s="6">
        <v>5</v>
      </c>
      <c r="L45" s="6">
        <v>7</v>
      </c>
      <c r="M45" s="6">
        <v>13</v>
      </c>
      <c r="N45" s="6">
        <v>5</v>
      </c>
      <c r="O45" s="6">
        <v>6</v>
      </c>
      <c r="P45" s="6">
        <v>7</v>
      </c>
      <c r="Q45" s="6">
        <v>4</v>
      </c>
      <c r="R45" s="5">
        <f t="shared" ref="R45:R54" si="27">SUM(E45:Q45)</f>
        <v>93</v>
      </c>
    </row>
    <row r="46" spans="1:18" x14ac:dyDescent="0.4">
      <c r="A46" s="11" t="s">
        <v>50</v>
      </c>
      <c r="B46" s="46"/>
      <c r="C46" s="24" t="s">
        <v>110</v>
      </c>
      <c r="D46" s="24"/>
      <c r="E46" s="6">
        <v>15</v>
      </c>
      <c r="F46" s="6">
        <v>18</v>
      </c>
      <c r="G46" s="6">
        <v>19</v>
      </c>
      <c r="H46" s="6">
        <v>12</v>
      </c>
      <c r="I46" s="6">
        <v>31</v>
      </c>
      <c r="J46" s="6">
        <v>18</v>
      </c>
      <c r="K46" s="6">
        <v>29</v>
      </c>
      <c r="L46" s="6">
        <v>43</v>
      </c>
      <c r="M46" s="6">
        <v>38</v>
      </c>
      <c r="N46" s="6">
        <v>9</v>
      </c>
      <c r="O46" s="6">
        <v>38</v>
      </c>
      <c r="P46" s="6">
        <v>17</v>
      </c>
      <c r="Q46" s="6">
        <v>28</v>
      </c>
      <c r="R46" s="5">
        <f t="shared" si="27"/>
        <v>315</v>
      </c>
    </row>
    <row r="47" spans="1:18" x14ac:dyDescent="0.4">
      <c r="A47" s="7"/>
      <c r="B47" s="47"/>
      <c r="C47" s="24" t="s">
        <v>111</v>
      </c>
      <c r="D47" s="24"/>
      <c r="E47" s="6">
        <v>8</v>
      </c>
      <c r="F47" s="6">
        <v>1</v>
      </c>
      <c r="G47" s="6">
        <v>0</v>
      </c>
      <c r="H47" s="6">
        <v>0</v>
      </c>
      <c r="I47" s="6">
        <v>2</v>
      </c>
      <c r="J47" s="6">
        <v>3</v>
      </c>
      <c r="K47" s="6">
        <v>1</v>
      </c>
      <c r="L47" s="6">
        <v>0</v>
      </c>
      <c r="M47" s="6">
        <v>1</v>
      </c>
      <c r="N47" s="6">
        <v>1</v>
      </c>
      <c r="O47" s="6">
        <v>1</v>
      </c>
      <c r="P47" s="6">
        <v>0</v>
      </c>
      <c r="Q47" s="6">
        <v>0</v>
      </c>
      <c r="R47" s="5">
        <f t="shared" si="27"/>
        <v>18</v>
      </c>
    </row>
    <row r="48" spans="1:18" x14ac:dyDescent="0.4">
      <c r="A48" s="7"/>
      <c r="B48" s="47"/>
      <c r="C48" s="24" t="s">
        <v>112</v>
      </c>
      <c r="D48" s="24"/>
      <c r="E48" s="6">
        <v>5</v>
      </c>
      <c r="F48" s="6">
        <v>0</v>
      </c>
      <c r="G48" s="6">
        <v>0</v>
      </c>
      <c r="H48" s="6">
        <v>0</v>
      </c>
      <c r="I48" s="6">
        <v>0</v>
      </c>
      <c r="J48" s="6">
        <v>4</v>
      </c>
      <c r="K48" s="6">
        <v>1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5">
        <f t="shared" si="27"/>
        <v>11</v>
      </c>
    </row>
    <row r="49" spans="1:18" x14ac:dyDescent="0.4">
      <c r="A49" s="7"/>
      <c r="B49" s="47"/>
      <c r="C49" s="24" t="s">
        <v>113</v>
      </c>
      <c r="D49" s="24"/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0</v>
      </c>
      <c r="N49" s="6">
        <v>0</v>
      </c>
      <c r="O49" s="6">
        <v>1</v>
      </c>
      <c r="P49" s="6">
        <v>0</v>
      </c>
      <c r="Q49" s="6">
        <v>0</v>
      </c>
      <c r="R49" s="5">
        <f t="shared" si="27"/>
        <v>2</v>
      </c>
    </row>
    <row r="50" spans="1:18" x14ac:dyDescent="0.4">
      <c r="A50" s="7"/>
      <c r="B50" s="47"/>
      <c r="C50" s="24" t="s">
        <v>114</v>
      </c>
      <c r="D50" s="24"/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5">
        <f t="shared" si="27"/>
        <v>3</v>
      </c>
    </row>
    <row r="51" spans="1:18" x14ac:dyDescent="0.4">
      <c r="A51" s="7"/>
      <c r="B51" s="47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5">
        <f t="shared" si="27"/>
        <v>0</v>
      </c>
    </row>
    <row r="52" spans="1:18" ht="13.15" customHeight="1" x14ac:dyDescent="0.4">
      <c r="A52" s="7"/>
      <c r="B52" s="47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2</v>
      </c>
      <c r="R52" s="5">
        <f t="shared" si="27"/>
        <v>3</v>
      </c>
    </row>
    <row r="53" spans="1:18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5">
        <f t="shared" si="27"/>
        <v>1</v>
      </c>
    </row>
    <row r="54" spans="1:18" ht="13.15" customHeight="1" x14ac:dyDescent="0.4">
      <c r="A54" s="7"/>
      <c r="B54" s="47"/>
      <c r="C54" s="24" t="s">
        <v>118</v>
      </c>
      <c r="D54" s="24"/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5">
        <f t="shared" si="27"/>
        <v>2</v>
      </c>
    </row>
    <row r="55" spans="1:18" x14ac:dyDescent="0.4">
      <c r="A55" s="6" t="s">
        <v>26</v>
      </c>
      <c r="B55" s="74" t="s">
        <v>51</v>
      </c>
      <c r="C55" s="54"/>
      <c r="D55" s="55"/>
      <c r="E55" s="6">
        <f>SUM(E45:E54)</f>
        <v>38</v>
      </c>
      <c r="F55" s="6">
        <f t="shared" ref="F55:R55" si="28">SUM(F45:F54)</f>
        <v>27</v>
      </c>
      <c r="G55" s="6">
        <f t="shared" si="28"/>
        <v>27</v>
      </c>
      <c r="H55" s="6">
        <f t="shared" si="28"/>
        <v>23</v>
      </c>
      <c r="I55" s="6">
        <f t="shared" si="28"/>
        <v>38</v>
      </c>
      <c r="J55" s="6">
        <f t="shared" si="28"/>
        <v>31</v>
      </c>
      <c r="K55" s="6">
        <f t="shared" si="28"/>
        <v>38</v>
      </c>
      <c r="L55" s="6">
        <f t="shared" si="28"/>
        <v>51</v>
      </c>
      <c r="M55" s="6">
        <f t="shared" si="28"/>
        <v>54</v>
      </c>
      <c r="N55" s="6">
        <f t="shared" si="28"/>
        <v>15</v>
      </c>
      <c r="O55" s="6">
        <f t="shared" si="28"/>
        <v>47</v>
      </c>
      <c r="P55" s="6">
        <f t="shared" si="28"/>
        <v>25</v>
      </c>
      <c r="Q55" s="6">
        <f t="shared" si="28"/>
        <v>34</v>
      </c>
      <c r="R55" s="6">
        <f t="shared" si="28"/>
        <v>448</v>
      </c>
    </row>
    <row r="56" spans="1:18" x14ac:dyDescent="0.4">
      <c r="A56" s="81"/>
      <c r="B56" s="80"/>
      <c r="C56" s="80"/>
      <c r="D56" s="80"/>
      <c r="E56" s="80"/>
      <c r="R56" s="5"/>
    </row>
    <row r="57" spans="1:18" x14ac:dyDescent="0.4">
      <c r="A57" s="11" t="s">
        <v>48</v>
      </c>
      <c r="B57" s="17" t="s">
        <v>30</v>
      </c>
      <c r="C57" s="83" t="s">
        <v>52</v>
      </c>
      <c r="D57" s="55"/>
      <c r="E57" s="6">
        <v>6</v>
      </c>
      <c r="F57" s="6">
        <v>9</v>
      </c>
      <c r="G57" s="6">
        <v>11</v>
      </c>
      <c r="H57" s="6">
        <v>9</v>
      </c>
      <c r="I57" s="6">
        <v>6</v>
      </c>
      <c r="J57" s="6">
        <v>10</v>
      </c>
      <c r="K57" s="6">
        <v>10</v>
      </c>
      <c r="L57" s="6">
        <v>5</v>
      </c>
      <c r="M57" s="6">
        <v>3</v>
      </c>
      <c r="N57" s="6">
        <v>8</v>
      </c>
      <c r="O57" s="6">
        <v>6</v>
      </c>
      <c r="P57" s="6">
        <v>7</v>
      </c>
      <c r="Q57" s="6">
        <v>13</v>
      </c>
      <c r="R57" s="5">
        <f t="shared" ref="R57:R66" si="29">SUM(E57:Q57)</f>
        <v>103</v>
      </c>
    </row>
    <row r="58" spans="1:18" x14ac:dyDescent="0.4">
      <c r="A58" s="11" t="s">
        <v>50</v>
      </c>
      <c r="B58" s="47"/>
      <c r="C58" s="24" t="s">
        <v>119</v>
      </c>
      <c r="D58" s="48"/>
      <c r="E58" s="6">
        <v>5</v>
      </c>
      <c r="F58" s="6">
        <v>7</v>
      </c>
      <c r="G58" s="6">
        <v>2</v>
      </c>
      <c r="H58" s="6">
        <v>19</v>
      </c>
      <c r="I58" s="6">
        <v>13</v>
      </c>
      <c r="J58" s="6">
        <v>7</v>
      </c>
      <c r="K58" s="6">
        <v>11</v>
      </c>
      <c r="L58" s="6">
        <v>14</v>
      </c>
      <c r="M58" s="6">
        <v>7</v>
      </c>
      <c r="N58" s="6">
        <v>10</v>
      </c>
      <c r="O58" s="6">
        <v>5</v>
      </c>
      <c r="P58" s="6">
        <v>3</v>
      </c>
      <c r="Q58" s="6">
        <v>5</v>
      </c>
      <c r="R58" s="5">
        <f t="shared" si="29"/>
        <v>108</v>
      </c>
    </row>
    <row r="59" spans="1:18" x14ac:dyDescent="0.4">
      <c r="A59" s="7"/>
      <c r="B59" s="47"/>
      <c r="C59" s="24" t="s">
        <v>120</v>
      </c>
      <c r="D59" s="48"/>
      <c r="E59" s="6">
        <v>9</v>
      </c>
      <c r="F59" s="6">
        <v>8</v>
      </c>
      <c r="G59" s="6">
        <v>11</v>
      </c>
      <c r="H59" s="6">
        <v>10</v>
      </c>
      <c r="I59" s="6">
        <v>15</v>
      </c>
      <c r="J59" s="6">
        <v>22</v>
      </c>
      <c r="K59" s="6">
        <v>24</v>
      </c>
      <c r="L59" s="6">
        <v>40</v>
      </c>
      <c r="M59" s="6">
        <v>32</v>
      </c>
      <c r="N59" s="6">
        <v>42</v>
      </c>
      <c r="O59" s="6">
        <v>11</v>
      </c>
      <c r="P59" s="6">
        <v>15</v>
      </c>
      <c r="Q59" s="6">
        <v>19</v>
      </c>
      <c r="R59" s="5">
        <f t="shared" si="29"/>
        <v>258</v>
      </c>
    </row>
    <row r="60" spans="1:18" x14ac:dyDescent="0.4">
      <c r="A60" s="7"/>
      <c r="B60" s="47"/>
      <c r="C60" s="24" t="s">
        <v>121</v>
      </c>
      <c r="D60" s="48"/>
      <c r="E60" s="6">
        <v>0</v>
      </c>
      <c r="F60" s="6">
        <v>0</v>
      </c>
      <c r="G60" s="6">
        <v>2</v>
      </c>
      <c r="H60" s="6">
        <v>0</v>
      </c>
      <c r="I60" s="6">
        <v>1</v>
      </c>
      <c r="J60" s="6">
        <v>1</v>
      </c>
      <c r="K60" s="6">
        <v>3</v>
      </c>
      <c r="L60" s="6">
        <v>1</v>
      </c>
      <c r="M60" s="6">
        <v>0</v>
      </c>
      <c r="N60" s="6">
        <v>2</v>
      </c>
      <c r="O60" s="6">
        <v>0</v>
      </c>
      <c r="P60" s="6">
        <v>0</v>
      </c>
      <c r="Q60" s="6">
        <v>1</v>
      </c>
      <c r="R60" s="5">
        <f t="shared" si="29"/>
        <v>11</v>
      </c>
    </row>
    <row r="61" spans="1:18" x14ac:dyDescent="0.4">
      <c r="A61" s="7"/>
      <c r="B61" s="47"/>
      <c r="C61" s="24" t="s">
        <v>122</v>
      </c>
      <c r="D61" s="48"/>
      <c r="E61" s="6">
        <v>1</v>
      </c>
      <c r="F61" s="6">
        <v>0</v>
      </c>
      <c r="G61" s="6">
        <v>0</v>
      </c>
      <c r="H61" s="6">
        <v>4</v>
      </c>
      <c r="I61" s="6">
        <v>1</v>
      </c>
      <c r="J61" s="6">
        <v>3</v>
      </c>
      <c r="K61" s="6">
        <v>13</v>
      </c>
      <c r="L61" s="6">
        <v>1</v>
      </c>
      <c r="M61" s="6">
        <v>0</v>
      </c>
      <c r="N61" s="6">
        <v>6</v>
      </c>
      <c r="O61" s="6">
        <v>0</v>
      </c>
      <c r="P61" s="6">
        <v>0</v>
      </c>
      <c r="Q61" s="6">
        <v>1</v>
      </c>
      <c r="R61" s="5">
        <f t="shared" si="29"/>
        <v>30</v>
      </c>
    </row>
    <row r="62" spans="1:18" x14ac:dyDescent="0.4">
      <c r="A62" s="7"/>
      <c r="B62" s="47"/>
      <c r="C62" s="24" t="s">
        <v>123</v>
      </c>
      <c r="D62" s="48"/>
      <c r="E62" s="6">
        <v>1</v>
      </c>
      <c r="F62" s="6">
        <v>0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5">
        <f t="shared" si="29"/>
        <v>2</v>
      </c>
    </row>
    <row r="63" spans="1:18" ht="13.15" customHeight="1" x14ac:dyDescent="0.4">
      <c r="A63" s="7"/>
      <c r="B63" s="47"/>
      <c r="C63" s="24" t="s">
        <v>124</v>
      </c>
      <c r="D63" s="45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5">
        <f t="shared" si="29"/>
        <v>1</v>
      </c>
    </row>
    <row r="64" spans="1:18" x14ac:dyDescent="0.4">
      <c r="A64" s="7"/>
      <c r="B64" s="47"/>
      <c r="C64" s="24" t="s">
        <v>125</v>
      </c>
      <c r="D64" s="48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5">
        <f t="shared" si="29"/>
        <v>0</v>
      </c>
    </row>
    <row r="65" spans="1:18" x14ac:dyDescent="0.4">
      <c r="A65" s="7"/>
      <c r="B65" s="47"/>
      <c r="C65" s="24" t="s">
        <v>126</v>
      </c>
      <c r="D65" s="48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5">
        <f t="shared" si="29"/>
        <v>1</v>
      </c>
    </row>
    <row r="66" spans="1:18" x14ac:dyDescent="0.4">
      <c r="A66" s="7"/>
      <c r="B66" s="47"/>
      <c r="C66" s="24" t="s">
        <v>127</v>
      </c>
      <c r="D66" s="48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5">
        <f t="shared" si="29"/>
        <v>0</v>
      </c>
    </row>
    <row r="67" spans="1:18" x14ac:dyDescent="0.4">
      <c r="A67" s="6" t="s">
        <v>26</v>
      </c>
      <c r="B67" s="74" t="s">
        <v>51</v>
      </c>
      <c r="C67" s="54"/>
      <c r="D67" s="55"/>
      <c r="E67" s="6">
        <f t="shared" ref="E67:R67" si="30">SUM(E57:E66)</f>
        <v>22</v>
      </c>
      <c r="F67" s="6">
        <f t="shared" si="30"/>
        <v>25</v>
      </c>
      <c r="G67" s="6">
        <f t="shared" si="30"/>
        <v>26</v>
      </c>
      <c r="H67" s="6">
        <f t="shared" si="30"/>
        <v>43</v>
      </c>
      <c r="I67" s="6">
        <f t="shared" si="30"/>
        <v>36</v>
      </c>
      <c r="J67" s="6">
        <f t="shared" si="30"/>
        <v>44</v>
      </c>
      <c r="K67" s="6">
        <f t="shared" si="30"/>
        <v>61</v>
      </c>
      <c r="L67" s="6">
        <f t="shared" si="30"/>
        <v>61</v>
      </c>
      <c r="M67" s="6">
        <f t="shared" si="30"/>
        <v>42</v>
      </c>
      <c r="N67" s="6">
        <f t="shared" si="30"/>
        <v>68</v>
      </c>
      <c r="O67" s="6">
        <f t="shared" si="30"/>
        <v>22</v>
      </c>
      <c r="P67" s="6">
        <f t="shared" si="30"/>
        <v>25</v>
      </c>
      <c r="Q67" s="6">
        <f t="shared" si="30"/>
        <v>39</v>
      </c>
      <c r="R67" s="6">
        <f t="shared" si="30"/>
        <v>514</v>
      </c>
    </row>
    <row r="68" spans="1:18" x14ac:dyDescent="0.4">
      <c r="A68" s="81"/>
      <c r="B68" s="80"/>
      <c r="C68" s="80"/>
      <c r="D68" s="80"/>
      <c r="E68" s="80"/>
    </row>
    <row r="69" spans="1:18" x14ac:dyDescent="0.4">
      <c r="A69" s="11" t="s">
        <v>48</v>
      </c>
      <c r="B69" s="17" t="s">
        <v>32</v>
      </c>
      <c r="C69" s="83" t="s">
        <v>53</v>
      </c>
      <c r="D69" s="55"/>
      <c r="E69" s="6">
        <v>3</v>
      </c>
      <c r="F69" s="6">
        <v>8</v>
      </c>
      <c r="G69" s="6">
        <v>13</v>
      </c>
      <c r="H69" s="6">
        <v>4</v>
      </c>
      <c r="I69" s="6">
        <v>5</v>
      </c>
      <c r="J69" s="6">
        <v>1</v>
      </c>
      <c r="K69" s="6">
        <v>0</v>
      </c>
      <c r="L69" s="6">
        <v>5</v>
      </c>
      <c r="M69" s="6">
        <v>4</v>
      </c>
      <c r="N69" s="6">
        <v>3</v>
      </c>
      <c r="O69" s="6">
        <v>1</v>
      </c>
      <c r="P69" s="6">
        <v>1</v>
      </c>
      <c r="Q69" s="6">
        <v>5</v>
      </c>
      <c r="R69" s="5">
        <f t="shared" ref="R69:R78" si="31">SUM(E69:Q69)</f>
        <v>53</v>
      </c>
    </row>
    <row r="70" spans="1:18" x14ac:dyDescent="0.4">
      <c r="A70" s="11" t="s">
        <v>50</v>
      </c>
      <c r="B70" s="47"/>
      <c r="C70" s="24" t="s">
        <v>128</v>
      </c>
      <c r="D70" s="45"/>
      <c r="E70" s="6">
        <v>8</v>
      </c>
      <c r="F70" s="6">
        <v>10</v>
      </c>
      <c r="G70" s="6">
        <v>10</v>
      </c>
      <c r="H70" s="6">
        <v>10</v>
      </c>
      <c r="I70" s="6">
        <v>13</v>
      </c>
      <c r="J70" s="6">
        <v>2</v>
      </c>
      <c r="K70" s="6">
        <v>8</v>
      </c>
      <c r="L70" s="6">
        <v>10</v>
      </c>
      <c r="M70" s="6">
        <v>8</v>
      </c>
      <c r="N70" s="6">
        <v>9</v>
      </c>
      <c r="O70" s="6">
        <v>5</v>
      </c>
      <c r="P70" s="6">
        <v>3</v>
      </c>
      <c r="Q70" s="6">
        <v>16</v>
      </c>
      <c r="R70" s="5">
        <f t="shared" si="31"/>
        <v>112</v>
      </c>
    </row>
    <row r="71" spans="1:18" x14ac:dyDescent="0.4">
      <c r="A71" s="7"/>
      <c r="B71" s="47"/>
      <c r="C71" s="24" t="s">
        <v>129</v>
      </c>
      <c r="D71" s="45"/>
      <c r="E71" s="6">
        <v>2</v>
      </c>
      <c r="F71" s="6">
        <v>3</v>
      </c>
      <c r="G71" s="6">
        <v>4</v>
      </c>
      <c r="H71" s="6">
        <v>0</v>
      </c>
      <c r="I71" s="6">
        <v>1</v>
      </c>
      <c r="J71" s="6">
        <v>1</v>
      </c>
      <c r="K71" s="6">
        <v>2</v>
      </c>
      <c r="L71" s="6">
        <v>1</v>
      </c>
      <c r="M71" s="6">
        <v>1</v>
      </c>
      <c r="N71" s="6">
        <v>4</v>
      </c>
      <c r="O71" s="6">
        <v>2</v>
      </c>
      <c r="P71" s="6">
        <v>1</v>
      </c>
      <c r="Q71" s="6">
        <v>2</v>
      </c>
      <c r="R71" s="5">
        <f t="shared" si="31"/>
        <v>24</v>
      </c>
    </row>
    <row r="72" spans="1:18" x14ac:dyDescent="0.4">
      <c r="A72" s="7"/>
      <c r="B72" s="47"/>
      <c r="C72" s="24" t="s">
        <v>130</v>
      </c>
      <c r="D72" s="45"/>
      <c r="E72" s="6">
        <v>1</v>
      </c>
      <c r="F72" s="6">
        <v>1</v>
      </c>
      <c r="G72" s="6">
        <v>2</v>
      </c>
      <c r="H72" s="6">
        <v>1</v>
      </c>
      <c r="I72" s="6">
        <v>1</v>
      </c>
      <c r="J72" s="6">
        <v>0</v>
      </c>
      <c r="K72" s="6">
        <v>1</v>
      </c>
      <c r="L72" s="6">
        <v>0</v>
      </c>
      <c r="M72" s="6">
        <v>1</v>
      </c>
      <c r="N72" s="6">
        <v>0</v>
      </c>
      <c r="O72" s="6">
        <v>0</v>
      </c>
      <c r="P72" s="6">
        <v>3</v>
      </c>
      <c r="Q72" s="6">
        <v>3</v>
      </c>
      <c r="R72" s="5">
        <f t="shared" si="31"/>
        <v>14</v>
      </c>
    </row>
    <row r="73" spans="1:18" x14ac:dyDescent="0.4">
      <c r="A73" s="7"/>
      <c r="B73" s="47"/>
      <c r="C73" s="24" t="s">
        <v>131</v>
      </c>
      <c r="D73" s="45"/>
      <c r="E73" s="6">
        <v>5</v>
      </c>
      <c r="F73" s="6">
        <v>5</v>
      </c>
      <c r="G73" s="6">
        <v>9</v>
      </c>
      <c r="H73" s="6">
        <v>7</v>
      </c>
      <c r="I73" s="6">
        <v>4</v>
      </c>
      <c r="J73" s="6">
        <v>5</v>
      </c>
      <c r="K73" s="6">
        <v>3</v>
      </c>
      <c r="L73" s="6">
        <v>8</v>
      </c>
      <c r="M73" s="6">
        <v>4</v>
      </c>
      <c r="N73" s="6">
        <v>1</v>
      </c>
      <c r="O73" s="6">
        <v>3</v>
      </c>
      <c r="P73" s="6">
        <v>10</v>
      </c>
      <c r="Q73" s="6">
        <v>1</v>
      </c>
      <c r="R73" s="5">
        <f t="shared" si="31"/>
        <v>65</v>
      </c>
    </row>
    <row r="74" spans="1:18" ht="13.15" customHeight="1" x14ac:dyDescent="0.4">
      <c r="A74" s="7"/>
      <c r="B74" s="47"/>
      <c r="C74" s="24" t="s">
        <v>132</v>
      </c>
      <c r="D74" s="45"/>
      <c r="E74" s="6">
        <v>0</v>
      </c>
      <c r="F74" s="6">
        <v>0</v>
      </c>
      <c r="G74" s="6">
        <v>3</v>
      </c>
      <c r="H74" s="6">
        <v>0</v>
      </c>
      <c r="I74" s="6">
        <v>1</v>
      </c>
      <c r="J74" s="6">
        <v>0</v>
      </c>
      <c r="K74" s="6">
        <v>0</v>
      </c>
      <c r="L74" s="6">
        <v>2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5">
        <f t="shared" si="31"/>
        <v>7</v>
      </c>
    </row>
    <row r="75" spans="1:18" x14ac:dyDescent="0.4">
      <c r="A75" s="7"/>
      <c r="B75" s="47"/>
      <c r="C75" s="24" t="s">
        <v>133</v>
      </c>
      <c r="D75" s="45"/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5">
        <f t="shared" si="31"/>
        <v>2</v>
      </c>
    </row>
    <row r="76" spans="1:18" x14ac:dyDescent="0.4">
      <c r="A76" s="7"/>
      <c r="B76" s="47"/>
      <c r="C76" s="24" t="s">
        <v>134</v>
      </c>
      <c r="D76" s="45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5">
        <f t="shared" si="31"/>
        <v>1</v>
      </c>
    </row>
    <row r="77" spans="1:18" x14ac:dyDescent="0.4">
      <c r="A77" s="7"/>
      <c r="B77" s="47"/>
      <c r="C77" s="24" t="s">
        <v>135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5">
        <f t="shared" si="31"/>
        <v>0</v>
      </c>
    </row>
    <row r="78" spans="1:18" x14ac:dyDescent="0.4">
      <c r="A78" s="7"/>
      <c r="B78" s="47"/>
      <c r="C78" s="24" t="s">
        <v>136</v>
      </c>
      <c r="D78" s="45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0</v>
      </c>
      <c r="P78" s="6">
        <v>0</v>
      </c>
      <c r="Q78" s="6">
        <v>0</v>
      </c>
      <c r="R78" s="5">
        <f t="shared" si="31"/>
        <v>2</v>
      </c>
    </row>
    <row r="79" spans="1:18" x14ac:dyDescent="0.4">
      <c r="A79" s="6" t="s">
        <v>26</v>
      </c>
      <c r="B79" s="74" t="s">
        <v>51</v>
      </c>
      <c r="C79" s="54"/>
      <c r="D79" s="55"/>
      <c r="E79" s="6">
        <f t="shared" ref="E79:R79" si="32">SUM(E69:E78)</f>
        <v>19</v>
      </c>
      <c r="F79" s="6">
        <f t="shared" si="32"/>
        <v>28</v>
      </c>
      <c r="G79" s="6">
        <f t="shared" si="32"/>
        <v>41</v>
      </c>
      <c r="H79" s="6">
        <f t="shared" si="32"/>
        <v>23</v>
      </c>
      <c r="I79" s="6">
        <f t="shared" si="32"/>
        <v>25</v>
      </c>
      <c r="J79" s="6">
        <f t="shared" si="32"/>
        <v>9</v>
      </c>
      <c r="K79" s="6">
        <f t="shared" si="32"/>
        <v>15</v>
      </c>
      <c r="L79" s="6">
        <f t="shared" si="32"/>
        <v>26</v>
      </c>
      <c r="M79" s="6">
        <f t="shared" si="32"/>
        <v>19</v>
      </c>
      <c r="N79" s="6">
        <f t="shared" si="32"/>
        <v>18</v>
      </c>
      <c r="O79" s="6">
        <f t="shared" si="32"/>
        <v>11</v>
      </c>
      <c r="P79" s="6">
        <f t="shared" si="32"/>
        <v>18</v>
      </c>
      <c r="Q79" s="6">
        <f t="shared" si="32"/>
        <v>28</v>
      </c>
      <c r="R79" s="6">
        <f t="shared" si="32"/>
        <v>280</v>
      </c>
    </row>
    <row r="80" spans="1:18" x14ac:dyDescent="0.4">
      <c r="A80" s="81"/>
      <c r="B80" s="80"/>
      <c r="C80" s="80"/>
      <c r="D80" s="80"/>
      <c r="E80" s="80"/>
    </row>
    <row r="81" spans="1:18" x14ac:dyDescent="0.4">
      <c r="A81" s="11" t="s">
        <v>48</v>
      </c>
      <c r="B81" s="17" t="s">
        <v>34</v>
      </c>
      <c r="C81" s="83" t="s">
        <v>54</v>
      </c>
      <c r="D81" s="55"/>
      <c r="E81" s="6">
        <v>29</v>
      </c>
      <c r="F81" s="6">
        <v>16</v>
      </c>
      <c r="G81" s="6">
        <v>16</v>
      </c>
      <c r="H81" s="6">
        <v>29</v>
      </c>
      <c r="I81" s="6">
        <v>13</v>
      </c>
      <c r="J81" s="6">
        <v>7</v>
      </c>
      <c r="K81" s="6">
        <v>6</v>
      </c>
      <c r="L81" s="6">
        <v>4</v>
      </c>
      <c r="M81" s="6">
        <v>18</v>
      </c>
      <c r="N81" s="6">
        <v>16</v>
      </c>
      <c r="O81" s="6">
        <v>10</v>
      </c>
      <c r="P81" s="6">
        <v>12</v>
      </c>
      <c r="Q81" s="6">
        <v>8</v>
      </c>
      <c r="R81" s="5">
        <f t="shared" ref="R81:R90" si="33">SUM(E81:Q81)</f>
        <v>184</v>
      </c>
    </row>
    <row r="82" spans="1:18" x14ac:dyDescent="0.4">
      <c r="A82" s="11" t="s">
        <v>50</v>
      </c>
      <c r="B82" s="47"/>
      <c r="C82" s="24" t="s">
        <v>137</v>
      </c>
      <c r="D82" s="45"/>
      <c r="E82" s="6">
        <v>91</v>
      </c>
      <c r="F82" s="6">
        <v>88</v>
      </c>
      <c r="G82" s="6">
        <v>68</v>
      </c>
      <c r="H82" s="6">
        <v>90</v>
      </c>
      <c r="I82" s="6">
        <v>71</v>
      </c>
      <c r="J82" s="6">
        <v>36</v>
      </c>
      <c r="K82" s="6">
        <v>48</v>
      </c>
      <c r="L82" s="6">
        <v>44</v>
      </c>
      <c r="M82" s="6">
        <v>38</v>
      </c>
      <c r="N82" s="6">
        <v>68</v>
      </c>
      <c r="O82" s="6">
        <v>71</v>
      </c>
      <c r="P82" s="6">
        <v>65</v>
      </c>
      <c r="Q82" s="6">
        <v>60</v>
      </c>
      <c r="R82" s="5">
        <f t="shared" si="33"/>
        <v>838</v>
      </c>
    </row>
    <row r="83" spans="1:18" x14ac:dyDescent="0.4">
      <c r="A83" s="7"/>
      <c r="B83" s="47"/>
      <c r="C83" s="24" t="s">
        <v>138</v>
      </c>
      <c r="D83" s="45"/>
      <c r="E83" s="6">
        <v>8</v>
      </c>
      <c r="F83" s="6">
        <v>5</v>
      </c>
      <c r="G83" s="6">
        <v>5</v>
      </c>
      <c r="H83" s="6">
        <v>5</v>
      </c>
      <c r="I83" s="6">
        <v>2</v>
      </c>
      <c r="J83" s="6">
        <v>4</v>
      </c>
      <c r="K83" s="6">
        <v>2</v>
      </c>
      <c r="L83" s="6">
        <v>1</v>
      </c>
      <c r="M83" s="6">
        <v>3</v>
      </c>
      <c r="N83" s="6">
        <v>6</v>
      </c>
      <c r="O83" s="6">
        <v>1</v>
      </c>
      <c r="P83" s="6">
        <v>5</v>
      </c>
      <c r="Q83" s="6">
        <v>4</v>
      </c>
      <c r="R83" s="5">
        <f t="shared" si="33"/>
        <v>51</v>
      </c>
    </row>
    <row r="84" spans="1:18" x14ac:dyDescent="0.4">
      <c r="A84" s="7"/>
      <c r="B84" s="47"/>
      <c r="C84" s="24" t="s">
        <v>139</v>
      </c>
      <c r="D84" s="45"/>
      <c r="E84" s="6">
        <v>1</v>
      </c>
      <c r="F84" s="6">
        <v>2</v>
      </c>
      <c r="G84" s="6">
        <v>2</v>
      </c>
      <c r="H84" s="6">
        <v>2</v>
      </c>
      <c r="I84" s="6">
        <v>1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1</v>
      </c>
      <c r="P84" s="6">
        <v>1</v>
      </c>
      <c r="Q84" s="6">
        <v>0</v>
      </c>
      <c r="R84" s="5">
        <f t="shared" si="33"/>
        <v>11</v>
      </c>
    </row>
    <row r="85" spans="1:18" ht="13.15" customHeight="1" x14ac:dyDescent="0.4">
      <c r="A85" s="7"/>
      <c r="B85" s="47"/>
      <c r="C85" s="24" t="s">
        <v>140</v>
      </c>
      <c r="D85" s="45"/>
      <c r="E85" s="6">
        <v>2</v>
      </c>
      <c r="F85" s="6">
        <v>0</v>
      </c>
      <c r="G85" s="6">
        <v>0</v>
      </c>
      <c r="H85" s="6">
        <v>5</v>
      </c>
      <c r="I85" s="6">
        <v>1</v>
      </c>
      <c r="J85" s="6">
        <v>1</v>
      </c>
      <c r="K85" s="6">
        <v>1</v>
      </c>
      <c r="L85" s="6">
        <v>0</v>
      </c>
      <c r="M85" s="6">
        <v>2</v>
      </c>
      <c r="N85" s="6">
        <v>1</v>
      </c>
      <c r="O85" s="6">
        <v>1</v>
      </c>
      <c r="P85" s="6">
        <v>1</v>
      </c>
      <c r="Q85" s="6">
        <v>2</v>
      </c>
      <c r="R85" s="5">
        <f t="shared" si="33"/>
        <v>17</v>
      </c>
    </row>
    <row r="86" spans="1:18" x14ac:dyDescent="0.4">
      <c r="A86" s="7"/>
      <c r="B86" s="47"/>
      <c r="C86" s="24" t="s">
        <v>141</v>
      </c>
      <c r="D86" s="45"/>
      <c r="E86" s="6">
        <v>2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1</v>
      </c>
      <c r="Q86" s="6">
        <v>0</v>
      </c>
      <c r="R86" s="5">
        <f t="shared" si="33"/>
        <v>5</v>
      </c>
    </row>
    <row r="87" spans="1:18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1</v>
      </c>
      <c r="Q87" s="6">
        <v>0</v>
      </c>
      <c r="R87" s="5">
        <f t="shared" si="33"/>
        <v>2</v>
      </c>
    </row>
    <row r="88" spans="1:18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5">
        <f t="shared" si="33"/>
        <v>1</v>
      </c>
    </row>
    <row r="89" spans="1:18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5">
        <f t="shared" si="33"/>
        <v>0</v>
      </c>
    </row>
    <row r="90" spans="1:18" x14ac:dyDescent="0.4">
      <c r="A90" s="7"/>
      <c r="B90" s="47"/>
      <c r="C90" s="24" t="s">
        <v>145</v>
      </c>
      <c r="D90" s="45"/>
      <c r="E90" s="6">
        <v>0</v>
      </c>
      <c r="F90" s="6">
        <v>3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5">
        <f t="shared" si="33"/>
        <v>4</v>
      </c>
    </row>
    <row r="91" spans="1:18" x14ac:dyDescent="0.4">
      <c r="A91" s="6" t="s">
        <v>26</v>
      </c>
      <c r="B91" s="74" t="s">
        <v>51</v>
      </c>
      <c r="C91" s="54"/>
      <c r="D91" s="55"/>
      <c r="E91" s="6">
        <f t="shared" ref="E91:R91" si="34">SUM(E81:E90)</f>
        <v>133</v>
      </c>
      <c r="F91" s="6">
        <f t="shared" si="34"/>
        <v>114</v>
      </c>
      <c r="G91" s="6">
        <f t="shared" si="34"/>
        <v>91</v>
      </c>
      <c r="H91" s="6">
        <f t="shared" si="34"/>
        <v>132</v>
      </c>
      <c r="I91" s="6">
        <f t="shared" si="34"/>
        <v>88</v>
      </c>
      <c r="J91" s="6">
        <f t="shared" si="34"/>
        <v>48</v>
      </c>
      <c r="K91" s="6">
        <f t="shared" si="34"/>
        <v>58</v>
      </c>
      <c r="L91" s="6">
        <f t="shared" si="34"/>
        <v>49</v>
      </c>
      <c r="M91" s="6">
        <f t="shared" si="34"/>
        <v>63</v>
      </c>
      <c r="N91" s="6">
        <f t="shared" si="34"/>
        <v>91</v>
      </c>
      <c r="O91" s="6">
        <f t="shared" si="34"/>
        <v>85</v>
      </c>
      <c r="P91" s="6">
        <f t="shared" si="34"/>
        <v>86</v>
      </c>
      <c r="Q91" s="6">
        <f t="shared" si="34"/>
        <v>75</v>
      </c>
      <c r="R91" s="6">
        <f t="shared" si="34"/>
        <v>1113</v>
      </c>
    </row>
    <row r="92" spans="1:18" x14ac:dyDescent="0.4">
      <c r="A92" s="81"/>
      <c r="B92" s="80"/>
      <c r="C92" s="80"/>
      <c r="D92" s="80"/>
      <c r="E92" s="80"/>
    </row>
    <row r="93" spans="1:18" x14ac:dyDescent="0.4">
      <c r="A93" s="11" t="s">
        <v>48</v>
      </c>
      <c r="B93" s="17" t="s">
        <v>55</v>
      </c>
      <c r="C93" s="83" t="s">
        <v>56</v>
      </c>
      <c r="D93" s="55"/>
      <c r="E93" s="6">
        <v>0</v>
      </c>
      <c r="F93" s="6">
        <v>0</v>
      </c>
      <c r="G93" s="6">
        <v>1</v>
      </c>
      <c r="H93" s="6">
        <v>0</v>
      </c>
      <c r="I93" s="6">
        <v>2</v>
      </c>
      <c r="J93" s="6">
        <v>2</v>
      </c>
      <c r="K93" s="6">
        <v>3</v>
      </c>
      <c r="L93" s="6">
        <v>0</v>
      </c>
      <c r="M93" s="6">
        <v>0</v>
      </c>
      <c r="N93" s="6">
        <v>1</v>
      </c>
      <c r="O93" s="6">
        <v>3</v>
      </c>
      <c r="P93" s="6">
        <v>0</v>
      </c>
      <c r="Q93" s="6">
        <v>5</v>
      </c>
      <c r="R93" s="5">
        <f t="shared" ref="R93:R102" si="35">SUM(E93:Q93)</f>
        <v>17</v>
      </c>
    </row>
    <row r="94" spans="1:18" x14ac:dyDescent="0.4">
      <c r="A94" s="11" t="s">
        <v>50</v>
      </c>
      <c r="B94" s="47"/>
      <c r="C94" s="24" t="s">
        <v>146</v>
      </c>
      <c r="D94" s="45"/>
      <c r="E94" s="6">
        <v>0</v>
      </c>
      <c r="F94" s="6">
        <v>0</v>
      </c>
      <c r="G94" s="6">
        <v>1</v>
      </c>
      <c r="H94" s="6">
        <v>1</v>
      </c>
      <c r="I94" s="6">
        <v>1</v>
      </c>
      <c r="J94" s="6">
        <v>5</v>
      </c>
      <c r="K94" s="6">
        <v>6</v>
      </c>
      <c r="L94" s="6">
        <v>0</v>
      </c>
      <c r="M94" s="6">
        <v>0</v>
      </c>
      <c r="N94" s="6">
        <v>5</v>
      </c>
      <c r="O94" s="6">
        <v>5</v>
      </c>
      <c r="P94" s="6">
        <v>0</v>
      </c>
      <c r="Q94" s="6">
        <v>2</v>
      </c>
      <c r="R94" s="5">
        <f t="shared" si="35"/>
        <v>26</v>
      </c>
    </row>
    <row r="95" spans="1:18" x14ac:dyDescent="0.4">
      <c r="A95" s="7"/>
      <c r="B95" s="47"/>
      <c r="C95" s="24" t="s">
        <v>147</v>
      </c>
      <c r="D95" s="45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0</v>
      </c>
      <c r="L95" s="6">
        <v>1</v>
      </c>
      <c r="M95" s="6">
        <v>0</v>
      </c>
      <c r="N95" s="6">
        <v>1</v>
      </c>
      <c r="O95" s="6">
        <v>0</v>
      </c>
      <c r="P95" s="6">
        <v>0</v>
      </c>
      <c r="Q95" s="6">
        <v>1</v>
      </c>
      <c r="R95" s="5">
        <f t="shared" si="35"/>
        <v>4</v>
      </c>
    </row>
    <row r="96" spans="1:18" ht="13.15" customHeight="1" x14ac:dyDescent="0.4">
      <c r="A96" s="7"/>
      <c r="B96" s="47"/>
      <c r="C96" s="24" t="s">
        <v>148</v>
      </c>
      <c r="D96" s="45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5">
        <f t="shared" si="35"/>
        <v>0</v>
      </c>
    </row>
    <row r="97" spans="1:18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2</v>
      </c>
      <c r="P97" s="6">
        <v>1</v>
      </c>
      <c r="Q97" s="6">
        <v>0</v>
      </c>
      <c r="R97" s="5">
        <f t="shared" si="35"/>
        <v>3</v>
      </c>
    </row>
    <row r="98" spans="1:18" x14ac:dyDescent="0.4">
      <c r="A98" s="7"/>
      <c r="B98" s="47"/>
      <c r="C98" s="24" t="s">
        <v>150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1</v>
      </c>
      <c r="R98" s="5">
        <f t="shared" si="35"/>
        <v>2</v>
      </c>
    </row>
    <row r="99" spans="1:18" x14ac:dyDescent="0.4">
      <c r="A99" s="7"/>
      <c r="B99" s="47"/>
      <c r="C99" s="24" t="s">
        <v>151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4</v>
      </c>
      <c r="Q99" s="6">
        <v>3</v>
      </c>
      <c r="R99" s="5">
        <f t="shared" si="35"/>
        <v>8</v>
      </c>
    </row>
    <row r="100" spans="1:18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5">
        <f t="shared" si="35"/>
        <v>0</v>
      </c>
    </row>
    <row r="101" spans="1:18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5">
        <f t="shared" si="35"/>
        <v>0</v>
      </c>
    </row>
    <row r="102" spans="1:18" x14ac:dyDescent="0.4">
      <c r="A102" s="7"/>
      <c r="B102" s="47"/>
      <c r="C102" s="24" t="s">
        <v>154</v>
      </c>
      <c r="D102" s="45"/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1</v>
      </c>
      <c r="Q102" s="6">
        <v>0</v>
      </c>
      <c r="R102" s="5">
        <f t="shared" si="35"/>
        <v>2</v>
      </c>
    </row>
    <row r="103" spans="1:18" x14ac:dyDescent="0.4">
      <c r="A103" s="6" t="s">
        <v>26</v>
      </c>
      <c r="B103" s="74" t="s">
        <v>51</v>
      </c>
      <c r="C103" s="54"/>
      <c r="D103" s="55"/>
      <c r="E103" s="6">
        <f t="shared" ref="E103:R103" si="36">SUM(E93:E102)</f>
        <v>1</v>
      </c>
      <c r="F103" s="6">
        <f t="shared" si="36"/>
        <v>0</v>
      </c>
      <c r="G103" s="6">
        <f t="shared" si="36"/>
        <v>2</v>
      </c>
      <c r="H103" s="6">
        <f t="shared" si="36"/>
        <v>1</v>
      </c>
      <c r="I103" s="6">
        <f t="shared" si="36"/>
        <v>3</v>
      </c>
      <c r="J103" s="6">
        <f t="shared" si="36"/>
        <v>8</v>
      </c>
      <c r="K103" s="6">
        <f t="shared" si="36"/>
        <v>9</v>
      </c>
      <c r="L103" s="6">
        <f t="shared" si="36"/>
        <v>1</v>
      </c>
      <c r="M103" s="6">
        <f t="shared" si="36"/>
        <v>0</v>
      </c>
      <c r="N103" s="6">
        <f t="shared" si="36"/>
        <v>9</v>
      </c>
      <c r="O103" s="6">
        <f t="shared" si="36"/>
        <v>10</v>
      </c>
      <c r="P103" s="6">
        <f t="shared" si="36"/>
        <v>6</v>
      </c>
      <c r="Q103" s="6">
        <f t="shared" si="36"/>
        <v>12</v>
      </c>
      <c r="R103" s="6">
        <f t="shared" si="36"/>
        <v>62</v>
      </c>
    </row>
    <row r="104" spans="1:18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x14ac:dyDescent="0.4">
      <c r="A105" s="11" t="s">
        <v>48</v>
      </c>
      <c r="B105" s="17" t="s">
        <v>57</v>
      </c>
      <c r="C105" s="83" t="s">
        <v>58</v>
      </c>
      <c r="D105" s="55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2</v>
      </c>
      <c r="N105" s="6">
        <v>0</v>
      </c>
      <c r="O105" s="6">
        <v>0</v>
      </c>
      <c r="P105" s="6">
        <v>2</v>
      </c>
      <c r="Q105" s="6">
        <v>5</v>
      </c>
      <c r="R105" s="5">
        <f>SUM(E105:Q105)</f>
        <v>9</v>
      </c>
    </row>
    <row r="106" spans="1:18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1</v>
      </c>
      <c r="R106" s="5">
        <f>SUM(E106:Q106)</f>
        <v>3</v>
      </c>
    </row>
    <row r="107" spans="1:18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5">
        <f>SUM(E107:Q107)</f>
        <v>0</v>
      </c>
    </row>
    <row r="108" spans="1:18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R108" si="37">SUM(E105:E107)</f>
        <v>0</v>
      </c>
      <c r="F108" s="6">
        <f t="shared" si="37"/>
        <v>0</v>
      </c>
      <c r="G108" s="6">
        <f t="shared" si="37"/>
        <v>0</v>
      </c>
      <c r="H108" s="6">
        <f t="shared" si="37"/>
        <v>0</v>
      </c>
      <c r="I108" s="6">
        <f t="shared" si="37"/>
        <v>1</v>
      </c>
      <c r="J108" s="6">
        <f t="shared" si="37"/>
        <v>0</v>
      </c>
      <c r="K108" s="6">
        <f t="shared" si="37"/>
        <v>1</v>
      </c>
      <c r="L108" s="6">
        <f t="shared" si="37"/>
        <v>0</v>
      </c>
      <c r="M108" s="6">
        <f t="shared" si="37"/>
        <v>2</v>
      </c>
      <c r="N108" s="6">
        <f t="shared" si="37"/>
        <v>0</v>
      </c>
      <c r="O108" s="6">
        <f t="shared" si="37"/>
        <v>0</v>
      </c>
      <c r="P108" s="6">
        <f t="shared" si="37"/>
        <v>2</v>
      </c>
      <c r="Q108" s="6">
        <f t="shared" si="37"/>
        <v>6</v>
      </c>
      <c r="R108" s="6">
        <f t="shared" si="37"/>
        <v>12</v>
      </c>
    </row>
    <row r="109" spans="1:18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5"/>
    </row>
    <row r="110" spans="1:18" x14ac:dyDescent="0.4">
      <c r="A110" s="11" t="s">
        <v>48</v>
      </c>
      <c r="B110" s="17" t="s">
        <v>59</v>
      </c>
      <c r="C110" s="83" t="s">
        <v>60</v>
      </c>
      <c r="D110" s="55"/>
      <c r="E110" s="6">
        <v>0</v>
      </c>
      <c r="F110" s="6">
        <v>0</v>
      </c>
      <c r="G110" s="6">
        <v>0</v>
      </c>
      <c r="H110" s="6">
        <v>0</v>
      </c>
      <c r="I110" s="6">
        <v>1</v>
      </c>
      <c r="J110" s="6">
        <v>0</v>
      </c>
      <c r="K110" s="6">
        <v>0</v>
      </c>
      <c r="L110" s="6">
        <v>0</v>
      </c>
      <c r="M110" s="6">
        <v>1</v>
      </c>
      <c r="N110" s="6">
        <v>1</v>
      </c>
      <c r="O110" s="6">
        <v>2</v>
      </c>
      <c r="P110" s="6">
        <v>1</v>
      </c>
      <c r="Q110" s="6">
        <v>1</v>
      </c>
      <c r="R110" s="5">
        <f t="shared" ref="R110:R115" si="38">SUM(E110:Q110)</f>
        <v>7</v>
      </c>
    </row>
    <row r="111" spans="1:18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0</v>
      </c>
      <c r="H111" s="6">
        <v>1</v>
      </c>
      <c r="I111" s="6">
        <v>0</v>
      </c>
      <c r="J111" s="6">
        <v>1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5">
        <f t="shared" si="38"/>
        <v>2</v>
      </c>
    </row>
    <row r="112" spans="1:18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5">
        <f t="shared" si="38"/>
        <v>0</v>
      </c>
    </row>
    <row r="113" spans="1:18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5">
        <f t="shared" si="38"/>
        <v>0</v>
      </c>
    </row>
    <row r="114" spans="1:18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5">
        <f t="shared" si="38"/>
        <v>0</v>
      </c>
    </row>
    <row r="115" spans="1:18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0</v>
      </c>
      <c r="L115" s="6">
        <v>0</v>
      </c>
      <c r="M115" s="6">
        <v>1</v>
      </c>
      <c r="N115" s="6">
        <v>0</v>
      </c>
      <c r="O115" s="6">
        <v>0</v>
      </c>
      <c r="P115" s="6">
        <v>0</v>
      </c>
      <c r="Q115" s="6">
        <v>0</v>
      </c>
      <c r="R115" s="5">
        <f t="shared" si="38"/>
        <v>2</v>
      </c>
    </row>
    <row r="116" spans="1:18" x14ac:dyDescent="0.4">
      <c r="A116" s="6" t="s">
        <v>26</v>
      </c>
      <c r="B116" s="74" t="s">
        <v>51</v>
      </c>
      <c r="C116" s="84"/>
      <c r="D116" s="85"/>
      <c r="E116" s="6">
        <f t="shared" ref="E116:R116" si="39">SUM(E110:E115)</f>
        <v>0</v>
      </c>
      <c r="F116" s="6">
        <f t="shared" si="39"/>
        <v>0</v>
      </c>
      <c r="G116" s="6">
        <f t="shared" si="39"/>
        <v>0</v>
      </c>
      <c r="H116" s="6">
        <f t="shared" si="39"/>
        <v>1</v>
      </c>
      <c r="I116" s="6">
        <f t="shared" si="39"/>
        <v>2</v>
      </c>
      <c r="J116" s="6">
        <f t="shared" si="39"/>
        <v>1</v>
      </c>
      <c r="K116" s="6">
        <f t="shared" si="39"/>
        <v>0</v>
      </c>
      <c r="L116" s="6">
        <f t="shared" si="39"/>
        <v>0</v>
      </c>
      <c r="M116" s="6">
        <f t="shared" si="39"/>
        <v>2</v>
      </c>
      <c r="N116" s="6">
        <f t="shared" si="39"/>
        <v>1</v>
      </c>
      <c r="O116" s="6">
        <f t="shared" si="39"/>
        <v>2</v>
      </c>
      <c r="P116" s="6">
        <f t="shared" si="39"/>
        <v>1</v>
      </c>
      <c r="Q116" s="6">
        <f t="shared" si="39"/>
        <v>1</v>
      </c>
      <c r="R116" s="6">
        <f t="shared" si="39"/>
        <v>11</v>
      </c>
    </row>
    <row r="117" spans="1:18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x14ac:dyDescent="0.4">
      <c r="A118" s="11" t="s">
        <v>48</v>
      </c>
      <c r="B118" s="17" t="s">
        <v>61</v>
      </c>
      <c r="C118" s="83" t="s">
        <v>62</v>
      </c>
      <c r="D118" s="55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1</v>
      </c>
      <c r="P118" s="6">
        <v>0</v>
      </c>
      <c r="Q118" s="6">
        <v>0</v>
      </c>
      <c r="R118" s="5">
        <f t="shared" ref="R118:R127" si="40">SUM(E118:Q118)</f>
        <v>2</v>
      </c>
    </row>
    <row r="119" spans="1:18" ht="13.15" customHeight="1" x14ac:dyDescent="0.4">
      <c r="A119" s="11" t="s">
        <v>50</v>
      </c>
      <c r="B119" s="47"/>
      <c r="C119" s="24" t="s">
        <v>162</v>
      </c>
      <c r="D119" s="48"/>
      <c r="E119" s="6">
        <v>2</v>
      </c>
      <c r="F119" s="6">
        <v>4</v>
      </c>
      <c r="G119" s="6">
        <v>1</v>
      </c>
      <c r="H119" s="6">
        <v>0</v>
      </c>
      <c r="I119" s="6">
        <v>3</v>
      </c>
      <c r="J119" s="6">
        <v>0</v>
      </c>
      <c r="K119" s="6">
        <v>1</v>
      </c>
      <c r="L119" s="6">
        <v>2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5">
        <f t="shared" si="40"/>
        <v>14</v>
      </c>
    </row>
    <row r="120" spans="1:18" x14ac:dyDescent="0.4">
      <c r="A120" s="7"/>
      <c r="B120" s="47"/>
      <c r="C120" s="24" t="s">
        <v>163</v>
      </c>
      <c r="D120" s="48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5">
        <f t="shared" si="40"/>
        <v>0</v>
      </c>
    </row>
    <row r="121" spans="1:18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5">
        <f t="shared" si="40"/>
        <v>1</v>
      </c>
    </row>
    <row r="122" spans="1:18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5">
        <f t="shared" si="40"/>
        <v>0</v>
      </c>
    </row>
    <row r="123" spans="1:18" x14ac:dyDescent="0.4">
      <c r="A123" s="7"/>
      <c r="B123" s="47"/>
      <c r="C123" s="24" t="s">
        <v>166</v>
      </c>
      <c r="D123" s="48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1</v>
      </c>
      <c r="Q123" s="6">
        <v>0</v>
      </c>
      <c r="R123" s="5">
        <f t="shared" si="40"/>
        <v>2</v>
      </c>
    </row>
    <row r="124" spans="1:18" x14ac:dyDescent="0.4">
      <c r="A124" s="7"/>
      <c r="B124" s="47"/>
      <c r="C124" s="24" t="s">
        <v>167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5">
        <f t="shared" si="40"/>
        <v>0</v>
      </c>
    </row>
    <row r="125" spans="1:18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5">
        <f t="shared" si="40"/>
        <v>0</v>
      </c>
    </row>
    <row r="126" spans="1:18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5">
        <f t="shared" si="40"/>
        <v>0</v>
      </c>
    </row>
    <row r="127" spans="1:18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5">
        <f t="shared" si="40"/>
        <v>0</v>
      </c>
    </row>
    <row r="128" spans="1:18" x14ac:dyDescent="0.4">
      <c r="A128" s="6" t="s">
        <v>26</v>
      </c>
      <c r="B128" s="74" t="s">
        <v>51</v>
      </c>
      <c r="C128" s="84"/>
      <c r="D128" s="85"/>
      <c r="E128" s="6">
        <f t="shared" ref="E128:R128" si="41">SUM(E118:E127)</f>
        <v>2</v>
      </c>
      <c r="F128" s="6">
        <f t="shared" si="41"/>
        <v>4</v>
      </c>
      <c r="G128" s="6">
        <f t="shared" si="41"/>
        <v>1</v>
      </c>
      <c r="H128" s="6">
        <f t="shared" si="41"/>
        <v>0</v>
      </c>
      <c r="I128" s="6">
        <f t="shared" si="41"/>
        <v>3</v>
      </c>
      <c r="J128" s="6">
        <f t="shared" si="41"/>
        <v>0</v>
      </c>
      <c r="K128" s="6">
        <f t="shared" si="41"/>
        <v>1</v>
      </c>
      <c r="L128" s="6">
        <f t="shared" si="41"/>
        <v>3</v>
      </c>
      <c r="M128" s="6">
        <f t="shared" si="41"/>
        <v>0</v>
      </c>
      <c r="N128" s="6">
        <f t="shared" si="41"/>
        <v>2</v>
      </c>
      <c r="O128" s="6">
        <f t="shared" si="41"/>
        <v>1</v>
      </c>
      <c r="P128" s="6">
        <f t="shared" si="41"/>
        <v>1</v>
      </c>
      <c r="Q128" s="6">
        <f t="shared" si="41"/>
        <v>1</v>
      </c>
      <c r="R128" s="6">
        <f t="shared" si="41"/>
        <v>19</v>
      </c>
    </row>
    <row r="129" spans="1:18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5">
        <f>SUM(E130:Q130)</f>
        <v>0</v>
      </c>
    </row>
    <row r="131" spans="1:18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5">
        <f>SUM(E131:Q131)</f>
        <v>1</v>
      </c>
    </row>
    <row r="132" spans="1:18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f>SUM(E132:Q132)</f>
        <v>0</v>
      </c>
    </row>
    <row r="133" spans="1:18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5">
        <f>SUM(E133:Q133)</f>
        <v>0</v>
      </c>
    </row>
    <row r="134" spans="1:18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R134" si="42">SUM(E130:E133)</f>
        <v>0</v>
      </c>
      <c r="F134" s="6">
        <f t="shared" si="42"/>
        <v>0</v>
      </c>
      <c r="G134" s="6">
        <f t="shared" si="42"/>
        <v>0</v>
      </c>
      <c r="H134" s="6">
        <f t="shared" si="42"/>
        <v>0</v>
      </c>
      <c r="I134" s="6">
        <f t="shared" si="42"/>
        <v>0</v>
      </c>
      <c r="J134" s="6">
        <f t="shared" si="42"/>
        <v>0</v>
      </c>
      <c r="K134" s="6">
        <f t="shared" si="42"/>
        <v>0</v>
      </c>
      <c r="L134" s="6">
        <f t="shared" si="42"/>
        <v>0</v>
      </c>
      <c r="M134" s="6">
        <f t="shared" si="42"/>
        <v>0</v>
      </c>
      <c r="N134" s="6">
        <f t="shared" si="42"/>
        <v>0</v>
      </c>
      <c r="O134" s="6">
        <f t="shared" si="42"/>
        <v>0</v>
      </c>
      <c r="P134" s="6">
        <f t="shared" si="42"/>
        <v>0</v>
      </c>
      <c r="Q134" s="6">
        <f t="shared" si="42"/>
        <v>1</v>
      </c>
      <c r="R134" s="6">
        <f t="shared" si="42"/>
        <v>1</v>
      </c>
    </row>
    <row r="135" spans="1:18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5"/>
    </row>
    <row r="136" spans="1:18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5">
        <f t="shared" ref="R136:R143" si="43">SUM(E136:Q136)</f>
        <v>0</v>
      </c>
    </row>
    <row r="137" spans="1:18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0</v>
      </c>
      <c r="G137" s="6">
        <v>0</v>
      </c>
      <c r="H137" s="6">
        <v>2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5">
        <f t="shared" si="43"/>
        <v>3</v>
      </c>
    </row>
    <row r="138" spans="1:18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5">
        <f t="shared" si="43"/>
        <v>0</v>
      </c>
    </row>
    <row r="139" spans="1:18" x14ac:dyDescent="0.4">
      <c r="A139" s="7"/>
      <c r="B139" s="51"/>
      <c r="C139" s="24" t="s">
        <v>176</v>
      </c>
      <c r="D139" s="52"/>
      <c r="E139" s="50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5">
        <f t="shared" si="43"/>
        <v>0</v>
      </c>
    </row>
    <row r="140" spans="1:18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5">
        <f t="shared" si="43"/>
        <v>0</v>
      </c>
    </row>
    <row r="141" spans="1:18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 t="shared" si="43"/>
        <v>0</v>
      </c>
    </row>
    <row r="142" spans="1:18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5">
        <f t="shared" si="43"/>
        <v>0</v>
      </c>
    </row>
    <row r="143" spans="1:18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5">
        <f t="shared" si="43"/>
        <v>0</v>
      </c>
    </row>
    <row r="144" spans="1:18" x14ac:dyDescent="0.4">
      <c r="A144" s="6" t="s">
        <v>26</v>
      </c>
      <c r="B144" s="88" t="s">
        <v>51</v>
      </c>
      <c r="C144" s="89"/>
      <c r="D144" s="90"/>
      <c r="E144" s="6">
        <f t="shared" ref="E144:R144" si="44">SUM(E136:E143)</f>
        <v>0</v>
      </c>
      <c r="F144" s="6">
        <f t="shared" si="44"/>
        <v>0</v>
      </c>
      <c r="G144" s="6">
        <f t="shared" si="44"/>
        <v>0</v>
      </c>
      <c r="H144" s="6">
        <f t="shared" si="44"/>
        <v>2</v>
      </c>
      <c r="I144" s="6">
        <f t="shared" si="44"/>
        <v>0</v>
      </c>
      <c r="J144" s="6">
        <f t="shared" si="44"/>
        <v>1</v>
      </c>
      <c r="K144" s="6">
        <f t="shared" si="44"/>
        <v>0</v>
      </c>
      <c r="L144" s="6">
        <f t="shared" si="44"/>
        <v>0</v>
      </c>
      <c r="M144" s="6">
        <f t="shared" si="44"/>
        <v>0</v>
      </c>
      <c r="N144" s="6">
        <f t="shared" si="44"/>
        <v>0</v>
      </c>
      <c r="O144" s="6">
        <f t="shared" si="44"/>
        <v>0</v>
      </c>
      <c r="P144" s="6">
        <f t="shared" si="44"/>
        <v>0</v>
      </c>
      <c r="Q144" s="6">
        <f t="shared" si="44"/>
        <v>0</v>
      </c>
      <c r="R144" s="6">
        <f t="shared" si="44"/>
        <v>3</v>
      </c>
    </row>
    <row r="145" spans="1:18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0</v>
      </c>
      <c r="G146" s="6">
        <v>0</v>
      </c>
      <c r="H146" s="6">
        <v>1</v>
      </c>
      <c r="I146" s="6">
        <v>0</v>
      </c>
      <c r="J146" s="6">
        <v>0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5">
        <f>SUM(E146:Q146)</f>
        <v>2</v>
      </c>
    </row>
    <row r="147" spans="1:18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0</v>
      </c>
      <c r="G147" s="6">
        <v>0</v>
      </c>
      <c r="H147" s="6">
        <v>1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5">
        <f>SUM(E147:Q147)</f>
        <v>3</v>
      </c>
    </row>
    <row r="148" spans="1:18" x14ac:dyDescent="0.4">
      <c r="A148" s="6" t="s">
        <v>26</v>
      </c>
      <c r="B148" s="74" t="s">
        <v>51</v>
      </c>
      <c r="C148" s="84"/>
      <c r="D148" s="85"/>
      <c r="E148" s="6">
        <f t="shared" ref="E148:R148" si="45">SUM(E146:E147)</f>
        <v>0</v>
      </c>
      <c r="F148" s="6">
        <f t="shared" si="45"/>
        <v>0</v>
      </c>
      <c r="G148" s="6">
        <f t="shared" si="45"/>
        <v>0</v>
      </c>
      <c r="H148" s="6">
        <f t="shared" si="45"/>
        <v>2</v>
      </c>
      <c r="I148" s="6">
        <f t="shared" si="45"/>
        <v>0</v>
      </c>
      <c r="J148" s="6">
        <f t="shared" si="45"/>
        <v>0</v>
      </c>
      <c r="K148" s="6">
        <f t="shared" si="45"/>
        <v>0</v>
      </c>
      <c r="L148" s="6">
        <f t="shared" si="45"/>
        <v>2</v>
      </c>
      <c r="M148" s="6">
        <f t="shared" si="45"/>
        <v>0</v>
      </c>
      <c r="N148" s="6">
        <f t="shared" si="45"/>
        <v>0</v>
      </c>
      <c r="O148" s="6">
        <f t="shared" si="45"/>
        <v>0</v>
      </c>
      <c r="P148" s="6">
        <f t="shared" si="45"/>
        <v>0</v>
      </c>
      <c r="Q148" s="6">
        <f t="shared" si="45"/>
        <v>1</v>
      </c>
      <c r="R148" s="6">
        <f t="shared" si="45"/>
        <v>5</v>
      </c>
    </row>
    <row r="149" spans="1:18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x14ac:dyDescent="0.4">
      <c r="A150" s="11" t="s">
        <v>48</v>
      </c>
      <c r="B150" s="17" t="s">
        <v>69</v>
      </c>
      <c r="C150" s="83" t="s">
        <v>70</v>
      </c>
      <c r="D150" s="55"/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5">
        <f t="shared" ref="R150:R159" si="46">SUM(E150:Q150)</f>
        <v>1</v>
      </c>
    </row>
    <row r="151" spans="1:18" x14ac:dyDescent="0.4">
      <c r="A151" s="11" t="s">
        <v>50</v>
      </c>
      <c r="B151" s="47"/>
      <c r="C151" s="24" t="s">
        <v>182</v>
      </c>
      <c r="D151" s="45"/>
      <c r="E151" s="6">
        <v>0</v>
      </c>
      <c r="F151" s="6">
        <v>0</v>
      </c>
      <c r="G151" s="6">
        <v>0</v>
      </c>
      <c r="H151" s="6">
        <v>1</v>
      </c>
      <c r="I151" s="6">
        <v>1</v>
      </c>
      <c r="J151" s="6">
        <v>3</v>
      </c>
      <c r="K151" s="6">
        <v>0</v>
      </c>
      <c r="L151" s="6">
        <v>0</v>
      </c>
      <c r="M151" s="6">
        <v>0</v>
      </c>
      <c r="N151" s="6">
        <v>3</v>
      </c>
      <c r="O151" s="6">
        <v>1</v>
      </c>
      <c r="P151" s="6">
        <v>0</v>
      </c>
      <c r="Q151" s="6">
        <v>0</v>
      </c>
      <c r="R151" s="5">
        <f t="shared" si="46"/>
        <v>9</v>
      </c>
    </row>
    <row r="152" spans="1:18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5">
        <f t="shared" si="46"/>
        <v>0</v>
      </c>
    </row>
    <row r="153" spans="1:18" x14ac:dyDescent="0.4">
      <c r="A153" s="7"/>
      <c r="B153" s="47"/>
      <c r="C153" s="24" t="s">
        <v>184</v>
      </c>
      <c r="D153" s="45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5">
        <f t="shared" si="46"/>
        <v>0</v>
      </c>
    </row>
    <row r="154" spans="1:18" x14ac:dyDescent="0.4">
      <c r="A154" s="7"/>
      <c r="B154" s="47"/>
      <c r="C154" s="24" t="s">
        <v>185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5">
        <f t="shared" si="46"/>
        <v>0</v>
      </c>
    </row>
    <row r="155" spans="1:18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5">
        <f t="shared" si="46"/>
        <v>0</v>
      </c>
    </row>
    <row r="156" spans="1:18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5">
        <f t="shared" si="46"/>
        <v>0</v>
      </c>
    </row>
    <row r="157" spans="1:18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5">
        <f t="shared" si="46"/>
        <v>0</v>
      </c>
    </row>
    <row r="158" spans="1:18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 t="shared" si="46"/>
        <v>0</v>
      </c>
    </row>
    <row r="159" spans="1:18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 t="shared" si="46"/>
        <v>0</v>
      </c>
    </row>
    <row r="160" spans="1:18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" si="47">SUM(E150:E159)</f>
        <v>0</v>
      </c>
      <c r="F160" s="6">
        <f t="shared" ref="F160" si="48">SUM(F150:F159)</f>
        <v>0</v>
      </c>
      <c r="G160" s="6">
        <f t="shared" ref="G160" si="49">SUM(G150:G159)</f>
        <v>0</v>
      </c>
      <c r="H160" s="6">
        <f t="shared" ref="H160" si="50">SUM(H150:H159)</f>
        <v>1</v>
      </c>
      <c r="I160" s="6">
        <f t="shared" ref="I160" si="51">SUM(I150:I159)</f>
        <v>1</v>
      </c>
      <c r="J160" s="6">
        <f t="shared" ref="J160" si="52">SUM(J150:J159)</f>
        <v>3</v>
      </c>
      <c r="K160" s="6">
        <f t="shared" ref="K160" si="53">SUM(K150:K159)</f>
        <v>0</v>
      </c>
      <c r="L160" s="6">
        <f t="shared" ref="L160" si="54">SUM(L150:L159)</f>
        <v>0</v>
      </c>
      <c r="M160" s="6">
        <f t="shared" ref="M160" si="55">SUM(M150:M159)</f>
        <v>0</v>
      </c>
      <c r="N160" s="6">
        <f t="shared" ref="N160" si="56">SUM(N150:N159)</f>
        <v>3</v>
      </c>
      <c r="O160" s="6">
        <f t="shared" ref="O160" si="57">SUM(O150:O159)</f>
        <v>1</v>
      </c>
      <c r="P160" s="6">
        <f t="shared" ref="P160" si="58">SUM(P150:P159)</f>
        <v>0</v>
      </c>
      <c r="Q160" s="6">
        <f t="shared" ref="Q160" si="59">SUM(Q150:Q159)</f>
        <v>1</v>
      </c>
      <c r="R160" s="6">
        <f t="shared" ref="R160" si="60">SUM(R150:R159)</f>
        <v>10</v>
      </c>
    </row>
    <row r="161" spans="1:18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5"/>
    </row>
    <row r="162" spans="1:18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5">
        <f t="shared" ref="R162:R171" si="61">SUM(E162:Q162)</f>
        <v>0</v>
      </c>
    </row>
    <row r="163" spans="1:18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1</v>
      </c>
      <c r="G163" s="6">
        <v>0</v>
      </c>
      <c r="H163" s="6">
        <v>0</v>
      </c>
      <c r="I163" s="6">
        <v>1</v>
      </c>
      <c r="J163" s="6">
        <v>0</v>
      </c>
      <c r="K163" s="6">
        <v>0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5">
        <f t="shared" si="61"/>
        <v>3</v>
      </c>
    </row>
    <row r="164" spans="1:18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5">
        <f t="shared" si="61"/>
        <v>0</v>
      </c>
    </row>
    <row r="165" spans="1:18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5">
        <f t="shared" si="61"/>
        <v>0</v>
      </c>
    </row>
    <row r="166" spans="1:18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5">
        <f t="shared" si="61"/>
        <v>0</v>
      </c>
    </row>
    <row r="167" spans="1:18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5">
        <f t="shared" si="61"/>
        <v>0</v>
      </c>
    </row>
    <row r="168" spans="1:18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5">
        <f t="shared" si="61"/>
        <v>0</v>
      </c>
    </row>
    <row r="169" spans="1:18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5">
        <f t="shared" si="61"/>
        <v>1</v>
      </c>
    </row>
    <row r="170" spans="1:18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5">
        <f t="shared" si="61"/>
        <v>0</v>
      </c>
    </row>
    <row r="171" spans="1:18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5">
        <f t="shared" si="61"/>
        <v>0</v>
      </c>
    </row>
    <row r="172" spans="1:18" x14ac:dyDescent="0.4">
      <c r="A172" s="6" t="s">
        <v>26</v>
      </c>
      <c r="B172" s="74" t="s">
        <v>51</v>
      </c>
      <c r="C172" s="84"/>
      <c r="D172" s="85"/>
      <c r="E172" s="6">
        <f t="shared" ref="E172" si="62">SUM(E162:E171)</f>
        <v>0</v>
      </c>
      <c r="F172" s="6">
        <f t="shared" ref="F172" si="63">SUM(F162:F171)</f>
        <v>1</v>
      </c>
      <c r="G172" s="6">
        <f t="shared" ref="G172" si="64">SUM(G162:G171)</f>
        <v>0</v>
      </c>
      <c r="H172" s="6">
        <f t="shared" ref="H172" si="65">SUM(H162:H171)</f>
        <v>0</v>
      </c>
      <c r="I172" s="6">
        <f t="shared" ref="I172" si="66">SUM(I162:I171)</f>
        <v>1</v>
      </c>
      <c r="J172" s="6">
        <f t="shared" ref="J172" si="67">SUM(J162:J171)</f>
        <v>1</v>
      </c>
      <c r="K172" s="6">
        <f t="shared" ref="K172" si="68">SUM(K162:K171)</f>
        <v>0</v>
      </c>
      <c r="L172" s="6">
        <f t="shared" ref="L172" si="69">SUM(L162:L171)</f>
        <v>0</v>
      </c>
      <c r="M172" s="6">
        <f t="shared" ref="M172" si="70">SUM(M162:M171)</f>
        <v>0</v>
      </c>
      <c r="N172" s="6">
        <f t="shared" ref="N172" si="71">SUM(N162:N171)</f>
        <v>1</v>
      </c>
      <c r="O172" s="6">
        <f t="shared" ref="O172" si="72">SUM(O162:O171)</f>
        <v>0</v>
      </c>
      <c r="P172" s="6">
        <f t="shared" ref="P172" si="73">SUM(P162:P171)</f>
        <v>0</v>
      </c>
      <c r="Q172" s="6">
        <f t="shared" ref="Q172" si="74">SUM(Q162:Q171)</f>
        <v>0</v>
      </c>
      <c r="R172" s="6">
        <f t="shared" ref="R172" si="75">SUM(R162:R171)</f>
        <v>4</v>
      </c>
    </row>
    <row r="173" spans="1:18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x14ac:dyDescent="0.4">
      <c r="A174" s="11" t="s">
        <v>48</v>
      </c>
      <c r="B174" s="17" t="s">
        <v>73</v>
      </c>
      <c r="C174" s="83" t="s">
        <v>74</v>
      </c>
      <c r="D174" s="55"/>
      <c r="E174" s="6">
        <v>0</v>
      </c>
      <c r="F174" s="6">
        <v>0</v>
      </c>
      <c r="G174" s="6">
        <v>0</v>
      </c>
      <c r="H174" s="6">
        <v>0</v>
      </c>
      <c r="I174" s="6">
        <v>1</v>
      </c>
      <c r="J174" s="6">
        <v>3</v>
      </c>
      <c r="K174" s="6">
        <v>0</v>
      </c>
      <c r="L174" s="6">
        <v>1</v>
      </c>
      <c r="M174" s="6">
        <v>1</v>
      </c>
      <c r="N174" s="6">
        <v>0</v>
      </c>
      <c r="O174" s="6">
        <v>0</v>
      </c>
      <c r="P174" s="6">
        <v>0</v>
      </c>
      <c r="Q174" s="6">
        <v>1</v>
      </c>
      <c r="R174" s="5">
        <f t="shared" ref="R174:R183" si="76">SUM(E174:Q174)</f>
        <v>7</v>
      </c>
    </row>
    <row r="175" spans="1:18" x14ac:dyDescent="0.4">
      <c r="A175" s="11" t="s">
        <v>50</v>
      </c>
      <c r="B175" s="47"/>
      <c r="C175" s="24" t="s">
        <v>200</v>
      </c>
      <c r="D175" s="45"/>
      <c r="E175" s="6">
        <v>0</v>
      </c>
      <c r="F175" s="6">
        <v>1</v>
      </c>
      <c r="G175" s="6">
        <v>0</v>
      </c>
      <c r="H175" s="6">
        <v>0</v>
      </c>
      <c r="I175" s="6">
        <v>2</v>
      </c>
      <c r="J175" s="6">
        <v>4</v>
      </c>
      <c r="K175" s="6">
        <v>3</v>
      </c>
      <c r="L175" s="6">
        <v>1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5">
        <f t="shared" si="76"/>
        <v>12</v>
      </c>
    </row>
    <row r="176" spans="1:18" x14ac:dyDescent="0.4">
      <c r="A176" s="7"/>
      <c r="B176" s="47"/>
      <c r="C176" s="24" t="s">
        <v>201</v>
      </c>
      <c r="D176" s="45"/>
      <c r="E176" s="6">
        <v>4</v>
      </c>
      <c r="F176" s="6">
        <v>0</v>
      </c>
      <c r="G176" s="6">
        <v>1</v>
      </c>
      <c r="H176" s="6">
        <v>0</v>
      </c>
      <c r="I176" s="6">
        <v>0</v>
      </c>
      <c r="J176" s="6">
        <v>5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1</v>
      </c>
      <c r="Q176" s="6">
        <v>0</v>
      </c>
      <c r="R176" s="5">
        <f t="shared" si="76"/>
        <v>11</v>
      </c>
    </row>
    <row r="177" spans="1:18" x14ac:dyDescent="0.4">
      <c r="A177" s="7"/>
      <c r="B177" s="47"/>
      <c r="C177" s="24" t="s">
        <v>202</v>
      </c>
      <c r="D177" s="45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5">
        <f t="shared" si="76"/>
        <v>1</v>
      </c>
    </row>
    <row r="178" spans="1:18" x14ac:dyDescent="0.4">
      <c r="A178" s="7"/>
      <c r="B178" s="47"/>
      <c r="C178" s="24" t="s">
        <v>203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1</v>
      </c>
      <c r="R178" s="5">
        <f t="shared" si="76"/>
        <v>1</v>
      </c>
    </row>
    <row r="179" spans="1:18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5">
        <f t="shared" si="76"/>
        <v>0</v>
      </c>
    </row>
    <row r="180" spans="1:18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5">
        <f t="shared" si="76"/>
        <v>0</v>
      </c>
    </row>
    <row r="181" spans="1:18" x14ac:dyDescent="0.4">
      <c r="A181" s="7"/>
      <c r="B181" s="47"/>
      <c r="C181" s="24" t="s">
        <v>206</v>
      </c>
      <c r="D181" s="45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5">
        <f t="shared" si="76"/>
        <v>0</v>
      </c>
    </row>
    <row r="182" spans="1:18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5">
        <f t="shared" si="76"/>
        <v>0</v>
      </c>
    </row>
    <row r="183" spans="1:18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5">
        <f t="shared" si="76"/>
        <v>0</v>
      </c>
    </row>
    <row r="184" spans="1:18" x14ac:dyDescent="0.4">
      <c r="A184" s="6" t="s">
        <v>26</v>
      </c>
      <c r="B184" s="74" t="s">
        <v>51</v>
      </c>
      <c r="C184" s="84"/>
      <c r="D184" s="85"/>
      <c r="E184" s="6">
        <f t="shared" ref="E184" si="77">SUM(E174:E183)</f>
        <v>4</v>
      </c>
      <c r="F184" s="6">
        <f t="shared" ref="F184" si="78">SUM(F174:F183)</f>
        <v>1</v>
      </c>
      <c r="G184" s="6">
        <f t="shared" ref="G184" si="79">SUM(G174:G183)</f>
        <v>1</v>
      </c>
      <c r="H184" s="6">
        <f t="shared" ref="H184" si="80">SUM(H174:H183)</f>
        <v>0</v>
      </c>
      <c r="I184" s="6">
        <f t="shared" ref="I184" si="81">SUM(I174:I183)</f>
        <v>3</v>
      </c>
      <c r="J184" s="6">
        <f t="shared" ref="J184" si="82">SUM(J174:J183)</f>
        <v>12</v>
      </c>
      <c r="K184" s="6">
        <f t="shared" ref="K184" si="83">SUM(K174:K183)</f>
        <v>3</v>
      </c>
      <c r="L184" s="6">
        <f t="shared" ref="L184" si="84">SUM(L174:L183)</f>
        <v>2</v>
      </c>
      <c r="M184" s="6">
        <f t="shared" ref="M184" si="85">SUM(M174:M183)</f>
        <v>2</v>
      </c>
      <c r="N184" s="6">
        <f t="shared" ref="N184" si="86">SUM(N174:N183)</f>
        <v>0</v>
      </c>
      <c r="O184" s="6">
        <f t="shared" ref="O184" si="87">SUM(O174:O183)</f>
        <v>1</v>
      </c>
      <c r="P184" s="6">
        <f t="shared" ref="P184" si="88">SUM(P174:P183)</f>
        <v>1</v>
      </c>
      <c r="Q184" s="6">
        <f t="shared" ref="Q184" si="89">SUM(Q174:Q183)</f>
        <v>2</v>
      </c>
      <c r="R184" s="6">
        <f t="shared" ref="R184" si="90">SUM(R174:R183)</f>
        <v>32</v>
      </c>
    </row>
    <row r="185" spans="1:18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x14ac:dyDescent="0.4">
      <c r="A186" s="11" t="s">
        <v>48</v>
      </c>
      <c r="B186" s="17" t="s">
        <v>75</v>
      </c>
      <c r="C186" s="83" t="s">
        <v>76</v>
      </c>
      <c r="D186" s="55"/>
      <c r="E186" s="6">
        <v>0</v>
      </c>
      <c r="F186" s="6">
        <v>1</v>
      </c>
      <c r="G186" s="6">
        <v>0</v>
      </c>
      <c r="H186" s="6">
        <v>0</v>
      </c>
      <c r="I186" s="6">
        <v>0</v>
      </c>
      <c r="J186" s="6">
        <v>1</v>
      </c>
      <c r="K186" s="6">
        <v>1</v>
      </c>
      <c r="L186" s="6">
        <v>1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5">
        <f>SUM(E186:Q186)</f>
        <v>4</v>
      </c>
    </row>
    <row r="187" spans="1:18" x14ac:dyDescent="0.4">
      <c r="A187" s="11" t="s">
        <v>50</v>
      </c>
      <c r="B187" s="47"/>
      <c r="C187" s="24" t="s">
        <v>209</v>
      </c>
      <c r="D187" s="48"/>
      <c r="E187" s="6">
        <v>2</v>
      </c>
      <c r="F187" s="6">
        <v>0</v>
      </c>
      <c r="G187" s="6">
        <v>1</v>
      </c>
      <c r="H187" s="6">
        <v>1</v>
      </c>
      <c r="I187" s="6">
        <v>1</v>
      </c>
      <c r="J187" s="6">
        <v>0</v>
      </c>
      <c r="K187" s="6">
        <v>0</v>
      </c>
      <c r="L187" s="6">
        <v>6</v>
      </c>
      <c r="M187" s="6">
        <v>1</v>
      </c>
      <c r="N187" s="6">
        <v>1</v>
      </c>
      <c r="O187" s="6">
        <v>0</v>
      </c>
      <c r="P187" s="6">
        <v>1</v>
      </c>
      <c r="Q187" s="6">
        <v>0</v>
      </c>
      <c r="R187" s="5">
        <f>SUM(E187:Q187)</f>
        <v>14</v>
      </c>
    </row>
    <row r="188" spans="1:18" x14ac:dyDescent="0.4">
      <c r="A188" s="7"/>
      <c r="B188" s="47"/>
      <c r="C188" s="24" t="s">
        <v>210</v>
      </c>
      <c r="D188" s="48"/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5">
        <f>SUM(E188:Q188)</f>
        <v>0</v>
      </c>
    </row>
    <row r="189" spans="1:18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5">
        <f>SUM(E189:Q189)</f>
        <v>1</v>
      </c>
    </row>
    <row r="190" spans="1:18" x14ac:dyDescent="0.4">
      <c r="A190" s="6" t="s">
        <v>26</v>
      </c>
      <c r="B190" s="74" t="s">
        <v>51</v>
      </c>
      <c r="C190" s="84"/>
      <c r="D190" s="85"/>
      <c r="E190" s="6">
        <f t="shared" ref="E190:R190" si="91">SUM(E186:E189)</f>
        <v>2</v>
      </c>
      <c r="F190" s="6">
        <f t="shared" si="91"/>
        <v>1</v>
      </c>
      <c r="G190" s="6">
        <f t="shared" si="91"/>
        <v>1</v>
      </c>
      <c r="H190" s="6">
        <f t="shared" si="91"/>
        <v>1</v>
      </c>
      <c r="I190" s="6">
        <f t="shared" si="91"/>
        <v>1</v>
      </c>
      <c r="J190" s="6">
        <f t="shared" si="91"/>
        <v>1</v>
      </c>
      <c r="K190" s="6">
        <f t="shared" si="91"/>
        <v>1</v>
      </c>
      <c r="L190" s="6">
        <f t="shared" si="91"/>
        <v>8</v>
      </c>
      <c r="M190" s="6">
        <f t="shared" si="91"/>
        <v>1</v>
      </c>
      <c r="N190" s="6">
        <f t="shared" si="91"/>
        <v>1</v>
      </c>
      <c r="O190" s="6">
        <f t="shared" si="91"/>
        <v>0</v>
      </c>
      <c r="P190" s="6">
        <f t="shared" si="91"/>
        <v>1</v>
      </c>
      <c r="Q190" s="6">
        <f t="shared" si="91"/>
        <v>0</v>
      </c>
      <c r="R190" s="6">
        <f t="shared" si="91"/>
        <v>19</v>
      </c>
    </row>
    <row r="191" spans="1:18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x14ac:dyDescent="0.4">
      <c r="A192" s="11" t="s">
        <v>48</v>
      </c>
      <c r="B192" s="17" t="s">
        <v>77</v>
      </c>
      <c r="C192" s="83" t="s">
        <v>78</v>
      </c>
      <c r="D192" s="55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5">
        <f>SUM(E192:Q192)</f>
        <v>0</v>
      </c>
    </row>
    <row r="193" spans="1:18" x14ac:dyDescent="0.4">
      <c r="A193" s="11" t="s">
        <v>50</v>
      </c>
      <c r="B193" s="47"/>
      <c r="C193" s="24" t="s">
        <v>212</v>
      </c>
      <c r="D193" s="45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5">
        <f>SUM(E193:Q193)</f>
        <v>0</v>
      </c>
    </row>
    <row r="194" spans="1:18" x14ac:dyDescent="0.4">
      <c r="A194" s="7"/>
      <c r="B194" s="47"/>
      <c r="C194" s="24" t="s">
        <v>213</v>
      </c>
      <c r="D194" s="45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5">
        <f>SUM(E194:Q194)</f>
        <v>0</v>
      </c>
    </row>
    <row r="195" spans="1:18" x14ac:dyDescent="0.4">
      <c r="A195" s="7"/>
      <c r="B195" s="47"/>
      <c r="C195" s="24" t="s">
        <v>214</v>
      </c>
      <c r="D195" s="45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5">
        <f>SUM(E195:Q195)</f>
        <v>0</v>
      </c>
    </row>
    <row r="196" spans="1:18" ht="13.15" customHeight="1" x14ac:dyDescent="0.4">
      <c r="A196" s="7"/>
      <c r="B196" s="47"/>
      <c r="C196" s="24" t="s">
        <v>215</v>
      </c>
      <c r="D196" s="45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5">
        <f>SUM(E196:Q196)</f>
        <v>0</v>
      </c>
    </row>
    <row r="197" spans="1:18" x14ac:dyDescent="0.4">
      <c r="A197" s="6" t="s">
        <v>26</v>
      </c>
      <c r="B197" s="74" t="s">
        <v>51</v>
      </c>
      <c r="C197" s="84"/>
      <c r="D197" s="85"/>
      <c r="E197" s="6">
        <f t="shared" ref="E197:R197" si="92">SUM(E192:E196)</f>
        <v>0</v>
      </c>
      <c r="F197" s="6">
        <f t="shared" si="92"/>
        <v>0</v>
      </c>
      <c r="G197" s="6">
        <f t="shared" si="92"/>
        <v>0</v>
      </c>
      <c r="H197" s="6">
        <f t="shared" si="92"/>
        <v>0</v>
      </c>
      <c r="I197" s="6">
        <f t="shared" si="92"/>
        <v>0</v>
      </c>
      <c r="J197" s="6">
        <f t="shared" si="92"/>
        <v>0</v>
      </c>
      <c r="K197" s="6">
        <f t="shared" si="92"/>
        <v>0</v>
      </c>
      <c r="L197" s="6">
        <f t="shared" si="92"/>
        <v>0</v>
      </c>
      <c r="M197" s="6">
        <f t="shared" si="92"/>
        <v>0</v>
      </c>
      <c r="N197" s="6">
        <f t="shared" si="92"/>
        <v>0</v>
      </c>
      <c r="O197" s="6">
        <f t="shared" si="92"/>
        <v>0</v>
      </c>
      <c r="P197" s="6">
        <f t="shared" si="92"/>
        <v>0</v>
      </c>
      <c r="Q197" s="6">
        <f t="shared" si="92"/>
        <v>0</v>
      </c>
      <c r="R197" s="6">
        <f t="shared" si="92"/>
        <v>0</v>
      </c>
    </row>
    <row r="198" spans="1:18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x14ac:dyDescent="0.4">
      <c r="A199" s="11" t="s">
        <v>48</v>
      </c>
      <c r="B199" s="17" t="s">
        <v>79</v>
      </c>
      <c r="C199" s="83" t="s">
        <v>80</v>
      </c>
      <c r="D199" s="55"/>
      <c r="E199" s="6">
        <v>2</v>
      </c>
      <c r="F199" s="6">
        <v>1</v>
      </c>
      <c r="G199" s="6">
        <v>1</v>
      </c>
      <c r="H199" s="6">
        <v>0</v>
      </c>
      <c r="I199" s="6">
        <v>0</v>
      </c>
      <c r="J199" s="6">
        <v>0</v>
      </c>
      <c r="K199" s="6">
        <v>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5">
        <f t="shared" ref="R199:R208" si="93">SUM(E199:Q199)</f>
        <v>6</v>
      </c>
    </row>
    <row r="200" spans="1:18" x14ac:dyDescent="0.4">
      <c r="A200" s="11" t="s">
        <v>50</v>
      </c>
      <c r="B200" s="47"/>
      <c r="C200" s="24" t="s">
        <v>216</v>
      </c>
      <c r="D200" s="45"/>
      <c r="E200" s="6">
        <v>4</v>
      </c>
      <c r="F200" s="6">
        <v>3</v>
      </c>
      <c r="G200" s="6">
        <v>5</v>
      </c>
      <c r="H200" s="6">
        <v>0</v>
      </c>
      <c r="I200" s="6">
        <v>5</v>
      </c>
      <c r="J200" s="6">
        <v>3</v>
      </c>
      <c r="K200" s="6">
        <v>5</v>
      </c>
      <c r="L200" s="6">
        <v>2</v>
      </c>
      <c r="M200" s="6">
        <v>13</v>
      </c>
      <c r="N200" s="6">
        <v>4</v>
      </c>
      <c r="O200" s="6">
        <v>5</v>
      </c>
      <c r="P200" s="6">
        <v>1</v>
      </c>
      <c r="Q200" s="6">
        <v>2</v>
      </c>
      <c r="R200" s="5">
        <f t="shared" si="93"/>
        <v>52</v>
      </c>
    </row>
    <row r="201" spans="1:18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10</v>
      </c>
      <c r="N201" s="6">
        <v>0</v>
      </c>
      <c r="O201" s="6">
        <v>1</v>
      </c>
      <c r="P201" s="6">
        <v>7</v>
      </c>
      <c r="Q201" s="6">
        <v>0</v>
      </c>
      <c r="R201" s="5">
        <f t="shared" si="93"/>
        <v>18</v>
      </c>
    </row>
    <row r="202" spans="1:18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5">
        <f t="shared" si="93"/>
        <v>0</v>
      </c>
    </row>
    <row r="203" spans="1:18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5">
        <f t="shared" si="93"/>
        <v>0</v>
      </c>
    </row>
    <row r="204" spans="1:18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5">
        <f t="shared" si="93"/>
        <v>0</v>
      </c>
    </row>
    <row r="205" spans="1:18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5">
        <f t="shared" si="93"/>
        <v>1</v>
      </c>
    </row>
    <row r="206" spans="1:18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2</v>
      </c>
      <c r="N206" s="6">
        <v>0</v>
      </c>
      <c r="O206" s="6">
        <v>1</v>
      </c>
      <c r="P206" s="6">
        <v>2</v>
      </c>
      <c r="Q206" s="6">
        <v>0</v>
      </c>
      <c r="R206" s="5">
        <f t="shared" si="93"/>
        <v>5</v>
      </c>
    </row>
    <row r="207" spans="1:18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5">
        <f t="shared" si="93"/>
        <v>0</v>
      </c>
    </row>
    <row r="208" spans="1:18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5">
        <f t="shared" si="93"/>
        <v>0</v>
      </c>
    </row>
    <row r="209" spans="1:18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" si="94">SUM(E199:E208)</f>
        <v>6</v>
      </c>
      <c r="F209" s="6">
        <f t="shared" ref="F209" si="95">SUM(F199:F208)</f>
        <v>4</v>
      </c>
      <c r="G209" s="6">
        <f t="shared" ref="G209" si="96">SUM(G199:G208)</f>
        <v>6</v>
      </c>
      <c r="H209" s="6">
        <f t="shared" ref="H209" si="97">SUM(H199:H208)</f>
        <v>0</v>
      </c>
      <c r="I209" s="6">
        <f t="shared" ref="I209" si="98">SUM(I199:I208)</f>
        <v>5</v>
      </c>
      <c r="J209" s="6">
        <f t="shared" ref="J209" si="99">SUM(J199:J208)</f>
        <v>3</v>
      </c>
      <c r="K209" s="6">
        <f t="shared" ref="K209" si="100">SUM(K199:K208)</f>
        <v>7</v>
      </c>
      <c r="L209" s="6">
        <f t="shared" ref="L209" si="101">SUM(L199:L208)</f>
        <v>2</v>
      </c>
      <c r="M209" s="6">
        <f t="shared" ref="M209" si="102">SUM(M199:M208)</f>
        <v>25</v>
      </c>
      <c r="N209" s="6">
        <f t="shared" ref="N209" si="103">SUM(N199:N208)</f>
        <v>4</v>
      </c>
      <c r="O209" s="6">
        <f t="shared" ref="O209" si="104">SUM(O199:O208)</f>
        <v>7</v>
      </c>
      <c r="P209" s="6">
        <f t="shared" ref="P209" si="105">SUM(P199:P208)</f>
        <v>10</v>
      </c>
      <c r="Q209" s="6">
        <f t="shared" ref="Q209" si="106">SUM(Q199:Q208)</f>
        <v>3</v>
      </c>
      <c r="R209" s="6">
        <f t="shared" ref="R209" si="107">SUM(R199:R208)</f>
        <v>82</v>
      </c>
    </row>
    <row r="210" spans="1:18" x14ac:dyDescent="0.4">
      <c r="A210" s="53"/>
      <c r="B210" s="75"/>
      <c r="C210" s="75"/>
      <c r="D210" s="75"/>
      <c r="E210" s="86"/>
    </row>
    <row r="211" spans="1:18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5">
        <f>SUM(E211:Q211)</f>
        <v>0</v>
      </c>
    </row>
    <row r="212" spans="1:18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1</v>
      </c>
      <c r="J212" s="6">
        <v>1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5">
        <f>SUM(E212:Q212)</f>
        <v>2</v>
      </c>
    </row>
    <row r="213" spans="1:18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5">
        <f>SUM(E213:Q213)</f>
        <v>1</v>
      </c>
    </row>
    <row r="214" spans="1:18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5">
        <f>SUM(E214:Q214)</f>
        <v>1</v>
      </c>
    </row>
    <row r="215" spans="1:18" x14ac:dyDescent="0.4">
      <c r="A215" s="6" t="s">
        <v>26</v>
      </c>
      <c r="B215" s="74" t="s">
        <v>51</v>
      </c>
      <c r="C215" s="84"/>
      <c r="D215" s="85"/>
      <c r="E215" s="6">
        <f t="shared" ref="E215:R215" si="108">SUM(E211:E214)</f>
        <v>0</v>
      </c>
      <c r="F215" s="6">
        <f t="shared" si="108"/>
        <v>0</v>
      </c>
      <c r="G215" s="6">
        <f t="shared" si="108"/>
        <v>0</v>
      </c>
      <c r="H215" s="6">
        <f t="shared" si="108"/>
        <v>0</v>
      </c>
      <c r="I215" s="6">
        <f t="shared" si="108"/>
        <v>1</v>
      </c>
      <c r="J215" s="6">
        <f t="shared" si="108"/>
        <v>3</v>
      </c>
      <c r="K215" s="6">
        <f t="shared" si="108"/>
        <v>0</v>
      </c>
      <c r="L215" s="6">
        <f t="shared" si="108"/>
        <v>0</v>
      </c>
      <c r="M215" s="6">
        <f t="shared" si="108"/>
        <v>0</v>
      </c>
      <c r="N215" s="6">
        <f t="shared" si="108"/>
        <v>0</v>
      </c>
      <c r="O215" s="6">
        <f t="shared" si="108"/>
        <v>0</v>
      </c>
      <c r="P215" s="6">
        <f t="shared" si="108"/>
        <v>0</v>
      </c>
      <c r="Q215" s="6">
        <f t="shared" si="108"/>
        <v>0</v>
      </c>
      <c r="R215" s="6">
        <f t="shared" si="108"/>
        <v>4</v>
      </c>
    </row>
    <row r="217" spans="1:18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x14ac:dyDescent="0.4">
      <c r="A218" s="16"/>
      <c r="B218" s="19" t="s">
        <v>85</v>
      </c>
      <c r="C218" s="91" t="s">
        <v>86</v>
      </c>
      <c r="D218" s="92"/>
      <c r="E218" s="6">
        <f t="shared" ref="E218:Q218" si="109">E55+E67+E79+E91+E103+E108+E116+E128+E134+E144+E148+E160+E172+E184+E190+E197+E209+E215</f>
        <v>227</v>
      </c>
      <c r="F218" s="6">
        <f t="shared" si="109"/>
        <v>205</v>
      </c>
      <c r="G218" s="6">
        <f t="shared" si="109"/>
        <v>196</v>
      </c>
      <c r="H218" s="6">
        <f t="shared" si="109"/>
        <v>229</v>
      </c>
      <c r="I218" s="6">
        <f t="shared" si="109"/>
        <v>208</v>
      </c>
      <c r="J218" s="6">
        <f t="shared" si="109"/>
        <v>165</v>
      </c>
      <c r="K218" s="6">
        <f t="shared" si="109"/>
        <v>194</v>
      </c>
      <c r="L218" s="6">
        <f t="shared" si="109"/>
        <v>205</v>
      </c>
      <c r="M218" s="6">
        <f t="shared" si="109"/>
        <v>210</v>
      </c>
      <c r="N218" s="6">
        <f t="shared" si="109"/>
        <v>213</v>
      </c>
      <c r="O218" s="6">
        <f t="shared" si="109"/>
        <v>187</v>
      </c>
      <c r="P218" s="6">
        <f t="shared" si="109"/>
        <v>176</v>
      </c>
      <c r="Q218" s="6">
        <f t="shared" si="109"/>
        <v>204</v>
      </c>
      <c r="R218" s="5">
        <f>SUM(E218:Q218)</f>
        <v>2619</v>
      </c>
    </row>
    <row r="219" spans="1:18" x14ac:dyDescent="0.4">
      <c r="A219" s="13"/>
      <c r="B219" s="19" t="s">
        <v>87</v>
      </c>
      <c r="C219" s="91" t="s">
        <v>88</v>
      </c>
      <c r="D219" s="92"/>
      <c r="E219" s="6">
        <v>10</v>
      </c>
      <c r="F219" s="6">
        <v>10</v>
      </c>
      <c r="G219" s="6">
        <v>20</v>
      </c>
      <c r="H219" s="6">
        <v>20</v>
      </c>
      <c r="I219" s="6">
        <v>18</v>
      </c>
      <c r="J219" s="6">
        <v>36</v>
      </c>
      <c r="K219" s="6">
        <v>4</v>
      </c>
      <c r="L219" s="6">
        <v>12</v>
      </c>
      <c r="M219" s="6">
        <v>7</v>
      </c>
      <c r="N219" s="6">
        <v>21</v>
      </c>
      <c r="O219" s="6">
        <v>9</v>
      </c>
      <c r="P219" s="6">
        <v>18</v>
      </c>
      <c r="Q219" s="6">
        <v>14</v>
      </c>
      <c r="R219" s="5">
        <f>SUM(E219:Q219)</f>
        <v>199</v>
      </c>
    </row>
    <row r="220" spans="1:18" x14ac:dyDescent="0.4">
      <c r="A220" s="14"/>
      <c r="B220" s="19" t="s">
        <v>89</v>
      </c>
      <c r="C220" s="91" t="s">
        <v>90</v>
      </c>
      <c r="D220" s="92"/>
      <c r="E220" s="5">
        <f>SUM(E218:E219)</f>
        <v>237</v>
      </c>
      <c r="F220" s="5">
        <f t="shared" ref="F220:K220" si="110">SUM(F218:F219)</f>
        <v>215</v>
      </c>
      <c r="G220" s="5">
        <f t="shared" si="110"/>
        <v>216</v>
      </c>
      <c r="H220" s="5">
        <f t="shared" si="110"/>
        <v>249</v>
      </c>
      <c r="I220" s="5">
        <f t="shared" si="110"/>
        <v>226</v>
      </c>
      <c r="J220" s="5">
        <f t="shared" si="110"/>
        <v>201</v>
      </c>
      <c r="K220" s="5">
        <f t="shared" si="110"/>
        <v>198</v>
      </c>
      <c r="L220" s="5">
        <f t="shared" ref="L220:O220" si="111">SUM(L218:L219)</f>
        <v>217</v>
      </c>
      <c r="M220" s="5">
        <f t="shared" si="111"/>
        <v>217</v>
      </c>
      <c r="N220" s="5">
        <f t="shared" si="111"/>
        <v>234</v>
      </c>
      <c r="O220" s="5">
        <f t="shared" si="111"/>
        <v>196</v>
      </c>
      <c r="P220" s="5">
        <f t="shared" ref="P220:Q220" si="112">SUM(P218:P219)</f>
        <v>194</v>
      </c>
      <c r="Q220" s="5">
        <f t="shared" si="112"/>
        <v>218</v>
      </c>
      <c r="R220" s="5">
        <f>SUM(E220:Q220)</f>
        <v>2818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Q12"/>
    <mergeCell ref="R12:R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O37"/>
    <mergeCell ref="B38:D38"/>
    <mergeCell ref="A42:D42"/>
    <mergeCell ref="E42:O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219:D219"/>
    <mergeCell ref="C220:D220"/>
    <mergeCell ref="B209:D209"/>
    <mergeCell ref="A210:E210"/>
    <mergeCell ref="C211:D211"/>
    <mergeCell ref="B215:D215"/>
    <mergeCell ref="B217:D217"/>
    <mergeCell ref="C218:D218"/>
  </mergeCells>
  <phoneticPr fontId="8" type="noConversion"/>
  <conditionalFormatting sqref="E14:Q15">
    <cfRule type="containsBlanks" dxfId="228" priority="21">
      <formula>LEN(TRIM(E14))=0</formula>
    </cfRule>
  </conditionalFormatting>
  <conditionalFormatting sqref="E19:Q20">
    <cfRule type="containsBlanks" dxfId="227" priority="24">
      <formula>LEN(TRIM(E19))=0</formula>
    </cfRule>
  </conditionalFormatting>
  <conditionalFormatting sqref="E22:Q23 E25:Q26 E33:Q33 E35:Q35 E39:Q40">
    <cfRule type="containsBlanks" dxfId="226" priority="25">
      <formula>LEN(TRIM(E22))=0</formula>
    </cfRule>
  </conditionalFormatting>
  <conditionalFormatting sqref="E30:Q30">
    <cfRule type="expression" dxfId="225" priority="26">
      <formula>E30&lt;&gt;E47</formula>
    </cfRule>
    <cfRule type="expression" dxfId="224" priority="27">
      <formula>E30&lt;&gt;E34</formula>
    </cfRule>
  </conditionalFormatting>
  <conditionalFormatting sqref="E34:Q34">
    <cfRule type="expression" dxfId="223" priority="22">
      <formula>E30&lt;&gt;E34</formula>
    </cfRule>
    <cfRule type="expression" dxfId="222" priority="23">
      <formula>E30=E34</formula>
    </cfRule>
    <cfRule type="expression" dxfId="221" priority="28">
      <formula>E34&lt;&gt;E30</formula>
    </cfRule>
    <cfRule type="expression" dxfId="220" priority="30">
      <formula>E34&lt;&gt;E64</formula>
    </cfRule>
  </conditionalFormatting>
  <conditionalFormatting sqref="E45:Q54">
    <cfRule type="containsBlanks" dxfId="219" priority="20">
      <formula>LEN(TRIM(E45))=0</formula>
    </cfRule>
  </conditionalFormatting>
  <conditionalFormatting sqref="E57:Q66">
    <cfRule type="containsBlanks" dxfId="218" priority="19">
      <formula>LEN(TRIM(E57))=0</formula>
    </cfRule>
  </conditionalFormatting>
  <conditionalFormatting sqref="E69:Q78">
    <cfRule type="containsBlanks" dxfId="217" priority="18">
      <formula>LEN(TRIM(E69))=0</formula>
    </cfRule>
  </conditionalFormatting>
  <conditionalFormatting sqref="E81:Q90">
    <cfRule type="containsBlanks" dxfId="216" priority="17">
      <formula>LEN(TRIM(E81))=0</formula>
    </cfRule>
  </conditionalFormatting>
  <conditionalFormatting sqref="E93:Q102">
    <cfRule type="containsBlanks" dxfId="215" priority="16">
      <formula>LEN(TRIM(E93))=0</formula>
    </cfRule>
  </conditionalFormatting>
  <conditionalFormatting sqref="E105:Q107">
    <cfRule type="containsBlanks" dxfId="214" priority="15">
      <formula>LEN(TRIM(E105))=0</formula>
    </cfRule>
  </conditionalFormatting>
  <conditionalFormatting sqref="E110:Q115">
    <cfRule type="containsBlanks" dxfId="213" priority="1">
      <formula>LEN(TRIM(E110))=0</formula>
    </cfRule>
  </conditionalFormatting>
  <conditionalFormatting sqref="E118:Q127">
    <cfRule type="containsBlanks" dxfId="212" priority="14">
      <formula>LEN(TRIM(E118))=0</formula>
    </cfRule>
  </conditionalFormatting>
  <conditionalFormatting sqref="E130:Q133">
    <cfRule type="containsBlanks" dxfId="211" priority="13">
      <formula>LEN(TRIM(E130))=0</formula>
    </cfRule>
  </conditionalFormatting>
  <conditionalFormatting sqref="E136:Q143">
    <cfRule type="containsBlanks" dxfId="210" priority="3">
      <formula>LEN(TRIM(E136))=0</formula>
    </cfRule>
  </conditionalFormatting>
  <conditionalFormatting sqref="E146:Q147">
    <cfRule type="containsBlanks" dxfId="209" priority="12">
      <formula>LEN(TRIM(E146))=0</formula>
    </cfRule>
  </conditionalFormatting>
  <conditionalFormatting sqref="E150:Q159">
    <cfRule type="containsBlanks" dxfId="208" priority="11">
      <formula>LEN(TRIM(E150))=0</formula>
    </cfRule>
  </conditionalFormatting>
  <conditionalFormatting sqref="E162:Q171">
    <cfRule type="containsBlanks" dxfId="207" priority="10">
      <formula>LEN(TRIM(E162))=0</formula>
    </cfRule>
  </conditionalFormatting>
  <conditionalFormatting sqref="E174:Q183">
    <cfRule type="containsBlanks" dxfId="206" priority="9">
      <formula>LEN(TRIM(E174))=0</formula>
    </cfRule>
  </conditionalFormatting>
  <conditionalFormatting sqref="E186:Q189">
    <cfRule type="containsBlanks" dxfId="205" priority="8">
      <formula>LEN(TRIM(E186))=0</formula>
    </cfRule>
  </conditionalFormatting>
  <conditionalFormatting sqref="E192:Q196">
    <cfRule type="containsBlanks" dxfId="204" priority="7">
      <formula>LEN(TRIM(E192))=0</formula>
    </cfRule>
  </conditionalFormatting>
  <conditionalFormatting sqref="E199:Q208">
    <cfRule type="containsBlanks" dxfId="203" priority="6">
      <formula>LEN(TRIM(E199))=0</formula>
    </cfRule>
  </conditionalFormatting>
  <conditionalFormatting sqref="E211:Q214">
    <cfRule type="containsBlanks" dxfId="202" priority="4">
      <formula>LEN(TRIM(E211))=0</formula>
    </cfRule>
  </conditionalFormatting>
  <conditionalFormatting sqref="E218:Q219">
    <cfRule type="containsBlanks" dxfId="201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92D050"/>
  </sheetPr>
  <dimension ref="A2:AC220"/>
  <sheetViews>
    <sheetView topLeftCell="L13" zoomScale="115" zoomScaleNormal="115" workbookViewId="0">
      <pane ySplit="1" topLeftCell="A213" activePane="bottomLeft" state="frozen"/>
      <selection activeCell="A13" sqref="A13"/>
      <selection pane="bottomLeft" activeCell="AC219" sqref="AC219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232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235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9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9" t="s">
        <v>103</v>
      </c>
    </row>
    <row r="13" spans="1:29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60"/>
    </row>
    <row r="14" spans="1:29" x14ac:dyDescent="0.4">
      <c r="A14" s="7"/>
      <c r="B14" s="62" t="s">
        <v>22</v>
      </c>
      <c r="C14" s="63"/>
      <c r="D14" s="6" t="s">
        <v>23</v>
      </c>
      <c r="E14" s="6">
        <v>88</v>
      </c>
      <c r="F14" s="6">
        <v>112</v>
      </c>
      <c r="G14" s="6">
        <v>144</v>
      </c>
      <c r="H14" s="6">
        <v>112</v>
      </c>
      <c r="I14" s="6">
        <v>130</v>
      </c>
      <c r="J14" s="6">
        <v>147</v>
      </c>
      <c r="K14" s="6">
        <v>145</v>
      </c>
      <c r="L14" s="6">
        <v>148</v>
      </c>
      <c r="M14" s="6">
        <v>125</v>
      </c>
      <c r="N14" s="6">
        <v>122</v>
      </c>
      <c r="O14" s="6">
        <v>120</v>
      </c>
      <c r="P14" s="6">
        <v>148</v>
      </c>
      <c r="Q14" s="6">
        <v>148</v>
      </c>
      <c r="R14" s="6">
        <v>139</v>
      </c>
      <c r="S14" s="6">
        <v>100</v>
      </c>
      <c r="T14" s="6">
        <v>141</v>
      </c>
      <c r="U14" s="6">
        <v>139</v>
      </c>
      <c r="V14" s="6">
        <v>139</v>
      </c>
      <c r="W14" s="6">
        <v>139</v>
      </c>
      <c r="X14" s="6">
        <v>137</v>
      </c>
      <c r="Y14" s="6">
        <v>122</v>
      </c>
      <c r="Z14" s="6">
        <v>109</v>
      </c>
      <c r="AA14" s="6">
        <v>124</v>
      </c>
      <c r="AB14" s="6">
        <v>127</v>
      </c>
      <c r="AC14" s="5">
        <f>SUM(E14:AB14)</f>
        <v>3105</v>
      </c>
    </row>
    <row r="15" spans="1:29" x14ac:dyDescent="0.4">
      <c r="A15" s="7"/>
      <c r="B15" s="64"/>
      <c r="C15" s="65"/>
      <c r="D15" s="6" t="s">
        <v>24</v>
      </c>
      <c r="E15" s="6">
        <v>84</v>
      </c>
      <c r="F15" s="6">
        <v>119</v>
      </c>
      <c r="G15" s="6">
        <v>147</v>
      </c>
      <c r="H15" s="6">
        <v>118</v>
      </c>
      <c r="I15" s="6">
        <v>144</v>
      </c>
      <c r="J15" s="6">
        <v>150</v>
      </c>
      <c r="K15" s="6">
        <v>150</v>
      </c>
      <c r="L15" s="6">
        <v>143</v>
      </c>
      <c r="M15" s="6">
        <v>136</v>
      </c>
      <c r="N15" s="6">
        <v>125</v>
      </c>
      <c r="O15" s="6">
        <v>132</v>
      </c>
      <c r="P15" s="6">
        <v>146</v>
      </c>
      <c r="Q15" s="6">
        <v>140</v>
      </c>
      <c r="R15" s="6">
        <v>146</v>
      </c>
      <c r="S15" s="6">
        <v>100</v>
      </c>
      <c r="T15" s="6">
        <v>143</v>
      </c>
      <c r="U15" s="6">
        <v>142</v>
      </c>
      <c r="V15" s="6">
        <v>139</v>
      </c>
      <c r="W15" s="6">
        <v>145</v>
      </c>
      <c r="X15" s="6">
        <v>130</v>
      </c>
      <c r="Y15" s="6">
        <v>130</v>
      </c>
      <c r="Z15" s="6">
        <v>108</v>
      </c>
      <c r="AA15" s="6">
        <v>132</v>
      </c>
      <c r="AB15" s="6">
        <v>123</v>
      </c>
      <c r="AC15" s="5">
        <f>SUM(E15:AB15)</f>
        <v>3172</v>
      </c>
    </row>
    <row r="16" spans="1:29" x14ac:dyDescent="0.4">
      <c r="A16" s="8"/>
      <c r="B16" s="66"/>
      <c r="C16" s="67"/>
      <c r="D16" s="5" t="s">
        <v>25</v>
      </c>
      <c r="E16" s="5">
        <f t="shared" ref="E16:AB16" si="0">SUM(E14:E15)</f>
        <v>172</v>
      </c>
      <c r="F16" s="5">
        <f t="shared" si="0"/>
        <v>231</v>
      </c>
      <c r="G16" s="5">
        <f t="shared" si="0"/>
        <v>291</v>
      </c>
      <c r="H16" s="5">
        <f t="shared" si="0"/>
        <v>230</v>
      </c>
      <c r="I16" s="5">
        <f t="shared" si="0"/>
        <v>274</v>
      </c>
      <c r="J16" s="5">
        <f t="shared" si="0"/>
        <v>297</v>
      </c>
      <c r="K16" s="5">
        <f t="shared" si="0"/>
        <v>295</v>
      </c>
      <c r="L16" s="5">
        <f t="shared" si="0"/>
        <v>291</v>
      </c>
      <c r="M16" s="5">
        <f t="shared" si="0"/>
        <v>261</v>
      </c>
      <c r="N16" s="5">
        <f t="shared" si="0"/>
        <v>247</v>
      </c>
      <c r="O16" s="5">
        <f t="shared" si="0"/>
        <v>252</v>
      </c>
      <c r="P16" s="5">
        <f t="shared" ref="P16:X16" si="1">SUM(P14:P15)</f>
        <v>294</v>
      </c>
      <c r="Q16" s="5">
        <f t="shared" si="1"/>
        <v>288</v>
      </c>
      <c r="R16" s="5">
        <f t="shared" si="1"/>
        <v>285</v>
      </c>
      <c r="S16" s="5">
        <f t="shared" si="1"/>
        <v>200</v>
      </c>
      <c r="T16" s="5">
        <f t="shared" si="1"/>
        <v>284</v>
      </c>
      <c r="U16" s="5">
        <f t="shared" si="1"/>
        <v>281</v>
      </c>
      <c r="V16" s="5">
        <f t="shared" si="1"/>
        <v>278</v>
      </c>
      <c r="W16" s="5">
        <f t="shared" si="1"/>
        <v>284</v>
      </c>
      <c r="X16" s="5">
        <f t="shared" si="1"/>
        <v>267</v>
      </c>
      <c r="Y16" s="5">
        <f t="shared" si="0"/>
        <v>252</v>
      </c>
      <c r="Z16" s="5">
        <f t="shared" si="0"/>
        <v>217</v>
      </c>
      <c r="AA16" s="5">
        <f t="shared" si="0"/>
        <v>256</v>
      </c>
      <c r="AB16" s="5">
        <f t="shared" si="0"/>
        <v>250</v>
      </c>
      <c r="AC16" s="5">
        <f>SUM(E16:AB16)</f>
        <v>6277</v>
      </c>
    </row>
    <row r="17" spans="1:29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68" t="s">
        <v>28</v>
      </c>
      <c r="C19" s="69" t="s">
        <v>29</v>
      </c>
      <c r="D19" s="6" t="s">
        <v>23</v>
      </c>
      <c r="E19" s="6">
        <v>63</v>
      </c>
      <c r="F19" s="6">
        <v>88</v>
      </c>
      <c r="G19" s="6">
        <v>101</v>
      </c>
      <c r="H19" s="6">
        <v>80</v>
      </c>
      <c r="I19" s="6">
        <v>104</v>
      </c>
      <c r="J19" s="6">
        <v>117</v>
      </c>
      <c r="K19" s="6">
        <v>117</v>
      </c>
      <c r="L19" s="6">
        <v>124</v>
      </c>
      <c r="M19" s="6">
        <v>96</v>
      </c>
      <c r="N19" s="6">
        <v>98</v>
      </c>
      <c r="O19" s="6">
        <v>106</v>
      </c>
      <c r="P19" s="6">
        <v>124</v>
      </c>
      <c r="Q19" s="6">
        <v>111</v>
      </c>
      <c r="R19" s="6">
        <v>115</v>
      </c>
      <c r="S19" s="6">
        <v>94</v>
      </c>
      <c r="T19" s="6">
        <v>121</v>
      </c>
      <c r="U19" s="6">
        <v>120</v>
      </c>
      <c r="V19" s="6">
        <v>123</v>
      </c>
      <c r="W19" s="6">
        <v>112</v>
      </c>
      <c r="X19" s="6">
        <v>114</v>
      </c>
      <c r="Y19" s="6">
        <v>105</v>
      </c>
      <c r="Z19" s="6">
        <v>87</v>
      </c>
      <c r="AA19" s="6">
        <v>99</v>
      </c>
      <c r="AB19" s="6">
        <v>97</v>
      </c>
      <c r="AC19" s="5">
        <f t="shared" ref="AC19:AC30" si="2">SUM(E19:AB19)</f>
        <v>2516</v>
      </c>
    </row>
    <row r="20" spans="1:29" x14ac:dyDescent="0.4">
      <c r="A20" s="12"/>
      <c r="B20" s="65"/>
      <c r="C20" s="70"/>
      <c r="D20" s="6" t="s">
        <v>24</v>
      </c>
      <c r="E20" s="6">
        <v>73</v>
      </c>
      <c r="F20" s="6">
        <v>104</v>
      </c>
      <c r="G20" s="6">
        <v>118</v>
      </c>
      <c r="H20" s="6">
        <v>97</v>
      </c>
      <c r="I20" s="6">
        <v>133</v>
      </c>
      <c r="J20" s="6">
        <v>129</v>
      </c>
      <c r="K20" s="6">
        <v>128</v>
      </c>
      <c r="L20" s="6">
        <v>127</v>
      </c>
      <c r="M20" s="6">
        <v>107</v>
      </c>
      <c r="N20" s="6">
        <v>106</v>
      </c>
      <c r="O20" s="6">
        <v>122</v>
      </c>
      <c r="P20" s="6">
        <v>125</v>
      </c>
      <c r="Q20" s="6">
        <v>116</v>
      </c>
      <c r="R20" s="6">
        <v>123</v>
      </c>
      <c r="S20" s="6">
        <v>94</v>
      </c>
      <c r="T20" s="6">
        <v>122</v>
      </c>
      <c r="U20" s="6">
        <v>121</v>
      </c>
      <c r="V20" s="6">
        <v>120</v>
      </c>
      <c r="W20" s="6">
        <v>122</v>
      </c>
      <c r="X20" s="6">
        <v>108</v>
      </c>
      <c r="Y20" s="6">
        <v>107</v>
      </c>
      <c r="Z20" s="6">
        <v>89</v>
      </c>
      <c r="AA20" s="6">
        <v>118</v>
      </c>
      <c r="AB20" s="6">
        <v>96</v>
      </c>
      <c r="AC20" s="5">
        <f t="shared" si="2"/>
        <v>2705</v>
      </c>
    </row>
    <row r="21" spans="1:29" x14ac:dyDescent="0.4">
      <c r="A21" s="13"/>
      <c r="B21" s="67"/>
      <c r="C21" s="71"/>
      <c r="D21" s="5" t="s">
        <v>25</v>
      </c>
      <c r="E21" s="5">
        <f t="shared" ref="E21:AB21" si="3">SUM(E19:E20)</f>
        <v>136</v>
      </c>
      <c r="F21" s="5">
        <f t="shared" si="3"/>
        <v>192</v>
      </c>
      <c r="G21" s="5">
        <f t="shared" si="3"/>
        <v>219</v>
      </c>
      <c r="H21" s="5">
        <f t="shared" si="3"/>
        <v>177</v>
      </c>
      <c r="I21" s="5">
        <f t="shared" si="3"/>
        <v>237</v>
      </c>
      <c r="J21" s="5">
        <f t="shared" si="3"/>
        <v>246</v>
      </c>
      <c r="K21" s="5">
        <f t="shared" si="3"/>
        <v>245</v>
      </c>
      <c r="L21" s="5">
        <f t="shared" si="3"/>
        <v>251</v>
      </c>
      <c r="M21" s="5">
        <f t="shared" si="3"/>
        <v>203</v>
      </c>
      <c r="N21" s="5">
        <f t="shared" si="3"/>
        <v>204</v>
      </c>
      <c r="O21" s="5">
        <f t="shared" si="3"/>
        <v>228</v>
      </c>
      <c r="P21" s="5">
        <f t="shared" ref="P21:X21" si="4">SUM(P19:P20)</f>
        <v>249</v>
      </c>
      <c r="Q21" s="5">
        <f t="shared" si="4"/>
        <v>227</v>
      </c>
      <c r="R21" s="5">
        <f t="shared" si="4"/>
        <v>238</v>
      </c>
      <c r="S21" s="5">
        <f t="shared" si="4"/>
        <v>188</v>
      </c>
      <c r="T21" s="5">
        <f t="shared" si="4"/>
        <v>243</v>
      </c>
      <c r="U21" s="5">
        <f t="shared" si="4"/>
        <v>241</v>
      </c>
      <c r="V21" s="5">
        <f t="shared" si="4"/>
        <v>243</v>
      </c>
      <c r="W21" s="5">
        <f t="shared" si="4"/>
        <v>234</v>
      </c>
      <c r="X21" s="5">
        <f t="shared" si="4"/>
        <v>222</v>
      </c>
      <c r="Y21" s="5">
        <f t="shared" si="3"/>
        <v>212</v>
      </c>
      <c r="Z21" s="5">
        <f t="shared" si="3"/>
        <v>176</v>
      </c>
      <c r="AA21" s="5">
        <f t="shared" si="3"/>
        <v>217</v>
      </c>
      <c r="AB21" s="5">
        <f t="shared" si="3"/>
        <v>193</v>
      </c>
      <c r="AC21" s="5">
        <f t="shared" si="2"/>
        <v>5221</v>
      </c>
    </row>
    <row r="22" spans="1:29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5">
        <f t="shared" si="2"/>
        <v>4</v>
      </c>
    </row>
    <row r="23" spans="1:29" x14ac:dyDescent="0.4">
      <c r="A23" s="12"/>
      <c r="B23" s="65"/>
      <c r="C23" s="70"/>
      <c r="D23" s="6" t="s">
        <v>24</v>
      </c>
      <c r="E23" s="6">
        <v>1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2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0</v>
      </c>
      <c r="AA23" s="6">
        <v>1</v>
      </c>
      <c r="AB23" s="6">
        <v>1</v>
      </c>
      <c r="AC23" s="5">
        <f t="shared" si="2"/>
        <v>10</v>
      </c>
    </row>
    <row r="24" spans="1:29" x14ac:dyDescent="0.4">
      <c r="A24" s="13"/>
      <c r="B24" s="67"/>
      <c r="C24" s="71"/>
      <c r="D24" s="5" t="s">
        <v>25</v>
      </c>
      <c r="E24" s="5">
        <f t="shared" ref="E24:AB24" si="5">SUM(E22:E23)</f>
        <v>1</v>
      </c>
      <c r="F24" s="5">
        <f t="shared" si="5"/>
        <v>0</v>
      </c>
      <c r="G24" s="5">
        <f t="shared" si="5"/>
        <v>1</v>
      </c>
      <c r="H24" s="5">
        <f t="shared" si="5"/>
        <v>0</v>
      </c>
      <c r="I24" s="5">
        <f t="shared" si="5"/>
        <v>1</v>
      </c>
      <c r="J24" s="5">
        <f t="shared" si="5"/>
        <v>0</v>
      </c>
      <c r="K24" s="5">
        <f t="shared" si="5"/>
        <v>1</v>
      </c>
      <c r="L24" s="5">
        <f t="shared" si="5"/>
        <v>0</v>
      </c>
      <c r="M24" s="5">
        <f t="shared" si="5"/>
        <v>1</v>
      </c>
      <c r="N24" s="5">
        <f t="shared" si="5"/>
        <v>0</v>
      </c>
      <c r="O24" s="5">
        <f t="shared" si="5"/>
        <v>0</v>
      </c>
      <c r="P24" s="5">
        <f t="shared" ref="P24:X24" si="6">SUM(P22:P23)</f>
        <v>0</v>
      </c>
      <c r="Q24" s="5">
        <f t="shared" si="6"/>
        <v>3</v>
      </c>
      <c r="R24" s="5">
        <f t="shared" si="6"/>
        <v>0</v>
      </c>
      <c r="S24" s="5">
        <f t="shared" si="6"/>
        <v>1</v>
      </c>
      <c r="T24" s="5">
        <f t="shared" si="6"/>
        <v>1</v>
      </c>
      <c r="U24" s="5">
        <f t="shared" si="6"/>
        <v>0</v>
      </c>
      <c r="V24" s="5">
        <f t="shared" si="6"/>
        <v>0</v>
      </c>
      <c r="W24" s="5">
        <f t="shared" si="6"/>
        <v>1</v>
      </c>
      <c r="X24" s="5">
        <f t="shared" si="6"/>
        <v>0</v>
      </c>
      <c r="Y24" s="5">
        <f t="shared" si="5"/>
        <v>0</v>
      </c>
      <c r="Z24" s="5">
        <f t="shared" si="5"/>
        <v>0</v>
      </c>
      <c r="AA24" s="5">
        <f t="shared" si="5"/>
        <v>2</v>
      </c>
      <c r="AB24" s="5">
        <f t="shared" si="5"/>
        <v>1</v>
      </c>
      <c r="AC24" s="5">
        <f t="shared" si="2"/>
        <v>14</v>
      </c>
    </row>
    <row r="25" spans="1:29" x14ac:dyDescent="0.4">
      <c r="A25" s="12"/>
      <c r="B25" s="68" t="s">
        <v>32</v>
      </c>
      <c r="C25" s="69" t="s">
        <v>33</v>
      </c>
      <c r="D25" s="6" t="s">
        <v>23</v>
      </c>
      <c r="E25" s="6">
        <v>0</v>
      </c>
      <c r="F25" s="6">
        <v>1</v>
      </c>
      <c r="G25" s="6">
        <v>0</v>
      </c>
      <c r="H25" s="6">
        <v>0</v>
      </c>
      <c r="I25" s="6">
        <v>1</v>
      </c>
      <c r="J25" s="6">
        <v>0</v>
      </c>
      <c r="K25" s="6">
        <v>1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3</v>
      </c>
      <c r="W25" s="6">
        <v>1</v>
      </c>
      <c r="X25" s="6">
        <v>3</v>
      </c>
      <c r="Y25" s="6">
        <v>3</v>
      </c>
      <c r="Z25" s="6">
        <v>0</v>
      </c>
      <c r="AA25" s="6">
        <v>0</v>
      </c>
      <c r="AB25" s="6">
        <v>1</v>
      </c>
      <c r="AC25" s="5">
        <f t="shared" si="2"/>
        <v>15</v>
      </c>
    </row>
    <row r="26" spans="1:29" x14ac:dyDescent="0.4">
      <c r="A26" s="12"/>
      <c r="B26" s="65"/>
      <c r="C26" s="70"/>
      <c r="D26" s="6" t="s">
        <v>24</v>
      </c>
      <c r="E26" s="6">
        <v>1</v>
      </c>
      <c r="F26" s="6">
        <v>3</v>
      </c>
      <c r="G26" s="6">
        <v>1</v>
      </c>
      <c r="H26" s="6">
        <v>1</v>
      </c>
      <c r="I26" s="6">
        <v>0</v>
      </c>
      <c r="J26" s="6">
        <v>0</v>
      </c>
      <c r="K26" s="6">
        <v>2</v>
      </c>
      <c r="L26" s="6">
        <v>1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6">
        <v>1</v>
      </c>
      <c r="X26" s="6">
        <v>2</v>
      </c>
      <c r="Y26" s="6">
        <v>2</v>
      </c>
      <c r="Z26" s="6">
        <v>0</v>
      </c>
      <c r="AA26" s="6">
        <v>0</v>
      </c>
      <c r="AB26" s="6">
        <v>1</v>
      </c>
      <c r="AC26" s="5">
        <f t="shared" si="2"/>
        <v>17</v>
      </c>
    </row>
    <row r="27" spans="1:29" x14ac:dyDescent="0.4">
      <c r="A27" s="13"/>
      <c r="B27" s="67"/>
      <c r="C27" s="71"/>
      <c r="D27" s="5" t="s">
        <v>25</v>
      </c>
      <c r="E27" s="5">
        <f t="shared" ref="E27:AB27" si="7">SUM(E25:E26)</f>
        <v>1</v>
      </c>
      <c r="F27" s="5">
        <f t="shared" si="7"/>
        <v>4</v>
      </c>
      <c r="G27" s="5">
        <f t="shared" si="7"/>
        <v>1</v>
      </c>
      <c r="H27" s="5">
        <f t="shared" si="7"/>
        <v>1</v>
      </c>
      <c r="I27" s="5">
        <f t="shared" si="7"/>
        <v>1</v>
      </c>
      <c r="J27" s="5">
        <f t="shared" si="7"/>
        <v>0</v>
      </c>
      <c r="K27" s="5">
        <f t="shared" si="7"/>
        <v>3</v>
      </c>
      <c r="L27" s="5">
        <f t="shared" si="7"/>
        <v>2</v>
      </c>
      <c r="M27" s="5">
        <f t="shared" si="7"/>
        <v>1</v>
      </c>
      <c r="N27" s="5">
        <f t="shared" si="7"/>
        <v>0</v>
      </c>
      <c r="O27" s="5">
        <f t="shared" si="7"/>
        <v>0</v>
      </c>
      <c r="P27" s="5">
        <f t="shared" ref="P27:X27" si="8">SUM(P25:P26)</f>
        <v>0</v>
      </c>
      <c r="Q27" s="5">
        <f t="shared" si="8"/>
        <v>0</v>
      </c>
      <c r="R27" s="5">
        <f t="shared" si="8"/>
        <v>0</v>
      </c>
      <c r="S27" s="5">
        <f t="shared" si="8"/>
        <v>0</v>
      </c>
      <c r="T27" s="5">
        <f t="shared" si="8"/>
        <v>0</v>
      </c>
      <c r="U27" s="5">
        <f t="shared" si="8"/>
        <v>1</v>
      </c>
      <c r="V27" s="5">
        <f t="shared" si="8"/>
        <v>3</v>
      </c>
      <c r="W27" s="5">
        <f t="shared" si="8"/>
        <v>2</v>
      </c>
      <c r="X27" s="5">
        <f t="shared" si="8"/>
        <v>5</v>
      </c>
      <c r="Y27" s="5">
        <f t="shared" si="7"/>
        <v>5</v>
      </c>
      <c r="Z27" s="5">
        <f t="shared" si="7"/>
        <v>0</v>
      </c>
      <c r="AA27" s="5">
        <f t="shared" si="7"/>
        <v>0</v>
      </c>
      <c r="AB27" s="5">
        <f t="shared" si="7"/>
        <v>2</v>
      </c>
      <c r="AC27" s="5">
        <f t="shared" si="2"/>
        <v>32</v>
      </c>
    </row>
    <row r="28" spans="1:2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63</v>
      </c>
      <c r="F28" s="5">
        <f t="shared" ref="F28:AB29" si="9">SUM(F19,F22,F25)</f>
        <v>89</v>
      </c>
      <c r="G28" s="5">
        <f t="shared" si="9"/>
        <v>101</v>
      </c>
      <c r="H28" s="5">
        <f t="shared" si="9"/>
        <v>80</v>
      </c>
      <c r="I28" s="5">
        <f t="shared" si="9"/>
        <v>105</v>
      </c>
      <c r="J28" s="5">
        <f t="shared" si="9"/>
        <v>117</v>
      </c>
      <c r="K28" s="5">
        <f t="shared" si="9"/>
        <v>118</v>
      </c>
      <c r="L28" s="5">
        <f t="shared" si="9"/>
        <v>125</v>
      </c>
      <c r="M28" s="5">
        <f t="shared" si="9"/>
        <v>97</v>
      </c>
      <c r="N28" s="5">
        <f t="shared" si="9"/>
        <v>98</v>
      </c>
      <c r="O28" s="5">
        <f t="shared" si="9"/>
        <v>106</v>
      </c>
      <c r="P28" s="5">
        <f t="shared" ref="P28:X28" si="10">SUM(P19,P22,P25)</f>
        <v>124</v>
      </c>
      <c r="Q28" s="5">
        <f t="shared" si="10"/>
        <v>112</v>
      </c>
      <c r="R28" s="5">
        <f t="shared" si="10"/>
        <v>115</v>
      </c>
      <c r="S28" s="5">
        <f t="shared" si="10"/>
        <v>94</v>
      </c>
      <c r="T28" s="5">
        <f t="shared" si="10"/>
        <v>122</v>
      </c>
      <c r="U28" s="5">
        <f t="shared" si="10"/>
        <v>120</v>
      </c>
      <c r="V28" s="5">
        <f t="shared" si="10"/>
        <v>126</v>
      </c>
      <c r="W28" s="5">
        <f t="shared" si="10"/>
        <v>113</v>
      </c>
      <c r="X28" s="5">
        <f t="shared" si="10"/>
        <v>117</v>
      </c>
      <c r="Y28" s="5">
        <f t="shared" si="9"/>
        <v>108</v>
      </c>
      <c r="Z28" s="5">
        <f t="shared" si="9"/>
        <v>87</v>
      </c>
      <c r="AA28" s="5">
        <f t="shared" si="9"/>
        <v>100</v>
      </c>
      <c r="AB28" s="5">
        <f t="shared" si="9"/>
        <v>98</v>
      </c>
      <c r="AC28" s="5">
        <f t="shared" si="2"/>
        <v>2535</v>
      </c>
    </row>
    <row r="29" spans="1:29" x14ac:dyDescent="0.4">
      <c r="A29" s="13"/>
      <c r="B29" s="65"/>
      <c r="C29" s="70"/>
      <c r="D29" s="5" t="s">
        <v>24</v>
      </c>
      <c r="E29" s="5">
        <f>SUM(E20,E23,E26)</f>
        <v>75</v>
      </c>
      <c r="F29" s="5">
        <f t="shared" si="9"/>
        <v>107</v>
      </c>
      <c r="G29" s="5">
        <f t="shared" si="9"/>
        <v>120</v>
      </c>
      <c r="H29" s="5">
        <f t="shared" si="9"/>
        <v>98</v>
      </c>
      <c r="I29" s="5">
        <f t="shared" si="9"/>
        <v>134</v>
      </c>
      <c r="J29" s="5">
        <f t="shared" si="9"/>
        <v>129</v>
      </c>
      <c r="K29" s="5">
        <f t="shared" si="9"/>
        <v>131</v>
      </c>
      <c r="L29" s="5">
        <f t="shared" si="9"/>
        <v>128</v>
      </c>
      <c r="M29" s="5">
        <f t="shared" si="9"/>
        <v>108</v>
      </c>
      <c r="N29" s="5">
        <f t="shared" si="9"/>
        <v>106</v>
      </c>
      <c r="O29" s="5">
        <f t="shared" si="9"/>
        <v>122</v>
      </c>
      <c r="P29" s="5">
        <f t="shared" ref="P29:X29" si="11">SUM(P20,P23,P26)</f>
        <v>125</v>
      </c>
      <c r="Q29" s="5">
        <f t="shared" si="11"/>
        <v>118</v>
      </c>
      <c r="R29" s="5">
        <f t="shared" si="11"/>
        <v>123</v>
      </c>
      <c r="S29" s="5">
        <f t="shared" si="11"/>
        <v>95</v>
      </c>
      <c r="T29" s="5">
        <f t="shared" si="11"/>
        <v>122</v>
      </c>
      <c r="U29" s="5">
        <f t="shared" si="11"/>
        <v>122</v>
      </c>
      <c r="V29" s="5">
        <f t="shared" si="11"/>
        <v>120</v>
      </c>
      <c r="W29" s="5">
        <f t="shared" si="11"/>
        <v>124</v>
      </c>
      <c r="X29" s="5">
        <f t="shared" si="11"/>
        <v>110</v>
      </c>
      <c r="Y29" s="5">
        <f t="shared" si="9"/>
        <v>109</v>
      </c>
      <c r="Z29" s="5">
        <f t="shared" si="9"/>
        <v>89</v>
      </c>
      <c r="AA29" s="5">
        <f t="shared" si="9"/>
        <v>119</v>
      </c>
      <c r="AB29" s="5">
        <f t="shared" si="9"/>
        <v>98</v>
      </c>
      <c r="AC29" s="5">
        <f t="shared" si="2"/>
        <v>2732</v>
      </c>
    </row>
    <row r="30" spans="1:29" x14ac:dyDescent="0.4">
      <c r="A30" s="13"/>
      <c r="B30" s="67"/>
      <c r="C30" s="71"/>
      <c r="D30" s="5" t="s">
        <v>25</v>
      </c>
      <c r="E30" s="5">
        <f t="shared" ref="E30:AB30" si="12">SUM(E28:E29)</f>
        <v>138</v>
      </c>
      <c r="F30" s="5">
        <f t="shared" si="12"/>
        <v>196</v>
      </c>
      <c r="G30" s="5">
        <f t="shared" si="12"/>
        <v>221</v>
      </c>
      <c r="H30" s="5">
        <f t="shared" si="12"/>
        <v>178</v>
      </c>
      <c r="I30" s="5">
        <f t="shared" si="12"/>
        <v>239</v>
      </c>
      <c r="J30" s="5">
        <f t="shared" si="12"/>
        <v>246</v>
      </c>
      <c r="K30" s="5">
        <f t="shared" si="12"/>
        <v>249</v>
      </c>
      <c r="L30" s="5">
        <f t="shared" si="12"/>
        <v>253</v>
      </c>
      <c r="M30" s="5">
        <f t="shared" si="12"/>
        <v>205</v>
      </c>
      <c r="N30" s="5">
        <f t="shared" si="12"/>
        <v>204</v>
      </c>
      <c r="O30" s="5">
        <f t="shared" si="12"/>
        <v>228</v>
      </c>
      <c r="P30" s="5">
        <f t="shared" ref="P30:X30" si="13">SUM(P28:P29)</f>
        <v>249</v>
      </c>
      <c r="Q30" s="5">
        <f t="shared" si="13"/>
        <v>230</v>
      </c>
      <c r="R30" s="5">
        <f t="shared" si="13"/>
        <v>238</v>
      </c>
      <c r="S30" s="5">
        <f t="shared" si="13"/>
        <v>189</v>
      </c>
      <c r="T30" s="5">
        <f t="shared" si="13"/>
        <v>244</v>
      </c>
      <c r="U30" s="5">
        <f t="shared" si="13"/>
        <v>242</v>
      </c>
      <c r="V30" s="5">
        <f t="shared" si="13"/>
        <v>246</v>
      </c>
      <c r="W30" s="5">
        <f t="shared" si="13"/>
        <v>237</v>
      </c>
      <c r="X30" s="5">
        <f t="shared" si="13"/>
        <v>227</v>
      </c>
      <c r="Y30" s="5">
        <f t="shared" si="12"/>
        <v>217</v>
      </c>
      <c r="Z30" s="5">
        <f t="shared" si="12"/>
        <v>176</v>
      </c>
      <c r="AA30" s="5">
        <f t="shared" si="12"/>
        <v>219</v>
      </c>
      <c r="AB30" s="5">
        <f t="shared" si="12"/>
        <v>196</v>
      </c>
      <c r="AC30" s="5">
        <f t="shared" si="2"/>
        <v>5267</v>
      </c>
    </row>
    <row r="31" spans="1:29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61" t="s">
        <v>38</v>
      </c>
      <c r="C33" s="54"/>
      <c r="D33" s="55"/>
      <c r="E33" s="6">
        <v>175</v>
      </c>
      <c r="F33" s="6">
        <v>237</v>
      </c>
      <c r="G33" s="6">
        <v>294</v>
      </c>
      <c r="H33" s="6">
        <v>235</v>
      </c>
      <c r="I33" s="6">
        <v>279</v>
      </c>
      <c r="J33" s="6">
        <v>303</v>
      </c>
      <c r="K33" s="6">
        <v>301</v>
      </c>
      <c r="L33" s="6">
        <v>297</v>
      </c>
      <c r="M33" s="6">
        <v>266</v>
      </c>
      <c r="N33" s="6">
        <v>252</v>
      </c>
      <c r="O33" s="6">
        <v>257</v>
      </c>
      <c r="P33" s="6">
        <v>301</v>
      </c>
      <c r="Q33" s="6">
        <v>294</v>
      </c>
      <c r="R33" s="6">
        <v>291</v>
      </c>
      <c r="S33" s="6">
        <v>204</v>
      </c>
      <c r="T33" s="6">
        <v>290</v>
      </c>
      <c r="U33" s="6">
        <v>287</v>
      </c>
      <c r="V33" s="6">
        <v>284</v>
      </c>
      <c r="W33" s="6">
        <v>290</v>
      </c>
      <c r="X33" s="6">
        <v>270</v>
      </c>
      <c r="Y33" s="6">
        <v>257</v>
      </c>
      <c r="Z33" s="6">
        <v>221</v>
      </c>
      <c r="AA33" s="6">
        <v>261</v>
      </c>
      <c r="AB33" s="6">
        <v>255</v>
      </c>
      <c r="AC33" s="5">
        <f>SUM(E33:AB33)</f>
        <v>6401</v>
      </c>
    </row>
    <row r="34" spans="1:29" x14ac:dyDescent="0.4">
      <c r="A34" s="6">
        <v>2</v>
      </c>
      <c r="B34" s="61" t="s">
        <v>39</v>
      </c>
      <c r="C34" s="54"/>
      <c r="D34" s="55"/>
      <c r="E34" s="5">
        <v>138</v>
      </c>
      <c r="F34" s="5">
        <v>196</v>
      </c>
      <c r="G34" s="5">
        <v>221</v>
      </c>
      <c r="H34" s="5">
        <v>178</v>
      </c>
      <c r="I34" s="5">
        <v>239</v>
      </c>
      <c r="J34" s="5">
        <v>246</v>
      </c>
      <c r="K34" s="5">
        <v>249</v>
      </c>
      <c r="L34" s="5">
        <v>253</v>
      </c>
      <c r="M34" s="5">
        <v>205</v>
      </c>
      <c r="N34" s="5">
        <v>204</v>
      </c>
      <c r="O34" s="5">
        <v>228</v>
      </c>
      <c r="P34" s="5">
        <v>249</v>
      </c>
      <c r="Q34" s="5">
        <v>230</v>
      </c>
      <c r="R34" s="5">
        <v>238</v>
      </c>
      <c r="S34" s="5">
        <v>189</v>
      </c>
      <c r="T34" s="5">
        <v>244</v>
      </c>
      <c r="U34" s="5">
        <v>242</v>
      </c>
      <c r="V34" s="5">
        <v>246</v>
      </c>
      <c r="W34" s="5">
        <v>237</v>
      </c>
      <c r="X34" s="5">
        <v>227</v>
      </c>
      <c r="Y34" s="5">
        <v>217</v>
      </c>
      <c r="Z34" s="5">
        <v>176</v>
      </c>
      <c r="AA34" s="5">
        <v>219</v>
      </c>
      <c r="AB34" s="5">
        <v>196</v>
      </c>
      <c r="AC34" s="5">
        <f>SUM(E34:AB34)</f>
        <v>5267</v>
      </c>
    </row>
    <row r="35" spans="1:29" x14ac:dyDescent="0.4">
      <c r="A35" s="6">
        <v>3</v>
      </c>
      <c r="B35" s="61" t="s">
        <v>40</v>
      </c>
      <c r="C35" s="54"/>
      <c r="D35" s="55"/>
      <c r="E35" s="6"/>
      <c r="F35" s="6"/>
      <c r="G35" s="6"/>
      <c r="H35" s="6"/>
      <c r="I35" s="6">
        <v>1</v>
      </c>
      <c r="J35" s="6"/>
      <c r="K35" s="6">
        <v>8</v>
      </c>
      <c r="L35" s="6"/>
      <c r="M35" s="6"/>
      <c r="N35" s="6"/>
      <c r="O35" s="6"/>
      <c r="P35" s="6"/>
      <c r="Q35" s="6"/>
      <c r="R35" s="6"/>
      <c r="S35" s="6"/>
      <c r="T35" s="6">
        <v>3</v>
      </c>
      <c r="U35" s="6"/>
      <c r="V35" s="6"/>
      <c r="W35" s="6">
        <v>1</v>
      </c>
      <c r="X35" s="6">
        <v>2</v>
      </c>
      <c r="Y35" s="6">
        <v>1</v>
      </c>
      <c r="Z35" s="6"/>
      <c r="AA35" s="6"/>
      <c r="AB35" s="6"/>
      <c r="AC35" s="5">
        <f>SUM(E35:AB35)</f>
        <v>16</v>
      </c>
    </row>
    <row r="36" spans="1:29" x14ac:dyDescent="0.4">
      <c r="A36" s="6">
        <v>4</v>
      </c>
      <c r="B36" s="61" t="s">
        <v>41</v>
      </c>
      <c r="C36" s="54"/>
      <c r="D36" s="55"/>
      <c r="E36" s="5">
        <f t="shared" ref="E36:AB36" si="14">E33-(E34+E35)</f>
        <v>37</v>
      </c>
      <c r="F36" s="5">
        <f t="shared" si="14"/>
        <v>41</v>
      </c>
      <c r="G36" s="5">
        <f t="shared" si="14"/>
        <v>73</v>
      </c>
      <c r="H36" s="5">
        <f t="shared" si="14"/>
        <v>57</v>
      </c>
      <c r="I36" s="5">
        <f t="shared" si="14"/>
        <v>39</v>
      </c>
      <c r="J36" s="5">
        <f t="shared" si="14"/>
        <v>57</v>
      </c>
      <c r="K36" s="5">
        <f t="shared" si="14"/>
        <v>44</v>
      </c>
      <c r="L36" s="5">
        <f t="shared" si="14"/>
        <v>44</v>
      </c>
      <c r="M36" s="5">
        <f t="shared" si="14"/>
        <v>61</v>
      </c>
      <c r="N36" s="5">
        <f t="shared" si="14"/>
        <v>48</v>
      </c>
      <c r="O36" s="5">
        <f t="shared" si="14"/>
        <v>29</v>
      </c>
      <c r="P36" s="5">
        <f t="shared" ref="P36:X36" si="15">P33-(P34+P35)</f>
        <v>52</v>
      </c>
      <c r="Q36" s="5">
        <f t="shared" si="15"/>
        <v>64</v>
      </c>
      <c r="R36" s="5">
        <f t="shared" si="15"/>
        <v>53</v>
      </c>
      <c r="S36" s="5">
        <f t="shared" si="15"/>
        <v>15</v>
      </c>
      <c r="T36" s="5">
        <f t="shared" si="15"/>
        <v>43</v>
      </c>
      <c r="U36" s="5">
        <f t="shared" si="15"/>
        <v>45</v>
      </c>
      <c r="V36" s="5">
        <f t="shared" si="15"/>
        <v>38</v>
      </c>
      <c r="W36" s="5">
        <f t="shared" si="15"/>
        <v>52</v>
      </c>
      <c r="X36" s="5">
        <f t="shared" si="15"/>
        <v>41</v>
      </c>
      <c r="Y36" s="5">
        <f t="shared" si="14"/>
        <v>39</v>
      </c>
      <c r="Z36" s="5">
        <f t="shared" si="14"/>
        <v>45</v>
      </c>
      <c r="AA36" s="5">
        <f t="shared" si="14"/>
        <v>42</v>
      </c>
      <c r="AB36" s="5">
        <f t="shared" si="14"/>
        <v>59</v>
      </c>
      <c r="AC36" s="5">
        <f>SUM(E36:AB36)</f>
        <v>1118</v>
      </c>
    </row>
    <row r="37" spans="1:29" x14ac:dyDescent="0.4">
      <c r="A37" s="53"/>
      <c r="B37" s="54"/>
      <c r="C37" s="54"/>
      <c r="D37" s="54"/>
      <c r="E37" s="53"/>
      <c r="F37" s="76"/>
      <c r="G37" s="76"/>
      <c r="H37" s="76"/>
      <c r="I37" s="77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78" t="s">
        <v>44</v>
      </c>
      <c r="C39" s="63"/>
      <c r="D39" s="6" t="s">
        <v>23</v>
      </c>
      <c r="E39" s="6"/>
      <c r="F39" s="6"/>
      <c r="G39" s="6"/>
      <c r="H39" s="6"/>
      <c r="I39" s="6"/>
      <c r="J39" s="6">
        <v>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>
        <v>1</v>
      </c>
      <c r="X39" s="6"/>
      <c r="Y39" s="6"/>
      <c r="Z39" s="6"/>
      <c r="AA39" s="6">
        <v>2</v>
      </c>
      <c r="AB39" s="6">
        <v>1</v>
      </c>
      <c r="AC39" s="5">
        <f>SUM(E39:AB39)</f>
        <v>5</v>
      </c>
    </row>
    <row r="40" spans="1:29" x14ac:dyDescent="0.4">
      <c r="A40" s="12"/>
      <c r="B40" s="79"/>
      <c r="C40" s="65"/>
      <c r="D40" s="6" t="s">
        <v>24</v>
      </c>
      <c r="E40" s="6">
        <v>1</v>
      </c>
      <c r="F40" s="6"/>
      <c r="G40" s="6"/>
      <c r="H40" s="6"/>
      <c r="I40" s="6"/>
      <c r="J40" s="6"/>
      <c r="K40" s="6"/>
      <c r="L40" s="6"/>
      <c r="M40" s="6">
        <v>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2</v>
      </c>
      <c r="AB40" s="6"/>
      <c r="AC40" s="5">
        <f>SUM(E40:AB40)</f>
        <v>4</v>
      </c>
    </row>
    <row r="41" spans="1:29" x14ac:dyDescent="0.4">
      <c r="A41" s="14"/>
      <c r="B41" s="80"/>
      <c r="C41" s="67"/>
      <c r="D41" s="5" t="s">
        <v>25</v>
      </c>
      <c r="E41" s="5">
        <f t="shared" ref="E41:AB41" si="16">SUM(E39:E40)</f>
        <v>1</v>
      </c>
      <c r="F41" s="5">
        <f t="shared" si="16"/>
        <v>0</v>
      </c>
      <c r="G41" s="5">
        <f t="shared" si="16"/>
        <v>0</v>
      </c>
      <c r="H41" s="5">
        <f t="shared" si="16"/>
        <v>0</v>
      </c>
      <c r="I41" s="5">
        <f t="shared" si="16"/>
        <v>0</v>
      </c>
      <c r="J41" s="5">
        <f t="shared" si="16"/>
        <v>1</v>
      </c>
      <c r="K41" s="5">
        <f t="shared" si="16"/>
        <v>0</v>
      </c>
      <c r="L41" s="5">
        <f t="shared" si="16"/>
        <v>0</v>
      </c>
      <c r="M41" s="5">
        <f t="shared" si="16"/>
        <v>1</v>
      </c>
      <c r="N41" s="5">
        <f t="shared" si="16"/>
        <v>0</v>
      </c>
      <c r="O41" s="5">
        <f t="shared" si="16"/>
        <v>0</v>
      </c>
      <c r="P41" s="5">
        <f t="shared" ref="P41:X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0</v>
      </c>
      <c r="W41" s="5">
        <f t="shared" si="17"/>
        <v>1</v>
      </c>
      <c r="X41" s="5">
        <f t="shared" si="17"/>
        <v>0</v>
      </c>
      <c r="Y41" s="5">
        <f t="shared" si="16"/>
        <v>0</v>
      </c>
      <c r="Z41" s="5">
        <f t="shared" si="16"/>
        <v>0</v>
      </c>
      <c r="AA41" s="5">
        <f t="shared" si="16"/>
        <v>4</v>
      </c>
      <c r="AB41" s="5">
        <f t="shared" si="16"/>
        <v>1</v>
      </c>
      <c r="AC41" s="5">
        <f>SUM(E41:AB41)</f>
        <v>9</v>
      </c>
    </row>
    <row r="42" spans="1:29" x14ac:dyDescent="0.4">
      <c r="A42" s="81"/>
      <c r="B42" s="80"/>
      <c r="C42" s="80"/>
      <c r="D42" s="67"/>
      <c r="E42" s="53"/>
      <c r="F42" s="54"/>
      <c r="G42" s="54"/>
      <c r="H42" s="54"/>
      <c r="I42" s="55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10"/>
      <c r="Z42" s="6"/>
      <c r="AA42" s="10"/>
      <c r="AB42" s="6"/>
      <c r="AC42" s="5"/>
    </row>
    <row r="43" spans="1:29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15"/>
      <c r="Z43" s="5"/>
      <c r="AA43" s="15"/>
      <c r="AB43" s="5"/>
      <c r="AC43" s="5"/>
    </row>
    <row r="44" spans="1:29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10"/>
      <c r="Z44" s="6"/>
      <c r="AA44" s="10"/>
      <c r="AB44" s="6"/>
      <c r="AC44" s="5"/>
    </row>
    <row r="45" spans="1:29" x14ac:dyDescent="0.4">
      <c r="A45" s="11" t="s">
        <v>48</v>
      </c>
      <c r="B45" s="17" t="s">
        <v>28</v>
      </c>
      <c r="C45" s="83" t="s">
        <v>49</v>
      </c>
      <c r="D45" s="55"/>
      <c r="E45" s="6">
        <v>6</v>
      </c>
      <c r="F45" s="6">
        <v>10</v>
      </c>
      <c r="G45" s="6">
        <v>9</v>
      </c>
      <c r="H45" s="6">
        <v>2</v>
      </c>
      <c r="I45" s="6">
        <v>19</v>
      </c>
      <c r="J45" s="6">
        <v>8</v>
      </c>
      <c r="K45" s="6">
        <v>11</v>
      </c>
      <c r="L45" s="6">
        <v>7</v>
      </c>
      <c r="M45" s="6">
        <v>11</v>
      </c>
      <c r="N45" s="6">
        <v>26</v>
      </c>
      <c r="O45" s="6">
        <v>11</v>
      </c>
      <c r="P45" s="6">
        <v>5</v>
      </c>
      <c r="Q45" s="6">
        <v>8</v>
      </c>
      <c r="R45" s="6">
        <v>5</v>
      </c>
      <c r="S45" s="6">
        <v>11</v>
      </c>
      <c r="T45" s="6">
        <v>9</v>
      </c>
      <c r="U45" s="6">
        <v>6</v>
      </c>
      <c r="V45" s="6">
        <v>24</v>
      </c>
      <c r="W45" s="6">
        <v>20</v>
      </c>
      <c r="X45" s="6">
        <v>19</v>
      </c>
      <c r="Y45" s="6">
        <v>14</v>
      </c>
      <c r="Z45" s="6">
        <v>1</v>
      </c>
      <c r="AA45" s="6">
        <v>9</v>
      </c>
      <c r="AB45" s="6">
        <v>4</v>
      </c>
      <c r="AC45" s="5">
        <f t="shared" ref="AC45:AC54" si="18">SUM(E45:AB45)</f>
        <v>255</v>
      </c>
    </row>
    <row r="46" spans="1:29" x14ac:dyDescent="0.4">
      <c r="A46" s="11" t="s">
        <v>50</v>
      </c>
      <c r="B46" s="46"/>
      <c r="C46" s="24" t="s">
        <v>110</v>
      </c>
      <c r="D46" s="24"/>
      <c r="E46" s="6">
        <v>14</v>
      </c>
      <c r="F46" s="6">
        <v>16</v>
      </c>
      <c r="G46" s="6">
        <v>18</v>
      </c>
      <c r="H46" s="6">
        <v>8</v>
      </c>
      <c r="I46" s="6">
        <v>30</v>
      </c>
      <c r="J46" s="6">
        <v>19</v>
      </c>
      <c r="K46" s="6">
        <v>60</v>
      </c>
      <c r="L46" s="6">
        <v>16</v>
      </c>
      <c r="M46" s="6">
        <v>56</v>
      </c>
      <c r="N46" s="6">
        <v>48</v>
      </c>
      <c r="O46" s="6">
        <v>30</v>
      </c>
      <c r="P46" s="6">
        <v>3</v>
      </c>
      <c r="Q46" s="6">
        <v>5</v>
      </c>
      <c r="R46" s="6">
        <v>3</v>
      </c>
      <c r="S46" s="6">
        <v>6</v>
      </c>
      <c r="T46" s="6">
        <v>24</v>
      </c>
      <c r="U46" s="6">
        <v>17</v>
      </c>
      <c r="V46" s="6">
        <v>51</v>
      </c>
      <c r="W46" s="6">
        <v>26</v>
      </c>
      <c r="X46" s="6">
        <v>14</v>
      </c>
      <c r="Y46" s="6">
        <v>23</v>
      </c>
      <c r="Z46" s="6">
        <v>2</v>
      </c>
      <c r="AA46" s="6">
        <v>13</v>
      </c>
      <c r="AB46" s="6">
        <v>8</v>
      </c>
      <c r="AC46" s="5">
        <f t="shared" si="18"/>
        <v>510</v>
      </c>
    </row>
    <row r="47" spans="1:29" x14ac:dyDescent="0.4">
      <c r="A47" s="7"/>
      <c r="B47" s="47"/>
      <c r="C47" s="24" t="s">
        <v>111</v>
      </c>
      <c r="D47" s="24"/>
      <c r="E47" s="6">
        <v>0</v>
      </c>
      <c r="F47" s="6">
        <v>0</v>
      </c>
      <c r="G47" s="6">
        <v>0</v>
      </c>
      <c r="H47" s="6">
        <v>0</v>
      </c>
      <c r="I47" s="6">
        <v>2</v>
      </c>
      <c r="J47" s="6">
        <v>2</v>
      </c>
      <c r="K47" s="6">
        <v>1</v>
      </c>
      <c r="L47" s="6">
        <v>0</v>
      </c>
      <c r="M47" s="6">
        <v>3</v>
      </c>
      <c r="N47" s="6">
        <v>2</v>
      </c>
      <c r="O47" s="6">
        <v>0</v>
      </c>
      <c r="P47" s="6">
        <v>0</v>
      </c>
      <c r="Q47" s="6">
        <v>0</v>
      </c>
      <c r="R47" s="6">
        <v>0</v>
      </c>
      <c r="S47" s="6">
        <v>1</v>
      </c>
      <c r="T47" s="6">
        <v>3</v>
      </c>
      <c r="U47" s="6">
        <v>0</v>
      </c>
      <c r="V47" s="6">
        <v>2</v>
      </c>
      <c r="W47" s="6">
        <v>9</v>
      </c>
      <c r="X47" s="6">
        <v>1</v>
      </c>
      <c r="Y47" s="6">
        <v>7</v>
      </c>
      <c r="Z47" s="6">
        <v>0</v>
      </c>
      <c r="AA47" s="6">
        <v>5</v>
      </c>
      <c r="AB47" s="6">
        <v>2</v>
      </c>
      <c r="AC47" s="5">
        <f t="shared" si="18"/>
        <v>40</v>
      </c>
    </row>
    <row r="48" spans="1:29" x14ac:dyDescent="0.4">
      <c r="A48" s="7"/>
      <c r="B48" s="47"/>
      <c r="C48" s="24" t="s">
        <v>112</v>
      </c>
      <c r="D48" s="24"/>
      <c r="E48" s="6">
        <v>1</v>
      </c>
      <c r="F48" s="6">
        <v>0</v>
      </c>
      <c r="G48" s="6">
        <v>1</v>
      </c>
      <c r="H48" s="6">
        <v>1</v>
      </c>
      <c r="I48" s="6">
        <v>0</v>
      </c>
      <c r="J48" s="6">
        <v>2</v>
      </c>
      <c r="K48" s="6">
        <v>0</v>
      </c>
      <c r="L48" s="6">
        <v>0</v>
      </c>
      <c r="M48" s="6">
        <v>0</v>
      </c>
      <c r="N48" s="6">
        <v>3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1</v>
      </c>
      <c r="X48" s="6">
        <v>0</v>
      </c>
      <c r="Y48" s="6">
        <v>3</v>
      </c>
      <c r="Z48" s="6">
        <v>0</v>
      </c>
      <c r="AA48" s="6">
        <v>1</v>
      </c>
      <c r="AB48" s="6">
        <v>0</v>
      </c>
      <c r="AC48" s="5">
        <f t="shared" si="18"/>
        <v>14</v>
      </c>
    </row>
    <row r="49" spans="1:29" x14ac:dyDescent="0.4">
      <c r="A49" s="7"/>
      <c r="B49" s="47"/>
      <c r="C49" s="24" t="s">
        <v>113</v>
      </c>
      <c r="D49" s="24"/>
      <c r="E49" s="6">
        <v>0</v>
      </c>
      <c r="F49" s="6">
        <v>0</v>
      </c>
      <c r="G49" s="6">
        <v>2</v>
      </c>
      <c r="H49" s="6">
        <v>0</v>
      </c>
      <c r="I49" s="6">
        <v>0</v>
      </c>
      <c r="J49" s="6">
        <v>2</v>
      </c>
      <c r="K49" s="6">
        <v>1</v>
      </c>
      <c r="L49" s="6">
        <v>0</v>
      </c>
      <c r="M49" s="6">
        <v>0</v>
      </c>
      <c r="N49" s="6">
        <v>2</v>
      </c>
      <c r="O49" s="6">
        <v>0</v>
      </c>
      <c r="P49" s="6">
        <v>0</v>
      </c>
      <c r="Q49" s="6">
        <v>2</v>
      </c>
      <c r="R49" s="6">
        <v>0</v>
      </c>
      <c r="S49" s="6">
        <v>0</v>
      </c>
      <c r="T49" s="6">
        <v>0</v>
      </c>
      <c r="U49" s="6">
        <v>1</v>
      </c>
      <c r="V49" s="6">
        <v>0</v>
      </c>
      <c r="W49" s="6">
        <v>2</v>
      </c>
      <c r="X49" s="6">
        <v>1</v>
      </c>
      <c r="Y49" s="6">
        <v>0</v>
      </c>
      <c r="Z49" s="6">
        <v>0</v>
      </c>
      <c r="AA49" s="6">
        <v>3</v>
      </c>
      <c r="AB49" s="6">
        <v>0</v>
      </c>
      <c r="AC49" s="5">
        <f t="shared" si="18"/>
        <v>16</v>
      </c>
    </row>
    <row r="50" spans="1:29" x14ac:dyDescent="0.4">
      <c r="A50" s="7"/>
      <c r="B50" s="47"/>
      <c r="C50" s="24" t="s">
        <v>114</v>
      </c>
      <c r="D50" s="24"/>
      <c r="E50" s="6">
        <v>0</v>
      </c>
      <c r="F50" s="6">
        <v>1</v>
      </c>
      <c r="G50" s="6">
        <v>1</v>
      </c>
      <c r="H50" s="6">
        <v>0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1</v>
      </c>
      <c r="V50" s="6">
        <v>2</v>
      </c>
      <c r="W50" s="6">
        <v>2</v>
      </c>
      <c r="X50" s="6">
        <v>1</v>
      </c>
      <c r="Y50" s="6">
        <v>0</v>
      </c>
      <c r="Z50" s="6">
        <v>1</v>
      </c>
      <c r="AA50" s="6">
        <v>2</v>
      </c>
      <c r="AB50" s="6">
        <v>0</v>
      </c>
      <c r="AC50" s="5">
        <f t="shared" si="18"/>
        <v>13</v>
      </c>
    </row>
    <row r="51" spans="1:29" x14ac:dyDescent="0.4">
      <c r="A51" s="7"/>
      <c r="B51" s="47"/>
      <c r="C51" s="24" t="s">
        <v>115</v>
      </c>
      <c r="D51" s="24"/>
      <c r="E51" s="6">
        <v>1</v>
      </c>
      <c r="F51" s="6">
        <v>1</v>
      </c>
      <c r="G51" s="6">
        <v>0</v>
      </c>
      <c r="H51" s="6">
        <v>0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2</v>
      </c>
      <c r="W51" s="6">
        <v>2</v>
      </c>
      <c r="X51" s="6">
        <v>2</v>
      </c>
      <c r="Y51" s="6">
        <v>0</v>
      </c>
      <c r="Z51" s="6">
        <v>0</v>
      </c>
      <c r="AA51" s="6">
        <v>3</v>
      </c>
      <c r="AB51" s="6">
        <v>0</v>
      </c>
      <c r="AC51" s="5">
        <f t="shared" si="18"/>
        <v>13</v>
      </c>
    </row>
    <row r="52" spans="1:29" ht="13.15" customHeight="1" x14ac:dyDescent="0.4">
      <c r="A52" s="7"/>
      <c r="B52" s="47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0</v>
      </c>
      <c r="Y52" s="6">
        <v>1</v>
      </c>
      <c r="Z52" s="6">
        <v>0</v>
      </c>
      <c r="AA52" s="6">
        <v>0</v>
      </c>
      <c r="AB52" s="6">
        <v>0</v>
      </c>
      <c r="AC52" s="5">
        <f t="shared" si="18"/>
        <v>3</v>
      </c>
    </row>
    <row r="53" spans="1:29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1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5">
        <f t="shared" si="18"/>
        <v>4</v>
      </c>
    </row>
    <row r="54" spans="1:29" ht="13.15" customHeight="1" x14ac:dyDescent="0.4">
      <c r="A54" s="7"/>
      <c r="B54" s="47"/>
      <c r="C54" s="24" t="s">
        <v>118</v>
      </c>
      <c r="D54" s="24"/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2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3</v>
      </c>
      <c r="Z54" s="6">
        <v>0</v>
      </c>
      <c r="AA54" s="6">
        <v>4</v>
      </c>
      <c r="AB54" s="6">
        <v>0</v>
      </c>
      <c r="AC54" s="5">
        <f t="shared" si="18"/>
        <v>11</v>
      </c>
    </row>
    <row r="55" spans="1:29" x14ac:dyDescent="0.4">
      <c r="A55" s="6" t="s">
        <v>26</v>
      </c>
      <c r="B55" s="74" t="s">
        <v>51</v>
      </c>
      <c r="C55" s="54"/>
      <c r="D55" s="55"/>
      <c r="E55" s="6">
        <f>SUM(E45:E54)</f>
        <v>24</v>
      </c>
      <c r="F55" s="6">
        <f t="shared" ref="F55:AC55" si="19">SUM(F45:F54)</f>
        <v>28</v>
      </c>
      <c r="G55" s="6">
        <f t="shared" si="19"/>
        <v>31</v>
      </c>
      <c r="H55" s="6">
        <f t="shared" si="19"/>
        <v>11</v>
      </c>
      <c r="I55" s="6">
        <f t="shared" si="19"/>
        <v>52</v>
      </c>
      <c r="J55" s="6">
        <f t="shared" si="19"/>
        <v>34</v>
      </c>
      <c r="K55" s="6">
        <f t="shared" si="19"/>
        <v>74</v>
      </c>
      <c r="L55" s="6">
        <f t="shared" si="19"/>
        <v>23</v>
      </c>
      <c r="M55" s="6">
        <f t="shared" si="19"/>
        <v>70</v>
      </c>
      <c r="N55" s="6">
        <f t="shared" si="19"/>
        <v>81</v>
      </c>
      <c r="O55" s="6">
        <f t="shared" si="19"/>
        <v>45</v>
      </c>
      <c r="P55" s="6">
        <f t="shared" si="19"/>
        <v>9</v>
      </c>
      <c r="Q55" s="6">
        <f t="shared" si="19"/>
        <v>16</v>
      </c>
      <c r="R55" s="6">
        <f t="shared" si="19"/>
        <v>8</v>
      </c>
      <c r="S55" s="6">
        <f t="shared" si="19"/>
        <v>19</v>
      </c>
      <c r="T55" s="6">
        <f t="shared" si="19"/>
        <v>37</v>
      </c>
      <c r="U55" s="6">
        <f t="shared" si="19"/>
        <v>25</v>
      </c>
      <c r="V55" s="6">
        <f t="shared" si="19"/>
        <v>81</v>
      </c>
      <c r="W55" s="6">
        <f t="shared" si="19"/>
        <v>63</v>
      </c>
      <c r="X55" s="6">
        <f t="shared" si="19"/>
        <v>39</v>
      </c>
      <c r="Y55" s="6">
        <f t="shared" si="19"/>
        <v>51</v>
      </c>
      <c r="Z55" s="6">
        <f t="shared" si="19"/>
        <v>4</v>
      </c>
      <c r="AA55" s="6">
        <f t="shared" si="19"/>
        <v>40</v>
      </c>
      <c r="AB55" s="6">
        <f t="shared" si="19"/>
        <v>14</v>
      </c>
      <c r="AC55" s="6">
        <f t="shared" si="19"/>
        <v>879</v>
      </c>
    </row>
    <row r="56" spans="1:29" x14ac:dyDescent="0.4">
      <c r="A56" s="81"/>
      <c r="B56" s="80"/>
      <c r="C56" s="80"/>
      <c r="D56" s="80"/>
      <c r="E56" s="80"/>
      <c r="AC56" s="5"/>
    </row>
    <row r="57" spans="1:29" x14ac:dyDescent="0.4">
      <c r="A57" s="11" t="s">
        <v>48</v>
      </c>
      <c r="B57" s="17" t="s">
        <v>30</v>
      </c>
      <c r="C57" s="83" t="s">
        <v>52</v>
      </c>
      <c r="D57" s="55"/>
      <c r="E57" s="6">
        <v>10</v>
      </c>
      <c r="F57" s="6">
        <v>6</v>
      </c>
      <c r="G57" s="6">
        <v>22</v>
      </c>
      <c r="H57" s="6">
        <v>12</v>
      </c>
      <c r="I57" s="6">
        <v>28</v>
      </c>
      <c r="J57" s="6">
        <v>9</v>
      </c>
      <c r="K57" s="6">
        <v>9</v>
      </c>
      <c r="L57" s="6">
        <v>7</v>
      </c>
      <c r="M57" s="6">
        <v>7</v>
      </c>
      <c r="N57" s="6">
        <v>6</v>
      </c>
      <c r="O57" s="6">
        <v>12</v>
      </c>
      <c r="P57" s="6">
        <v>8</v>
      </c>
      <c r="Q57" s="6">
        <v>14</v>
      </c>
      <c r="R57" s="6">
        <v>25</v>
      </c>
      <c r="S57" s="6">
        <v>12</v>
      </c>
      <c r="T57" s="6">
        <v>13</v>
      </c>
      <c r="U57" s="6">
        <v>6</v>
      </c>
      <c r="V57" s="6">
        <v>15</v>
      </c>
      <c r="W57" s="6">
        <v>13</v>
      </c>
      <c r="X57" s="6">
        <v>10</v>
      </c>
      <c r="Y57" s="6">
        <v>4</v>
      </c>
      <c r="Z57" s="6">
        <v>6</v>
      </c>
      <c r="AA57" s="6">
        <v>7</v>
      </c>
      <c r="AB57" s="6">
        <v>13</v>
      </c>
      <c r="AC57" s="5">
        <f t="shared" ref="AC57:AC66" si="20">SUM(E57:AB57)</f>
        <v>274</v>
      </c>
    </row>
    <row r="58" spans="1:29" x14ac:dyDescent="0.4">
      <c r="A58" s="11" t="s">
        <v>50</v>
      </c>
      <c r="B58" s="47"/>
      <c r="C58" s="24" t="s">
        <v>119</v>
      </c>
      <c r="D58" s="48"/>
      <c r="E58" s="6">
        <v>3</v>
      </c>
      <c r="F58" s="6">
        <v>12</v>
      </c>
      <c r="G58" s="6">
        <v>9</v>
      </c>
      <c r="H58" s="6">
        <v>2</v>
      </c>
      <c r="I58" s="6">
        <v>12</v>
      </c>
      <c r="J58" s="6">
        <v>10</v>
      </c>
      <c r="K58" s="6">
        <v>12</v>
      </c>
      <c r="L58" s="6">
        <v>4</v>
      </c>
      <c r="M58" s="6">
        <v>8</v>
      </c>
      <c r="N58" s="6">
        <v>4</v>
      </c>
      <c r="O58" s="6">
        <v>4</v>
      </c>
      <c r="P58" s="6">
        <v>1</v>
      </c>
      <c r="Q58" s="6">
        <v>2</v>
      </c>
      <c r="R58" s="6">
        <v>10</v>
      </c>
      <c r="S58" s="6">
        <v>12</v>
      </c>
      <c r="T58" s="6">
        <v>18</v>
      </c>
      <c r="U58" s="6">
        <v>24</v>
      </c>
      <c r="V58" s="6">
        <v>11</v>
      </c>
      <c r="W58" s="6">
        <v>5</v>
      </c>
      <c r="X58" s="6">
        <v>3</v>
      </c>
      <c r="Y58" s="6">
        <v>2</v>
      </c>
      <c r="Z58" s="6">
        <v>4</v>
      </c>
      <c r="AA58" s="6">
        <v>3</v>
      </c>
      <c r="AB58" s="6">
        <v>2</v>
      </c>
      <c r="AC58" s="5">
        <f t="shared" si="20"/>
        <v>177</v>
      </c>
    </row>
    <row r="59" spans="1:29" x14ac:dyDescent="0.4">
      <c r="A59" s="7"/>
      <c r="B59" s="47"/>
      <c r="C59" s="24" t="s">
        <v>120</v>
      </c>
      <c r="D59" s="48"/>
      <c r="E59" s="6">
        <v>12</v>
      </c>
      <c r="F59" s="6">
        <v>7</v>
      </c>
      <c r="G59" s="6">
        <v>7</v>
      </c>
      <c r="H59" s="6">
        <v>7</v>
      </c>
      <c r="I59" s="6">
        <v>7</v>
      </c>
      <c r="J59" s="6">
        <v>7</v>
      </c>
      <c r="K59" s="6">
        <v>15</v>
      </c>
      <c r="L59" s="6">
        <v>4</v>
      </c>
      <c r="M59" s="6">
        <v>27</v>
      </c>
      <c r="N59" s="6">
        <v>20</v>
      </c>
      <c r="O59" s="6">
        <v>8</v>
      </c>
      <c r="P59" s="6">
        <v>6</v>
      </c>
      <c r="Q59" s="6">
        <v>8</v>
      </c>
      <c r="R59" s="6">
        <v>11</v>
      </c>
      <c r="S59" s="6">
        <v>11</v>
      </c>
      <c r="T59" s="6">
        <v>27</v>
      </c>
      <c r="U59" s="6">
        <v>42</v>
      </c>
      <c r="V59" s="6">
        <v>18</v>
      </c>
      <c r="W59" s="6">
        <v>9</v>
      </c>
      <c r="X59" s="6">
        <v>12</v>
      </c>
      <c r="Y59" s="6">
        <v>8</v>
      </c>
      <c r="Z59" s="6">
        <v>4</v>
      </c>
      <c r="AA59" s="6">
        <v>8</v>
      </c>
      <c r="AB59" s="6">
        <v>9</v>
      </c>
      <c r="AC59" s="5">
        <f t="shared" si="20"/>
        <v>294</v>
      </c>
    </row>
    <row r="60" spans="1:29" x14ac:dyDescent="0.4">
      <c r="A60" s="7"/>
      <c r="B60" s="47"/>
      <c r="C60" s="24" t="s">
        <v>121</v>
      </c>
      <c r="D60" s="48"/>
      <c r="E60" s="6">
        <v>1</v>
      </c>
      <c r="F60" s="6">
        <v>4</v>
      </c>
      <c r="G60" s="6">
        <v>6</v>
      </c>
      <c r="H60" s="6">
        <v>1</v>
      </c>
      <c r="I60" s="6">
        <v>3</v>
      </c>
      <c r="J60" s="6">
        <v>0</v>
      </c>
      <c r="K60" s="6">
        <v>1</v>
      </c>
      <c r="L60" s="6">
        <v>1</v>
      </c>
      <c r="M60" s="6">
        <v>0</v>
      </c>
      <c r="N60" s="6">
        <v>1</v>
      </c>
      <c r="O60" s="6">
        <v>0</v>
      </c>
      <c r="P60" s="6">
        <v>1</v>
      </c>
      <c r="Q60" s="6">
        <v>0</v>
      </c>
      <c r="R60" s="6">
        <v>2</v>
      </c>
      <c r="S60" s="6">
        <v>4</v>
      </c>
      <c r="T60" s="6">
        <v>4</v>
      </c>
      <c r="U60" s="6">
        <v>4</v>
      </c>
      <c r="V60" s="6">
        <v>4</v>
      </c>
      <c r="W60" s="6">
        <v>4</v>
      </c>
      <c r="X60" s="6">
        <v>18</v>
      </c>
      <c r="Y60" s="6">
        <v>12</v>
      </c>
      <c r="Z60" s="6">
        <v>3</v>
      </c>
      <c r="AA60" s="6">
        <v>4</v>
      </c>
      <c r="AB60" s="6">
        <v>3</v>
      </c>
      <c r="AC60" s="5">
        <f t="shared" si="20"/>
        <v>81</v>
      </c>
    </row>
    <row r="61" spans="1:29" x14ac:dyDescent="0.4">
      <c r="A61" s="7"/>
      <c r="B61" s="47"/>
      <c r="C61" s="24" t="s">
        <v>122</v>
      </c>
      <c r="D61" s="48"/>
      <c r="E61" s="6">
        <v>1</v>
      </c>
      <c r="F61" s="6">
        <v>1</v>
      </c>
      <c r="G61" s="6">
        <v>2</v>
      </c>
      <c r="H61" s="6">
        <v>2</v>
      </c>
      <c r="I61" s="6">
        <v>3</v>
      </c>
      <c r="J61" s="6">
        <v>1</v>
      </c>
      <c r="K61" s="6">
        <v>3</v>
      </c>
      <c r="L61" s="6">
        <v>0</v>
      </c>
      <c r="M61" s="6">
        <v>0</v>
      </c>
      <c r="N61" s="6">
        <v>0</v>
      </c>
      <c r="O61" s="6">
        <v>0</v>
      </c>
      <c r="P61" s="6">
        <v>2</v>
      </c>
      <c r="Q61" s="6">
        <v>1</v>
      </c>
      <c r="R61" s="6">
        <v>1</v>
      </c>
      <c r="S61" s="6">
        <v>0</v>
      </c>
      <c r="T61" s="6">
        <v>0</v>
      </c>
      <c r="U61" s="6">
        <v>2</v>
      </c>
      <c r="V61" s="6">
        <v>4</v>
      </c>
      <c r="W61" s="6">
        <v>2</v>
      </c>
      <c r="X61" s="6">
        <v>13</v>
      </c>
      <c r="Y61" s="6">
        <v>0</v>
      </c>
      <c r="Z61" s="6">
        <v>0</v>
      </c>
      <c r="AA61" s="6">
        <v>2</v>
      </c>
      <c r="AB61" s="6">
        <v>6</v>
      </c>
      <c r="AC61" s="5">
        <f t="shared" si="20"/>
        <v>46</v>
      </c>
    </row>
    <row r="62" spans="1:29" x14ac:dyDescent="0.4">
      <c r="A62" s="7"/>
      <c r="B62" s="47"/>
      <c r="C62" s="24" t="s">
        <v>123</v>
      </c>
      <c r="D62" s="48"/>
      <c r="E62" s="6">
        <v>0</v>
      </c>
      <c r="F62" s="6">
        <v>0</v>
      </c>
      <c r="G62" s="6">
        <v>1</v>
      </c>
      <c r="H62" s="6">
        <v>1</v>
      </c>
      <c r="I62" s="6">
        <v>1</v>
      </c>
      <c r="J62" s="6">
        <v>1</v>
      </c>
      <c r="K62" s="6">
        <v>2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1</v>
      </c>
      <c r="R62" s="6">
        <v>0</v>
      </c>
      <c r="S62" s="6">
        <v>0</v>
      </c>
      <c r="T62" s="6">
        <v>0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0</v>
      </c>
      <c r="AA62" s="6">
        <v>1</v>
      </c>
      <c r="AB62" s="6">
        <v>1</v>
      </c>
      <c r="AC62" s="5">
        <f t="shared" si="20"/>
        <v>11</v>
      </c>
    </row>
    <row r="63" spans="1:29" ht="13.15" customHeight="1" x14ac:dyDescent="0.4">
      <c r="A63" s="7"/>
      <c r="B63" s="47"/>
      <c r="C63" s="24" t="s">
        <v>124</v>
      </c>
      <c r="D63" s="45"/>
      <c r="E63" s="6">
        <v>2</v>
      </c>
      <c r="F63" s="6">
        <v>1</v>
      </c>
      <c r="G63" s="6">
        <v>2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3</v>
      </c>
      <c r="S63" s="6">
        <v>1</v>
      </c>
      <c r="T63" s="6">
        <v>1</v>
      </c>
      <c r="U63" s="6">
        <v>0</v>
      </c>
      <c r="V63" s="6">
        <v>2</v>
      </c>
      <c r="W63" s="6">
        <v>1</v>
      </c>
      <c r="X63" s="6">
        <v>0</v>
      </c>
      <c r="Y63" s="6">
        <v>0</v>
      </c>
      <c r="Z63" s="6">
        <v>0</v>
      </c>
      <c r="AA63" s="6">
        <v>0</v>
      </c>
      <c r="AB63" s="6">
        <v>1</v>
      </c>
      <c r="AC63" s="5">
        <f t="shared" si="20"/>
        <v>16</v>
      </c>
    </row>
    <row r="64" spans="1:29" x14ac:dyDescent="0.4">
      <c r="A64" s="7"/>
      <c r="B64" s="47"/>
      <c r="C64" s="24" t="s">
        <v>125</v>
      </c>
      <c r="D64" s="48"/>
      <c r="E64" s="6">
        <v>0</v>
      </c>
      <c r="F64" s="6">
        <v>1</v>
      </c>
      <c r="G64" s="6">
        <v>1</v>
      </c>
      <c r="H64" s="6">
        <v>0</v>
      </c>
      <c r="I64" s="6">
        <v>2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5">
        <f t="shared" si="20"/>
        <v>6</v>
      </c>
    </row>
    <row r="65" spans="1:29" x14ac:dyDescent="0.4">
      <c r="A65" s="7"/>
      <c r="B65" s="47"/>
      <c r="C65" s="24" t="s">
        <v>126</v>
      </c>
      <c r="D65" s="48"/>
      <c r="E65" s="6">
        <v>0</v>
      </c>
      <c r="F65" s="6">
        <v>0</v>
      </c>
      <c r="G65" s="6">
        <v>1</v>
      </c>
      <c r="H65" s="6">
        <v>0</v>
      </c>
      <c r="I65" s="6">
        <v>1</v>
      </c>
      <c r="J65" s="6">
        <v>0</v>
      </c>
      <c r="K65" s="6">
        <v>1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1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1</v>
      </c>
      <c r="AA65" s="6">
        <v>0</v>
      </c>
      <c r="AB65" s="6">
        <v>0</v>
      </c>
      <c r="AC65" s="5">
        <f t="shared" si="20"/>
        <v>8</v>
      </c>
    </row>
    <row r="66" spans="1:29" x14ac:dyDescent="0.4">
      <c r="A66" s="7"/>
      <c r="B66" s="47"/>
      <c r="C66" s="24" t="s">
        <v>127</v>
      </c>
      <c r="D66" s="48"/>
      <c r="E66" s="6">
        <v>1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1</v>
      </c>
      <c r="L66" s="6">
        <v>1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2</v>
      </c>
      <c r="S66" s="6">
        <v>2</v>
      </c>
      <c r="T66" s="6">
        <v>0</v>
      </c>
      <c r="U66" s="6">
        <v>0</v>
      </c>
      <c r="V66" s="6">
        <v>2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5">
        <f t="shared" si="20"/>
        <v>12</v>
      </c>
    </row>
    <row r="67" spans="1:29" x14ac:dyDescent="0.4">
      <c r="A67" s="6" t="s">
        <v>26</v>
      </c>
      <c r="B67" s="74" t="s">
        <v>51</v>
      </c>
      <c r="C67" s="54"/>
      <c r="D67" s="55"/>
      <c r="E67" s="6">
        <f t="shared" ref="E67:AC67" si="21">SUM(E57:E66)</f>
        <v>30</v>
      </c>
      <c r="F67" s="6">
        <f t="shared" si="21"/>
        <v>32</v>
      </c>
      <c r="G67" s="6">
        <f t="shared" si="21"/>
        <v>51</v>
      </c>
      <c r="H67" s="6">
        <f t="shared" si="21"/>
        <v>25</v>
      </c>
      <c r="I67" s="6">
        <f t="shared" si="21"/>
        <v>58</v>
      </c>
      <c r="J67" s="6">
        <f t="shared" si="21"/>
        <v>28</v>
      </c>
      <c r="K67" s="6">
        <f t="shared" si="21"/>
        <v>45</v>
      </c>
      <c r="L67" s="6">
        <f t="shared" si="21"/>
        <v>19</v>
      </c>
      <c r="M67" s="6">
        <f t="shared" si="21"/>
        <v>42</v>
      </c>
      <c r="N67" s="6">
        <f t="shared" si="21"/>
        <v>32</v>
      </c>
      <c r="O67" s="6">
        <f t="shared" si="21"/>
        <v>24</v>
      </c>
      <c r="P67" s="6">
        <f t="shared" si="21"/>
        <v>20</v>
      </c>
      <c r="Q67" s="6">
        <f t="shared" si="21"/>
        <v>26</v>
      </c>
      <c r="R67" s="6">
        <f t="shared" si="21"/>
        <v>55</v>
      </c>
      <c r="S67" s="6">
        <f t="shared" si="21"/>
        <v>43</v>
      </c>
      <c r="T67" s="6">
        <f t="shared" si="21"/>
        <v>64</v>
      </c>
      <c r="U67" s="6">
        <f t="shared" si="21"/>
        <v>78</v>
      </c>
      <c r="V67" s="6">
        <f t="shared" si="21"/>
        <v>57</v>
      </c>
      <c r="W67" s="6">
        <f t="shared" si="21"/>
        <v>34</v>
      </c>
      <c r="X67" s="6">
        <f t="shared" si="21"/>
        <v>56</v>
      </c>
      <c r="Y67" s="6">
        <f t="shared" si="21"/>
        <v>26</v>
      </c>
      <c r="Z67" s="6">
        <f t="shared" si="21"/>
        <v>19</v>
      </c>
      <c r="AA67" s="6">
        <f t="shared" si="21"/>
        <v>26</v>
      </c>
      <c r="AB67" s="6">
        <f t="shared" si="21"/>
        <v>35</v>
      </c>
      <c r="AC67" s="6">
        <f t="shared" si="21"/>
        <v>925</v>
      </c>
    </row>
    <row r="68" spans="1:29" x14ac:dyDescent="0.4">
      <c r="A68" s="81"/>
      <c r="B68" s="80"/>
      <c r="C68" s="80"/>
      <c r="D68" s="80"/>
      <c r="E68" s="80"/>
    </row>
    <row r="69" spans="1:29" x14ac:dyDescent="0.4">
      <c r="A69" s="11" t="s">
        <v>48</v>
      </c>
      <c r="B69" s="17" t="s">
        <v>32</v>
      </c>
      <c r="C69" s="83" t="s">
        <v>53</v>
      </c>
      <c r="D69" s="55"/>
      <c r="E69" s="6">
        <v>5</v>
      </c>
      <c r="F69" s="6">
        <v>9</v>
      </c>
      <c r="G69" s="6">
        <v>6</v>
      </c>
      <c r="H69" s="6">
        <v>4</v>
      </c>
      <c r="I69" s="6">
        <v>8</v>
      </c>
      <c r="J69" s="6">
        <v>15</v>
      </c>
      <c r="K69" s="6">
        <v>2</v>
      </c>
      <c r="L69" s="6">
        <v>5</v>
      </c>
      <c r="M69" s="6">
        <v>3</v>
      </c>
      <c r="N69" s="6">
        <v>5</v>
      </c>
      <c r="O69" s="6">
        <v>5</v>
      </c>
      <c r="P69" s="6">
        <v>17</v>
      </c>
      <c r="Q69" s="6">
        <v>25</v>
      </c>
      <c r="R69" s="6">
        <v>8</v>
      </c>
      <c r="S69" s="6">
        <v>1</v>
      </c>
      <c r="T69" s="6">
        <v>7</v>
      </c>
      <c r="U69" s="6">
        <v>4</v>
      </c>
      <c r="V69" s="6">
        <v>5</v>
      </c>
      <c r="W69" s="6">
        <v>4</v>
      </c>
      <c r="X69" s="6">
        <v>5</v>
      </c>
      <c r="Y69" s="6">
        <v>2</v>
      </c>
      <c r="Z69" s="6">
        <v>7</v>
      </c>
      <c r="AA69" s="6">
        <v>2</v>
      </c>
      <c r="AB69" s="6">
        <v>5</v>
      </c>
      <c r="AC69" s="5">
        <f t="shared" ref="AC69:AC78" si="22">SUM(E69:AB69)</f>
        <v>159</v>
      </c>
    </row>
    <row r="70" spans="1:29" x14ac:dyDescent="0.4">
      <c r="A70" s="11" t="s">
        <v>50</v>
      </c>
      <c r="B70" s="47"/>
      <c r="C70" s="24" t="s">
        <v>128</v>
      </c>
      <c r="D70" s="45"/>
      <c r="E70" s="6">
        <v>2</v>
      </c>
      <c r="F70" s="6">
        <v>6</v>
      </c>
      <c r="G70" s="6">
        <v>4</v>
      </c>
      <c r="H70" s="6">
        <v>2</v>
      </c>
      <c r="I70" s="6">
        <v>3</v>
      </c>
      <c r="J70" s="6">
        <v>13</v>
      </c>
      <c r="K70" s="6">
        <v>4</v>
      </c>
      <c r="L70" s="6">
        <v>4</v>
      </c>
      <c r="M70" s="6">
        <v>1</v>
      </c>
      <c r="N70" s="6">
        <v>1</v>
      </c>
      <c r="O70" s="6">
        <v>6</v>
      </c>
      <c r="P70" s="6">
        <v>12</v>
      </c>
      <c r="Q70" s="6">
        <v>3</v>
      </c>
      <c r="R70" s="6">
        <v>3</v>
      </c>
      <c r="S70" s="6">
        <v>2</v>
      </c>
      <c r="T70" s="6">
        <v>13</v>
      </c>
      <c r="U70" s="6">
        <v>57</v>
      </c>
      <c r="V70" s="6">
        <v>25</v>
      </c>
      <c r="W70" s="6">
        <v>13</v>
      </c>
      <c r="X70" s="6">
        <v>6</v>
      </c>
      <c r="Y70" s="6">
        <v>6</v>
      </c>
      <c r="Z70" s="6">
        <v>13</v>
      </c>
      <c r="AA70" s="6">
        <v>5</v>
      </c>
      <c r="AB70" s="6">
        <v>13</v>
      </c>
      <c r="AC70" s="5">
        <f t="shared" si="22"/>
        <v>217</v>
      </c>
    </row>
    <row r="71" spans="1:29" x14ac:dyDescent="0.4">
      <c r="A71" s="7"/>
      <c r="B71" s="47"/>
      <c r="C71" s="24" t="s">
        <v>129</v>
      </c>
      <c r="D71" s="45"/>
      <c r="E71" s="6">
        <v>1</v>
      </c>
      <c r="F71" s="6">
        <v>4</v>
      </c>
      <c r="G71" s="6">
        <v>1</v>
      </c>
      <c r="H71" s="6">
        <v>3</v>
      </c>
      <c r="I71" s="6">
        <v>5</v>
      </c>
      <c r="J71" s="6">
        <v>7</v>
      </c>
      <c r="K71" s="6">
        <v>1</v>
      </c>
      <c r="L71" s="6">
        <v>0</v>
      </c>
      <c r="M71" s="6">
        <v>11</v>
      </c>
      <c r="N71" s="6">
        <v>3</v>
      </c>
      <c r="O71" s="6">
        <v>13</v>
      </c>
      <c r="P71" s="6">
        <v>19</v>
      </c>
      <c r="Q71" s="6">
        <v>28</v>
      </c>
      <c r="R71" s="6">
        <v>5</v>
      </c>
      <c r="S71" s="6">
        <v>3</v>
      </c>
      <c r="T71" s="6">
        <v>2</v>
      </c>
      <c r="U71" s="6">
        <v>4</v>
      </c>
      <c r="V71" s="6">
        <v>2</v>
      </c>
      <c r="W71" s="6">
        <v>2</v>
      </c>
      <c r="X71" s="6">
        <v>8</v>
      </c>
      <c r="Y71" s="6">
        <v>4</v>
      </c>
      <c r="Z71" s="6">
        <v>1</v>
      </c>
      <c r="AA71" s="6">
        <v>5</v>
      </c>
      <c r="AB71" s="6">
        <v>9</v>
      </c>
      <c r="AC71" s="5">
        <f t="shared" si="22"/>
        <v>141</v>
      </c>
    </row>
    <row r="72" spans="1:29" x14ac:dyDescent="0.4">
      <c r="A72" s="7"/>
      <c r="B72" s="47"/>
      <c r="C72" s="24" t="s">
        <v>130</v>
      </c>
      <c r="D72" s="45"/>
      <c r="E72" s="6">
        <v>1</v>
      </c>
      <c r="F72" s="6">
        <v>3</v>
      </c>
      <c r="G72" s="6">
        <v>1</v>
      </c>
      <c r="H72" s="6">
        <v>0</v>
      </c>
      <c r="I72" s="6">
        <v>4</v>
      </c>
      <c r="J72" s="6">
        <v>2</v>
      </c>
      <c r="K72" s="6">
        <v>3</v>
      </c>
      <c r="L72" s="6">
        <v>1</v>
      </c>
      <c r="M72" s="6">
        <v>3</v>
      </c>
      <c r="N72" s="6">
        <v>2</v>
      </c>
      <c r="O72" s="6">
        <v>0</v>
      </c>
      <c r="P72" s="6">
        <v>7</v>
      </c>
      <c r="Q72" s="6">
        <v>3</v>
      </c>
      <c r="R72" s="6">
        <v>1</v>
      </c>
      <c r="S72" s="6">
        <v>0</v>
      </c>
      <c r="T72" s="6">
        <v>2</v>
      </c>
      <c r="U72" s="6">
        <v>0</v>
      </c>
      <c r="V72" s="6">
        <v>2</v>
      </c>
      <c r="W72" s="6">
        <v>2</v>
      </c>
      <c r="X72" s="6">
        <v>0</v>
      </c>
      <c r="Y72" s="6">
        <v>1</v>
      </c>
      <c r="Z72" s="6">
        <v>0</v>
      </c>
      <c r="AA72" s="6">
        <v>2</v>
      </c>
      <c r="AB72" s="6">
        <v>0</v>
      </c>
      <c r="AC72" s="5">
        <f t="shared" si="22"/>
        <v>40</v>
      </c>
    </row>
    <row r="73" spans="1:29" x14ac:dyDescent="0.4">
      <c r="A73" s="7"/>
      <c r="B73" s="47"/>
      <c r="C73" s="24" t="s">
        <v>131</v>
      </c>
      <c r="D73" s="45"/>
      <c r="E73" s="6">
        <v>1</v>
      </c>
      <c r="F73" s="6">
        <v>1</v>
      </c>
      <c r="G73" s="6">
        <v>3</v>
      </c>
      <c r="H73" s="6">
        <v>1</v>
      </c>
      <c r="I73" s="6">
        <v>3</v>
      </c>
      <c r="J73" s="6">
        <v>13</v>
      </c>
      <c r="K73" s="6">
        <v>15</v>
      </c>
      <c r="L73" s="6">
        <v>2</v>
      </c>
      <c r="M73" s="6">
        <v>9</v>
      </c>
      <c r="N73" s="6">
        <v>4</v>
      </c>
      <c r="O73" s="6">
        <v>13</v>
      </c>
      <c r="P73" s="6">
        <v>99</v>
      </c>
      <c r="Q73" s="6">
        <v>29</v>
      </c>
      <c r="R73" s="6">
        <v>4</v>
      </c>
      <c r="S73" s="6">
        <v>2</v>
      </c>
      <c r="T73" s="6">
        <v>0</v>
      </c>
      <c r="U73" s="6">
        <v>0</v>
      </c>
      <c r="V73" s="6">
        <v>3</v>
      </c>
      <c r="W73" s="6">
        <v>7</v>
      </c>
      <c r="X73" s="6">
        <v>0</v>
      </c>
      <c r="Y73" s="6">
        <v>2</v>
      </c>
      <c r="Z73" s="6">
        <v>5</v>
      </c>
      <c r="AA73" s="6">
        <v>6</v>
      </c>
      <c r="AB73" s="6">
        <v>4</v>
      </c>
      <c r="AC73" s="5">
        <f t="shared" si="22"/>
        <v>226</v>
      </c>
    </row>
    <row r="74" spans="1:29" ht="13.15" customHeight="1" x14ac:dyDescent="0.4">
      <c r="A74" s="7"/>
      <c r="B74" s="47"/>
      <c r="C74" s="24" t="s">
        <v>132</v>
      </c>
      <c r="D74" s="45"/>
      <c r="E74" s="6">
        <v>2</v>
      </c>
      <c r="F74" s="6">
        <v>1</v>
      </c>
      <c r="G74" s="6">
        <v>0</v>
      </c>
      <c r="H74" s="6">
        <v>2</v>
      </c>
      <c r="I74" s="6">
        <v>1</v>
      </c>
      <c r="J74" s="6">
        <v>2</v>
      </c>
      <c r="K74" s="6">
        <v>0</v>
      </c>
      <c r="L74" s="6">
        <v>0</v>
      </c>
      <c r="M74" s="6">
        <v>2</v>
      </c>
      <c r="N74" s="6">
        <v>0</v>
      </c>
      <c r="O74" s="6">
        <v>1</v>
      </c>
      <c r="P74" s="6">
        <v>2</v>
      </c>
      <c r="Q74" s="6">
        <v>0</v>
      </c>
      <c r="R74" s="6">
        <v>1</v>
      </c>
      <c r="S74" s="6">
        <v>1</v>
      </c>
      <c r="T74" s="6">
        <v>0</v>
      </c>
      <c r="U74" s="6">
        <v>0</v>
      </c>
      <c r="V74" s="6">
        <v>2</v>
      </c>
      <c r="W74" s="6">
        <v>2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5">
        <f t="shared" si="22"/>
        <v>20</v>
      </c>
    </row>
    <row r="75" spans="1:29" x14ac:dyDescent="0.4">
      <c r="A75" s="7"/>
      <c r="B75" s="47"/>
      <c r="C75" s="24" t="s">
        <v>133</v>
      </c>
      <c r="D75" s="45"/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1</v>
      </c>
      <c r="L75" s="6">
        <v>1</v>
      </c>
      <c r="M75" s="6">
        <v>0</v>
      </c>
      <c r="N75" s="6">
        <v>0</v>
      </c>
      <c r="O75" s="6">
        <v>1</v>
      </c>
      <c r="P75" s="6">
        <v>1</v>
      </c>
      <c r="Q75" s="6">
        <v>0</v>
      </c>
      <c r="R75" s="6">
        <v>1</v>
      </c>
      <c r="S75" s="6">
        <v>1</v>
      </c>
      <c r="T75" s="6">
        <v>1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5">
        <f t="shared" si="22"/>
        <v>9</v>
      </c>
    </row>
    <row r="76" spans="1:29" x14ac:dyDescent="0.4">
      <c r="A76" s="7"/>
      <c r="B76" s="47"/>
      <c r="C76" s="24" t="s">
        <v>134</v>
      </c>
      <c r="D76" s="45"/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</v>
      </c>
      <c r="P76" s="6">
        <v>1</v>
      </c>
      <c r="Q76" s="6">
        <v>2</v>
      </c>
      <c r="R76" s="6">
        <v>0</v>
      </c>
      <c r="S76" s="6">
        <v>0</v>
      </c>
      <c r="T76" s="6">
        <v>0</v>
      </c>
      <c r="U76" s="6">
        <v>0</v>
      </c>
      <c r="V76" s="6">
        <v>2</v>
      </c>
      <c r="W76" s="6">
        <v>1</v>
      </c>
      <c r="X76" s="6">
        <v>0</v>
      </c>
      <c r="Y76" s="6">
        <v>0</v>
      </c>
      <c r="Z76" s="6">
        <v>0</v>
      </c>
      <c r="AA76" s="6">
        <v>1</v>
      </c>
      <c r="AB76" s="6">
        <v>0</v>
      </c>
      <c r="AC76" s="5">
        <f t="shared" si="22"/>
        <v>9</v>
      </c>
    </row>
    <row r="77" spans="1:29" x14ac:dyDescent="0.4">
      <c r="A77" s="7"/>
      <c r="B77" s="47"/>
      <c r="C77" s="24" t="s">
        <v>135</v>
      </c>
      <c r="D77" s="45"/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22"/>
        <v>2</v>
      </c>
    </row>
    <row r="78" spans="1:29" x14ac:dyDescent="0.4">
      <c r="A78" s="7"/>
      <c r="B78" s="47"/>
      <c r="C78" s="24" t="s">
        <v>136</v>
      </c>
      <c r="D78" s="45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2</v>
      </c>
      <c r="Q78" s="6">
        <v>1</v>
      </c>
      <c r="R78" s="6">
        <v>1</v>
      </c>
      <c r="S78" s="6">
        <v>0</v>
      </c>
      <c r="T78" s="6">
        <v>1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5">
        <f t="shared" si="22"/>
        <v>8</v>
      </c>
    </row>
    <row r="79" spans="1:29" x14ac:dyDescent="0.4">
      <c r="A79" s="6" t="s">
        <v>26</v>
      </c>
      <c r="B79" s="74" t="s">
        <v>51</v>
      </c>
      <c r="C79" s="54"/>
      <c r="D79" s="55"/>
      <c r="E79" s="6">
        <f t="shared" ref="E79:AC79" si="23">SUM(E69:E78)</f>
        <v>14</v>
      </c>
      <c r="F79" s="6">
        <f t="shared" si="23"/>
        <v>25</v>
      </c>
      <c r="G79" s="6">
        <f t="shared" si="23"/>
        <v>15</v>
      </c>
      <c r="H79" s="6">
        <f t="shared" si="23"/>
        <v>12</v>
      </c>
      <c r="I79" s="6">
        <f t="shared" si="23"/>
        <v>24</v>
      </c>
      <c r="J79" s="6">
        <f t="shared" si="23"/>
        <v>53</v>
      </c>
      <c r="K79" s="6">
        <f t="shared" si="23"/>
        <v>26</v>
      </c>
      <c r="L79" s="6">
        <f t="shared" si="23"/>
        <v>14</v>
      </c>
      <c r="M79" s="6">
        <f t="shared" si="23"/>
        <v>29</v>
      </c>
      <c r="N79" s="6">
        <f t="shared" si="23"/>
        <v>15</v>
      </c>
      <c r="O79" s="6">
        <f t="shared" si="23"/>
        <v>40</v>
      </c>
      <c r="P79" s="6">
        <f t="shared" si="23"/>
        <v>160</v>
      </c>
      <c r="Q79" s="6">
        <f t="shared" si="23"/>
        <v>91</v>
      </c>
      <c r="R79" s="6">
        <f t="shared" si="23"/>
        <v>25</v>
      </c>
      <c r="S79" s="6">
        <f t="shared" si="23"/>
        <v>10</v>
      </c>
      <c r="T79" s="6">
        <f t="shared" si="23"/>
        <v>26</v>
      </c>
      <c r="U79" s="6">
        <f t="shared" si="23"/>
        <v>65</v>
      </c>
      <c r="V79" s="6">
        <f t="shared" si="23"/>
        <v>41</v>
      </c>
      <c r="W79" s="6">
        <f t="shared" si="23"/>
        <v>33</v>
      </c>
      <c r="X79" s="6">
        <f t="shared" si="23"/>
        <v>20</v>
      </c>
      <c r="Y79" s="6">
        <f t="shared" si="23"/>
        <v>15</v>
      </c>
      <c r="Z79" s="6">
        <f t="shared" si="23"/>
        <v>26</v>
      </c>
      <c r="AA79" s="6">
        <f t="shared" si="23"/>
        <v>21</v>
      </c>
      <c r="AB79" s="6">
        <f t="shared" si="23"/>
        <v>31</v>
      </c>
      <c r="AC79" s="6">
        <f t="shared" si="23"/>
        <v>831</v>
      </c>
    </row>
    <row r="80" spans="1:29" x14ac:dyDescent="0.4">
      <c r="A80" s="81"/>
      <c r="B80" s="80"/>
      <c r="C80" s="80"/>
      <c r="D80" s="80"/>
      <c r="E80" s="80"/>
    </row>
    <row r="81" spans="1:29" x14ac:dyDescent="0.4">
      <c r="A81" s="11" t="s">
        <v>48</v>
      </c>
      <c r="B81" s="17" t="s">
        <v>34</v>
      </c>
      <c r="C81" s="83" t="s">
        <v>54</v>
      </c>
      <c r="D81" s="55"/>
      <c r="E81" s="6">
        <v>1</v>
      </c>
      <c r="F81" s="6">
        <v>13</v>
      </c>
      <c r="G81" s="6">
        <v>5</v>
      </c>
      <c r="H81" s="6">
        <v>7</v>
      </c>
      <c r="I81" s="6">
        <v>9</v>
      </c>
      <c r="J81" s="6">
        <v>10</v>
      </c>
      <c r="K81" s="6">
        <v>6</v>
      </c>
      <c r="L81" s="6">
        <v>8</v>
      </c>
      <c r="M81" s="6">
        <v>6</v>
      </c>
      <c r="N81" s="6">
        <v>2</v>
      </c>
      <c r="O81" s="6">
        <v>7</v>
      </c>
      <c r="P81" s="6">
        <v>2</v>
      </c>
      <c r="Q81" s="6">
        <v>8</v>
      </c>
      <c r="R81" s="6">
        <v>6</v>
      </c>
      <c r="S81" s="6">
        <v>14</v>
      </c>
      <c r="T81" s="6">
        <v>3</v>
      </c>
      <c r="U81" s="6">
        <v>2</v>
      </c>
      <c r="V81" s="6">
        <v>4</v>
      </c>
      <c r="W81" s="6">
        <v>1</v>
      </c>
      <c r="X81" s="6">
        <v>3</v>
      </c>
      <c r="Y81" s="6">
        <v>6</v>
      </c>
      <c r="Z81" s="6">
        <v>3</v>
      </c>
      <c r="AA81" s="6">
        <v>4</v>
      </c>
      <c r="AB81" s="6">
        <v>10</v>
      </c>
      <c r="AC81" s="5">
        <f t="shared" ref="AC81:AC90" si="24">SUM(E81:AB81)</f>
        <v>140</v>
      </c>
    </row>
    <row r="82" spans="1:29" x14ac:dyDescent="0.4">
      <c r="A82" s="11" t="s">
        <v>50</v>
      </c>
      <c r="B82" s="47"/>
      <c r="C82" s="24" t="s">
        <v>137</v>
      </c>
      <c r="D82" s="45"/>
      <c r="E82" s="6">
        <v>1</v>
      </c>
      <c r="F82" s="6">
        <v>16</v>
      </c>
      <c r="G82" s="6">
        <v>2</v>
      </c>
      <c r="H82" s="6">
        <v>10</v>
      </c>
      <c r="I82" s="6">
        <v>7</v>
      </c>
      <c r="J82" s="6">
        <v>12</v>
      </c>
      <c r="K82" s="6">
        <v>13</v>
      </c>
      <c r="L82" s="6">
        <v>9</v>
      </c>
      <c r="M82" s="6">
        <v>4</v>
      </c>
      <c r="N82" s="6">
        <v>1</v>
      </c>
      <c r="O82" s="6">
        <v>2</v>
      </c>
      <c r="P82" s="6">
        <v>2</v>
      </c>
      <c r="Q82" s="6">
        <v>4</v>
      </c>
      <c r="R82" s="6">
        <v>3</v>
      </c>
      <c r="S82" s="6">
        <v>38</v>
      </c>
      <c r="T82" s="6">
        <v>4</v>
      </c>
      <c r="U82" s="6">
        <v>2</v>
      </c>
      <c r="V82" s="6">
        <v>4</v>
      </c>
      <c r="W82" s="6">
        <v>2</v>
      </c>
      <c r="X82" s="6">
        <v>3</v>
      </c>
      <c r="Y82" s="6">
        <v>13</v>
      </c>
      <c r="Z82" s="6">
        <v>2</v>
      </c>
      <c r="AA82" s="6">
        <v>4</v>
      </c>
      <c r="AB82" s="6">
        <v>2</v>
      </c>
      <c r="AC82" s="5">
        <f t="shared" si="24"/>
        <v>160</v>
      </c>
    </row>
    <row r="83" spans="1:29" x14ac:dyDescent="0.4">
      <c r="A83" s="7"/>
      <c r="B83" s="47"/>
      <c r="C83" s="24" t="s">
        <v>138</v>
      </c>
      <c r="D83" s="45"/>
      <c r="E83" s="6">
        <v>2</v>
      </c>
      <c r="F83" s="6">
        <v>2</v>
      </c>
      <c r="G83" s="6">
        <v>2</v>
      </c>
      <c r="H83" s="6">
        <v>1</v>
      </c>
      <c r="I83" s="6">
        <v>0</v>
      </c>
      <c r="J83" s="6">
        <v>3</v>
      </c>
      <c r="K83" s="6">
        <v>1</v>
      </c>
      <c r="L83" s="6">
        <v>1</v>
      </c>
      <c r="M83" s="6">
        <v>5</v>
      </c>
      <c r="N83" s="6">
        <v>1</v>
      </c>
      <c r="O83" s="6">
        <v>3</v>
      </c>
      <c r="P83" s="6">
        <v>1</v>
      </c>
      <c r="Q83" s="6">
        <v>5</v>
      </c>
      <c r="R83" s="6">
        <v>0</v>
      </c>
      <c r="S83" s="6">
        <v>4</v>
      </c>
      <c r="T83" s="6">
        <v>2</v>
      </c>
      <c r="U83" s="6">
        <v>1</v>
      </c>
      <c r="V83" s="6">
        <v>6</v>
      </c>
      <c r="W83" s="6">
        <v>2</v>
      </c>
      <c r="X83" s="6">
        <v>4</v>
      </c>
      <c r="Y83" s="6">
        <v>2</v>
      </c>
      <c r="Z83" s="6">
        <v>1</v>
      </c>
      <c r="AA83" s="6">
        <v>6</v>
      </c>
      <c r="AB83" s="6">
        <v>1</v>
      </c>
      <c r="AC83" s="5">
        <f t="shared" si="24"/>
        <v>56</v>
      </c>
    </row>
    <row r="84" spans="1:29" x14ac:dyDescent="0.4">
      <c r="A84" s="7"/>
      <c r="B84" s="47"/>
      <c r="C84" s="24" t="s">
        <v>139</v>
      </c>
      <c r="D84" s="45"/>
      <c r="E84" s="6">
        <v>0</v>
      </c>
      <c r="F84" s="6">
        <v>0</v>
      </c>
      <c r="G84" s="6">
        <v>0</v>
      </c>
      <c r="H84" s="6">
        <v>1</v>
      </c>
      <c r="I84" s="6">
        <v>2</v>
      </c>
      <c r="J84" s="6">
        <v>2</v>
      </c>
      <c r="K84" s="6">
        <v>1</v>
      </c>
      <c r="L84" s="6">
        <v>2</v>
      </c>
      <c r="M84" s="6">
        <v>0</v>
      </c>
      <c r="N84" s="6">
        <v>0</v>
      </c>
      <c r="O84" s="6">
        <v>0</v>
      </c>
      <c r="P84" s="6">
        <v>0</v>
      </c>
      <c r="Q84" s="6">
        <v>1</v>
      </c>
      <c r="R84" s="6">
        <v>1</v>
      </c>
      <c r="S84" s="6">
        <v>1</v>
      </c>
      <c r="T84" s="6">
        <v>0</v>
      </c>
      <c r="U84" s="6">
        <v>0</v>
      </c>
      <c r="V84" s="6">
        <v>1</v>
      </c>
      <c r="W84" s="6">
        <v>2</v>
      </c>
      <c r="X84" s="6">
        <v>1</v>
      </c>
      <c r="Y84" s="6">
        <v>1</v>
      </c>
      <c r="Z84" s="6">
        <v>0</v>
      </c>
      <c r="AA84" s="6">
        <v>2</v>
      </c>
      <c r="AB84" s="6">
        <v>2</v>
      </c>
      <c r="AC84" s="5">
        <f t="shared" si="24"/>
        <v>20</v>
      </c>
    </row>
    <row r="85" spans="1:29" ht="13.15" customHeight="1" x14ac:dyDescent="0.4">
      <c r="A85" s="7"/>
      <c r="B85" s="47"/>
      <c r="C85" s="24" t="s">
        <v>140</v>
      </c>
      <c r="D85" s="45"/>
      <c r="E85" s="6">
        <v>0</v>
      </c>
      <c r="F85" s="6">
        <v>2</v>
      </c>
      <c r="G85" s="6">
        <v>1</v>
      </c>
      <c r="H85" s="6">
        <v>0</v>
      </c>
      <c r="I85" s="6">
        <v>0</v>
      </c>
      <c r="J85" s="6">
        <v>2</v>
      </c>
      <c r="K85" s="6">
        <v>2</v>
      </c>
      <c r="L85" s="6">
        <v>0</v>
      </c>
      <c r="M85" s="6">
        <v>1</v>
      </c>
      <c r="N85" s="6">
        <v>0</v>
      </c>
      <c r="O85" s="6">
        <v>0</v>
      </c>
      <c r="P85" s="6">
        <v>0</v>
      </c>
      <c r="Q85" s="6">
        <v>2</v>
      </c>
      <c r="R85" s="6">
        <v>2</v>
      </c>
      <c r="S85" s="6">
        <v>2</v>
      </c>
      <c r="T85" s="6">
        <v>0</v>
      </c>
      <c r="U85" s="6">
        <v>2</v>
      </c>
      <c r="V85" s="6">
        <v>0</v>
      </c>
      <c r="W85" s="6">
        <v>0</v>
      </c>
      <c r="X85" s="6">
        <v>3</v>
      </c>
      <c r="Y85" s="6">
        <v>22</v>
      </c>
      <c r="Z85" s="6">
        <v>0</v>
      </c>
      <c r="AA85" s="6">
        <v>2</v>
      </c>
      <c r="AB85" s="6">
        <v>3</v>
      </c>
      <c r="AC85" s="5">
        <f t="shared" si="24"/>
        <v>46</v>
      </c>
    </row>
    <row r="86" spans="1:29" x14ac:dyDescent="0.4">
      <c r="A86" s="7"/>
      <c r="B86" s="47"/>
      <c r="C86" s="24" t="s">
        <v>141</v>
      </c>
      <c r="D86" s="45"/>
      <c r="E86" s="6">
        <v>1</v>
      </c>
      <c r="F86" s="6">
        <v>0</v>
      </c>
      <c r="G86" s="6">
        <v>1</v>
      </c>
      <c r="H86" s="6">
        <v>0</v>
      </c>
      <c r="I86" s="6">
        <v>24</v>
      </c>
      <c r="J86" s="6">
        <v>36</v>
      </c>
      <c r="K86" s="6">
        <v>0</v>
      </c>
      <c r="L86" s="6">
        <v>1</v>
      </c>
      <c r="M86" s="6">
        <v>7</v>
      </c>
      <c r="N86" s="6">
        <v>11</v>
      </c>
      <c r="O86" s="6">
        <v>25</v>
      </c>
      <c r="P86" s="6">
        <v>1</v>
      </c>
      <c r="Q86" s="6">
        <v>2</v>
      </c>
      <c r="R86" s="6">
        <v>20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3</v>
      </c>
      <c r="Z86" s="6">
        <v>0</v>
      </c>
      <c r="AA86" s="6">
        <v>0</v>
      </c>
      <c r="AB86" s="6">
        <v>0</v>
      </c>
      <c r="AC86" s="5">
        <f t="shared" si="24"/>
        <v>133</v>
      </c>
    </row>
    <row r="87" spans="1:29" x14ac:dyDescent="0.4">
      <c r="A87" s="7"/>
      <c r="B87" s="47"/>
      <c r="C87" s="24" t="s">
        <v>142</v>
      </c>
      <c r="D87" s="45"/>
      <c r="E87" s="6">
        <v>1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5">
        <f t="shared" si="24"/>
        <v>4</v>
      </c>
    </row>
    <row r="88" spans="1:29" x14ac:dyDescent="0.4">
      <c r="A88" s="7"/>
      <c r="B88" s="47"/>
      <c r="C88" s="24" t="s">
        <v>143</v>
      </c>
      <c r="D88" s="45"/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2</v>
      </c>
      <c r="AB88" s="6">
        <v>0</v>
      </c>
      <c r="AC88" s="5">
        <f t="shared" si="24"/>
        <v>4</v>
      </c>
    </row>
    <row r="89" spans="1:29" x14ac:dyDescent="0.4">
      <c r="A89" s="7"/>
      <c r="B89" s="47"/>
      <c r="C89" s="24" t="s">
        <v>144</v>
      </c>
      <c r="D89" s="45"/>
      <c r="E89" s="6">
        <v>1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0</v>
      </c>
      <c r="V89" s="6">
        <v>0</v>
      </c>
      <c r="W89" s="6">
        <v>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24"/>
        <v>4</v>
      </c>
    </row>
    <row r="90" spans="1:29" x14ac:dyDescent="0.4">
      <c r="A90" s="7"/>
      <c r="B90" s="47"/>
      <c r="C90" s="24" t="s">
        <v>145</v>
      </c>
      <c r="D90" s="45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5">
        <f t="shared" si="24"/>
        <v>0</v>
      </c>
    </row>
    <row r="91" spans="1:29" x14ac:dyDescent="0.4">
      <c r="A91" s="6" t="s">
        <v>26</v>
      </c>
      <c r="B91" s="74" t="s">
        <v>51</v>
      </c>
      <c r="C91" s="54"/>
      <c r="D91" s="55"/>
      <c r="E91" s="6">
        <f t="shared" ref="E91:AC91" si="25">SUM(E81:E90)</f>
        <v>7</v>
      </c>
      <c r="F91" s="6">
        <f t="shared" si="25"/>
        <v>35</v>
      </c>
      <c r="G91" s="6">
        <f t="shared" si="25"/>
        <v>11</v>
      </c>
      <c r="H91" s="6">
        <f t="shared" si="25"/>
        <v>19</v>
      </c>
      <c r="I91" s="6">
        <f t="shared" si="25"/>
        <v>43</v>
      </c>
      <c r="J91" s="6">
        <f t="shared" si="25"/>
        <v>65</v>
      </c>
      <c r="K91" s="6">
        <f t="shared" si="25"/>
        <v>23</v>
      </c>
      <c r="L91" s="6">
        <f t="shared" si="25"/>
        <v>21</v>
      </c>
      <c r="M91" s="6">
        <f t="shared" si="25"/>
        <v>23</v>
      </c>
      <c r="N91" s="6">
        <f t="shared" si="25"/>
        <v>15</v>
      </c>
      <c r="O91" s="6">
        <f t="shared" si="25"/>
        <v>37</v>
      </c>
      <c r="P91" s="6">
        <f t="shared" si="25"/>
        <v>6</v>
      </c>
      <c r="Q91" s="6">
        <f t="shared" si="25"/>
        <v>23</v>
      </c>
      <c r="R91" s="6">
        <f t="shared" si="25"/>
        <v>34</v>
      </c>
      <c r="S91" s="6">
        <f t="shared" si="25"/>
        <v>59</v>
      </c>
      <c r="T91" s="6">
        <f t="shared" si="25"/>
        <v>9</v>
      </c>
      <c r="U91" s="6">
        <f t="shared" si="25"/>
        <v>7</v>
      </c>
      <c r="V91" s="6">
        <f t="shared" si="25"/>
        <v>15</v>
      </c>
      <c r="W91" s="6">
        <f t="shared" si="25"/>
        <v>9</v>
      </c>
      <c r="X91" s="6">
        <f t="shared" si="25"/>
        <v>14</v>
      </c>
      <c r="Y91" s="6">
        <f t="shared" si="25"/>
        <v>47</v>
      </c>
      <c r="Z91" s="6">
        <f t="shared" si="25"/>
        <v>7</v>
      </c>
      <c r="AA91" s="6">
        <f t="shared" si="25"/>
        <v>20</v>
      </c>
      <c r="AB91" s="6">
        <f t="shared" si="25"/>
        <v>18</v>
      </c>
      <c r="AC91" s="6">
        <f t="shared" si="25"/>
        <v>567</v>
      </c>
    </row>
    <row r="92" spans="1:29" x14ac:dyDescent="0.4">
      <c r="A92" s="81"/>
      <c r="B92" s="80"/>
      <c r="C92" s="80"/>
      <c r="D92" s="80"/>
      <c r="E92" s="80"/>
    </row>
    <row r="93" spans="1:29" x14ac:dyDescent="0.4">
      <c r="A93" s="11" t="s">
        <v>48</v>
      </c>
      <c r="B93" s="17" t="s">
        <v>55</v>
      </c>
      <c r="C93" s="83" t="s">
        <v>56</v>
      </c>
      <c r="D93" s="55"/>
      <c r="E93" s="6">
        <v>1</v>
      </c>
      <c r="F93" s="6">
        <v>1</v>
      </c>
      <c r="G93" s="6">
        <v>1</v>
      </c>
      <c r="H93" s="6">
        <v>2</v>
      </c>
      <c r="I93" s="6">
        <v>3</v>
      </c>
      <c r="J93" s="6">
        <v>2</v>
      </c>
      <c r="K93" s="6">
        <v>1</v>
      </c>
      <c r="L93" s="6">
        <v>5</v>
      </c>
      <c r="M93" s="6">
        <v>1</v>
      </c>
      <c r="N93" s="6">
        <v>3</v>
      </c>
      <c r="O93" s="6">
        <v>3</v>
      </c>
      <c r="P93" s="6">
        <v>2</v>
      </c>
      <c r="Q93" s="6">
        <v>2</v>
      </c>
      <c r="R93" s="6">
        <v>5</v>
      </c>
      <c r="S93" s="6">
        <v>0</v>
      </c>
      <c r="T93" s="6">
        <v>17</v>
      </c>
      <c r="U93" s="6">
        <v>2</v>
      </c>
      <c r="V93" s="6">
        <v>2</v>
      </c>
      <c r="W93" s="6">
        <v>3</v>
      </c>
      <c r="X93" s="6">
        <v>5</v>
      </c>
      <c r="Y93" s="6">
        <v>1</v>
      </c>
      <c r="Z93" s="6">
        <v>14</v>
      </c>
      <c r="AA93" s="6">
        <v>3</v>
      </c>
      <c r="AB93" s="6">
        <v>10</v>
      </c>
      <c r="AC93" s="5">
        <f t="shared" ref="AC93:AC102" si="26">SUM(E93:AB93)</f>
        <v>89</v>
      </c>
    </row>
    <row r="94" spans="1:29" x14ac:dyDescent="0.4">
      <c r="A94" s="11" t="s">
        <v>50</v>
      </c>
      <c r="B94" s="47"/>
      <c r="C94" s="24" t="s">
        <v>146</v>
      </c>
      <c r="D94" s="45"/>
      <c r="E94" s="6">
        <v>2</v>
      </c>
      <c r="F94" s="6">
        <v>0</v>
      </c>
      <c r="G94" s="6">
        <v>3</v>
      </c>
      <c r="H94" s="6">
        <v>1</v>
      </c>
      <c r="I94" s="6">
        <v>1</v>
      </c>
      <c r="J94" s="6">
        <v>2</v>
      </c>
      <c r="K94" s="6">
        <v>1</v>
      </c>
      <c r="L94" s="6">
        <v>27</v>
      </c>
      <c r="M94" s="6">
        <v>2</v>
      </c>
      <c r="N94" s="6">
        <v>3</v>
      </c>
      <c r="O94" s="6">
        <v>1</v>
      </c>
      <c r="P94" s="6">
        <v>1</v>
      </c>
      <c r="Q94" s="6">
        <v>1</v>
      </c>
      <c r="R94" s="6">
        <v>8</v>
      </c>
      <c r="S94" s="6">
        <v>0</v>
      </c>
      <c r="T94" s="6">
        <v>7</v>
      </c>
      <c r="U94" s="6">
        <v>4</v>
      </c>
      <c r="V94" s="6">
        <v>5</v>
      </c>
      <c r="W94" s="6">
        <v>3</v>
      </c>
      <c r="X94" s="6">
        <v>12</v>
      </c>
      <c r="Y94" s="6">
        <v>11</v>
      </c>
      <c r="Z94" s="6">
        <v>37</v>
      </c>
      <c r="AA94" s="6">
        <v>20</v>
      </c>
      <c r="AB94" s="6">
        <v>34</v>
      </c>
      <c r="AC94" s="5">
        <f t="shared" si="26"/>
        <v>186</v>
      </c>
    </row>
    <row r="95" spans="1:29" x14ac:dyDescent="0.4">
      <c r="A95" s="7"/>
      <c r="B95" s="47"/>
      <c r="C95" s="24" t="s">
        <v>147</v>
      </c>
      <c r="D95" s="45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2</v>
      </c>
      <c r="W95" s="6">
        <v>0</v>
      </c>
      <c r="X95" s="6">
        <v>1</v>
      </c>
      <c r="Y95" s="6">
        <v>0</v>
      </c>
      <c r="Z95" s="6">
        <v>1</v>
      </c>
      <c r="AA95" s="6">
        <v>0</v>
      </c>
      <c r="AB95" s="6">
        <v>0</v>
      </c>
      <c r="AC95" s="5">
        <f t="shared" si="26"/>
        <v>4</v>
      </c>
    </row>
    <row r="96" spans="1:29" ht="13.15" customHeight="1" x14ac:dyDescent="0.4">
      <c r="A96" s="7"/>
      <c r="B96" s="47"/>
      <c r="C96" s="24" t="s">
        <v>148</v>
      </c>
      <c r="D96" s="45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1</v>
      </c>
      <c r="Z96" s="6">
        <v>0</v>
      </c>
      <c r="AA96" s="6">
        <v>0</v>
      </c>
      <c r="AB96" s="6">
        <v>0</v>
      </c>
      <c r="AC96" s="5">
        <f t="shared" si="26"/>
        <v>4</v>
      </c>
    </row>
    <row r="97" spans="1:29" x14ac:dyDescent="0.4">
      <c r="A97" s="7"/>
      <c r="B97" s="47"/>
      <c r="C97" s="24" t="s">
        <v>149</v>
      </c>
      <c r="D97" s="45"/>
      <c r="E97" s="6">
        <v>2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2</v>
      </c>
      <c r="X97" s="6">
        <v>0</v>
      </c>
      <c r="Y97" s="6">
        <v>0</v>
      </c>
      <c r="Z97" s="6">
        <v>4</v>
      </c>
      <c r="AA97" s="6">
        <v>1</v>
      </c>
      <c r="AB97" s="6">
        <v>0</v>
      </c>
      <c r="AC97" s="5">
        <f t="shared" si="26"/>
        <v>12</v>
      </c>
    </row>
    <row r="98" spans="1:29" x14ac:dyDescent="0.4">
      <c r="A98" s="7"/>
      <c r="B98" s="47"/>
      <c r="C98" s="24" t="s">
        <v>150</v>
      </c>
      <c r="D98" s="45"/>
      <c r="E98" s="6">
        <v>2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2</v>
      </c>
      <c r="P98" s="6">
        <v>0</v>
      </c>
      <c r="Q98" s="6">
        <v>1</v>
      </c>
      <c r="R98" s="6">
        <v>2</v>
      </c>
      <c r="S98" s="6">
        <v>0</v>
      </c>
      <c r="T98" s="6">
        <v>1</v>
      </c>
      <c r="U98" s="6">
        <v>0</v>
      </c>
      <c r="V98" s="6">
        <v>1</v>
      </c>
      <c r="W98" s="6">
        <v>0</v>
      </c>
      <c r="X98" s="6">
        <v>0</v>
      </c>
      <c r="Y98" s="6">
        <v>0</v>
      </c>
      <c r="Z98" s="6">
        <v>1</v>
      </c>
      <c r="AA98" s="6">
        <v>0</v>
      </c>
      <c r="AB98" s="6">
        <v>1</v>
      </c>
      <c r="AC98" s="5">
        <f t="shared" si="26"/>
        <v>12</v>
      </c>
    </row>
    <row r="99" spans="1:29" x14ac:dyDescent="0.4">
      <c r="A99" s="7"/>
      <c r="B99" s="47"/>
      <c r="C99" s="24" t="s">
        <v>151</v>
      </c>
      <c r="D99" s="45"/>
      <c r="E99" s="6">
        <v>4</v>
      </c>
      <c r="F99" s="6">
        <v>0</v>
      </c>
      <c r="G99" s="6">
        <v>1</v>
      </c>
      <c r="H99" s="6">
        <v>0</v>
      </c>
      <c r="I99" s="6">
        <v>2</v>
      </c>
      <c r="J99" s="6">
        <v>0</v>
      </c>
      <c r="K99" s="6">
        <v>1</v>
      </c>
      <c r="L99" s="6">
        <v>2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0</v>
      </c>
      <c r="T99" s="6">
        <v>2</v>
      </c>
      <c r="U99" s="6">
        <v>1</v>
      </c>
      <c r="V99" s="6">
        <v>3</v>
      </c>
      <c r="W99" s="6">
        <v>1</v>
      </c>
      <c r="X99" s="6">
        <v>0</v>
      </c>
      <c r="Y99" s="6">
        <v>2</v>
      </c>
      <c r="Z99" s="6">
        <v>0</v>
      </c>
      <c r="AA99" s="6">
        <v>0</v>
      </c>
      <c r="AB99" s="6">
        <v>6</v>
      </c>
      <c r="AC99" s="5">
        <f t="shared" si="26"/>
        <v>27</v>
      </c>
    </row>
    <row r="100" spans="1:29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26"/>
        <v>1</v>
      </c>
    </row>
    <row r="101" spans="1:29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1</v>
      </c>
      <c r="AC101" s="5">
        <f t="shared" si="26"/>
        <v>2</v>
      </c>
    </row>
    <row r="102" spans="1:29" x14ac:dyDescent="0.4">
      <c r="A102" s="7"/>
      <c r="B102" s="47"/>
      <c r="C102" s="24" t="s">
        <v>154</v>
      </c>
      <c r="D102" s="45"/>
      <c r="E102" s="6">
        <v>4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2</v>
      </c>
      <c r="X102" s="6">
        <v>0</v>
      </c>
      <c r="Y102" s="6">
        <v>0</v>
      </c>
      <c r="Z102" s="6">
        <v>1</v>
      </c>
      <c r="AA102" s="6">
        <v>0</v>
      </c>
      <c r="AB102" s="6">
        <v>0</v>
      </c>
      <c r="AC102" s="5">
        <f t="shared" si="26"/>
        <v>11</v>
      </c>
    </row>
    <row r="103" spans="1:29" x14ac:dyDescent="0.4">
      <c r="A103" s="6" t="s">
        <v>26</v>
      </c>
      <c r="B103" s="74" t="s">
        <v>51</v>
      </c>
      <c r="C103" s="54"/>
      <c r="D103" s="55"/>
      <c r="E103" s="6">
        <f t="shared" ref="E103:AC103" si="27">SUM(E93:E102)</f>
        <v>16</v>
      </c>
      <c r="F103" s="6">
        <f t="shared" si="27"/>
        <v>1</v>
      </c>
      <c r="G103" s="6">
        <f t="shared" si="27"/>
        <v>5</v>
      </c>
      <c r="H103" s="6">
        <f t="shared" si="27"/>
        <v>3</v>
      </c>
      <c r="I103" s="6">
        <f t="shared" si="27"/>
        <v>7</v>
      </c>
      <c r="J103" s="6">
        <f t="shared" si="27"/>
        <v>5</v>
      </c>
      <c r="K103" s="6">
        <f t="shared" si="27"/>
        <v>3</v>
      </c>
      <c r="L103" s="6">
        <f t="shared" si="27"/>
        <v>39</v>
      </c>
      <c r="M103" s="6">
        <f t="shared" si="27"/>
        <v>4</v>
      </c>
      <c r="N103" s="6">
        <f t="shared" si="27"/>
        <v>6</v>
      </c>
      <c r="O103" s="6">
        <f t="shared" si="27"/>
        <v>6</v>
      </c>
      <c r="P103" s="6">
        <f t="shared" si="27"/>
        <v>3</v>
      </c>
      <c r="Q103" s="6">
        <f t="shared" si="27"/>
        <v>4</v>
      </c>
      <c r="R103" s="6">
        <f t="shared" si="27"/>
        <v>17</v>
      </c>
      <c r="S103" s="6">
        <f t="shared" si="27"/>
        <v>0</v>
      </c>
      <c r="T103" s="6">
        <f t="shared" si="27"/>
        <v>29</v>
      </c>
      <c r="U103" s="6">
        <f t="shared" si="27"/>
        <v>7</v>
      </c>
      <c r="V103" s="6">
        <f t="shared" si="27"/>
        <v>13</v>
      </c>
      <c r="W103" s="6">
        <f t="shared" si="27"/>
        <v>11</v>
      </c>
      <c r="X103" s="6">
        <f t="shared" si="27"/>
        <v>19</v>
      </c>
      <c r="Y103" s="6">
        <f t="shared" si="27"/>
        <v>15</v>
      </c>
      <c r="Z103" s="6">
        <f t="shared" si="27"/>
        <v>58</v>
      </c>
      <c r="AA103" s="6">
        <f t="shared" si="27"/>
        <v>25</v>
      </c>
      <c r="AB103" s="6">
        <f t="shared" si="27"/>
        <v>52</v>
      </c>
      <c r="AC103" s="6">
        <f t="shared" si="27"/>
        <v>348</v>
      </c>
    </row>
    <row r="104" spans="1:29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83" t="s">
        <v>58</v>
      </c>
      <c r="D105" s="55"/>
      <c r="E105" s="6">
        <v>7</v>
      </c>
      <c r="F105" s="6">
        <v>0</v>
      </c>
      <c r="G105" s="6">
        <v>1</v>
      </c>
      <c r="H105" s="6">
        <v>0</v>
      </c>
      <c r="I105" s="6">
        <v>2</v>
      </c>
      <c r="J105" s="6">
        <v>2</v>
      </c>
      <c r="K105" s="6">
        <v>0</v>
      </c>
      <c r="L105" s="6">
        <v>4</v>
      </c>
      <c r="M105" s="6">
        <v>1</v>
      </c>
      <c r="N105" s="6">
        <v>1</v>
      </c>
      <c r="O105" s="6">
        <v>1</v>
      </c>
      <c r="P105" s="6">
        <v>0</v>
      </c>
      <c r="Q105" s="6">
        <v>0</v>
      </c>
      <c r="R105" s="6">
        <v>7</v>
      </c>
      <c r="S105" s="6">
        <v>2</v>
      </c>
      <c r="T105" s="6">
        <v>4</v>
      </c>
      <c r="U105" s="6">
        <v>0</v>
      </c>
      <c r="V105" s="6">
        <v>1</v>
      </c>
      <c r="W105" s="6">
        <v>3</v>
      </c>
      <c r="X105" s="6">
        <v>1</v>
      </c>
      <c r="Y105" s="6">
        <v>2</v>
      </c>
      <c r="Z105" s="6">
        <v>0</v>
      </c>
      <c r="AA105" s="6">
        <v>0</v>
      </c>
      <c r="AB105" s="6">
        <v>1</v>
      </c>
      <c r="AC105" s="5">
        <f>SUM(E105:AB105)</f>
        <v>40</v>
      </c>
    </row>
    <row r="106" spans="1:29" x14ac:dyDescent="0.4">
      <c r="A106" s="11" t="s">
        <v>50</v>
      </c>
      <c r="B106" s="47"/>
      <c r="C106" s="24" t="s">
        <v>155</v>
      </c>
      <c r="D106" s="45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2</v>
      </c>
      <c r="R106" s="6">
        <v>0</v>
      </c>
      <c r="S106" s="6">
        <v>0</v>
      </c>
      <c r="T106" s="6">
        <v>1</v>
      </c>
      <c r="U106" s="6">
        <v>1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1</v>
      </c>
      <c r="AB106" s="6">
        <v>1</v>
      </c>
      <c r="AC106" s="5">
        <f>SUM(E106:AB106)</f>
        <v>11</v>
      </c>
    </row>
    <row r="107" spans="1:29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1</v>
      </c>
      <c r="T107" s="6">
        <v>1</v>
      </c>
      <c r="U107" s="6">
        <v>0</v>
      </c>
      <c r="V107" s="6">
        <v>1</v>
      </c>
      <c r="W107" s="6">
        <v>0</v>
      </c>
      <c r="X107" s="6">
        <v>0</v>
      </c>
      <c r="Y107" s="6">
        <v>0</v>
      </c>
      <c r="Z107" s="6">
        <v>2</v>
      </c>
      <c r="AA107" s="6">
        <v>0</v>
      </c>
      <c r="AB107" s="6">
        <v>0</v>
      </c>
      <c r="AC107" s="5">
        <f>SUM(E107:AB107)</f>
        <v>6</v>
      </c>
    </row>
    <row r="108" spans="1:29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AC108" si="28">SUM(E105:E107)</f>
        <v>8</v>
      </c>
      <c r="F108" s="6">
        <f t="shared" si="28"/>
        <v>0</v>
      </c>
      <c r="G108" s="6">
        <f t="shared" si="28"/>
        <v>1</v>
      </c>
      <c r="H108" s="6">
        <f t="shared" si="28"/>
        <v>0</v>
      </c>
      <c r="I108" s="6">
        <f t="shared" si="28"/>
        <v>2</v>
      </c>
      <c r="J108" s="6">
        <f t="shared" si="28"/>
        <v>3</v>
      </c>
      <c r="K108" s="6">
        <f t="shared" si="28"/>
        <v>1</v>
      </c>
      <c r="L108" s="6">
        <f t="shared" si="28"/>
        <v>5</v>
      </c>
      <c r="M108" s="6">
        <f t="shared" si="28"/>
        <v>1</v>
      </c>
      <c r="N108" s="6">
        <f t="shared" si="28"/>
        <v>2</v>
      </c>
      <c r="O108" s="6">
        <f t="shared" si="28"/>
        <v>1</v>
      </c>
      <c r="P108" s="6">
        <f t="shared" si="28"/>
        <v>0</v>
      </c>
      <c r="Q108" s="6">
        <f t="shared" si="28"/>
        <v>2</v>
      </c>
      <c r="R108" s="6">
        <f t="shared" si="28"/>
        <v>7</v>
      </c>
      <c r="S108" s="6">
        <f t="shared" si="28"/>
        <v>3</v>
      </c>
      <c r="T108" s="6">
        <f t="shared" si="28"/>
        <v>6</v>
      </c>
      <c r="U108" s="6">
        <f t="shared" si="28"/>
        <v>1</v>
      </c>
      <c r="V108" s="6">
        <f t="shared" si="28"/>
        <v>2</v>
      </c>
      <c r="W108" s="6">
        <f t="shared" si="28"/>
        <v>3</v>
      </c>
      <c r="X108" s="6">
        <f t="shared" si="28"/>
        <v>2</v>
      </c>
      <c r="Y108" s="6">
        <f t="shared" si="28"/>
        <v>2</v>
      </c>
      <c r="Z108" s="6">
        <f t="shared" si="28"/>
        <v>2</v>
      </c>
      <c r="AA108" s="6">
        <f t="shared" si="28"/>
        <v>1</v>
      </c>
      <c r="AB108" s="6">
        <f t="shared" si="28"/>
        <v>2</v>
      </c>
      <c r="AC108" s="6">
        <f t="shared" si="28"/>
        <v>57</v>
      </c>
    </row>
    <row r="109" spans="1:29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Y109" s="18"/>
      <c r="Z109" s="18"/>
      <c r="AA109" s="18"/>
      <c r="AB109" s="18"/>
      <c r="AC109" s="5"/>
    </row>
    <row r="110" spans="1:29" x14ac:dyDescent="0.4">
      <c r="A110" s="11" t="s">
        <v>48</v>
      </c>
      <c r="B110" s="17" t="s">
        <v>59</v>
      </c>
      <c r="C110" s="83" t="s">
        <v>60</v>
      </c>
      <c r="D110" s="55"/>
      <c r="E110" s="6">
        <v>1</v>
      </c>
      <c r="F110" s="6">
        <v>1</v>
      </c>
      <c r="G110" s="6">
        <v>0</v>
      </c>
      <c r="H110" s="6">
        <v>1</v>
      </c>
      <c r="I110" s="6">
        <v>1</v>
      </c>
      <c r="J110" s="6">
        <v>1</v>
      </c>
      <c r="K110" s="6">
        <v>0</v>
      </c>
      <c r="L110" s="6">
        <v>1</v>
      </c>
      <c r="M110" s="6">
        <v>0</v>
      </c>
      <c r="N110" s="6">
        <v>0</v>
      </c>
      <c r="O110" s="6">
        <v>1</v>
      </c>
      <c r="P110" s="6">
        <v>0</v>
      </c>
      <c r="Q110" s="6">
        <v>1</v>
      </c>
      <c r="R110" s="6">
        <v>3</v>
      </c>
      <c r="S110" s="6">
        <v>1</v>
      </c>
      <c r="T110" s="6">
        <v>1</v>
      </c>
      <c r="U110" s="6">
        <v>2</v>
      </c>
      <c r="V110" s="6">
        <v>1</v>
      </c>
      <c r="W110" s="6">
        <v>1</v>
      </c>
      <c r="X110" s="6">
        <v>0</v>
      </c>
      <c r="Y110" s="6">
        <v>0</v>
      </c>
      <c r="Z110" s="6">
        <v>0</v>
      </c>
      <c r="AA110" s="6">
        <v>1</v>
      </c>
      <c r="AB110" s="6">
        <v>0</v>
      </c>
      <c r="AC110" s="5">
        <f t="shared" ref="AC110:AC115" si="29">SUM(E110:AB110)</f>
        <v>18</v>
      </c>
    </row>
    <row r="111" spans="1:29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4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1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5">
        <f t="shared" si="29"/>
        <v>5</v>
      </c>
    </row>
    <row r="112" spans="1:29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2</v>
      </c>
      <c r="R112" s="6">
        <v>0</v>
      </c>
      <c r="S112" s="6">
        <v>0</v>
      </c>
      <c r="T112" s="6">
        <v>0</v>
      </c>
      <c r="U112" s="6">
        <v>1</v>
      </c>
      <c r="V112" s="6">
        <v>0</v>
      </c>
      <c r="W112" s="6">
        <v>0</v>
      </c>
      <c r="X112" s="6">
        <v>1</v>
      </c>
      <c r="Y112" s="6">
        <v>0</v>
      </c>
      <c r="Z112" s="6">
        <v>0</v>
      </c>
      <c r="AA112" s="6">
        <v>0</v>
      </c>
      <c r="AB112" s="6">
        <v>0</v>
      </c>
      <c r="AC112" s="5">
        <f t="shared" si="29"/>
        <v>4</v>
      </c>
    </row>
    <row r="113" spans="1:29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5">
        <f t="shared" si="29"/>
        <v>1</v>
      </c>
    </row>
    <row r="114" spans="1:29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5">
        <f t="shared" si="29"/>
        <v>0</v>
      </c>
    </row>
    <row r="115" spans="1:29" x14ac:dyDescent="0.4">
      <c r="A115" s="7"/>
      <c r="B115" s="47"/>
      <c r="C115" s="24" t="s">
        <v>161</v>
      </c>
      <c r="D115" s="45"/>
      <c r="E115" s="6">
        <v>1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5">
        <f t="shared" si="29"/>
        <v>2</v>
      </c>
    </row>
    <row r="116" spans="1:29" x14ac:dyDescent="0.4">
      <c r="A116" s="6" t="s">
        <v>26</v>
      </c>
      <c r="B116" s="74" t="s">
        <v>51</v>
      </c>
      <c r="C116" s="84"/>
      <c r="D116" s="85"/>
      <c r="E116" s="6">
        <f t="shared" ref="E116:AC116" si="30">SUM(E110:E115)</f>
        <v>2</v>
      </c>
      <c r="F116" s="6">
        <f t="shared" si="30"/>
        <v>1</v>
      </c>
      <c r="G116" s="6">
        <f t="shared" si="30"/>
        <v>4</v>
      </c>
      <c r="H116" s="6">
        <f t="shared" si="30"/>
        <v>1</v>
      </c>
      <c r="I116" s="6">
        <f t="shared" si="30"/>
        <v>1</v>
      </c>
      <c r="J116" s="6">
        <f t="shared" si="30"/>
        <v>1</v>
      </c>
      <c r="K116" s="6">
        <f t="shared" si="30"/>
        <v>0</v>
      </c>
      <c r="L116" s="6">
        <f t="shared" si="30"/>
        <v>2</v>
      </c>
      <c r="M116" s="6">
        <f t="shared" si="30"/>
        <v>0</v>
      </c>
      <c r="N116" s="6">
        <f t="shared" si="30"/>
        <v>0</v>
      </c>
      <c r="O116" s="6">
        <f t="shared" si="30"/>
        <v>2</v>
      </c>
      <c r="P116" s="6">
        <f t="shared" si="30"/>
        <v>0</v>
      </c>
      <c r="Q116" s="6">
        <f t="shared" si="30"/>
        <v>3</v>
      </c>
      <c r="R116" s="6">
        <f t="shared" si="30"/>
        <v>4</v>
      </c>
      <c r="S116" s="6">
        <f t="shared" si="30"/>
        <v>1</v>
      </c>
      <c r="T116" s="6">
        <f t="shared" si="30"/>
        <v>1</v>
      </c>
      <c r="U116" s="6">
        <f t="shared" si="30"/>
        <v>3</v>
      </c>
      <c r="V116" s="6">
        <f t="shared" si="30"/>
        <v>1</v>
      </c>
      <c r="W116" s="6">
        <f t="shared" si="30"/>
        <v>1</v>
      </c>
      <c r="X116" s="6">
        <f t="shared" si="30"/>
        <v>1</v>
      </c>
      <c r="Y116" s="6">
        <f t="shared" si="30"/>
        <v>0</v>
      </c>
      <c r="Z116" s="6">
        <f t="shared" si="30"/>
        <v>0</v>
      </c>
      <c r="AA116" s="6">
        <f t="shared" si="30"/>
        <v>1</v>
      </c>
      <c r="AB116" s="6">
        <f t="shared" si="30"/>
        <v>0</v>
      </c>
      <c r="AC116" s="6">
        <f t="shared" si="30"/>
        <v>30</v>
      </c>
    </row>
    <row r="117" spans="1:29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spans="1:29" x14ac:dyDescent="0.4">
      <c r="A118" s="11" t="s">
        <v>48</v>
      </c>
      <c r="B118" s="17" t="s">
        <v>61</v>
      </c>
      <c r="C118" s="83" t="s">
        <v>62</v>
      </c>
      <c r="D118" s="55"/>
      <c r="E118" s="6">
        <v>0</v>
      </c>
      <c r="F118" s="6">
        <v>1</v>
      </c>
      <c r="G118" s="6">
        <v>0</v>
      </c>
      <c r="H118" s="6">
        <v>0</v>
      </c>
      <c r="I118" s="6">
        <v>2</v>
      </c>
      <c r="J118" s="6">
        <v>0</v>
      </c>
      <c r="K118" s="6">
        <v>3</v>
      </c>
      <c r="L118" s="6">
        <v>2</v>
      </c>
      <c r="M118" s="6">
        <v>0</v>
      </c>
      <c r="N118" s="6">
        <v>3</v>
      </c>
      <c r="O118" s="6">
        <v>6</v>
      </c>
      <c r="P118" s="6">
        <v>4</v>
      </c>
      <c r="Q118" s="6">
        <v>5</v>
      </c>
      <c r="R118" s="6">
        <v>10</v>
      </c>
      <c r="S118" s="6">
        <v>1</v>
      </c>
      <c r="T118" s="6">
        <v>2</v>
      </c>
      <c r="U118" s="6">
        <v>5</v>
      </c>
      <c r="V118" s="6">
        <v>0</v>
      </c>
      <c r="W118" s="6">
        <v>0</v>
      </c>
      <c r="X118" s="6">
        <v>1</v>
      </c>
      <c r="Y118" s="6">
        <v>1</v>
      </c>
      <c r="Z118" s="6">
        <v>0</v>
      </c>
      <c r="AA118" s="6">
        <v>2</v>
      </c>
      <c r="AB118" s="6">
        <v>0</v>
      </c>
      <c r="AC118" s="5">
        <f t="shared" ref="AC118:AC127" si="31">SUM(E118:AB118)</f>
        <v>48</v>
      </c>
    </row>
    <row r="119" spans="1:29" ht="13.15" customHeight="1" x14ac:dyDescent="0.4">
      <c r="A119" s="11" t="s">
        <v>50</v>
      </c>
      <c r="B119" s="47"/>
      <c r="C119" s="24" t="s">
        <v>162</v>
      </c>
      <c r="D119" s="48"/>
      <c r="E119" s="6">
        <v>1</v>
      </c>
      <c r="F119" s="6">
        <v>2</v>
      </c>
      <c r="G119" s="6">
        <v>5</v>
      </c>
      <c r="H119" s="6">
        <v>0</v>
      </c>
      <c r="I119" s="6">
        <v>3</v>
      </c>
      <c r="J119" s="6">
        <v>2</v>
      </c>
      <c r="K119" s="6">
        <v>4</v>
      </c>
      <c r="L119" s="6">
        <v>16</v>
      </c>
      <c r="M119" s="6">
        <v>5</v>
      </c>
      <c r="N119" s="6">
        <v>19</v>
      </c>
      <c r="O119" s="6">
        <v>10</v>
      </c>
      <c r="P119" s="6">
        <v>5</v>
      </c>
      <c r="Q119" s="6">
        <v>14</v>
      </c>
      <c r="R119" s="6">
        <v>18</v>
      </c>
      <c r="S119" s="6">
        <v>8</v>
      </c>
      <c r="T119" s="6">
        <v>11</v>
      </c>
      <c r="U119" s="6">
        <v>8</v>
      </c>
      <c r="V119" s="6">
        <v>0</v>
      </c>
      <c r="W119" s="6">
        <v>0</v>
      </c>
      <c r="X119" s="6">
        <v>2</v>
      </c>
      <c r="Y119" s="6">
        <v>2</v>
      </c>
      <c r="Z119" s="6">
        <v>0</v>
      </c>
      <c r="AA119" s="6">
        <v>7</v>
      </c>
      <c r="AB119" s="6">
        <v>3</v>
      </c>
      <c r="AC119" s="5">
        <f t="shared" si="31"/>
        <v>145</v>
      </c>
    </row>
    <row r="120" spans="1:29" x14ac:dyDescent="0.4">
      <c r="A120" s="7"/>
      <c r="B120" s="47"/>
      <c r="C120" s="24" t="s">
        <v>163</v>
      </c>
      <c r="D120" s="48"/>
      <c r="E120" s="6">
        <v>0</v>
      </c>
      <c r="F120" s="6">
        <v>0</v>
      </c>
      <c r="G120" s="6">
        <v>2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0</v>
      </c>
      <c r="Q120" s="6">
        <v>1</v>
      </c>
      <c r="R120" s="6">
        <v>2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</v>
      </c>
      <c r="AB120" s="6">
        <v>0</v>
      </c>
      <c r="AC120" s="5">
        <f t="shared" si="31"/>
        <v>8</v>
      </c>
    </row>
    <row r="121" spans="1:29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31"/>
        <v>2</v>
      </c>
    </row>
    <row r="122" spans="1:29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f t="shared" si="31"/>
        <v>0</v>
      </c>
    </row>
    <row r="123" spans="1:29" x14ac:dyDescent="0.4">
      <c r="A123" s="7"/>
      <c r="B123" s="47"/>
      <c r="C123" s="24" t="s">
        <v>166</v>
      </c>
      <c r="D123" s="48"/>
      <c r="E123" s="6">
        <v>1</v>
      </c>
      <c r="F123" s="6">
        <v>2</v>
      </c>
      <c r="G123" s="6">
        <v>0</v>
      </c>
      <c r="H123" s="6">
        <v>4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5">
        <f t="shared" si="31"/>
        <v>9</v>
      </c>
    </row>
    <row r="124" spans="1:29" x14ac:dyDescent="0.4">
      <c r="A124" s="7"/>
      <c r="B124" s="47"/>
      <c r="C124" s="24" t="s">
        <v>167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1</v>
      </c>
      <c r="M124" s="6">
        <v>0</v>
      </c>
      <c r="N124" s="6">
        <v>0</v>
      </c>
      <c r="O124" s="6">
        <v>2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1</v>
      </c>
      <c r="X124" s="6">
        <v>0</v>
      </c>
      <c r="Y124" s="6">
        <v>0</v>
      </c>
      <c r="Z124" s="6">
        <v>0</v>
      </c>
      <c r="AA124" s="6">
        <v>1</v>
      </c>
      <c r="AB124" s="6">
        <v>0</v>
      </c>
      <c r="AC124" s="5">
        <f t="shared" si="31"/>
        <v>5</v>
      </c>
    </row>
    <row r="125" spans="1:29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5">
        <f t="shared" si="31"/>
        <v>0</v>
      </c>
    </row>
    <row r="126" spans="1:29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1</v>
      </c>
      <c r="AB126" s="6">
        <v>0</v>
      </c>
      <c r="AC126" s="5">
        <f t="shared" si="31"/>
        <v>1</v>
      </c>
    </row>
    <row r="127" spans="1:29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1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1</v>
      </c>
      <c r="AB127" s="6">
        <v>0</v>
      </c>
      <c r="AC127" s="5">
        <f t="shared" si="31"/>
        <v>2</v>
      </c>
    </row>
    <row r="128" spans="1:29" x14ac:dyDescent="0.4">
      <c r="A128" s="6" t="s">
        <v>26</v>
      </c>
      <c r="B128" s="74" t="s">
        <v>51</v>
      </c>
      <c r="C128" s="84"/>
      <c r="D128" s="85"/>
      <c r="E128" s="6">
        <f t="shared" ref="E128:AC128" si="32">SUM(E118:E127)</f>
        <v>2</v>
      </c>
      <c r="F128" s="6">
        <f t="shared" si="32"/>
        <v>5</v>
      </c>
      <c r="G128" s="6">
        <f t="shared" si="32"/>
        <v>8</v>
      </c>
      <c r="H128" s="6">
        <f t="shared" si="32"/>
        <v>4</v>
      </c>
      <c r="I128" s="6">
        <f t="shared" si="32"/>
        <v>5</v>
      </c>
      <c r="J128" s="6">
        <f t="shared" si="32"/>
        <v>2</v>
      </c>
      <c r="K128" s="6">
        <f t="shared" si="32"/>
        <v>7</v>
      </c>
      <c r="L128" s="6">
        <f t="shared" si="32"/>
        <v>21</v>
      </c>
      <c r="M128" s="6">
        <f t="shared" si="32"/>
        <v>5</v>
      </c>
      <c r="N128" s="6">
        <f t="shared" si="32"/>
        <v>23</v>
      </c>
      <c r="O128" s="6">
        <f t="shared" si="32"/>
        <v>19</v>
      </c>
      <c r="P128" s="6">
        <f t="shared" si="32"/>
        <v>9</v>
      </c>
      <c r="Q128" s="6">
        <f t="shared" si="32"/>
        <v>20</v>
      </c>
      <c r="R128" s="6">
        <f t="shared" si="32"/>
        <v>30</v>
      </c>
      <c r="S128" s="6">
        <f t="shared" si="32"/>
        <v>10</v>
      </c>
      <c r="T128" s="6">
        <f t="shared" si="32"/>
        <v>13</v>
      </c>
      <c r="U128" s="6">
        <f t="shared" si="32"/>
        <v>14</v>
      </c>
      <c r="V128" s="6">
        <f t="shared" si="32"/>
        <v>0</v>
      </c>
      <c r="W128" s="6">
        <f t="shared" si="32"/>
        <v>1</v>
      </c>
      <c r="X128" s="6">
        <f t="shared" si="32"/>
        <v>3</v>
      </c>
      <c r="Y128" s="6">
        <f t="shared" si="32"/>
        <v>3</v>
      </c>
      <c r="Z128" s="6">
        <f t="shared" si="32"/>
        <v>0</v>
      </c>
      <c r="AA128" s="6">
        <f t="shared" si="32"/>
        <v>13</v>
      </c>
      <c r="AB128" s="6">
        <f t="shared" si="32"/>
        <v>3</v>
      </c>
      <c r="AC128" s="6">
        <f t="shared" si="32"/>
        <v>220</v>
      </c>
    </row>
    <row r="129" spans="1:29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spans="1:29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f>SUM(E130:AB130)</f>
        <v>3</v>
      </c>
    </row>
    <row r="131" spans="1:29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1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>SUM(E131:AB131)</f>
        <v>2</v>
      </c>
    </row>
    <row r="132" spans="1:29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>SUM(E132:AB132)</f>
        <v>0</v>
      </c>
    </row>
    <row r="133" spans="1:29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>SUM(E133:AB133)</f>
        <v>0</v>
      </c>
    </row>
    <row r="134" spans="1:29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AC134" si="33">SUM(E130:E133)</f>
        <v>3</v>
      </c>
      <c r="F134" s="6">
        <f t="shared" si="33"/>
        <v>1</v>
      </c>
      <c r="G134" s="6">
        <f t="shared" si="33"/>
        <v>0</v>
      </c>
      <c r="H134" s="6">
        <f t="shared" si="33"/>
        <v>0</v>
      </c>
      <c r="I134" s="6">
        <f t="shared" si="33"/>
        <v>0</v>
      </c>
      <c r="J134" s="6">
        <f t="shared" si="33"/>
        <v>0</v>
      </c>
      <c r="K134" s="6">
        <f t="shared" si="33"/>
        <v>0</v>
      </c>
      <c r="L134" s="6">
        <f t="shared" si="33"/>
        <v>0</v>
      </c>
      <c r="M134" s="6">
        <f t="shared" si="33"/>
        <v>0</v>
      </c>
      <c r="N134" s="6">
        <f t="shared" si="33"/>
        <v>0</v>
      </c>
      <c r="O134" s="6">
        <f t="shared" si="33"/>
        <v>0</v>
      </c>
      <c r="P134" s="6">
        <f t="shared" si="33"/>
        <v>0</v>
      </c>
      <c r="Q134" s="6">
        <f t="shared" si="33"/>
        <v>0</v>
      </c>
      <c r="R134" s="6">
        <f t="shared" si="33"/>
        <v>0</v>
      </c>
      <c r="S134" s="6">
        <f t="shared" si="33"/>
        <v>0</v>
      </c>
      <c r="T134" s="6">
        <f t="shared" si="33"/>
        <v>1</v>
      </c>
      <c r="U134" s="6">
        <f t="shared" si="33"/>
        <v>0</v>
      </c>
      <c r="V134" s="6">
        <f t="shared" si="33"/>
        <v>0</v>
      </c>
      <c r="W134" s="6">
        <f t="shared" si="33"/>
        <v>0</v>
      </c>
      <c r="X134" s="6">
        <f t="shared" si="33"/>
        <v>0</v>
      </c>
      <c r="Y134" s="6">
        <f t="shared" si="33"/>
        <v>0</v>
      </c>
      <c r="Z134" s="6">
        <f t="shared" si="33"/>
        <v>0</v>
      </c>
      <c r="AA134" s="6">
        <f t="shared" si="33"/>
        <v>0</v>
      </c>
      <c r="AB134" s="6">
        <f t="shared" si="33"/>
        <v>0</v>
      </c>
      <c r="AC134" s="6">
        <f t="shared" si="33"/>
        <v>5</v>
      </c>
    </row>
    <row r="135" spans="1:29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5"/>
    </row>
    <row r="136" spans="1:29" x14ac:dyDescent="0.4">
      <c r="A136" s="11" t="s">
        <v>48</v>
      </c>
      <c r="B136" s="44" t="s">
        <v>65</v>
      </c>
      <c r="C136" s="87" t="s">
        <v>66</v>
      </c>
      <c r="D136" s="63"/>
      <c r="E136" s="6">
        <v>3</v>
      </c>
      <c r="F136" s="6">
        <v>2</v>
      </c>
      <c r="G136" s="6">
        <v>1</v>
      </c>
      <c r="H136" s="6">
        <v>1</v>
      </c>
      <c r="I136" s="6">
        <v>0</v>
      </c>
      <c r="J136" s="6">
        <v>2</v>
      </c>
      <c r="K136" s="6">
        <v>0</v>
      </c>
      <c r="L136" s="6">
        <v>0</v>
      </c>
      <c r="M136" s="6">
        <v>0</v>
      </c>
      <c r="N136" s="6">
        <v>0</v>
      </c>
      <c r="O136" s="6">
        <v>1</v>
      </c>
      <c r="P136" s="6">
        <v>0</v>
      </c>
      <c r="Q136" s="6">
        <v>0</v>
      </c>
      <c r="R136" s="6">
        <v>0</v>
      </c>
      <c r="S136" s="6">
        <v>0</v>
      </c>
      <c r="T136" s="6">
        <v>5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1</v>
      </c>
      <c r="AC136" s="5">
        <f t="shared" ref="AC136:AC143" si="34">SUM(E136:AB136)</f>
        <v>16</v>
      </c>
    </row>
    <row r="137" spans="1:29" x14ac:dyDescent="0.4">
      <c r="A137" s="49" t="s">
        <v>50</v>
      </c>
      <c r="B137" s="51"/>
      <c r="C137" s="24" t="s">
        <v>174</v>
      </c>
      <c r="D137" s="52"/>
      <c r="E137" s="50">
        <v>1</v>
      </c>
      <c r="F137" s="6">
        <v>1</v>
      </c>
      <c r="G137" s="6">
        <v>3</v>
      </c>
      <c r="H137" s="6">
        <v>5</v>
      </c>
      <c r="I137" s="6">
        <v>5</v>
      </c>
      <c r="J137" s="6">
        <v>2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3</v>
      </c>
      <c r="U137" s="6">
        <v>1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34"/>
        <v>21</v>
      </c>
    </row>
    <row r="138" spans="1:29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1</v>
      </c>
      <c r="I138" s="6">
        <v>0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34"/>
        <v>3</v>
      </c>
    </row>
    <row r="139" spans="1:29" x14ac:dyDescent="0.4">
      <c r="A139" s="7"/>
      <c r="B139" s="51"/>
      <c r="C139" s="24" t="s">
        <v>176</v>
      </c>
      <c r="D139" s="52"/>
      <c r="E139" s="50">
        <v>0</v>
      </c>
      <c r="F139" s="6">
        <v>1</v>
      </c>
      <c r="G139" s="6">
        <v>0</v>
      </c>
      <c r="H139" s="6">
        <v>0</v>
      </c>
      <c r="I139" s="6">
        <v>0</v>
      </c>
      <c r="J139" s="6">
        <v>1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5">
        <f t="shared" si="34"/>
        <v>2</v>
      </c>
    </row>
    <row r="140" spans="1:29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5">
        <f t="shared" si="34"/>
        <v>1</v>
      </c>
    </row>
    <row r="141" spans="1:29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 t="shared" si="34"/>
        <v>0</v>
      </c>
    </row>
    <row r="142" spans="1:29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 t="shared" si="34"/>
        <v>1</v>
      </c>
    </row>
    <row r="143" spans="1:29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si="34"/>
        <v>0</v>
      </c>
    </row>
    <row r="144" spans="1:29" x14ac:dyDescent="0.4">
      <c r="A144" s="6" t="s">
        <v>26</v>
      </c>
      <c r="B144" s="88" t="s">
        <v>51</v>
      </c>
      <c r="C144" s="89"/>
      <c r="D144" s="90"/>
      <c r="E144" s="6">
        <f t="shared" ref="E144:AC144" si="35">SUM(E136:E143)</f>
        <v>4</v>
      </c>
      <c r="F144" s="6">
        <f t="shared" si="35"/>
        <v>4</v>
      </c>
      <c r="G144" s="6">
        <f t="shared" si="35"/>
        <v>5</v>
      </c>
      <c r="H144" s="6">
        <f t="shared" si="35"/>
        <v>7</v>
      </c>
      <c r="I144" s="6">
        <f t="shared" si="35"/>
        <v>5</v>
      </c>
      <c r="J144" s="6">
        <f t="shared" si="35"/>
        <v>6</v>
      </c>
      <c r="K144" s="6">
        <f t="shared" si="35"/>
        <v>0</v>
      </c>
      <c r="L144" s="6">
        <f t="shared" si="35"/>
        <v>0</v>
      </c>
      <c r="M144" s="6">
        <f t="shared" si="35"/>
        <v>1</v>
      </c>
      <c r="N144" s="6">
        <f t="shared" si="35"/>
        <v>0</v>
      </c>
      <c r="O144" s="6">
        <f t="shared" si="35"/>
        <v>1</v>
      </c>
      <c r="P144" s="6">
        <f t="shared" si="35"/>
        <v>0</v>
      </c>
      <c r="Q144" s="6">
        <f t="shared" si="35"/>
        <v>0</v>
      </c>
      <c r="R144" s="6">
        <f t="shared" si="35"/>
        <v>0</v>
      </c>
      <c r="S144" s="6">
        <f t="shared" si="35"/>
        <v>1</v>
      </c>
      <c r="T144" s="6">
        <f t="shared" si="35"/>
        <v>8</v>
      </c>
      <c r="U144" s="6">
        <f t="shared" si="35"/>
        <v>1</v>
      </c>
      <c r="V144" s="6">
        <f t="shared" si="35"/>
        <v>0</v>
      </c>
      <c r="W144" s="6">
        <f t="shared" si="35"/>
        <v>0</v>
      </c>
      <c r="X144" s="6">
        <f t="shared" si="35"/>
        <v>0</v>
      </c>
      <c r="Y144" s="6">
        <f t="shared" si="35"/>
        <v>0</v>
      </c>
      <c r="Z144" s="6">
        <f t="shared" si="35"/>
        <v>0</v>
      </c>
      <c r="AA144" s="6">
        <f t="shared" si="35"/>
        <v>0</v>
      </c>
      <c r="AB144" s="6">
        <f t="shared" si="35"/>
        <v>1</v>
      </c>
      <c r="AC144" s="6">
        <f t="shared" si="35"/>
        <v>44</v>
      </c>
    </row>
    <row r="145" spans="1:29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spans="1:29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0</v>
      </c>
      <c r="G146" s="6">
        <v>0</v>
      </c>
      <c r="H146" s="6">
        <v>1</v>
      </c>
      <c r="I146" s="6">
        <v>0</v>
      </c>
      <c r="J146" s="6">
        <v>2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f>SUM(E146:AB146)</f>
        <v>4</v>
      </c>
    </row>
    <row r="147" spans="1:29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1</v>
      </c>
      <c r="AA147" s="6">
        <v>0</v>
      </c>
      <c r="AB147" s="6">
        <v>1</v>
      </c>
      <c r="AC147" s="5">
        <f>SUM(E147:AB147)</f>
        <v>3</v>
      </c>
    </row>
    <row r="148" spans="1:29" x14ac:dyDescent="0.4">
      <c r="A148" s="6" t="s">
        <v>26</v>
      </c>
      <c r="B148" s="74" t="s">
        <v>51</v>
      </c>
      <c r="C148" s="84"/>
      <c r="D148" s="85"/>
      <c r="E148" s="6">
        <f t="shared" ref="E148:AC148" si="36">SUM(E146:E147)</f>
        <v>0</v>
      </c>
      <c r="F148" s="6">
        <f t="shared" si="36"/>
        <v>0</v>
      </c>
      <c r="G148" s="6">
        <f t="shared" si="36"/>
        <v>0</v>
      </c>
      <c r="H148" s="6">
        <f t="shared" si="36"/>
        <v>1</v>
      </c>
      <c r="I148" s="6">
        <f t="shared" si="36"/>
        <v>0</v>
      </c>
      <c r="J148" s="6">
        <f t="shared" si="36"/>
        <v>2</v>
      </c>
      <c r="K148" s="6">
        <f t="shared" si="36"/>
        <v>0</v>
      </c>
      <c r="L148" s="6">
        <f t="shared" si="36"/>
        <v>1</v>
      </c>
      <c r="M148" s="6">
        <f t="shared" si="36"/>
        <v>1</v>
      </c>
      <c r="N148" s="6">
        <f t="shared" si="36"/>
        <v>0</v>
      </c>
      <c r="O148" s="6">
        <f t="shared" si="36"/>
        <v>0</v>
      </c>
      <c r="P148" s="6">
        <f t="shared" si="36"/>
        <v>0</v>
      </c>
      <c r="Q148" s="6">
        <f t="shared" si="36"/>
        <v>0</v>
      </c>
      <c r="R148" s="6">
        <f t="shared" si="36"/>
        <v>0</v>
      </c>
      <c r="S148" s="6">
        <f t="shared" si="36"/>
        <v>0</v>
      </c>
      <c r="T148" s="6">
        <f t="shared" si="36"/>
        <v>0</v>
      </c>
      <c r="U148" s="6">
        <f t="shared" si="36"/>
        <v>0</v>
      </c>
      <c r="V148" s="6">
        <f t="shared" si="36"/>
        <v>0</v>
      </c>
      <c r="W148" s="6">
        <f t="shared" si="36"/>
        <v>0</v>
      </c>
      <c r="X148" s="6">
        <f t="shared" si="36"/>
        <v>0</v>
      </c>
      <c r="Y148" s="6">
        <f t="shared" si="36"/>
        <v>0</v>
      </c>
      <c r="Z148" s="6">
        <f t="shared" si="36"/>
        <v>1</v>
      </c>
      <c r="AA148" s="6">
        <f t="shared" si="36"/>
        <v>0</v>
      </c>
      <c r="AB148" s="6">
        <f t="shared" si="36"/>
        <v>1</v>
      </c>
      <c r="AC148" s="6">
        <f t="shared" si="36"/>
        <v>7</v>
      </c>
    </row>
    <row r="149" spans="1:29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spans="1:29" x14ac:dyDescent="0.4">
      <c r="A150" s="11" t="s">
        <v>48</v>
      </c>
      <c r="B150" s="17" t="s">
        <v>69</v>
      </c>
      <c r="C150" s="83" t="s">
        <v>70</v>
      </c>
      <c r="D150" s="55"/>
      <c r="E150" s="6">
        <v>1</v>
      </c>
      <c r="F150" s="6">
        <v>1</v>
      </c>
      <c r="G150" s="6">
        <v>1</v>
      </c>
      <c r="H150" s="6">
        <v>2</v>
      </c>
      <c r="I150" s="6">
        <v>1</v>
      </c>
      <c r="J150" s="6">
        <v>1</v>
      </c>
      <c r="K150" s="6">
        <v>0</v>
      </c>
      <c r="L150" s="6">
        <v>0</v>
      </c>
      <c r="M150" s="6">
        <v>1</v>
      </c>
      <c r="N150" s="6">
        <v>0</v>
      </c>
      <c r="O150" s="6">
        <v>1</v>
      </c>
      <c r="P150" s="6">
        <v>1</v>
      </c>
      <c r="Q150" s="6">
        <v>1</v>
      </c>
      <c r="R150" s="6">
        <v>0</v>
      </c>
      <c r="S150" s="6">
        <v>1</v>
      </c>
      <c r="T150" s="6">
        <v>0</v>
      </c>
      <c r="U150" s="6">
        <v>0</v>
      </c>
      <c r="V150" s="6">
        <v>0</v>
      </c>
      <c r="W150" s="6">
        <v>0</v>
      </c>
      <c r="X150" s="6">
        <v>2</v>
      </c>
      <c r="Y150" s="6">
        <v>0</v>
      </c>
      <c r="Z150" s="6">
        <v>0</v>
      </c>
      <c r="AA150" s="6">
        <v>1</v>
      </c>
      <c r="AB150" s="6">
        <v>0</v>
      </c>
      <c r="AC150" s="5">
        <f t="shared" ref="AC150:AC159" si="37">SUM(E150:AB150)</f>
        <v>15</v>
      </c>
    </row>
    <row r="151" spans="1:29" x14ac:dyDescent="0.4">
      <c r="A151" s="11" t="s">
        <v>50</v>
      </c>
      <c r="B151" s="47"/>
      <c r="C151" s="24" t="s">
        <v>182</v>
      </c>
      <c r="D151" s="45"/>
      <c r="E151" s="6">
        <v>1</v>
      </c>
      <c r="F151" s="6">
        <v>0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1</v>
      </c>
      <c r="M151" s="6">
        <v>1</v>
      </c>
      <c r="N151" s="6">
        <v>1</v>
      </c>
      <c r="O151" s="6">
        <v>1</v>
      </c>
      <c r="P151" s="6">
        <v>0</v>
      </c>
      <c r="Q151" s="6">
        <v>0</v>
      </c>
      <c r="R151" s="6">
        <v>3</v>
      </c>
      <c r="S151" s="6">
        <v>1</v>
      </c>
      <c r="T151" s="6">
        <v>0</v>
      </c>
      <c r="U151" s="6">
        <v>1</v>
      </c>
      <c r="V151" s="6">
        <v>3</v>
      </c>
      <c r="W151" s="6">
        <v>0</v>
      </c>
      <c r="X151" s="6">
        <v>0</v>
      </c>
      <c r="Y151" s="6">
        <v>8</v>
      </c>
      <c r="Z151" s="6">
        <v>1</v>
      </c>
      <c r="AA151" s="6">
        <v>0</v>
      </c>
      <c r="AB151" s="6">
        <v>1</v>
      </c>
      <c r="AC151" s="5">
        <f t="shared" si="37"/>
        <v>25</v>
      </c>
    </row>
    <row r="152" spans="1:29" x14ac:dyDescent="0.4">
      <c r="A152" s="7"/>
      <c r="B152" s="47"/>
      <c r="C152" s="24" t="s">
        <v>183</v>
      </c>
      <c r="D152" s="45"/>
      <c r="E152" s="6">
        <v>0</v>
      </c>
      <c r="F152" s="6">
        <v>2</v>
      </c>
      <c r="G152" s="6">
        <v>0</v>
      </c>
      <c r="H152" s="6">
        <v>0</v>
      </c>
      <c r="I152" s="6">
        <v>0</v>
      </c>
      <c r="J152" s="6">
        <v>0</v>
      </c>
      <c r="K152" s="6">
        <v>1</v>
      </c>
      <c r="L152" s="6">
        <v>2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1</v>
      </c>
      <c r="S152" s="6">
        <v>0</v>
      </c>
      <c r="T152" s="6">
        <v>0</v>
      </c>
      <c r="U152" s="6">
        <v>1</v>
      </c>
      <c r="V152" s="6">
        <v>0</v>
      </c>
      <c r="W152" s="6">
        <v>0</v>
      </c>
      <c r="X152" s="6">
        <v>0</v>
      </c>
      <c r="Y152" s="6">
        <v>1</v>
      </c>
      <c r="Z152" s="6">
        <v>0</v>
      </c>
      <c r="AA152" s="6">
        <v>0</v>
      </c>
      <c r="AB152" s="6">
        <v>1</v>
      </c>
      <c r="AC152" s="5">
        <f t="shared" si="37"/>
        <v>9</v>
      </c>
    </row>
    <row r="153" spans="1:29" x14ac:dyDescent="0.4">
      <c r="A153" s="7"/>
      <c r="B153" s="47"/>
      <c r="C153" s="24" t="s">
        <v>184</v>
      </c>
      <c r="D153" s="45"/>
      <c r="E153" s="6">
        <v>0</v>
      </c>
      <c r="F153" s="6">
        <v>1</v>
      </c>
      <c r="G153" s="6">
        <v>2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1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5">
        <f t="shared" si="37"/>
        <v>6</v>
      </c>
    </row>
    <row r="154" spans="1:29" x14ac:dyDescent="0.4">
      <c r="A154" s="7"/>
      <c r="B154" s="47"/>
      <c r="C154" s="24" t="s">
        <v>185</v>
      </c>
      <c r="D154" s="45"/>
      <c r="E154" s="6">
        <v>0</v>
      </c>
      <c r="F154" s="6">
        <v>3</v>
      </c>
      <c r="G154" s="6">
        <v>1</v>
      </c>
      <c r="H154" s="6">
        <v>2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2</v>
      </c>
      <c r="S154" s="6">
        <v>0</v>
      </c>
      <c r="T154" s="6">
        <v>1</v>
      </c>
      <c r="U154" s="6">
        <v>0</v>
      </c>
      <c r="V154" s="6">
        <v>0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1</v>
      </c>
      <c r="AC154" s="5">
        <f t="shared" si="37"/>
        <v>11</v>
      </c>
    </row>
    <row r="155" spans="1:29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6">
        <v>1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 t="shared" si="37"/>
        <v>2</v>
      </c>
    </row>
    <row r="156" spans="1:29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6">
        <v>0</v>
      </c>
      <c r="L156" s="6">
        <v>1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37"/>
        <v>3</v>
      </c>
    </row>
    <row r="157" spans="1:29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37"/>
        <v>0</v>
      </c>
    </row>
    <row r="158" spans="1:29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1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0</v>
      </c>
      <c r="Y158" s="6">
        <v>0</v>
      </c>
      <c r="Z158" s="6">
        <v>0</v>
      </c>
      <c r="AA158" s="6">
        <v>1</v>
      </c>
      <c r="AB158" s="6">
        <v>0</v>
      </c>
      <c r="AC158" s="5">
        <f t="shared" si="37"/>
        <v>4</v>
      </c>
    </row>
    <row r="159" spans="1:29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37"/>
        <v>0</v>
      </c>
    </row>
    <row r="160" spans="1:29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" si="38">SUM(E150:E159)</f>
        <v>2</v>
      </c>
      <c r="F160" s="6">
        <f t="shared" ref="F160" si="39">SUM(F150:F159)</f>
        <v>7</v>
      </c>
      <c r="G160" s="6">
        <f t="shared" ref="G160" si="40">SUM(G150:G159)</f>
        <v>5</v>
      </c>
      <c r="H160" s="6">
        <f t="shared" ref="H160" si="41">SUM(H150:H159)</f>
        <v>5</v>
      </c>
      <c r="I160" s="6">
        <f t="shared" ref="I160" si="42">SUM(I150:I159)</f>
        <v>1</v>
      </c>
      <c r="J160" s="6">
        <f t="shared" ref="J160" si="43">SUM(J150:J159)</f>
        <v>2</v>
      </c>
      <c r="K160" s="6">
        <f t="shared" ref="K160" si="44">SUM(K150:K159)</f>
        <v>2</v>
      </c>
      <c r="L160" s="6">
        <f t="shared" ref="L160" si="45">SUM(L150:L159)</f>
        <v>4</v>
      </c>
      <c r="M160" s="6">
        <f t="shared" ref="M160" si="46">SUM(M150:M159)</f>
        <v>3</v>
      </c>
      <c r="N160" s="6">
        <f t="shared" ref="N160" si="47">SUM(N150:N159)</f>
        <v>2</v>
      </c>
      <c r="O160" s="6">
        <f t="shared" ref="O160" si="48">SUM(O150:O159)</f>
        <v>2</v>
      </c>
      <c r="P160" s="6">
        <f t="shared" ref="P160" si="49">SUM(P150:P159)</f>
        <v>1</v>
      </c>
      <c r="Q160" s="6">
        <f t="shared" ref="Q160" si="50">SUM(Q150:Q159)</f>
        <v>3</v>
      </c>
      <c r="R160" s="6">
        <f t="shared" ref="R160" si="51">SUM(R150:R159)</f>
        <v>8</v>
      </c>
      <c r="S160" s="6">
        <f t="shared" ref="S160" si="52">SUM(S150:S159)</f>
        <v>2</v>
      </c>
      <c r="T160" s="6">
        <f t="shared" ref="T160" si="53">SUM(T150:T159)</f>
        <v>2</v>
      </c>
      <c r="U160" s="6">
        <f t="shared" ref="U160" si="54">SUM(U150:U159)</f>
        <v>2</v>
      </c>
      <c r="V160" s="6">
        <f t="shared" ref="V160" si="55">SUM(V150:V159)</f>
        <v>3</v>
      </c>
      <c r="W160" s="6">
        <f t="shared" ref="W160" si="56">SUM(W150:W159)</f>
        <v>1</v>
      </c>
      <c r="X160" s="6">
        <f t="shared" ref="X160" si="57">SUM(X150:X159)</f>
        <v>3</v>
      </c>
      <c r="Y160" s="6">
        <f t="shared" ref="Y160" si="58">SUM(Y150:Y159)</f>
        <v>9</v>
      </c>
      <c r="Z160" s="6">
        <f t="shared" ref="Z160" si="59">SUM(Z150:Z159)</f>
        <v>1</v>
      </c>
      <c r="AA160" s="6">
        <f t="shared" ref="AA160" si="60">SUM(AA150:AA159)</f>
        <v>2</v>
      </c>
      <c r="AB160" s="6">
        <f t="shared" ref="AB160" si="61">SUM(AB150:AB159)</f>
        <v>3</v>
      </c>
      <c r="AC160" s="6">
        <f t="shared" ref="AC160" si="62">SUM(AC150:AC159)</f>
        <v>75</v>
      </c>
    </row>
    <row r="161" spans="1:29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AC161" s="5"/>
    </row>
    <row r="162" spans="1:29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0</v>
      </c>
      <c r="H162" s="6">
        <v>0</v>
      </c>
      <c r="I162" s="6">
        <v>1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1</v>
      </c>
      <c r="Y162" s="6">
        <v>0</v>
      </c>
      <c r="Z162" s="6">
        <v>0</v>
      </c>
      <c r="AA162" s="6">
        <v>0</v>
      </c>
      <c r="AB162" s="6">
        <v>0</v>
      </c>
      <c r="AC162" s="5">
        <f t="shared" ref="AC162:AC171" si="63">SUM(E162:AB162)</f>
        <v>2</v>
      </c>
    </row>
    <row r="163" spans="1:29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1</v>
      </c>
      <c r="Y163" s="6">
        <v>0</v>
      </c>
      <c r="Z163" s="6">
        <v>0</v>
      </c>
      <c r="AA163" s="6">
        <v>0</v>
      </c>
      <c r="AB163" s="6">
        <v>1</v>
      </c>
      <c r="AC163" s="5">
        <f t="shared" si="63"/>
        <v>4</v>
      </c>
    </row>
    <row r="164" spans="1:29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4</v>
      </c>
      <c r="H164" s="6">
        <v>0</v>
      </c>
      <c r="I164" s="6">
        <v>0</v>
      </c>
      <c r="J164" s="6">
        <v>0</v>
      </c>
      <c r="K164" s="6">
        <v>0</v>
      </c>
      <c r="L164" s="6">
        <v>1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1</v>
      </c>
      <c r="AA164" s="6">
        <v>0</v>
      </c>
      <c r="AB164" s="6">
        <v>0</v>
      </c>
      <c r="AC164" s="5">
        <f t="shared" si="63"/>
        <v>6</v>
      </c>
    </row>
    <row r="165" spans="1:29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1</v>
      </c>
      <c r="AC165" s="5">
        <f t="shared" si="63"/>
        <v>1</v>
      </c>
    </row>
    <row r="166" spans="1:29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5">
        <f t="shared" si="63"/>
        <v>0</v>
      </c>
    </row>
    <row r="167" spans="1:29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1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5">
        <f t="shared" si="63"/>
        <v>1</v>
      </c>
    </row>
    <row r="168" spans="1:29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5">
        <f t="shared" si="63"/>
        <v>0</v>
      </c>
    </row>
    <row r="169" spans="1:29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1</v>
      </c>
      <c r="AA169" s="6">
        <v>0</v>
      </c>
      <c r="AB169" s="6">
        <v>0</v>
      </c>
      <c r="AC169" s="5">
        <f t="shared" si="63"/>
        <v>1</v>
      </c>
    </row>
    <row r="170" spans="1:29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5">
        <f t="shared" si="63"/>
        <v>0</v>
      </c>
    </row>
    <row r="171" spans="1:29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5">
        <f t="shared" si="63"/>
        <v>0</v>
      </c>
    </row>
    <row r="172" spans="1:29" x14ac:dyDescent="0.4">
      <c r="A172" s="6" t="s">
        <v>26</v>
      </c>
      <c r="B172" s="74" t="s">
        <v>51</v>
      </c>
      <c r="C172" s="84"/>
      <c r="D172" s="85"/>
      <c r="E172" s="6">
        <f t="shared" ref="E172" si="64">SUM(E162:E171)</f>
        <v>0</v>
      </c>
      <c r="F172" s="6">
        <f t="shared" ref="F172" si="65">SUM(F162:F171)</f>
        <v>1</v>
      </c>
      <c r="G172" s="6">
        <f t="shared" ref="G172" si="66">SUM(G162:G171)</f>
        <v>4</v>
      </c>
      <c r="H172" s="6">
        <f t="shared" ref="H172" si="67">SUM(H162:H171)</f>
        <v>0</v>
      </c>
      <c r="I172" s="6">
        <f t="shared" ref="I172" si="68">SUM(I162:I171)</f>
        <v>1</v>
      </c>
      <c r="J172" s="6">
        <f t="shared" ref="J172" si="69">SUM(J162:J171)</f>
        <v>0</v>
      </c>
      <c r="K172" s="6">
        <f t="shared" ref="K172" si="70">SUM(K162:K171)</f>
        <v>1</v>
      </c>
      <c r="L172" s="6">
        <f t="shared" ref="L172" si="71">SUM(L162:L171)</f>
        <v>1</v>
      </c>
      <c r="M172" s="6">
        <f t="shared" ref="M172" si="72">SUM(M162:M171)</f>
        <v>1</v>
      </c>
      <c r="N172" s="6">
        <f t="shared" ref="N172" si="73">SUM(N162:N171)</f>
        <v>0</v>
      </c>
      <c r="O172" s="6">
        <f t="shared" ref="O172" si="74">SUM(O162:O171)</f>
        <v>0</v>
      </c>
      <c r="P172" s="6">
        <f t="shared" ref="P172" si="75">SUM(P162:P171)</f>
        <v>0</v>
      </c>
      <c r="Q172" s="6">
        <f t="shared" ref="Q172" si="76">SUM(Q162:Q171)</f>
        <v>0</v>
      </c>
      <c r="R172" s="6">
        <f t="shared" ref="R172" si="77">SUM(R162:R171)</f>
        <v>0</v>
      </c>
      <c r="S172" s="6">
        <f t="shared" ref="S172" si="78">SUM(S162:S171)</f>
        <v>0</v>
      </c>
      <c r="T172" s="6">
        <f t="shared" ref="T172" si="79">SUM(T162:T171)</f>
        <v>0</v>
      </c>
      <c r="U172" s="6">
        <f t="shared" ref="U172" si="80">SUM(U162:U171)</f>
        <v>0</v>
      </c>
      <c r="V172" s="6">
        <f t="shared" ref="V172" si="81">SUM(V162:V171)</f>
        <v>0</v>
      </c>
      <c r="W172" s="6">
        <f t="shared" ref="W172" si="82">SUM(W162:W171)</f>
        <v>0</v>
      </c>
      <c r="X172" s="6">
        <f t="shared" ref="X172" si="83">SUM(X162:X171)</f>
        <v>2</v>
      </c>
      <c r="Y172" s="6">
        <f t="shared" ref="Y172" si="84">SUM(Y162:Y171)</f>
        <v>0</v>
      </c>
      <c r="Z172" s="6">
        <f t="shared" ref="Z172" si="85">SUM(Z162:Z171)</f>
        <v>2</v>
      </c>
      <c r="AA172" s="6">
        <f t="shared" ref="AA172" si="86">SUM(AA162:AA171)</f>
        <v>0</v>
      </c>
      <c r="AB172" s="6">
        <f t="shared" ref="AB172" si="87">SUM(AB162:AB171)</f>
        <v>2</v>
      </c>
      <c r="AC172" s="6">
        <f t="shared" ref="AC172" si="88">SUM(AC162:AC171)</f>
        <v>15</v>
      </c>
    </row>
    <row r="173" spans="1:29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spans="1:29" x14ac:dyDescent="0.4">
      <c r="A174" s="11" t="s">
        <v>48</v>
      </c>
      <c r="B174" s="17" t="s">
        <v>73</v>
      </c>
      <c r="C174" s="83" t="s">
        <v>74</v>
      </c>
      <c r="D174" s="55"/>
      <c r="E174" s="6">
        <v>0</v>
      </c>
      <c r="F174" s="6">
        <v>4</v>
      </c>
      <c r="G174" s="6">
        <v>5</v>
      </c>
      <c r="H174" s="6">
        <v>2</v>
      </c>
      <c r="I174" s="6">
        <v>2</v>
      </c>
      <c r="J174" s="6">
        <v>0</v>
      </c>
      <c r="K174" s="6">
        <v>3</v>
      </c>
      <c r="L174" s="6">
        <v>2</v>
      </c>
      <c r="M174" s="6">
        <v>0</v>
      </c>
      <c r="N174" s="6">
        <v>0</v>
      </c>
      <c r="O174" s="6">
        <v>4</v>
      </c>
      <c r="P174" s="6">
        <v>1</v>
      </c>
      <c r="Q174" s="6">
        <v>0</v>
      </c>
      <c r="R174" s="6">
        <v>0</v>
      </c>
      <c r="S174" s="6">
        <v>1</v>
      </c>
      <c r="T174" s="6">
        <v>4</v>
      </c>
      <c r="U174" s="6">
        <v>0</v>
      </c>
      <c r="V174" s="6">
        <v>1</v>
      </c>
      <c r="W174" s="6">
        <v>0</v>
      </c>
      <c r="X174" s="6">
        <v>3</v>
      </c>
      <c r="Y174" s="6">
        <v>0</v>
      </c>
      <c r="Z174" s="6">
        <v>2</v>
      </c>
      <c r="AA174" s="6">
        <v>2</v>
      </c>
      <c r="AB174" s="6">
        <v>2</v>
      </c>
      <c r="AC174" s="5">
        <f t="shared" ref="AC174:AC183" si="89">SUM(E174:AB174)</f>
        <v>38</v>
      </c>
    </row>
    <row r="175" spans="1:29" x14ac:dyDescent="0.4">
      <c r="A175" s="11" t="s">
        <v>50</v>
      </c>
      <c r="B175" s="47"/>
      <c r="C175" s="24" t="s">
        <v>200</v>
      </c>
      <c r="D175" s="45"/>
      <c r="E175" s="6">
        <v>0</v>
      </c>
      <c r="F175" s="6">
        <v>5</v>
      </c>
      <c r="G175" s="6">
        <v>23</v>
      </c>
      <c r="H175" s="6">
        <v>8</v>
      </c>
      <c r="I175" s="6">
        <v>0</v>
      </c>
      <c r="J175" s="6">
        <v>7</v>
      </c>
      <c r="K175" s="6">
        <v>6</v>
      </c>
      <c r="L175" s="6">
        <v>64</v>
      </c>
      <c r="M175" s="6">
        <v>1</v>
      </c>
      <c r="N175" s="6">
        <v>2</v>
      </c>
      <c r="O175" s="6">
        <v>4</v>
      </c>
      <c r="P175" s="6">
        <v>1</v>
      </c>
      <c r="Q175" s="6">
        <v>2</v>
      </c>
      <c r="R175" s="6">
        <v>1</v>
      </c>
      <c r="S175" s="6">
        <v>0</v>
      </c>
      <c r="T175" s="6">
        <v>0</v>
      </c>
      <c r="U175" s="6">
        <v>2</v>
      </c>
      <c r="V175" s="6">
        <v>2</v>
      </c>
      <c r="W175" s="6">
        <v>2</v>
      </c>
      <c r="X175" s="6">
        <v>1</v>
      </c>
      <c r="Y175" s="6">
        <v>0</v>
      </c>
      <c r="Z175" s="6">
        <v>2</v>
      </c>
      <c r="AA175" s="6">
        <v>3</v>
      </c>
      <c r="AB175" s="6">
        <v>2</v>
      </c>
      <c r="AC175" s="5">
        <f t="shared" si="89"/>
        <v>138</v>
      </c>
    </row>
    <row r="176" spans="1:29" x14ac:dyDescent="0.4">
      <c r="A176" s="7"/>
      <c r="B176" s="47"/>
      <c r="C176" s="24" t="s">
        <v>201</v>
      </c>
      <c r="D176" s="45"/>
      <c r="E176" s="6">
        <v>1</v>
      </c>
      <c r="F176" s="6">
        <v>4</v>
      </c>
      <c r="G176" s="6">
        <v>3</v>
      </c>
      <c r="H176" s="6">
        <v>0</v>
      </c>
      <c r="I176" s="6">
        <v>2</v>
      </c>
      <c r="J176" s="6">
        <v>1</v>
      </c>
      <c r="K176" s="6">
        <v>1</v>
      </c>
      <c r="L176" s="6">
        <v>0</v>
      </c>
      <c r="M176" s="6">
        <v>4</v>
      </c>
      <c r="N176" s="6">
        <v>5</v>
      </c>
      <c r="O176" s="6">
        <v>11</v>
      </c>
      <c r="P176" s="6">
        <v>2</v>
      </c>
      <c r="Q176" s="6">
        <v>5</v>
      </c>
      <c r="R176" s="6">
        <v>0</v>
      </c>
      <c r="S176" s="6">
        <v>0</v>
      </c>
      <c r="T176" s="6">
        <v>1</v>
      </c>
      <c r="U176" s="6">
        <v>0</v>
      </c>
      <c r="V176" s="6">
        <v>0</v>
      </c>
      <c r="W176" s="6">
        <v>0</v>
      </c>
      <c r="X176" s="6">
        <v>2</v>
      </c>
      <c r="Y176" s="6">
        <v>1</v>
      </c>
      <c r="Z176" s="6">
        <v>0</v>
      </c>
      <c r="AA176" s="6">
        <v>0</v>
      </c>
      <c r="AB176" s="6">
        <v>2</v>
      </c>
      <c r="AC176" s="5">
        <f t="shared" si="89"/>
        <v>45</v>
      </c>
    </row>
    <row r="177" spans="1:29" x14ac:dyDescent="0.4">
      <c r="A177" s="7"/>
      <c r="B177" s="47"/>
      <c r="C177" s="24" t="s">
        <v>202</v>
      </c>
      <c r="D177" s="45"/>
      <c r="E177" s="6">
        <v>0</v>
      </c>
      <c r="F177" s="6">
        <v>0</v>
      </c>
      <c r="G177" s="6">
        <v>0</v>
      </c>
      <c r="H177" s="6">
        <v>0</v>
      </c>
      <c r="I177" s="6">
        <v>1</v>
      </c>
      <c r="J177" s="6">
        <v>0</v>
      </c>
      <c r="K177" s="6">
        <v>0</v>
      </c>
      <c r="L177" s="6">
        <v>1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1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5">
        <f t="shared" si="89"/>
        <v>4</v>
      </c>
    </row>
    <row r="178" spans="1:29" x14ac:dyDescent="0.4">
      <c r="A178" s="7"/>
      <c r="B178" s="47"/>
      <c r="C178" s="24" t="s">
        <v>203</v>
      </c>
      <c r="D178" s="45"/>
      <c r="E178" s="6">
        <v>0</v>
      </c>
      <c r="F178" s="6">
        <v>0</v>
      </c>
      <c r="G178" s="6">
        <v>2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1</v>
      </c>
      <c r="N178" s="6">
        <v>1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1</v>
      </c>
      <c r="V178" s="6">
        <v>0</v>
      </c>
      <c r="W178" s="6">
        <v>0</v>
      </c>
      <c r="X178" s="6">
        <v>1</v>
      </c>
      <c r="Y178" s="6">
        <v>0</v>
      </c>
      <c r="Z178" s="6">
        <v>0</v>
      </c>
      <c r="AA178" s="6">
        <v>1</v>
      </c>
      <c r="AB178" s="6">
        <v>1</v>
      </c>
      <c r="AC178" s="5">
        <f t="shared" si="89"/>
        <v>8</v>
      </c>
    </row>
    <row r="179" spans="1:29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f t="shared" si="89"/>
        <v>1</v>
      </c>
    </row>
    <row r="180" spans="1:29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6">
        <v>0</v>
      </c>
      <c r="AC180" s="5">
        <f t="shared" si="89"/>
        <v>1</v>
      </c>
    </row>
    <row r="181" spans="1:29" x14ac:dyDescent="0.4">
      <c r="A181" s="7"/>
      <c r="B181" s="47"/>
      <c r="C181" s="24" t="s">
        <v>206</v>
      </c>
      <c r="D181" s="45"/>
      <c r="E181" s="6">
        <v>0</v>
      </c>
      <c r="F181" s="6">
        <v>0</v>
      </c>
      <c r="G181" s="6">
        <v>1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1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89"/>
        <v>2</v>
      </c>
    </row>
    <row r="182" spans="1:29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89"/>
        <v>0</v>
      </c>
    </row>
    <row r="183" spans="1:29" x14ac:dyDescent="0.4">
      <c r="A183" s="7"/>
      <c r="B183" s="47"/>
      <c r="C183" s="24" t="s">
        <v>208</v>
      </c>
      <c r="D183" s="45"/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89"/>
        <v>2</v>
      </c>
    </row>
    <row r="184" spans="1:29" x14ac:dyDescent="0.4">
      <c r="A184" s="6" t="s">
        <v>26</v>
      </c>
      <c r="B184" s="74" t="s">
        <v>51</v>
      </c>
      <c r="C184" s="84"/>
      <c r="D184" s="85"/>
      <c r="E184" s="6">
        <f t="shared" ref="E184" si="90">SUM(E174:E183)</f>
        <v>2</v>
      </c>
      <c r="F184" s="6">
        <f t="shared" ref="F184" si="91">SUM(F174:F183)</f>
        <v>13</v>
      </c>
      <c r="G184" s="6">
        <f t="shared" ref="G184" si="92">SUM(G174:G183)</f>
        <v>34</v>
      </c>
      <c r="H184" s="6">
        <f t="shared" ref="H184" si="93">SUM(H174:H183)</f>
        <v>10</v>
      </c>
      <c r="I184" s="6">
        <f t="shared" ref="I184" si="94">SUM(I174:I183)</f>
        <v>5</v>
      </c>
      <c r="J184" s="6">
        <f t="shared" ref="J184" si="95">SUM(J174:J183)</f>
        <v>8</v>
      </c>
      <c r="K184" s="6">
        <f t="shared" ref="K184" si="96">SUM(K174:K183)</f>
        <v>10</v>
      </c>
      <c r="L184" s="6">
        <f t="shared" ref="L184" si="97">SUM(L174:L183)</f>
        <v>68</v>
      </c>
      <c r="M184" s="6">
        <f t="shared" ref="M184" si="98">SUM(M174:M183)</f>
        <v>7</v>
      </c>
      <c r="N184" s="6">
        <f t="shared" ref="N184" si="99">SUM(N174:N183)</f>
        <v>9</v>
      </c>
      <c r="O184" s="6">
        <f t="shared" ref="O184" si="100">SUM(O174:O183)</f>
        <v>19</v>
      </c>
      <c r="P184" s="6">
        <f t="shared" ref="P184" si="101">SUM(P174:P183)</f>
        <v>4</v>
      </c>
      <c r="Q184" s="6">
        <f t="shared" ref="Q184" si="102">SUM(Q174:Q183)</f>
        <v>7</v>
      </c>
      <c r="R184" s="6">
        <f t="shared" ref="R184" si="103">SUM(R174:R183)</f>
        <v>1</v>
      </c>
      <c r="S184" s="6">
        <f t="shared" ref="S184" si="104">SUM(S174:S183)</f>
        <v>1</v>
      </c>
      <c r="T184" s="6">
        <f t="shared" ref="T184" si="105">SUM(T174:T183)</f>
        <v>6</v>
      </c>
      <c r="U184" s="6">
        <f t="shared" ref="U184" si="106">SUM(U174:U183)</f>
        <v>4</v>
      </c>
      <c r="V184" s="6">
        <f t="shared" ref="V184" si="107">SUM(V174:V183)</f>
        <v>3</v>
      </c>
      <c r="W184" s="6">
        <f t="shared" ref="W184" si="108">SUM(W174:W183)</f>
        <v>2</v>
      </c>
      <c r="X184" s="6">
        <f t="shared" ref="X184" si="109">SUM(X174:X183)</f>
        <v>7</v>
      </c>
      <c r="Y184" s="6">
        <f t="shared" ref="Y184" si="110">SUM(Y174:Y183)</f>
        <v>2</v>
      </c>
      <c r="Z184" s="6">
        <f t="shared" ref="Z184" si="111">SUM(Z174:Z183)</f>
        <v>4</v>
      </c>
      <c r="AA184" s="6">
        <f t="shared" ref="AA184" si="112">SUM(AA174:AA183)</f>
        <v>6</v>
      </c>
      <c r="AB184" s="6">
        <f t="shared" ref="AB184" si="113">SUM(AB174:AB183)</f>
        <v>7</v>
      </c>
      <c r="AC184" s="6">
        <f t="shared" ref="AC184" si="114">SUM(AC174:AC183)</f>
        <v>239</v>
      </c>
    </row>
    <row r="185" spans="1:29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spans="1:29" x14ac:dyDescent="0.4">
      <c r="A186" s="11" t="s">
        <v>48</v>
      </c>
      <c r="B186" s="17" t="s">
        <v>75</v>
      </c>
      <c r="C186" s="83" t="s">
        <v>76</v>
      </c>
      <c r="D186" s="55"/>
      <c r="E186" s="6">
        <v>1</v>
      </c>
      <c r="F186" s="6">
        <v>0</v>
      </c>
      <c r="G186" s="6">
        <v>0</v>
      </c>
      <c r="H186" s="6">
        <v>2</v>
      </c>
      <c r="I186" s="6">
        <v>1</v>
      </c>
      <c r="J186" s="6">
        <v>0</v>
      </c>
      <c r="K186" s="6">
        <v>1</v>
      </c>
      <c r="L186" s="6">
        <v>1</v>
      </c>
      <c r="M186" s="6">
        <v>0</v>
      </c>
      <c r="N186" s="6">
        <v>0</v>
      </c>
      <c r="O186" s="6">
        <v>1</v>
      </c>
      <c r="P186" s="6">
        <v>1</v>
      </c>
      <c r="Q186" s="6">
        <v>0</v>
      </c>
      <c r="R186" s="6">
        <v>1</v>
      </c>
      <c r="S186" s="6">
        <v>0</v>
      </c>
      <c r="T186" s="6">
        <v>0</v>
      </c>
      <c r="U186" s="6">
        <v>2</v>
      </c>
      <c r="V186" s="6">
        <v>2</v>
      </c>
      <c r="W186" s="6">
        <v>1</v>
      </c>
      <c r="X186" s="6">
        <v>0</v>
      </c>
      <c r="Y186" s="6">
        <v>2</v>
      </c>
      <c r="Z186" s="6">
        <v>3</v>
      </c>
      <c r="AA186" s="6">
        <v>2</v>
      </c>
      <c r="AB186" s="6">
        <v>3</v>
      </c>
      <c r="AC186" s="5">
        <f>SUM(E186:AB186)</f>
        <v>24</v>
      </c>
    </row>
    <row r="187" spans="1:29" x14ac:dyDescent="0.4">
      <c r="A187" s="11" t="s">
        <v>50</v>
      </c>
      <c r="B187" s="47"/>
      <c r="C187" s="24" t="s">
        <v>209</v>
      </c>
      <c r="D187" s="48"/>
      <c r="E187" s="6">
        <v>0</v>
      </c>
      <c r="F187" s="6">
        <v>1</v>
      </c>
      <c r="G187" s="6">
        <v>2</v>
      </c>
      <c r="H187" s="6">
        <v>2</v>
      </c>
      <c r="I187" s="6">
        <v>1</v>
      </c>
      <c r="J187" s="6">
        <v>0</v>
      </c>
      <c r="K187" s="6">
        <v>2</v>
      </c>
      <c r="L187" s="6">
        <v>2</v>
      </c>
      <c r="M187" s="6">
        <v>2</v>
      </c>
      <c r="N187" s="6">
        <v>4</v>
      </c>
      <c r="O187" s="6">
        <v>3</v>
      </c>
      <c r="P187" s="6">
        <v>3</v>
      </c>
      <c r="Q187" s="6">
        <v>0</v>
      </c>
      <c r="R187" s="6">
        <v>2</v>
      </c>
      <c r="S187" s="6">
        <v>0</v>
      </c>
      <c r="T187" s="6">
        <v>1</v>
      </c>
      <c r="U187" s="6">
        <v>5</v>
      </c>
      <c r="V187" s="6">
        <v>2</v>
      </c>
      <c r="W187" s="6">
        <v>2</v>
      </c>
      <c r="X187" s="6">
        <v>1</v>
      </c>
      <c r="Y187" s="6">
        <v>0</v>
      </c>
      <c r="Z187" s="6">
        <v>1</v>
      </c>
      <c r="AA187" s="6">
        <v>1</v>
      </c>
      <c r="AB187" s="6">
        <v>3</v>
      </c>
      <c r="AC187" s="5">
        <f>SUM(E187:AB187)</f>
        <v>40</v>
      </c>
    </row>
    <row r="188" spans="1:29" x14ac:dyDescent="0.4">
      <c r="A188" s="7"/>
      <c r="B188" s="47"/>
      <c r="C188" s="24" t="s">
        <v>210</v>
      </c>
      <c r="D188" s="48"/>
      <c r="E188" s="6">
        <v>0</v>
      </c>
      <c r="F188" s="6">
        <v>1</v>
      </c>
      <c r="G188" s="6">
        <v>4</v>
      </c>
      <c r="H188" s="6">
        <v>1</v>
      </c>
      <c r="I188" s="6">
        <v>2</v>
      </c>
      <c r="J188" s="6">
        <v>1</v>
      </c>
      <c r="K188" s="6">
        <v>1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  <c r="Q188" s="6">
        <v>0</v>
      </c>
      <c r="R188" s="6">
        <v>1</v>
      </c>
      <c r="S188" s="6">
        <v>0</v>
      </c>
      <c r="T188" s="6">
        <v>0</v>
      </c>
      <c r="U188" s="6">
        <v>0</v>
      </c>
      <c r="V188" s="6">
        <v>0</v>
      </c>
      <c r="W188" s="6">
        <v>1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5">
        <f>SUM(E188:AB188)</f>
        <v>13</v>
      </c>
    </row>
    <row r="189" spans="1:29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1</v>
      </c>
      <c r="AB189" s="6">
        <v>0</v>
      </c>
      <c r="AC189" s="5">
        <f>SUM(E189:AB189)</f>
        <v>3</v>
      </c>
    </row>
    <row r="190" spans="1:29" x14ac:dyDescent="0.4">
      <c r="A190" s="6" t="s">
        <v>26</v>
      </c>
      <c r="B190" s="74" t="s">
        <v>51</v>
      </c>
      <c r="C190" s="84"/>
      <c r="D190" s="85"/>
      <c r="E190" s="6">
        <f t="shared" ref="E190:AC190" si="115">SUM(E186:E189)</f>
        <v>1</v>
      </c>
      <c r="F190" s="6">
        <f t="shared" si="115"/>
        <v>2</v>
      </c>
      <c r="G190" s="6">
        <f t="shared" si="115"/>
        <v>6</v>
      </c>
      <c r="H190" s="6">
        <f t="shared" si="115"/>
        <v>6</v>
      </c>
      <c r="I190" s="6">
        <f t="shared" si="115"/>
        <v>4</v>
      </c>
      <c r="J190" s="6">
        <f t="shared" si="115"/>
        <v>1</v>
      </c>
      <c r="K190" s="6">
        <f t="shared" si="115"/>
        <v>4</v>
      </c>
      <c r="L190" s="6">
        <f t="shared" si="115"/>
        <v>3</v>
      </c>
      <c r="M190" s="6">
        <f t="shared" si="115"/>
        <v>2</v>
      </c>
      <c r="N190" s="6">
        <f t="shared" si="115"/>
        <v>4</v>
      </c>
      <c r="O190" s="6">
        <f t="shared" si="115"/>
        <v>6</v>
      </c>
      <c r="P190" s="6">
        <f t="shared" si="115"/>
        <v>4</v>
      </c>
      <c r="Q190" s="6">
        <f t="shared" si="115"/>
        <v>0</v>
      </c>
      <c r="R190" s="6">
        <f t="shared" si="115"/>
        <v>4</v>
      </c>
      <c r="S190" s="6">
        <f t="shared" si="115"/>
        <v>0</v>
      </c>
      <c r="T190" s="6">
        <f t="shared" si="115"/>
        <v>1</v>
      </c>
      <c r="U190" s="6">
        <f t="shared" si="115"/>
        <v>7</v>
      </c>
      <c r="V190" s="6">
        <f t="shared" si="115"/>
        <v>4</v>
      </c>
      <c r="W190" s="6">
        <f t="shared" si="115"/>
        <v>4</v>
      </c>
      <c r="X190" s="6">
        <f t="shared" si="115"/>
        <v>1</v>
      </c>
      <c r="Y190" s="6">
        <f t="shared" si="115"/>
        <v>2</v>
      </c>
      <c r="Z190" s="6">
        <f t="shared" si="115"/>
        <v>4</v>
      </c>
      <c r="AA190" s="6">
        <f t="shared" si="115"/>
        <v>4</v>
      </c>
      <c r="AB190" s="6">
        <f t="shared" si="115"/>
        <v>6</v>
      </c>
      <c r="AC190" s="6">
        <f t="shared" si="115"/>
        <v>80</v>
      </c>
    </row>
    <row r="191" spans="1:29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spans="1:29" x14ac:dyDescent="0.4">
      <c r="A192" s="11" t="s">
        <v>48</v>
      </c>
      <c r="B192" s="17" t="s">
        <v>77</v>
      </c>
      <c r="C192" s="83" t="s">
        <v>78</v>
      </c>
      <c r="D192" s="55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1</v>
      </c>
      <c r="AA192" s="6">
        <v>0</v>
      </c>
      <c r="AB192" s="6">
        <v>1</v>
      </c>
      <c r="AC192" s="5">
        <f>SUM(E192:AB192)</f>
        <v>3</v>
      </c>
    </row>
    <row r="193" spans="1:29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2</v>
      </c>
      <c r="AA193" s="6">
        <v>0</v>
      </c>
      <c r="AB193" s="6">
        <v>0</v>
      </c>
      <c r="AC193" s="5">
        <f>SUM(E193:AB193)</f>
        <v>3</v>
      </c>
    </row>
    <row r="194" spans="1:29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2</v>
      </c>
      <c r="AA194" s="6">
        <v>0</v>
      </c>
      <c r="AB194" s="6">
        <v>2</v>
      </c>
      <c r="AC194" s="5">
        <f>SUM(E194:AB194)</f>
        <v>5</v>
      </c>
    </row>
    <row r="195" spans="1:29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>SUM(E195:AB195)</f>
        <v>0</v>
      </c>
    </row>
    <row r="196" spans="1:29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>SUM(E196:AB196)</f>
        <v>0</v>
      </c>
    </row>
    <row r="197" spans="1:29" x14ac:dyDescent="0.4">
      <c r="A197" s="6" t="s">
        <v>26</v>
      </c>
      <c r="B197" s="74" t="s">
        <v>51</v>
      </c>
      <c r="C197" s="84"/>
      <c r="D197" s="85"/>
      <c r="E197" s="6">
        <f t="shared" ref="E197:AC197" si="116">SUM(E192:E196)</f>
        <v>0</v>
      </c>
      <c r="F197" s="6">
        <f t="shared" si="116"/>
        <v>0</v>
      </c>
      <c r="G197" s="6">
        <f t="shared" si="116"/>
        <v>0</v>
      </c>
      <c r="H197" s="6">
        <f t="shared" si="116"/>
        <v>0</v>
      </c>
      <c r="I197" s="6">
        <f t="shared" si="116"/>
        <v>0</v>
      </c>
      <c r="J197" s="6">
        <f t="shared" si="116"/>
        <v>0</v>
      </c>
      <c r="K197" s="6">
        <f t="shared" si="116"/>
        <v>0</v>
      </c>
      <c r="L197" s="6">
        <f t="shared" si="116"/>
        <v>0</v>
      </c>
      <c r="M197" s="6">
        <f t="shared" si="116"/>
        <v>0</v>
      </c>
      <c r="N197" s="6">
        <f t="shared" si="116"/>
        <v>0</v>
      </c>
      <c r="O197" s="6">
        <f t="shared" si="116"/>
        <v>0</v>
      </c>
      <c r="P197" s="6">
        <f t="shared" si="116"/>
        <v>0</v>
      </c>
      <c r="Q197" s="6">
        <f t="shared" si="116"/>
        <v>2</v>
      </c>
      <c r="R197" s="6">
        <f t="shared" si="116"/>
        <v>1</v>
      </c>
      <c r="S197" s="6">
        <f t="shared" si="116"/>
        <v>0</v>
      </c>
      <c r="T197" s="6">
        <f t="shared" si="116"/>
        <v>0</v>
      </c>
      <c r="U197" s="6">
        <f t="shared" si="116"/>
        <v>0</v>
      </c>
      <c r="V197" s="6">
        <f t="shared" si="116"/>
        <v>0</v>
      </c>
      <c r="W197" s="6">
        <f t="shared" si="116"/>
        <v>0</v>
      </c>
      <c r="X197" s="6">
        <f t="shared" si="116"/>
        <v>0</v>
      </c>
      <c r="Y197" s="6">
        <f t="shared" si="116"/>
        <v>0</v>
      </c>
      <c r="Z197" s="6">
        <f t="shared" si="116"/>
        <v>5</v>
      </c>
      <c r="AA197" s="6">
        <f t="shared" si="116"/>
        <v>0</v>
      </c>
      <c r="AB197" s="6">
        <f t="shared" si="116"/>
        <v>3</v>
      </c>
      <c r="AC197" s="6">
        <f t="shared" si="116"/>
        <v>11</v>
      </c>
    </row>
    <row r="198" spans="1:29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29" x14ac:dyDescent="0.4">
      <c r="A199" s="11" t="s">
        <v>48</v>
      </c>
      <c r="B199" s="17" t="s">
        <v>79</v>
      </c>
      <c r="C199" s="83" t="s">
        <v>80</v>
      </c>
      <c r="D199" s="55"/>
      <c r="E199" s="6">
        <v>0</v>
      </c>
      <c r="F199" s="6">
        <v>4</v>
      </c>
      <c r="G199" s="6">
        <v>1</v>
      </c>
      <c r="H199" s="6">
        <v>3</v>
      </c>
      <c r="I199" s="6">
        <v>2</v>
      </c>
      <c r="J199" s="6">
        <v>0</v>
      </c>
      <c r="K199" s="6">
        <v>0</v>
      </c>
      <c r="L199" s="6">
        <v>0</v>
      </c>
      <c r="M199" s="6">
        <v>1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0</v>
      </c>
      <c r="T199" s="6">
        <v>1</v>
      </c>
      <c r="U199" s="6">
        <v>1</v>
      </c>
      <c r="V199" s="6">
        <v>0</v>
      </c>
      <c r="W199" s="6">
        <v>6</v>
      </c>
      <c r="X199" s="6">
        <v>0</v>
      </c>
      <c r="Y199" s="6">
        <v>2</v>
      </c>
      <c r="Z199" s="6">
        <v>1</v>
      </c>
      <c r="AA199" s="6">
        <v>0</v>
      </c>
      <c r="AB199" s="6">
        <v>2</v>
      </c>
      <c r="AC199" s="5">
        <f t="shared" ref="AC199:AC208" si="117">SUM(E199:AB199)</f>
        <v>25</v>
      </c>
    </row>
    <row r="200" spans="1:29" x14ac:dyDescent="0.4">
      <c r="A200" s="11" t="s">
        <v>50</v>
      </c>
      <c r="B200" s="47"/>
      <c r="C200" s="24" t="s">
        <v>216</v>
      </c>
      <c r="D200" s="45"/>
      <c r="E200" s="6">
        <v>0</v>
      </c>
      <c r="F200" s="6">
        <v>0</v>
      </c>
      <c r="G200" s="6">
        <v>5</v>
      </c>
      <c r="H200" s="6">
        <v>34</v>
      </c>
      <c r="I200" s="6">
        <v>4</v>
      </c>
      <c r="J200" s="6">
        <v>1</v>
      </c>
      <c r="K200" s="6">
        <v>0</v>
      </c>
      <c r="L200" s="6">
        <v>2</v>
      </c>
      <c r="M200" s="6">
        <v>1</v>
      </c>
      <c r="N200" s="6">
        <v>1</v>
      </c>
      <c r="O200" s="6">
        <v>2</v>
      </c>
      <c r="P200" s="6">
        <v>0</v>
      </c>
      <c r="Q200" s="6">
        <v>2</v>
      </c>
      <c r="R200" s="6">
        <v>1</v>
      </c>
      <c r="S200" s="6">
        <v>0</v>
      </c>
      <c r="T200" s="6">
        <v>3</v>
      </c>
      <c r="U200" s="6">
        <v>7</v>
      </c>
      <c r="V200" s="6">
        <v>2</v>
      </c>
      <c r="W200" s="6">
        <v>16</v>
      </c>
      <c r="X200" s="6">
        <v>24</v>
      </c>
      <c r="Y200" s="6">
        <v>9</v>
      </c>
      <c r="Z200" s="6">
        <v>7</v>
      </c>
      <c r="AA200" s="6">
        <v>12</v>
      </c>
      <c r="AB200" s="6">
        <v>1</v>
      </c>
      <c r="AC200" s="5">
        <f t="shared" si="117"/>
        <v>134</v>
      </c>
    </row>
    <row r="201" spans="1:29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1</v>
      </c>
      <c r="H201" s="6">
        <v>0</v>
      </c>
      <c r="I201" s="6">
        <v>1</v>
      </c>
      <c r="J201" s="6">
        <v>0</v>
      </c>
      <c r="K201" s="6">
        <v>0</v>
      </c>
      <c r="L201" s="6">
        <v>2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2</v>
      </c>
      <c r="W201" s="6">
        <v>1</v>
      </c>
      <c r="X201" s="6">
        <v>0</v>
      </c>
      <c r="Y201" s="6">
        <v>0</v>
      </c>
      <c r="Z201" s="6">
        <v>0</v>
      </c>
      <c r="AA201" s="6">
        <v>0</v>
      </c>
      <c r="AB201" s="6">
        <v>1</v>
      </c>
      <c r="AC201" s="5">
        <f t="shared" si="117"/>
        <v>8</v>
      </c>
    </row>
    <row r="202" spans="1:29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  <c r="AB202" s="6">
        <v>0</v>
      </c>
      <c r="AC202" s="5">
        <f t="shared" si="117"/>
        <v>1</v>
      </c>
    </row>
    <row r="203" spans="1:29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1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2</v>
      </c>
      <c r="V203" s="6">
        <v>0</v>
      </c>
      <c r="W203" s="6">
        <v>0</v>
      </c>
      <c r="X203" s="6">
        <v>0</v>
      </c>
      <c r="Y203" s="6">
        <v>0</v>
      </c>
      <c r="Z203" s="6">
        <v>1</v>
      </c>
      <c r="AA203" s="6">
        <v>0</v>
      </c>
      <c r="AB203" s="6">
        <v>0</v>
      </c>
      <c r="AC203" s="5">
        <f t="shared" si="117"/>
        <v>4</v>
      </c>
    </row>
    <row r="204" spans="1:29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3</v>
      </c>
      <c r="Z204" s="6">
        <v>0</v>
      </c>
      <c r="AA204" s="6">
        <v>0</v>
      </c>
      <c r="AB204" s="6">
        <v>0</v>
      </c>
      <c r="AC204" s="5">
        <f t="shared" si="117"/>
        <v>5</v>
      </c>
    </row>
    <row r="205" spans="1:29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5">
        <f t="shared" si="117"/>
        <v>0</v>
      </c>
    </row>
    <row r="206" spans="1:29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1</v>
      </c>
      <c r="Z206" s="6">
        <v>0</v>
      </c>
      <c r="AA206" s="6">
        <v>0</v>
      </c>
      <c r="AB206" s="6">
        <v>0</v>
      </c>
      <c r="AC206" s="5">
        <f t="shared" si="117"/>
        <v>2</v>
      </c>
    </row>
    <row r="207" spans="1:29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1</v>
      </c>
      <c r="X207" s="6">
        <v>1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117"/>
        <v>2</v>
      </c>
    </row>
    <row r="208" spans="1:29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1</v>
      </c>
      <c r="Y208" s="6">
        <v>0</v>
      </c>
      <c r="Z208" s="6">
        <v>0</v>
      </c>
      <c r="AA208" s="6">
        <v>1</v>
      </c>
      <c r="AB208" s="6">
        <v>0</v>
      </c>
      <c r="AC208" s="5">
        <f t="shared" si="117"/>
        <v>2</v>
      </c>
    </row>
    <row r="209" spans="1:29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" si="118">SUM(E199:E208)</f>
        <v>0</v>
      </c>
      <c r="F209" s="6">
        <f t="shared" ref="F209" si="119">SUM(F199:F208)</f>
        <v>4</v>
      </c>
      <c r="G209" s="6">
        <f t="shared" ref="G209" si="120">SUM(G199:G208)</f>
        <v>7</v>
      </c>
      <c r="H209" s="6">
        <f t="shared" ref="H209" si="121">SUM(H199:H208)</f>
        <v>37</v>
      </c>
      <c r="I209" s="6">
        <f t="shared" ref="I209" si="122">SUM(I199:I208)</f>
        <v>7</v>
      </c>
      <c r="J209" s="6">
        <f t="shared" ref="J209" si="123">SUM(J199:J208)</f>
        <v>2</v>
      </c>
      <c r="K209" s="6">
        <f t="shared" ref="K209" si="124">SUM(K199:K208)</f>
        <v>0</v>
      </c>
      <c r="L209" s="6">
        <f t="shared" ref="L209" si="125">SUM(L199:L208)</f>
        <v>5</v>
      </c>
      <c r="M209" s="6">
        <f t="shared" ref="M209" si="126">SUM(M199:M208)</f>
        <v>2</v>
      </c>
      <c r="N209" s="6">
        <f t="shared" ref="N209" si="127">SUM(N199:N208)</f>
        <v>2</v>
      </c>
      <c r="O209" s="6">
        <f t="shared" ref="O209" si="128">SUM(O199:O208)</f>
        <v>2</v>
      </c>
      <c r="P209" s="6">
        <f t="shared" ref="P209" si="129">SUM(P199:P208)</f>
        <v>0</v>
      </c>
      <c r="Q209" s="6">
        <f t="shared" ref="Q209" si="130">SUM(Q199:Q208)</f>
        <v>3</v>
      </c>
      <c r="R209" s="6">
        <f t="shared" ref="R209" si="131">SUM(R199:R208)</f>
        <v>2</v>
      </c>
      <c r="S209" s="6">
        <f t="shared" ref="S209" si="132">SUM(S199:S208)</f>
        <v>0</v>
      </c>
      <c r="T209" s="6">
        <f t="shared" ref="T209" si="133">SUM(T199:T208)</f>
        <v>4</v>
      </c>
      <c r="U209" s="6">
        <f t="shared" ref="U209" si="134">SUM(U199:U208)</f>
        <v>10</v>
      </c>
      <c r="V209" s="6">
        <f t="shared" ref="V209" si="135">SUM(V199:V208)</f>
        <v>4</v>
      </c>
      <c r="W209" s="6">
        <f t="shared" ref="W209" si="136">SUM(W199:W208)</f>
        <v>24</v>
      </c>
      <c r="X209" s="6">
        <f t="shared" ref="X209" si="137">SUM(X199:X208)</f>
        <v>26</v>
      </c>
      <c r="Y209" s="6">
        <f t="shared" ref="Y209" si="138">SUM(Y199:Y208)</f>
        <v>15</v>
      </c>
      <c r="Z209" s="6">
        <f t="shared" ref="Z209" si="139">SUM(Z199:Z208)</f>
        <v>9</v>
      </c>
      <c r="AA209" s="6">
        <f t="shared" ref="AA209" si="140">SUM(AA199:AA208)</f>
        <v>14</v>
      </c>
      <c r="AB209" s="6">
        <f t="shared" ref="AB209" si="141">SUM(AB199:AB208)</f>
        <v>4</v>
      </c>
      <c r="AC209" s="6">
        <f t="shared" ref="AC209" si="142">SUM(AC199:AC208)</f>
        <v>183</v>
      </c>
    </row>
    <row r="210" spans="1:29" x14ac:dyDescent="0.4">
      <c r="A210" s="53"/>
      <c r="B210" s="75"/>
      <c r="C210" s="75"/>
      <c r="D210" s="75"/>
      <c r="E210" s="86"/>
    </row>
    <row r="211" spans="1:29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1</v>
      </c>
      <c r="P211" s="6">
        <v>0</v>
      </c>
      <c r="Q211" s="6">
        <v>0</v>
      </c>
      <c r="R211" s="6">
        <v>2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1</v>
      </c>
      <c r="Y211" s="6">
        <v>0</v>
      </c>
      <c r="Z211" s="6">
        <v>0</v>
      </c>
      <c r="AA211" s="6">
        <v>0</v>
      </c>
      <c r="AB211" s="6">
        <v>0</v>
      </c>
      <c r="AC211" s="5">
        <f>SUM(E211:AB211)</f>
        <v>4</v>
      </c>
    </row>
    <row r="212" spans="1:29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5">
        <f>SUM(E212:AB212)</f>
        <v>1</v>
      </c>
    </row>
    <row r="213" spans="1:29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5">
        <f>SUM(E213:AB213)</f>
        <v>0</v>
      </c>
    </row>
    <row r="214" spans="1:29" x14ac:dyDescent="0.4">
      <c r="A214" s="7"/>
      <c r="B214" s="47"/>
      <c r="C214" s="24" t="s">
        <v>227</v>
      </c>
      <c r="D214" s="45"/>
      <c r="E214" s="6">
        <v>0</v>
      </c>
      <c r="F214" s="6">
        <v>1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5">
        <f>SUM(E214:AB214)</f>
        <v>1</v>
      </c>
    </row>
    <row r="215" spans="1:29" x14ac:dyDescent="0.4">
      <c r="A215" s="6" t="s">
        <v>26</v>
      </c>
      <c r="B215" s="74" t="s">
        <v>51</v>
      </c>
      <c r="C215" s="84"/>
      <c r="D215" s="85"/>
      <c r="E215" s="6">
        <f t="shared" ref="E215:AC215" si="143">SUM(E211:E214)</f>
        <v>0</v>
      </c>
      <c r="F215" s="6">
        <f t="shared" si="143"/>
        <v>1</v>
      </c>
      <c r="G215" s="6">
        <f t="shared" si="143"/>
        <v>0</v>
      </c>
      <c r="H215" s="6">
        <f t="shared" si="143"/>
        <v>0</v>
      </c>
      <c r="I215" s="6">
        <f t="shared" si="143"/>
        <v>0</v>
      </c>
      <c r="J215" s="6">
        <f t="shared" si="143"/>
        <v>0</v>
      </c>
      <c r="K215" s="6">
        <f t="shared" si="143"/>
        <v>1</v>
      </c>
      <c r="L215" s="6">
        <f t="shared" si="143"/>
        <v>0</v>
      </c>
      <c r="M215" s="6">
        <f t="shared" si="143"/>
        <v>0</v>
      </c>
      <c r="N215" s="6">
        <f t="shared" si="143"/>
        <v>0</v>
      </c>
      <c r="O215" s="6">
        <f t="shared" si="143"/>
        <v>1</v>
      </c>
      <c r="P215" s="6">
        <f t="shared" si="143"/>
        <v>0</v>
      </c>
      <c r="Q215" s="6">
        <f t="shared" si="143"/>
        <v>0</v>
      </c>
      <c r="R215" s="6">
        <f t="shared" si="143"/>
        <v>2</v>
      </c>
      <c r="S215" s="6">
        <f t="shared" si="143"/>
        <v>0</v>
      </c>
      <c r="T215" s="6">
        <f t="shared" si="143"/>
        <v>0</v>
      </c>
      <c r="U215" s="6">
        <f t="shared" si="143"/>
        <v>0</v>
      </c>
      <c r="V215" s="6">
        <f t="shared" si="143"/>
        <v>0</v>
      </c>
      <c r="W215" s="6">
        <f t="shared" si="143"/>
        <v>0</v>
      </c>
      <c r="X215" s="6">
        <f t="shared" si="143"/>
        <v>1</v>
      </c>
      <c r="Y215" s="6">
        <f t="shared" si="143"/>
        <v>0</v>
      </c>
      <c r="Z215" s="6">
        <f t="shared" si="143"/>
        <v>0</v>
      </c>
      <c r="AA215" s="6">
        <f t="shared" si="143"/>
        <v>0</v>
      </c>
      <c r="AB215" s="6">
        <f t="shared" si="143"/>
        <v>0</v>
      </c>
      <c r="AC215" s="6">
        <f t="shared" si="143"/>
        <v>6</v>
      </c>
    </row>
    <row r="217" spans="1:29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5"/>
    </row>
    <row r="218" spans="1:29" x14ac:dyDescent="0.4">
      <c r="A218" s="16"/>
      <c r="B218" s="19" t="s">
        <v>85</v>
      </c>
      <c r="C218" s="91" t="s">
        <v>86</v>
      </c>
      <c r="D218" s="92"/>
      <c r="E218" s="6">
        <f t="shared" ref="E218:AB218" si="144">E55+E67+E79+E91+E103+E108+E116+E128+E134+E144+E148+E160+E172+E184+E190+E197+E209+E215</f>
        <v>115</v>
      </c>
      <c r="F218" s="6">
        <f t="shared" si="144"/>
        <v>160</v>
      </c>
      <c r="G218" s="6">
        <f t="shared" si="144"/>
        <v>187</v>
      </c>
      <c r="H218" s="6">
        <f t="shared" si="144"/>
        <v>141</v>
      </c>
      <c r="I218" s="6">
        <f t="shared" si="144"/>
        <v>215</v>
      </c>
      <c r="J218" s="6">
        <f t="shared" si="144"/>
        <v>212</v>
      </c>
      <c r="K218" s="6">
        <f t="shared" si="144"/>
        <v>197</v>
      </c>
      <c r="L218" s="6">
        <f t="shared" si="144"/>
        <v>226</v>
      </c>
      <c r="M218" s="6">
        <f t="shared" si="144"/>
        <v>191</v>
      </c>
      <c r="N218" s="6">
        <f t="shared" si="144"/>
        <v>191</v>
      </c>
      <c r="O218" s="6">
        <f t="shared" si="144"/>
        <v>205</v>
      </c>
      <c r="P218" s="6">
        <f t="shared" si="144"/>
        <v>216</v>
      </c>
      <c r="Q218" s="6">
        <f t="shared" si="144"/>
        <v>200</v>
      </c>
      <c r="R218" s="6">
        <f t="shared" si="144"/>
        <v>198</v>
      </c>
      <c r="S218" s="6">
        <f t="shared" si="144"/>
        <v>149</v>
      </c>
      <c r="T218" s="6">
        <f t="shared" si="144"/>
        <v>207</v>
      </c>
      <c r="U218" s="6">
        <f t="shared" si="144"/>
        <v>224</v>
      </c>
      <c r="V218" s="6">
        <f t="shared" si="144"/>
        <v>224</v>
      </c>
      <c r="W218" s="6">
        <f t="shared" si="144"/>
        <v>186</v>
      </c>
      <c r="X218" s="6">
        <f t="shared" si="144"/>
        <v>194</v>
      </c>
      <c r="Y218" s="6">
        <f t="shared" si="144"/>
        <v>187</v>
      </c>
      <c r="Z218" s="6">
        <f t="shared" si="144"/>
        <v>142</v>
      </c>
      <c r="AA218" s="6">
        <f t="shared" si="144"/>
        <v>173</v>
      </c>
      <c r="AB218" s="6">
        <f t="shared" si="144"/>
        <v>182</v>
      </c>
      <c r="AC218" s="5">
        <f>SUM(E218:AB218)</f>
        <v>4522</v>
      </c>
    </row>
    <row r="219" spans="1:29" x14ac:dyDescent="0.4">
      <c r="A219" s="13"/>
      <c r="B219" s="19" t="s">
        <v>87</v>
      </c>
      <c r="C219" s="91" t="s">
        <v>88</v>
      </c>
      <c r="D219" s="92"/>
      <c r="E219" s="6">
        <v>23</v>
      </c>
      <c r="F219" s="6">
        <v>36</v>
      </c>
      <c r="G219" s="6">
        <v>34</v>
      </c>
      <c r="H219" s="6">
        <v>37</v>
      </c>
      <c r="I219" s="6">
        <v>24</v>
      </c>
      <c r="J219" s="6">
        <v>34</v>
      </c>
      <c r="K219" s="6">
        <v>52</v>
      </c>
      <c r="L219" s="6">
        <v>27</v>
      </c>
      <c r="M219" s="6">
        <v>14</v>
      </c>
      <c r="N219" s="6">
        <v>13</v>
      </c>
      <c r="O219" s="6">
        <v>23</v>
      </c>
      <c r="P219" s="6">
        <v>33</v>
      </c>
      <c r="Q219" s="6">
        <v>30</v>
      </c>
      <c r="R219" s="6">
        <v>40</v>
      </c>
      <c r="S219" s="6">
        <v>40</v>
      </c>
      <c r="T219" s="6">
        <v>37</v>
      </c>
      <c r="U219" s="6">
        <v>18</v>
      </c>
      <c r="V219" s="6">
        <v>22</v>
      </c>
      <c r="W219" s="6">
        <v>51</v>
      </c>
      <c r="X219" s="6">
        <v>33</v>
      </c>
      <c r="Y219" s="6">
        <v>30</v>
      </c>
      <c r="Z219" s="6">
        <v>34</v>
      </c>
      <c r="AA219" s="6">
        <v>46</v>
      </c>
      <c r="AB219" s="6">
        <v>14</v>
      </c>
      <c r="AC219" s="5">
        <f>SUM(E219:AB219)</f>
        <v>745</v>
      </c>
    </row>
    <row r="220" spans="1:29" x14ac:dyDescent="0.4">
      <c r="A220" s="14"/>
      <c r="B220" s="19" t="s">
        <v>89</v>
      </c>
      <c r="C220" s="91" t="s">
        <v>90</v>
      </c>
      <c r="D220" s="92"/>
      <c r="E220" s="5">
        <f>SUM(E218:E219)</f>
        <v>138</v>
      </c>
      <c r="F220" s="5">
        <f t="shared" ref="F220:AB220" si="145">SUM(F218:F219)</f>
        <v>196</v>
      </c>
      <c r="G220" s="5">
        <f t="shared" si="145"/>
        <v>221</v>
      </c>
      <c r="H220" s="5">
        <f t="shared" si="145"/>
        <v>178</v>
      </c>
      <c r="I220" s="5">
        <f t="shared" si="145"/>
        <v>239</v>
      </c>
      <c r="J220" s="5">
        <f t="shared" si="145"/>
        <v>246</v>
      </c>
      <c r="K220" s="5">
        <f t="shared" si="145"/>
        <v>249</v>
      </c>
      <c r="L220" s="5">
        <f t="shared" si="145"/>
        <v>253</v>
      </c>
      <c r="M220" s="5">
        <f t="shared" si="145"/>
        <v>205</v>
      </c>
      <c r="N220" s="5">
        <f t="shared" si="145"/>
        <v>204</v>
      </c>
      <c r="O220" s="5">
        <f t="shared" si="145"/>
        <v>228</v>
      </c>
      <c r="P220" s="5">
        <f t="shared" ref="P220:X220" si="146">SUM(P218:P219)</f>
        <v>249</v>
      </c>
      <c r="Q220" s="5">
        <f t="shared" si="146"/>
        <v>230</v>
      </c>
      <c r="R220" s="5">
        <f t="shared" si="146"/>
        <v>238</v>
      </c>
      <c r="S220" s="5">
        <f t="shared" si="146"/>
        <v>189</v>
      </c>
      <c r="T220" s="5">
        <f t="shared" si="146"/>
        <v>244</v>
      </c>
      <c r="U220" s="5">
        <f t="shared" si="146"/>
        <v>242</v>
      </c>
      <c r="V220" s="5">
        <f t="shared" si="146"/>
        <v>246</v>
      </c>
      <c r="W220" s="5">
        <f t="shared" si="146"/>
        <v>237</v>
      </c>
      <c r="X220" s="5">
        <f t="shared" si="146"/>
        <v>227</v>
      </c>
      <c r="Y220" s="5">
        <f t="shared" si="145"/>
        <v>217</v>
      </c>
      <c r="Z220" s="5">
        <f t="shared" si="145"/>
        <v>176</v>
      </c>
      <c r="AA220" s="5">
        <f t="shared" si="145"/>
        <v>219</v>
      </c>
      <c r="AB220" s="5">
        <f t="shared" si="145"/>
        <v>196</v>
      </c>
      <c r="AC220" s="5">
        <f>SUM(E220:AB220)</f>
        <v>5267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B12"/>
    <mergeCell ref="AC12:AC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I37"/>
    <mergeCell ref="B38:D38"/>
    <mergeCell ref="A42:D42"/>
    <mergeCell ref="E42:I42"/>
    <mergeCell ref="B43:D43"/>
    <mergeCell ref="B39:C41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219:D219"/>
    <mergeCell ref="C220:D220"/>
    <mergeCell ref="B209:D209"/>
    <mergeCell ref="A210:E210"/>
    <mergeCell ref="C211:D211"/>
    <mergeCell ref="B215:D215"/>
    <mergeCell ref="B217:D217"/>
    <mergeCell ref="C218:D218"/>
  </mergeCells>
  <phoneticPr fontId="8" type="noConversion"/>
  <conditionalFormatting sqref="E34:T34 Y34:AB34">
    <cfRule type="expression" dxfId="200" priority="31">
      <formula>E34&lt;&gt;E64</formula>
    </cfRule>
  </conditionalFormatting>
  <conditionalFormatting sqref="E14:AB15">
    <cfRule type="containsBlanks" dxfId="199" priority="22">
      <formula>LEN(TRIM(E14))=0</formula>
    </cfRule>
  </conditionalFormatting>
  <conditionalFormatting sqref="E19:AB20">
    <cfRule type="containsBlanks" dxfId="198" priority="25">
      <formula>LEN(TRIM(E19))=0</formula>
    </cfRule>
  </conditionalFormatting>
  <conditionalFormatting sqref="E22:AB23 E25:AB26 E33:AB33 E35:AB35 E39:AB40">
    <cfRule type="containsBlanks" dxfId="197" priority="26">
      <formula>LEN(TRIM(E22))=0</formula>
    </cfRule>
  </conditionalFormatting>
  <conditionalFormatting sqref="E30:AB30">
    <cfRule type="expression" dxfId="196" priority="27">
      <formula>E30&lt;&gt;E47</formula>
    </cfRule>
    <cfRule type="expression" dxfId="195" priority="28">
      <formula>E30&lt;&gt;E34</formula>
    </cfRule>
  </conditionalFormatting>
  <conditionalFormatting sqref="E34:AB34">
    <cfRule type="expression" dxfId="194" priority="23">
      <formula>E30&lt;&gt;E34</formula>
    </cfRule>
    <cfRule type="expression" dxfId="193" priority="24">
      <formula>E30=E34</formula>
    </cfRule>
    <cfRule type="expression" dxfId="192" priority="29">
      <formula>E34&lt;&gt;E30</formula>
    </cfRule>
  </conditionalFormatting>
  <conditionalFormatting sqref="E45:AB54">
    <cfRule type="containsBlanks" dxfId="191" priority="21">
      <formula>LEN(TRIM(E45))=0</formula>
    </cfRule>
  </conditionalFormatting>
  <conditionalFormatting sqref="E57:AB66">
    <cfRule type="containsBlanks" dxfId="190" priority="20">
      <formula>LEN(TRIM(E57))=0</formula>
    </cfRule>
  </conditionalFormatting>
  <conditionalFormatting sqref="E69:AB78">
    <cfRule type="containsBlanks" dxfId="189" priority="19">
      <formula>LEN(TRIM(E69))=0</formula>
    </cfRule>
  </conditionalFormatting>
  <conditionalFormatting sqref="E81:AB90">
    <cfRule type="containsBlanks" dxfId="188" priority="18">
      <formula>LEN(TRIM(E81))=0</formula>
    </cfRule>
  </conditionalFormatting>
  <conditionalFormatting sqref="E93:AB102">
    <cfRule type="containsBlanks" dxfId="187" priority="17">
      <formula>LEN(TRIM(E93))=0</formula>
    </cfRule>
  </conditionalFormatting>
  <conditionalFormatting sqref="E105:AB107">
    <cfRule type="containsBlanks" dxfId="186" priority="16">
      <formula>LEN(TRIM(E105))=0</formula>
    </cfRule>
  </conditionalFormatting>
  <conditionalFormatting sqref="E110:AB115">
    <cfRule type="containsBlanks" dxfId="185" priority="2">
      <formula>LEN(TRIM(E110))=0</formula>
    </cfRule>
  </conditionalFormatting>
  <conditionalFormatting sqref="E118:AB127">
    <cfRule type="containsBlanks" dxfId="184" priority="15">
      <formula>LEN(TRIM(E118))=0</formula>
    </cfRule>
  </conditionalFormatting>
  <conditionalFormatting sqref="E130:AB133">
    <cfRule type="containsBlanks" dxfId="183" priority="14">
      <formula>LEN(TRIM(E130))=0</formula>
    </cfRule>
  </conditionalFormatting>
  <conditionalFormatting sqref="E136:AB143">
    <cfRule type="containsBlanks" dxfId="182" priority="4">
      <formula>LEN(TRIM(E136))=0</formula>
    </cfRule>
  </conditionalFormatting>
  <conditionalFormatting sqref="E146:AB147">
    <cfRule type="containsBlanks" dxfId="181" priority="13">
      <formula>LEN(TRIM(E146))=0</formula>
    </cfRule>
  </conditionalFormatting>
  <conditionalFormatting sqref="E150:AB159">
    <cfRule type="containsBlanks" dxfId="180" priority="12">
      <formula>LEN(TRIM(E150))=0</formula>
    </cfRule>
  </conditionalFormatting>
  <conditionalFormatting sqref="E162:AB171">
    <cfRule type="containsBlanks" dxfId="179" priority="11">
      <formula>LEN(TRIM(E162))=0</formula>
    </cfRule>
  </conditionalFormatting>
  <conditionalFormatting sqref="E174:AB183">
    <cfRule type="containsBlanks" dxfId="178" priority="10">
      <formula>LEN(TRIM(E174))=0</formula>
    </cfRule>
  </conditionalFormatting>
  <conditionalFormatting sqref="E186:AB189">
    <cfRule type="containsBlanks" dxfId="177" priority="9">
      <formula>LEN(TRIM(E186))=0</formula>
    </cfRule>
  </conditionalFormatting>
  <conditionalFormatting sqref="E192:AB196">
    <cfRule type="containsBlanks" dxfId="176" priority="8">
      <formula>LEN(TRIM(E192))=0</formula>
    </cfRule>
  </conditionalFormatting>
  <conditionalFormatting sqref="E199:AB208">
    <cfRule type="containsBlanks" dxfId="175" priority="7">
      <formula>LEN(TRIM(E199))=0</formula>
    </cfRule>
  </conditionalFormatting>
  <conditionalFormatting sqref="E211:AB214">
    <cfRule type="containsBlanks" dxfId="174" priority="5">
      <formula>LEN(TRIM(E211))=0</formula>
    </cfRule>
  </conditionalFormatting>
  <conditionalFormatting sqref="E218:AB219">
    <cfRule type="containsBlanks" dxfId="173" priority="3">
      <formula>LEN(TRIM(E218))=0</formula>
    </cfRule>
  </conditionalFormatting>
  <conditionalFormatting sqref="U34:X34">
    <cfRule type="expression" dxfId="172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92D050"/>
  </sheetPr>
  <dimension ref="A2:AR222"/>
  <sheetViews>
    <sheetView topLeftCell="O13" zoomScale="70" zoomScaleNormal="70" workbookViewId="0">
      <pane ySplit="1" topLeftCell="A201" activePane="bottomLeft" state="frozen"/>
      <selection activeCell="E14" sqref="E14"/>
      <selection pane="bottomLeft" activeCell="AH211" sqref="AH211:AH214"/>
    </sheetView>
  </sheetViews>
  <sheetFormatPr defaultRowHeight="13.15" x14ac:dyDescent="0.4"/>
  <cols>
    <col min="3" max="3" width="67.140625" bestFit="1" customWidth="1"/>
    <col min="4" max="4" width="5.85546875" bestFit="1" customWidth="1"/>
    <col min="32" max="32" width="9.140625" customWidth="1"/>
    <col min="44" max="44" width="13.28515625" customWidth="1"/>
  </cols>
  <sheetData>
    <row r="2" spans="1:44" x14ac:dyDescent="0.4">
      <c r="C2" s="43" t="s">
        <v>104</v>
      </c>
      <c r="D2" s="43" t="s">
        <v>232</v>
      </c>
    </row>
    <row r="3" spans="1:44" x14ac:dyDescent="0.4">
      <c r="C3" s="43" t="s">
        <v>105</v>
      </c>
      <c r="D3" s="43" t="s">
        <v>106</v>
      </c>
    </row>
    <row r="4" spans="1:44" x14ac:dyDescent="0.4">
      <c r="C4" s="43" t="s">
        <v>107</v>
      </c>
      <c r="D4" s="43" t="s">
        <v>108</v>
      </c>
    </row>
    <row r="5" spans="1:44" x14ac:dyDescent="0.4">
      <c r="C5" s="43"/>
      <c r="D5" s="43"/>
    </row>
    <row r="6" spans="1:44" x14ac:dyDescent="0.4">
      <c r="C6" s="43"/>
      <c r="D6" s="43"/>
    </row>
    <row r="7" spans="1:44" x14ac:dyDescent="0.4">
      <c r="C7" s="43"/>
      <c r="D7" s="43"/>
    </row>
    <row r="8" spans="1:44" x14ac:dyDescent="0.4">
      <c r="C8" s="43"/>
      <c r="D8" s="43"/>
    </row>
    <row r="9" spans="1:44" x14ac:dyDescent="0.4">
      <c r="C9" s="43" t="s">
        <v>109</v>
      </c>
      <c r="D9" s="43" t="s">
        <v>232</v>
      </c>
    </row>
    <row r="11" spans="1:4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V11" s="1"/>
      <c r="W11" s="1"/>
      <c r="X11" s="1"/>
      <c r="Y11" s="1"/>
      <c r="Z11" s="1"/>
      <c r="AA11" s="1"/>
      <c r="AB11" s="1"/>
      <c r="AC11" s="1"/>
      <c r="AD11" s="3"/>
    </row>
    <row r="12" spans="1:44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9" t="s">
        <v>103</v>
      </c>
    </row>
    <row r="13" spans="1:44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228</v>
      </c>
      <c r="AJ13" s="5" t="s">
        <v>229</v>
      </c>
      <c r="AK13" s="5" t="s">
        <v>230</v>
      </c>
      <c r="AL13" s="5" t="s">
        <v>231</v>
      </c>
      <c r="AM13" s="5" t="s">
        <v>236</v>
      </c>
      <c r="AN13" s="5" t="s">
        <v>237</v>
      </c>
      <c r="AO13" s="5" t="s">
        <v>238</v>
      </c>
      <c r="AP13" s="5" t="s">
        <v>239</v>
      </c>
      <c r="AQ13" s="5" t="s">
        <v>240</v>
      </c>
      <c r="AR13" s="60"/>
    </row>
    <row r="14" spans="1:44" x14ac:dyDescent="0.4">
      <c r="A14" s="7"/>
      <c r="B14" s="62" t="s">
        <v>22</v>
      </c>
      <c r="C14" s="63"/>
      <c r="D14" s="6" t="s">
        <v>23</v>
      </c>
      <c r="E14" s="6">
        <v>137</v>
      </c>
      <c r="F14" s="6">
        <v>141</v>
      </c>
      <c r="G14" s="6">
        <v>136</v>
      </c>
      <c r="H14" s="6">
        <v>135</v>
      </c>
      <c r="I14" s="6">
        <v>156</v>
      </c>
      <c r="J14" s="6">
        <v>147</v>
      </c>
      <c r="K14" s="6">
        <v>145</v>
      </c>
      <c r="L14" s="6">
        <v>147</v>
      </c>
      <c r="M14" s="6">
        <v>140</v>
      </c>
      <c r="N14" s="6">
        <v>141</v>
      </c>
      <c r="O14" s="6">
        <v>145</v>
      </c>
      <c r="P14" s="6">
        <v>134</v>
      </c>
      <c r="Q14" s="6">
        <v>148</v>
      </c>
      <c r="R14" s="6">
        <v>147</v>
      </c>
      <c r="S14" s="6">
        <v>139</v>
      </c>
      <c r="T14" s="6">
        <v>147</v>
      </c>
      <c r="U14" s="6">
        <v>138</v>
      </c>
      <c r="V14" s="6">
        <v>143</v>
      </c>
      <c r="W14" s="6">
        <v>133</v>
      </c>
      <c r="X14" s="6">
        <v>141</v>
      </c>
      <c r="Y14" s="6">
        <v>122</v>
      </c>
      <c r="Z14" s="6">
        <v>145</v>
      </c>
      <c r="AA14" s="6">
        <v>126</v>
      </c>
      <c r="AB14" s="6">
        <v>144</v>
      </c>
      <c r="AC14" s="6">
        <v>145</v>
      </c>
      <c r="AD14" s="6">
        <v>155</v>
      </c>
      <c r="AE14" s="6">
        <v>155</v>
      </c>
      <c r="AF14" s="6">
        <v>149</v>
      </c>
      <c r="AG14" s="6">
        <v>145</v>
      </c>
      <c r="AH14" s="6">
        <v>141</v>
      </c>
      <c r="AI14" s="6">
        <v>143</v>
      </c>
      <c r="AJ14" s="6">
        <v>135</v>
      </c>
      <c r="AK14" s="6">
        <v>145</v>
      </c>
      <c r="AL14" s="6">
        <v>147</v>
      </c>
      <c r="AM14" s="6">
        <v>132</v>
      </c>
      <c r="AN14" s="6">
        <v>147</v>
      </c>
      <c r="AO14" s="6">
        <v>136</v>
      </c>
      <c r="AP14" s="6">
        <v>150</v>
      </c>
      <c r="AQ14" s="6">
        <v>134</v>
      </c>
      <c r="AR14" s="5">
        <f>SUM(E14:AQ14)</f>
        <v>5536</v>
      </c>
    </row>
    <row r="15" spans="1:44" x14ac:dyDescent="0.4">
      <c r="A15" s="7"/>
      <c r="B15" s="64"/>
      <c r="C15" s="65"/>
      <c r="D15" s="6" t="s">
        <v>24</v>
      </c>
      <c r="E15" s="6">
        <v>157</v>
      </c>
      <c r="F15" s="6">
        <v>146</v>
      </c>
      <c r="G15" s="6">
        <v>131</v>
      </c>
      <c r="H15" s="6">
        <v>154</v>
      </c>
      <c r="I15" s="6">
        <v>140</v>
      </c>
      <c r="J15" s="6">
        <v>146</v>
      </c>
      <c r="K15" s="6">
        <v>148</v>
      </c>
      <c r="L15" s="6">
        <v>151</v>
      </c>
      <c r="M15" s="6">
        <v>135</v>
      </c>
      <c r="N15" s="6">
        <v>158</v>
      </c>
      <c r="O15" s="6">
        <v>154</v>
      </c>
      <c r="P15" s="6">
        <v>124</v>
      </c>
      <c r="Q15" s="6">
        <v>150</v>
      </c>
      <c r="R15" s="6">
        <v>149</v>
      </c>
      <c r="S15" s="6">
        <v>156</v>
      </c>
      <c r="T15" s="6">
        <v>151</v>
      </c>
      <c r="U15" s="6">
        <v>158</v>
      </c>
      <c r="V15" s="6">
        <v>153</v>
      </c>
      <c r="W15" s="6">
        <v>158</v>
      </c>
      <c r="X15" s="6">
        <v>157</v>
      </c>
      <c r="Y15" s="6">
        <v>143</v>
      </c>
      <c r="Z15" s="6">
        <v>142</v>
      </c>
      <c r="AA15" s="6">
        <v>156</v>
      </c>
      <c r="AB15" s="6">
        <v>154</v>
      </c>
      <c r="AC15" s="6">
        <v>149</v>
      </c>
      <c r="AD15" s="6">
        <v>143</v>
      </c>
      <c r="AE15" s="6">
        <v>144</v>
      </c>
      <c r="AF15" s="6">
        <v>143</v>
      </c>
      <c r="AG15" s="6">
        <v>142</v>
      </c>
      <c r="AH15" s="6">
        <v>137</v>
      </c>
      <c r="AI15" s="6">
        <v>150</v>
      </c>
      <c r="AJ15" s="6">
        <v>157</v>
      </c>
      <c r="AK15" s="6">
        <v>149</v>
      </c>
      <c r="AL15" s="6">
        <v>147</v>
      </c>
      <c r="AM15" s="6">
        <v>123</v>
      </c>
      <c r="AN15" s="6">
        <v>147</v>
      </c>
      <c r="AO15" s="6">
        <v>143</v>
      </c>
      <c r="AP15" s="6">
        <v>147</v>
      </c>
      <c r="AQ15" s="6">
        <v>149</v>
      </c>
      <c r="AR15" s="5">
        <f>SUM(E15:AQ15)</f>
        <v>5741</v>
      </c>
    </row>
    <row r="16" spans="1:44" x14ac:dyDescent="0.4">
      <c r="A16" s="8"/>
      <c r="B16" s="66"/>
      <c r="C16" s="67"/>
      <c r="D16" s="5" t="s">
        <v>25</v>
      </c>
      <c r="E16" s="5">
        <f t="shared" ref="E16:AQ16" si="0">SUM(E14:E15)</f>
        <v>294</v>
      </c>
      <c r="F16" s="5">
        <f t="shared" ref="F16:U16" si="1">SUM(F14:F15)</f>
        <v>287</v>
      </c>
      <c r="G16" s="5">
        <f t="shared" si="1"/>
        <v>267</v>
      </c>
      <c r="H16" s="5">
        <f t="shared" si="1"/>
        <v>289</v>
      </c>
      <c r="I16" s="5">
        <f t="shared" si="1"/>
        <v>296</v>
      </c>
      <c r="J16" s="5">
        <f t="shared" si="1"/>
        <v>293</v>
      </c>
      <c r="K16" s="5">
        <f t="shared" si="1"/>
        <v>293</v>
      </c>
      <c r="L16" s="5">
        <f t="shared" si="1"/>
        <v>298</v>
      </c>
      <c r="M16" s="5">
        <f t="shared" si="1"/>
        <v>275</v>
      </c>
      <c r="N16" s="5">
        <f t="shared" si="1"/>
        <v>299</v>
      </c>
      <c r="O16" s="5">
        <f t="shared" si="1"/>
        <v>299</v>
      </c>
      <c r="P16" s="5">
        <f t="shared" si="1"/>
        <v>258</v>
      </c>
      <c r="Q16" s="5">
        <f t="shared" si="1"/>
        <v>298</v>
      </c>
      <c r="R16" s="5">
        <f t="shared" si="1"/>
        <v>296</v>
      </c>
      <c r="S16" s="5">
        <f t="shared" si="1"/>
        <v>295</v>
      </c>
      <c r="T16" s="5">
        <f t="shared" si="1"/>
        <v>298</v>
      </c>
      <c r="U16" s="5">
        <f t="shared" si="1"/>
        <v>296</v>
      </c>
      <c r="V16" s="5">
        <f t="shared" si="0"/>
        <v>296</v>
      </c>
      <c r="W16" s="5">
        <f t="shared" si="0"/>
        <v>291</v>
      </c>
      <c r="X16" s="5">
        <f t="shared" si="0"/>
        <v>298</v>
      </c>
      <c r="Y16" s="5">
        <f t="shared" si="0"/>
        <v>265</v>
      </c>
      <c r="Z16" s="5">
        <f t="shared" si="0"/>
        <v>287</v>
      </c>
      <c r="AA16" s="5">
        <f t="shared" si="0"/>
        <v>282</v>
      </c>
      <c r="AB16" s="5">
        <f t="shared" si="0"/>
        <v>298</v>
      </c>
      <c r="AC16" s="5">
        <f t="shared" si="0"/>
        <v>294</v>
      </c>
      <c r="AD16" s="5">
        <f t="shared" si="0"/>
        <v>298</v>
      </c>
      <c r="AE16" s="5">
        <f t="shared" si="0"/>
        <v>299</v>
      </c>
      <c r="AF16" s="5">
        <f t="shared" si="0"/>
        <v>292</v>
      </c>
      <c r="AG16" s="5">
        <f t="shared" ref="AG16:AK16" si="2">SUM(AG14:AG15)</f>
        <v>287</v>
      </c>
      <c r="AH16" s="5">
        <f t="shared" si="2"/>
        <v>278</v>
      </c>
      <c r="AI16" s="5">
        <f t="shared" si="2"/>
        <v>293</v>
      </c>
      <c r="AJ16" s="5">
        <f t="shared" si="2"/>
        <v>292</v>
      </c>
      <c r="AK16" s="5">
        <f t="shared" si="2"/>
        <v>294</v>
      </c>
      <c r="AL16" s="5">
        <f t="shared" si="0"/>
        <v>294</v>
      </c>
      <c r="AM16" s="5">
        <f t="shared" si="0"/>
        <v>255</v>
      </c>
      <c r="AN16" s="5">
        <f t="shared" si="0"/>
        <v>294</v>
      </c>
      <c r="AO16" s="5">
        <f t="shared" si="0"/>
        <v>279</v>
      </c>
      <c r="AP16" s="5">
        <f t="shared" si="0"/>
        <v>297</v>
      </c>
      <c r="AQ16" s="5">
        <f t="shared" si="0"/>
        <v>283</v>
      </c>
      <c r="AR16" s="5">
        <f>SUM(E16:AQ16)</f>
        <v>11277</v>
      </c>
    </row>
    <row r="17" spans="1:44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6"/>
      <c r="W17" s="6"/>
      <c r="X17" s="6"/>
      <c r="Y17" s="6"/>
      <c r="Z17" s="6"/>
      <c r="AA17" s="6"/>
      <c r="AB17" s="6"/>
      <c r="AC17" s="6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28"/>
    </row>
    <row r="18" spans="1:44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6"/>
      <c r="W18" s="6"/>
      <c r="X18" s="6"/>
      <c r="Y18" s="6"/>
      <c r="Z18" s="6"/>
      <c r="AA18" s="6"/>
      <c r="AB18" s="6"/>
      <c r="AC18" s="6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28"/>
    </row>
    <row r="19" spans="1:44" x14ac:dyDescent="0.4">
      <c r="A19" s="11"/>
      <c r="B19" s="68" t="s">
        <v>28</v>
      </c>
      <c r="C19" s="69" t="s">
        <v>29</v>
      </c>
      <c r="D19" s="6" t="s">
        <v>23</v>
      </c>
      <c r="E19" s="6">
        <v>107</v>
      </c>
      <c r="F19" s="6">
        <v>105</v>
      </c>
      <c r="G19" s="6">
        <v>71</v>
      </c>
      <c r="H19" s="6">
        <v>91</v>
      </c>
      <c r="I19" s="6">
        <v>100</v>
      </c>
      <c r="J19" s="6">
        <v>84</v>
      </c>
      <c r="K19" s="6">
        <v>104</v>
      </c>
      <c r="L19" s="6">
        <v>108</v>
      </c>
      <c r="M19" s="6">
        <v>106</v>
      </c>
      <c r="N19" s="6">
        <v>101</v>
      </c>
      <c r="O19" s="6">
        <v>104</v>
      </c>
      <c r="P19" s="6">
        <v>103</v>
      </c>
      <c r="Q19" s="6">
        <v>113</v>
      </c>
      <c r="R19" s="6">
        <v>108</v>
      </c>
      <c r="S19" s="6">
        <v>105</v>
      </c>
      <c r="T19" s="6">
        <v>122</v>
      </c>
      <c r="U19" s="6">
        <v>89</v>
      </c>
      <c r="V19" s="6">
        <v>122</v>
      </c>
      <c r="W19" s="6">
        <v>95</v>
      </c>
      <c r="X19" s="6">
        <v>96</v>
      </c>
      <c r="Y19" s="6">
        <v>98</v>
      </c>
      <c r="Z19" s="6">
        <v>104</v>
      </c>
      <c r="AA19" s="6">
        <v>94</v>
      </c>
      <c r="AB19" s="6">
        <v>132</v>
      </c>
      <c r="AC19" s="6">
        <v>109</v>
      </c>
      <c r="AD19" s="6">
        <v>138</v>
      </c>
      <c r="AE19" s="6">
        <v>116</v>
      </c>
      <c r="AF19" s="6">
        <v>131</v>
      </c>
      <c r="AG19" s="6">
        <v>109</v>
      </c>
      <c r="AH19" s="6">
        <v>107</v>
      </c>
      <c r="AI19" s="6">
        <v>114</v>
      </c>
      <c r="AJ19" s="6">
        <v>110</v>
      </c>
      <c r="AK19" s="6">
        <v>111</v>
      </c>
      <c r="AL19" s="6">
        <v>127</v>
      </c>
      <c r="AM19" s="6">
        <v>107</v>
      </c>
      <c r="AN19" s="6">
        <v>123</v>
      </c>
      <c r="AO19" s="6">
        <v>101</v>
      </c>
      <c r="AP19" s="6">
        <v>131</v>
      </c>
      <c r="AQ19" s="6">
        <v>101</v>
      </c>
      <c r="AR19" s="5">
        <f t="shared" ref="AR19:AR30" si="3">SUM(E19:AQ19)</f>
        <v>4197</v>
      </c>
    </row>
    <row r="20" spans="1:44" x14ac:dyDescent="0.4">
      <c r="A20" s="12"/>
      <c r="B20" s="65"/>
      <c r="C20" s="70"/>
      <c r="D20" s="6" t="s">
        <v>24</v>
      </c>
      <c r="E20" s="6">
        <v>128</v>
      </c>
      <c r="F20" s="6">
        <v>117</v>
      </c>
      <c r="G20" s="6">
        <v>90</v>
      </c>
      <c r="H20" s="6">
        <v>101</v>
      </c>
      <c r="I20" s="6">
        <v>104</v>
      </c>
      <c r="J20" s="6">
        <v>99</v>
      </c>
      <c r="K20" s="6">
        <v>108</v>
      </c>
      <c r="L20" s="6">
        <v>126</v>
      </c>
      <c r="M20" s="6">
        <v>102</v>
      </c>
      <c r="N20" s="6">
        <v>116</v>
      </c>
      <c r="O20" s="6">
        <v>132</v>
      </c>
      <c r="P20" s="6">
        <v>109</v>
      </c>
      <c r="Q20" s="6">
        <v>122</v>
      </c>
      <c r="R20" s="6">
        <v>125</v>
      </c>
      <c r="S20" s="6">
        <v>120</v>
      </c>
      <c r="T20" s="6">
        <v>130</v>
      </c>
      <c r="U20" s="6">
        <v>111</v>
      </c>
      <c r="V20" s="6">
        <v>116</v>
      </c>
      <c r="W20" s="6">
        <v>125</v>
      </c>
      <c r="X20" s="6">
        <v>126</v>
      </c>
      <c r="Y20" s="6">
        <v>102</v>
      </c>
      <c r="Z20" s="6">
        <v>107</v>
      </c>
      <c r="AA20" s="6">
        <v>121</v>
      </c>
      <c r="AB20" s="6">
        <v>124</v>
      </c>
      <c r="AC20" s="6">
        <v>127</v>
      </c>
      <c r="AD20" s="6">
        <v>127</v>
      </c>
      <c r="AE20" s="6">
        <v>117</v>
      </c>
      <c r="AF20" s="6">
        <v>134</v>
      </c>
      <c r="AG20" s="6">
        <v>114</v>
      </c>
      <c r="AH20" s="6">
        <v>103</v>
      </c>
      <c r="AI20" s="6">
        <v>120</v>
      </c>
      <c r="AJ20" s="6">
        <v>123</v>
      </c>
      <c r="AK20" s="6">
        <v>109</v>
      </c>
      <c r="AL20" s="6">
        <v>126</v>
      </c>
      <c r="AM20" s="6">
        <v>107</v>
      </c>
      <c r="AN20" s="6">
        <v>116</v>
      </c>
      <c r="AO20" s="6">
        <v>96</v>
      </c>
      <c r="AP20" s="6">
        <v>122</v>
      </c>
      <c r="AQ20" s="6">
        <v>99</v>
      </c>
      <c r="AR20" s="5">
        <f t="shared" si="3"/>
        <v>4501</v>
      </c>
    </row>
    <row r="21" spans="1:44" x14ac:dyDescent="0.4">
      <c r="A21" s="13"/>
      <c r="B21" s="67"/>
      <c r="C21" s="71"/>
      <c r="D21" s="5" t="s">
        <v>25</v>
      </c>
      <c r="E21" s="5">
        <f t="shared" ref="E21:AQ21" si="4">SUM(E19:E20)</f>
        <v>235</v>
      </c>
      <c r="F21" s="5">
        <f t="shared" ref="F21:U21" si="5">SUM(F19:F20)</f>
        <v>222</v>
      </c>
      <c r="G21" s="5">
        <f t="shared" si="5"/>
        <v>161</v>
      </c>
      <c r="H21" s="5">
        <f t="shared" si="5"/>
        <v>192</v>
      </c>
      <c r="I21" s="5">
        <f t="shared" si="5"/>
        <v>204</v>
      </c>
      <c r="J21" s="5">
        <f t="shared" si="5"/>
        <v>183</v>
      </c>
      <c r="K21" s="5">
        <f t="shared" si="5"/>
        <v>212</v>
      </c>
      <c r="L21" s="5">
        <f t="shared" si="5"/>
        <v>234</v>
      </c>
      <c r="M21" s="5">
        <f t="shared" si="5"/>
        <v>208</v>
      </c>
      <c r="N21" s="5">
        <f t="shared" si="5"/>
        <v>217</v>
      </c>
      <c r="O21" s="5">
        <f t="shared" si="5"/>
        <v>236</v>
      </c>
      <c r="P21" s="5">
        <f t="shared" si="5"/>
        <v>212</v>
      </c>
      <c r="Q21" s="5">
        <f t="shared" si="5"/>
        <v>235</v>
      </c>
      <c r="R21" s="5">
        <f t="shared" si="5"/>
        <v>233</v>
      </c>
      <c r="S21" s="5">
        <f t="shared" si="5"/>
        <v>225</v>
      </c>
      <c r="T21" s="5">
        <f t="shared" si="5"/>
        <v>252</v>
      </c>
      <c r="U21" s="5">
        <f t="shared" si="5"/>
        <v>200</v>
      </c>
      <c r="V21" s="5">
        <f t="shared" si="4"/>
        <v>238</v>
      </c>
      <c r="W21" s="5">
        <f t="shared" si="4"/>
        <v>220</v>
      </c>
      <c r="X21" s="5">
        <f t="shared" si="4"/>
        <v>222</v>
      </c>
      <c r="Y21" s="5">
        <f t="shared" si="4"/>
        <v>200</v>
      </c>
      <c r="Z21" s="5">
        <f t="shared" si="4"/>
        <v>211</v>
      </c>
      <c r="AA21" s="5">
        <f t="shared" si="4"/>
        <v>215</v>
      </c>
      <c r="AB21" s="5">
        <f t="shared" si="4"/>
        <v>256</v>
      </c>
      <c r="AC21" s="5">
        <f t="shared" si="4"/>
        <v>236</v>
      </c>
      <c r="AD21" s="5">
        <f t="shared" si="4"/>
        <v>265</v>
      </c>
      <c r="AE21" s="5">
        <f t="shared" si="4"/>
        <v>233</v>
      </c>
      <c r="AF21" s="5">
        <f t="shared" si="4"/>
        <v>265</v>
      </c>
      <c r="AG21" s="5">
        <f t="shared" ref="AG21:AK21" si="6">SUM(AG19:AG20)</f>
        <v>223</v>
      </c>
      <c r="AH21" s="5">
        <f t="shared" si="6"/>
        <v>210</v>
      </c>
      <c r="AI21" s="5">
        <f t="shared" si="6"/>
        <v>234</v>
      </c>
      <c r="AJ21" s="5">
        <f t="shared" si="6"/>
        <v>233</v>
      </c>
      <c r="AK21" s="5">
        <f t="shared" si="6"/>
        <v>220</v>
      </c>
      <c r="AL21" s="5">
        <f t="shared" si="4"/>
        <v>253</v>
      </c>
      <c r="AM21" s="5">
        <f t="shared" si="4"/>
        <v>214</v>
      </c>
      <c r="AN21" s="5">
        <f t="shared" si="4"/>
        <v>239</v>
      </c>
      <c r="AO21" s="5">
        <f t="shared" si="4"/>
        <v>197</v>
      </c>
      <c r="AP21" s="5">
        <f t="shared" si="4"/>
        <v>253</v>
      </c>
      <c r="AQ21" s="5">
        <f t="shared" si="4"/>
        <v>200</v>
      </c>
      <c r="AR21" s="5">
        <f t="shared" si="3"/>
        <v>8698</v>
      </c>
    </row>
    <row r="22" spans="1:44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3</v>
      </c>
      <c r="H22" s="6">
        <v>0</v>
      </c>
      <c r="I22" s="6">
        <v>1</v>
      </c>
      <c r="J22" s="6">
        <v>2</v>
      </c>
      <c r="K22" s="6">
        <v>0</v>
      </c>
      <c r="L22" s="6">
        <v>1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1</v>
      </c>
      <c r="S22" s="6">
        <v>0</v>
      </c>
      <c r="T22" s="6">
        <v>1</v>
      </c>
      <c r="U22" s="6">
        <v>1</v>
      </c>
      <c r="V22" s="6">
        <v>0</v>
      </c>
      <c r="W22" s="6">
        <v>1</v>
      </c>
      <c r="X22" s="6">
        <v>0</v>
      </c>
      <c r="Y22" s="6">
        <v>0</v>
      </c>
      <c r="Z22" s="6">
        <v>1</v>
      </c>
      <c r="AA22" s="6">
        <v>0</v>
      </c>
      <c r="AB22" s="6">
        <v>1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1</v>
      </c>
      <c r="AM22" s="6">
        <v>0</v>
      </c>
      <c r="AN22" s="6">
        <v>0</v>
      </c>
      <c r="AO22" s="6">
        <v>0</v>
      </c>
      <c r="AP22" s="6">
        <v>0</v>
      </c>
      <c r="AQ22" s="6">
        <v>1</v>
      </c>
      <c r="AR22" s="5">
        <f t="shared" si="3"/>
        <v>18</v>
      </c>
    </row>
    <row r="23" spans="1:44" x14ac:dyDescent="0.4">
      <c r="A23" s="12"/>
      <c r="B23" s="65"/>
      <c r="C23" s="70"/>
      <c r="D23" s="6" t="s">
        <v>24</v>
      </c>
      <c r="E23" s="6">
        <v>0</v>
      </c>
      <c r="F23" s="6">
        <v>1</v>
      </c>
      <c r="G23" s="6">
        <v>1</v>
      </c>
      <c r="H23" s="6">
        <v>0</v>
      </c>
      <c r="I23" s="6">
        <v>0</v>
      </c>
      <c r="J23" s="6">
        <v>0</v>
      </c>
      <c r="K23" s="6">
        <v>1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1</v>
      </c>
      <c r="AB23" s="6">
        <v>1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1</v>
      </c>
      <c r="AJ23" s="6">
        <v>0</v>
      </c>
      <c r="AK23" s="6">
        <v>0</v>
      </c>
      <c r="AL23" s="6">
        <v>0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5">
        <f t="shared" si="3"/>
        <v>11</v>
      </c>
    </row>
    <row r="24" spans="1:44" x14ac:dyDescent="0.4">
      <c r="A24" s="13"/>
      <c r="B24" s="67"/>
      <c r="C24" s="71"/>
      <c r="D24" s="5" t="s">
        <v>25</v>
      </c>
      <c r="E24" s="5">
        <f t="shared" ref="E24:AQ24" si="7">SUM(E22:E23)</f>
        <v>0</v>
      </c>
      <c r="F24" s="5">
        <f t="shared" ref="F24:U24" si="8">SUM(F22:F23)</f>
        <v>1</v>
      </c>
      <c r="G24" s="5">
        <f t="shared" si="8"/>
        <v>4</v>
      </c>
      <c r="H24" s="5">
        <f t="shared" si="8"/>
        <v>0</v>
      </c>
      <c r="I24" s="5">
        <f t="shared" si="8"/>
        <v>1</v>
      </c>
      <c r="J24" s="5">
        <f t="shared" si="8"/>
        <v>2</v>
      </c>
      <c r="K24" s="5">
        <f t="shared" si="8"/>
        <v>1</v>
      </c>
      <c r="L24" s="5">
        <f t="shared" si="8"/>
        <v>2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8"/>
        <v>2</v>
      </c>
      <c r="R24" s="5">
        <f t="shared" si="8"/>
        <v>1</v>
      </c>
      <c r="S24" s="5">
        <f t="shared" si="8"/>
        <v>1</v>
      </c>
      <c r="T24" s="5">
        <f t="shared" si="8"/>
        <v>2</v>
      </c>
      <c r="U24" s="5">
        <f t="shared" si="8"/>
        <v>1</v>
      </c>
      <c r="V24" s="5">
        <f t="shared" si="7"/>
        <v>0</v>
      </c>
      <c r="W24" s="5">
        <f t="shared" si="7"/>
        <v>1</v>
      </c>
      <c r="X24" s="5">
        <f t="shared" si="7"/>
        <v>1</v>
      </c>
      <c r="Y24" s="5">
        <f t="shared" si="7"/>
        <v>0</v>
      </c>
      <c r="Z24" s="5">
        <f t="shared" si="7"/>
        <v>1</v>
      </c>
      <c r="AA24" s="5">
        <f t="shared" si="7"/>
        <v>1</v>
      </c>
      <c r="AB24" s="5">
        <f t="shared" si="7"/>
        <v>2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7"/>
        <v>0</v>
      </c>
      <c r="AG24" s="5">
        <f t="shared" ref="AG24:AK24" si="9">SUM(AG22:AG23)</f>
        <v>0</v>
      </c>
      <c r="AH24" s="5">
        <f t="shared" si="9"/>
        <v>0</v>
      </c>
      <c r="AI24" s="5">
        <f t="shared" si="9"/>
        <v>1</v>
      </c>
      <c r="AJ24" s="5">
        <f t="shared" si="9"/>
        <v>0</v>
      </c>
      <c r="AK24" s="5">
        <f t="shared" si="9"/>
        <v>1</v>
      </c>
      <c r="AL24" s="5">
        <f t="shared" si="7"/>
        <v>1</v>
      </c>
      <c r="AM24" s="5">
        <f t="shared" si="7"/>
        <v>1</v>
      </c>
      <c r="AN24" s="5">
        <f t="shared" si="7"/>
        <v>0</v>
      </c>
      <c r="AO24" s="5">
        <f t="shared" si="7"/>
        <v>0</v>
      </c>
      <c r="AP24" s="5">
        <f t="shared" si="7"/>
        <v>0</v>
      </c>
      <c r="AQ24" s="5">
        <f t="shared" si="7"/>
        <v>1</v>
      </c>
      <c r="AR24" s="5">
        <f t="shared" si="3"/>
        <v>29</v>
      </c>
    </row>
    <row r="25" spans="1:44" x14ac:dyDescent="0.4">
      <c r="A25" s="12"/>
      <c r="B25" s="68" t="s">
        <v>32</v>
      </c>
      <c r="C25" s="69" t="s">
        <v>33</v>
      </c>
      <c r="D25" s="6" t="s">
        <v>23</v>
      </c>
      <c r="E25" s="6">
        <v>1</v>
      </c>
      <c r="F25" s="6">
        <v>7</v>
      </c>
      <c r="G25" s="6">
        <v>1</v>
      </c>
      <c r="H25" s="6">
        <v>0</v>
      </c>
      <c r="I25" s="6">
        <v>2</v>
      </c>
      <c r="J25" s="6">
        <v>2</v>
      </c>
      <c r="K25" s="6">
        <v>4</v>
      </c>
      <c r="L25" s="6">
        <v>3</v>
      </c>
      <c r="M25" s="6">
        <v>2</v>
      </c>
      <c r="N25" s="6">
        <v>2</v>
      </c>
      <c r="O25" s="6">
        <v>2</v>
      </c>
      <c r="P25" s="6">
        <v>2</v>
      </c>
      <c r="Q25" s="6">
        <v>1</v>
      </c>
      <c r="R25" s="6">
        <v>0</v>
      </c>
      <c r="S25" s="6">
        <v>0</v>
      </c>
      <c r="T25" s="6">
        <v>3</v>
      </c>
      <c r="U25" s="6">
        <v>0</v>
      </c>
      <c r="V25" s="6">
        <v>9</v>
      </c>
      <c r="W25" s="6">
        <v>1</v>
      </c>
      <c r="X25" s="6">
        <v>7</v>
      </c>
      <c r="Y25" s="6">
        <v>1</v>
      </c>
      <c r="Z25" s="6">
        <v>1</v>
      </c>
      <c r="AA25" s="6">
        <v>0</v>
      </c>
      <c r="AB25" s="6">
        <v>2</v>
      </c>
      <c r="AC25" s="6">
        <v>1</v>
      </c>
      <c r="AD25" s="6">
        <v>3</v>
      </c>
      <c r="AE25" s="6">
        <v>3</v>
      </c>
      <c r="AF25" s="6">
        <v>0</v>
      </c>
      <c r="AG25" s="6">
        <v>2</v>
      </c>
      <c r="AH25" s="6">
        <v>6</v>
      </c>
      <c r="AI25" s="6">
        <v>4</v>
      </c>
      <c r="AJ25" s="6">
        <v>5</v>
      </c>
      <c r="AK25" s="6">
        <v>5</v>
      </c>
      <c r="AL25" s="6">
        <v>1</v>
      </c>
      <c r="AM25" s="6">
        <v>6</v>
      </c>
      <c r="AN25" s="6">
        <v>15</v>
      </c>
      <c r="AO25" s="6">
        <v>4</v>
      </c>
      <c r="AP25" s="6">
        <v>0</v>
      </c>
      <c r="AQ25" s="6">
        <v>0</v>
      </c>
      <c r="AR25" s="5">
        <f t="shared" si="3"/>
        <v>108</v>
      </c>
    </row>
    <row r="26" spans="1:44" x14ac:dyDescent="0.4">
      <c r="A26" s="12"/>
      <c r="B26" s="65"/>
      <c r="C26" s="70"/>
      <c r="D26" s="6" t="s">
        <v>24</v>
      </c>
      <c r="E26" s="6">
        <v>0</v>
      </c>
      <c r="F26" s="6">
        <v>0</v>
      </c>
      <c r="G26" s="6">
        <v>1</v>
      </c>
      <c r="H26" s="6">
        <v>1</v>
      </c>
      <c r="I26" s="6">
        <v>3</v>
      </c>
      <c r="J26" s="6">
        <v>8</v>
      </c>
      <c r="K26" s="6">
        <v>2</v>
      </c>
      <c r="L26" s="6">
        <v>2</v>
      </c>
      <c r="M26" s="6">
        <v>3</v>
      </c>
      <c r="N26" s="6">
        <v>1</v>
      </c>
      <c r="O26" s="6">
        <v>3</v>
      </c>
      <c r="P26" s="6">
        <v>2</v>
      </c>
      <c r="Q26" s="6">
        <v>2</v>
      </c>
      <c r="R26" s="6">
        <v>1</v>
      </c>
      <c r="S26" s="6">
        <v>5</v>
      </c>
      <c r="T26" s="6">
        <v>4</v>
      </c>
      <c r="U26" s="6">
        <v>0</v>
      </c>
      <c r="V26" s="6">
        <v>10</v>
      </c>
      <c r="W26" s="6">
        <v>0</v>
      </c>
      <c r="X26" s="6">
        <v>6</v>
      </c>
      <c r="Y26" s="6">
        <v>1</v>
      </c>
      <c r="Z26" s="6">
        <v>4</v>
      </c>
      <c r="AA26" s="6">
        <v>0</v>
      </c>
      <c r="AB26" s="6">
        <v>0</v>
      </c>
      <c r="AC26" s="6">
        <v>2</v>
      </c>
      <c r="AD26" s="6">
        <v>6</v>
      </c>
      <c r="AE26" s="6">
        <v>6</v>
      </c>
      <c r="AF26" s="6">
        <v>1</v>
      </c>
      <c r="AG26" s="6">
        <v>3</v>
      </c>
      <c r="AH26" s="6">
        <v>3</v>
      </c>
      <c r="AI26" s="6">
        <v>7</v>
      </c>
      <c r="AJ26" s="6">
        <v>6</v>
      </c>
      <c r="AK26" s="6">
        <v>8</v>
      </c>
      <c r="AL26" s="6">
        <v>2</v>
      </c>
      <c r="AM26" s="6">
        <v>5</v>
      </c>
      <c r="AN26" s="6">
        <v>15</v>
      </c>
      <c r="AO26" s="6">
        <v>4</v>
      </c>
      <c r="AP26" s="6">
        <v>0</v>
      </c>
      <c r="AQ26" s="6">
        <v>1</v>
      </c>
      <c r="AR26" s="5">
        <f t="shared" si="3"/>
        <v>128</v>
      </c>
    </row>
    <row r="27" spans="1:44" x14ac:dyDescent="0.4">
      <c r="A27" s="13"/>
      <c r="B27" s="67"/>
      <c r="C27" s="71"/>
      <c r="D27" s="5" t="s">
        <v>25</v>
      </c>
      <c r="E27" s="5">
        <f t="shared" ref="E27:AQ27" si="10">SUM(E25:E26)</f>
        <v>1</v>
      </c>
      <c r="F27" s="5">
        <f t="shared" ref="F27:U27" si="11">SUM(F25:F26)</f>
        <v>7</v>
      </c>
      <c r="G27" s="5">
        <f t="shared" si="11"/>
        <v>2</v>
      </c>
      <c r="H27" s="5">
        <f t="shared" si="11"/>
        <v>1</v>
      </c>
      <c r="I27" s="5">
        <f t="shared" si="11"/>
        <v>5</v>
      </c>
      <c r="J27" s="5">
        <f t="shared" si="11"/>
        <v>10</v>
      </c>
      <c r="K27" s="5">
        <f t="shared" si="11"/>
        <v>6</v>
      </c>
      <c r="L27" s="5">
        <f t="shared" si="11"/>
        <v>5</v>
      </c>
      <c r="M27" s="5">
        <f t="shared" si="11"/>
        <v>5</v>
      </c>
      <c r="N27" s="5">
        <f t="shared" si="11"/>
        <v>3</v>
      </c>
      <c r="O27" s="5">
        <f t="shared" si="11"/>
        <v>5</v>
      </c>
      <c r="P27" s="5">
        <f t="shared" si="11"/>
        <v>4</v>
      </c>
      <c r="Q27" s="5">
        <f t="shared" si="11"/>
        <v>3</v>
      </c>
      <c r="R27" s="5">
        <f t="shared" si="11"/>
        <v>1</v>
      </c>
      <c r="S27" s="5">
        <f t="shared" si="11"/>
        <v>5</v>
      </c>
      <c r="T27" s="5">
        <f t="shared" si="11"/>
        <v>7</v>
      </c>
      <c r="U27" s="5">
        <f t="shared" si="11"/>
        <v>0</v>
      </c>
      <c r="V27" s="5">
        <f t="shared" si="10"/>
        <v>19</v>
      </c>
      <c r="W27" s="5">
        <f t="shared" si="10"/>
        <v>1</v>
      </c>
      <c r="X27" s="5">
        <f t="shared" si="10"/>
        <v>13</v>
      </c>
      <c r="Y27" s="5">
        <f t="shared" si="10"/>
        <v>2</v>
      </c>
      <c r="Z27" s="5">
        <f t="shared" si="10"/>
        <v>5</v>
      </c>
      <c r="AA27" s="5">
        <f t="shared" si="10"/>
        <v>0</v>
      </c>
      <c r="AB27" s="5">
        <f t="shared" si="10"/>
        <v>2</v>
      </c>
      <c r="AC27" s="5">
        <f t="shared" si="10"/>
        <v>3</v>
      </c>
      <c r="AD27" s="5">
        <f t="shared" si="10"/>
        <v>9</v>
      </c>
      <c r="AE27" s="5">
        <f t="shared" si="10"/>
        <v>9</v>
      </c>
      <c r="AF27" s="5">
        <f t="shared" si="10"/>
        <v>1</v>
      </c>
      <c r="AG27" s="5">
        <f t="shared" ref="AG27:AK27" si="12">SUM(AG25:AG26)</f>
        <v>5</v>
      </c>
      <c r="AH27" s="5">
        <f t="shared" si="12"/>
        <v>9</v>
      </c>
      <c r="AI27" s="5">
        <f t="shared" si="12"/>
        <v>11</v>
      </c>
      <c r="AJ27" s="5">
        <f t="shared" si="12"/>
        <v>11</v>
      </c>
      <c r="AK27" s="5">
        <f t="shared" si="12"/>
        <v>13</v>
      </c>
      <c r="AL27" s="5">
        <f t="shared" si="10"/>
        <v>3</v>
      </c>
      <c r="AM27" s="5">
        <f t="shared" si="10"/>
        <v>11</v>
      </c>
      <c r="AN27" s="5">
        <f t="shared" si="10"/>
        <v>30</v>
      </c>
      <c r="AO27" s="5">
        <f t="shared" si="10"/>
        <v>8</v>
      </c>
      <c r="AP27" s="5">
        <f t="shared" si="10"/>
        <v>0</v>
      </c>
      <c r="AQ27" s="5">
        <f t="shared" si="10"/>
        <v>1</v>
      </c>
      <c r="AR27" s="5">
        <f t="shared" si="3"/>
        <v>236</v>
      </c>
    </row>
    <row r="28" spans="1:44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108</v>
      </c>
      <c r="F28" s="5">
        <f t="shared" ref="F28:U28" si="13">SUM(F19,F22,F25)</f>
        <v>112</v>
      </c>
      <c r="G28" s="5">
        <f t="shared" si="13"/>
        <v>75</v>
      </c>
      <c r="H28" s="5">
        <f t="shared" si="13"/>
        <v>91</v>
      </c>
      <c r="I28" s="5">
        <f t="shared" si="13"/>
        <v>103</v>
      </c>
      <c r="J28" s="5">
        <f t="shared" si="13"/>
        <v>88</v>
      </c>
      <c r="K28" s="5">
        <f t="shared" si="13"/>
        <v>108</v>
      </c>
      <c r="L28" s="5">
        <f t="shared" si="13"/>
        <v>112</v>
      </c>
      <c r="M28" s="5">
        <f t="shared" si="13"/>
        <v>108</v>
      </c>
      <c r="N28" s="5">
        <f t="shared" si="13"/>
        <v>103</v>
      </c>
      <c r="O28" s="5">
        <f t="shared" si="13"/>
        <v>106</v>
      </c>
      <c r="P28" s="5">
        <f t="shared" si="13"/>
        <v>105</v>
      </c>
      <c r="Q28" s="5">
        <f t="shared" si="13"/>
        <v>116</v>
      </c>
      <c r="R28" s="5">
        <f t="shared" si="13"/>
        <v>109</v>
      </c>
      <c r="S28" s="5">
        <f t="shared" si="13"/>
        <v>105</v>
      </c>
      <c r="T28" s="5">
        <f t="shared" si="13"/>
        <v>126</v>
      </c>
      <c r="U28" s="5">
        <f t="shared" si="13"/>
        <v>90</v>
      </c>
      <c r="V28" s="5">
        <f t="shared" ref="V28:AQ29" si="14">SUM(V19,V22,V25)</f>
        <v>131</v>
      </c>
      <c r="W28" s="5">
        <f t="shared" si="14"/>
        <v>97</v>
      </c>
      <c r="X28" s="5">
        <f t="shared" si="14"/>
        <v>103</v>
      </c>
      <c r="Y28" s="5">
        <f t="shared" si="14"/>
        <v>99</v>
      </c>
      <c r="Z28" s="5">
        <f t="shared" si="14"/>
        <v>106</v>
      </c>
      <c r="AA28" s="5">
        <f t="shared" si="14"/>
        <v>94</v>
      </c>
      <c r="AB28" s="5">
        <f t="shared" si="14"/>
        <v>135</v>
      </c>
      <c r="AC28" s="5">
        <f t="shared" si="14"/>
        <v>110</v>
      </c>
      <c r="AD28" s="5">
        <f t="shared" si="14"/>
        <v>141</v>
      </c>
      <c r="AE28" s="5">
        <f t="shared" si="14"/>
        <v>119</v>
      </c>
      <c r="AF28" s="5">
        <f t="shared" si="14"/>
        <v>131</v>
      </c>
      <c r="AG28" s="5">
        <f t="shared" ref="AG28:AK28" si="15">SUM(AG19,AG22,AG25)</f>
        <v>111</v>
      </c>
      <c r="AH28" s="5">
        <f t="shared" si="15"/>
        <v>113</v>
      </c>
      <c r="AI28" s="5">
        <f t="shared" si="15"/>
        <v>118</v>
      </c>
      <c r="AJ28" s="5">
        <f t="shared" si="15"/>
        <v>115</v>
      </c>
      <c r="AK28" s="5">
        <f t="shared" si="15"/>
        <v>117</v>
      </c>
      <c r="AL28" s="5">
        <f t="shared" si="14"/>
        <v>129</v>
      </c>
      <c r="AM28" s="5">
        <f t="shared" si="14"/>
        <v>113</v>
      </c>
      <c r="AN28" s="5">
        <f t="shared" si="14"/>
        <v>138</v>
      </c>
      <c r="AO28" s="5">
        <f t="shared" si="14"/>
        <v>105</v>
      </c>
      <c r="AP28" s="5">
        <f t="shared" si="14"/>
        <v>131</v>
      </c>
      <c r="AQ28" s="5">
        <f t="shared" si="14"/>
        <v>102</v>
      </c>
      <c r="AR28" s="5">
        <f t="shared" si="3"/>
        <v>4323</v>
      </c>
    </row>
    <row r="29" spans="1:44" x14ac:dyDescent="0.4">
      <c r="A29" s="13"/>
      <c r="B29" s="65"/>
      <c r="C29" s="70"/>
      <c r="D29" s="5" t="s">
        <v>24</v>
      </c>
      <c r="E29" s="5">
        <f>SUM(E20,E23,E26)</f>
        <v>128</v>
      </c>
      <c r="F29" s="5">
        <f t="shared" ref="F29:U29" si="16">SUM(F20,F23,F26)</f>
        <v>118</v>
      </c>
      <c r="G29" s="5">
        <f t="shared" si="16"/>
        <v>92</v>
      </c>
      <c r="H29" s="5">
        <f t="shared" si="16"/>
        <v>102</v>
      </c>
      <c r="I29" s="5">
        <f t="shared" si="16"/>
        <v>107</v>
      </c>
      <c r="J29" s="5">
        <f t="shared" si="16"/>
        <v>107</v>
      </c>
      <c r="K29" s="5">
        <f t="shared" si="16"/>
        <v>111</v>
      </c>
      <c r="L29" s="5">
        <f t="shared" si="16"/>
        <v>129</v>
      </c>
      <c r="M29" s="5">
        <f t="shared" si="16"/>
        <v>105</v>
      </c>
      <c r="N29" s="5">
        <f t="shared" si="16"/>
        <v>117</v>
      </c>
      <c r="O29" s="5">
        <f t="shared" si="16"/>
        <v>135</v>
      </c>
      <c r="P29" s="5">
        <f t="shared" si="16"/>
        <v>111</v>
      </c>
      <c r="Q29" s="5">
        <f t="shared" si="16"/>
        <v>124</v>
      </c>
      <c r="R29" s="5">
        <f t="shared" si="16"/>
        <v>126</v>
      </c>
      <c r="S29" s="5">
        <f t="shared" si="16"/>
        <v>126</v>
      </c>
      <c r="T29" s="5">
        <f t="shared" si="16"/>
        <v>135</v>
      </c>
      <c r="U29" s="5">
        <f t="shared" si="16"/>
        <v>111</v>
      </c>
      <c r="V29" s="5">
        <f t="shared" si="14"/>
        <v>126</v>
      </c>
      <c r="W29" s="5">
        <f t="shared" si="14"/>
        <v>125</v>
      </c>
      <c r="X29" s="5">
        <f t="shared" si="14"/>
        <v>133</v>
      </c>
      <c r="Y29" s="5">
        <f t="shared" si="14"/>
        <v>103</v>
      </c>
      <c r="Z29" s="5">
        <f t="shared" si="14"/>
        <v>111</v>
      </c>
      <c r="AA29" s="5">
        <f t="shared" si="14"/>
        <v>122</v>
      </c>
      <c r="AB29" s="5">
        <f t="shared" si="14"/>
        <v>125</v>
      </c>
      <c r="AC29" s="5">
        <f t="shared" si="14"/>
        <v>129</v>
      </c>
      <c r="AD29" s="5">
        <f t="shared" si="14"/>
        <v>133</v>
      </c>
      <c r="AE29" s="5">
        <f t="shared" si="14"/>
        <v>123</v>
      </c>
      <c r="AF29" s="5">
        <f t="shared" si="14"/>
        <v>135</v>
      </c>
      <c r="AG29" s="5">
        <f t="shared" ref="AG29:AK29" si="17">SUM(AG20,AG23,AG26)</f>
        <v>117</v>
      </c>
      <c r="AH29" s="5">
        <f t="shared" si="17"/>
        <v>106</v>
      </c>
      <c r="AI29" s="5">
        <f t="shared" si="17"/>
        <v>128</v>
      </c>
      <c r="AJ29" s="5">
        <f t="shared" si="17"/>
        <v>129</v>
      </c>
      <c r="AK29" s="5">
        <f t="shared" si="17"/>
        <v>117</v>
      </c>
      <c r="AL29" s="5">
        <f t="shared" si="14"/>
        <v>128</v>
      </c>
      <c r="AM29" s="5">
        <f t="shared" si="14"/>
        <v>113</v>
      </c>
      <c r="AN29" s="5">
        <f t="shared" si="14"/>
        <v>131</v>
      </c>
      <c r="AO29" s="5">
        <f t="shared" si="14"/>
        <v>100</v>
      </c>
      <c r="AP29" s="5">
        <f t="shared" si="14"/>
        <v>122</v>
      </c>
      <c r="AQ29" s="5">
        <f t="shared" si="14"/>
        <v>100</v>
      </c>
      <c r="AR29" s="5">
        <f t="shared" si="3"/>
        <v>4640</v>
      </c>
    </row>
    <row r="30" spans="1:44" x14ac:dyDescent="0.4">
      <c r="A30" s="13"/>
      <c r="B30" s="67"/>
      <c r="C30" s="71"/>
      <c r="D30" s="5" t="s">
        <v>25</v>
      </c>
      <c r="E30" s="5">
        <f t="shared" ref="E30:U30" si="18">SUM(E28:E29)</f>
        <v>236</v>
      </c>
      <c r="F30" s="5">
        <f t="shared" si="18"/>
        <v>230</v>
      </c>
      <c r="G30" s="5">
        <f t="shared" si="18"/>
        <v>167</v>
      </c>
      <c r="H30" s="5">
        <f t="shared" si="18"/>
        <v>193</v>
      </c>
      <c r="I30" s="5">
        <f t="shared" si="18"/>
        <v>210</v>
      </c>
      <c r="J30" s="5">
        <f t="shared" si="18"/>
        <v>195</v>
      </c>
      <c r="K30" s="5">
        <f t="shared" si="18"/>
        <v>219</v>
      </c>
      <c r="L30" s="5">
        <f t="shared" si="18"/>
        <v>241</v>
      </c>
      <c r="M30" s="5">
        <f t="shared" si="18"/>
        <v>213</v>
      </c>
      <c r="N30" s="5">
        <f t="shared" si="18"/>
        <v>220</v>
      </c>
      <c r="O30" s="5">
        <f t="shared" si="18"/>
        <v>241</v>
      </c>
      <c r="P30" s="5">
        <f t="shared" si="18"/>
        <v>216</v>
      </c>
      <c r="Q30" s="5">
        <f t="shared" si="18"/>
        <v>240</v>
      </c>
      <c r="R30" s="5">
        <f t="shared" si="18"/>
        <v>235</v>
      </c>
      <c r="S30" s="5">
        <f t="shared" si="18"/>
        <v>231</v>
      </c>
      <c r="T30" s="5">
        <f t="shared" si="18"/>
        <v>261</v>
      </c>
      <c r="U30" s="5">
        <f t="shared" si="18"/>
        <v>201</v>
      </c>
      <c r="V30" s="5">
        <f t="shared" ref="V30:AQ30" si="19">SUM(V28:V29)</f>
        <v>257</v>
      </c>
      <c r="W30" s="5">
        <f t="shared" si="19"/>
        <v>222</v>
      </c>
      <c r="X30" s="5">
        <f t="shared" si="19"/>
        <v>236</v>
      </c>
      <c r="Y30" s="5">
        <f t="shared" si="19"/>
        <v>202</v>
      </c>
      <c r="Z30" s="5">
        <f t="shared" si="19"/>
        <v>217</v>
      </c>
      <c r="AA30" s="5">
        <f t="shared" si="19"/>
        <v>216</v>
      </c>
      <c r="AB30" s="5">
        <f t="shared" si="19"/>
        <v>260</v>
      </c>
      <c r="AC30" s="5">
        <f t="shared" si="19"/>
        <v>239</v>
      </c>
      <c r="AD30" s="5">
        <f t="shared" si="19"/>
        <v>274</v>
      </c>
      <c r="AE30" s="5">
        <f t="shared" si="19"/>
        <v>242</v>
      </c>
      <c r="AF30" s="5">
        <f t="shared" si="19"/>
        <v>266</v>
      </c>
      <c r="AG30" s="5">
        <f t="shared" ref="AG30:AK30" si="20">SUM(AG28:AG29)</f>
        <v>228</v>
      </c>
      <c r="AH30" s="5">
        <f t="shared" si="20"/>
        <v>219</v>
      </c>
      <c r="AI30" s="5">
        <f t="shared" si="20"/>
        <v>246</v>
      </c>
      <c r="AJ30" s="5">
        <f t="shared" si="20"/>
        <v>244</v>
      </c>
      <c r="AK30" s="5">
        <f t="shared" si="20"/>
        <v>234</v>
      </c>
      <c r="AL30" s="5">
        <f t="shared" si="19"/>
        <v>257</v>
      </c>
      <c r="AM30" s="5">
        <f t="shared" si="19"/>
        <v>226</v>
      </c>
      <c r="AN30" s="5">
        <f t="shared" si="19"/>
        <v>269</v>
      </c>
      <c r="AO30" s="5">
        <f t="shared" si="19"/>
        <v>205</v>
      </c>
      <c r="AP30" s="5">
        <f t="shared" si="19"/>
        <v>253</v>
      </c>
      <c r="AQ30" s="5">
        <f t="shared" si="19"/>
        <v>202</v>
      </c>
      <c r="AR30" s="5">
        <f t="shared" si="3"/>
        <v>8963</v>
      </c>
    </row>
    <row r="31" spans="1:44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6"/>
      <c r="W31" s="6"/>
      <c r="X31" s="6"/>
      <c r="Y31" s="6"/>
      <c r="Z31" s="6"/>
      <c r="AA31" s="6"/>
      <c r="AB31" s="6"/>
      <c r="AC31" s="6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28"/>
    </row>
    <row r="32" spans="1:44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5"/>
      <c r="W32" s="5"/>
      <c r="X32" s="5"/>
      <c r="Y32" s="5"/>
      <c r="Z32" s="5"/>
      <c r="AA32" s="5"/>
      <c r="AB32" s="5"/>
      <c r="AC32" s="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28"/>
    </row>
    <row r="33" spans="1:44" x14ac:dyDescent="0.4">
      <c r="A33" s="6">
        <v>1</v>
      </c>
      <c r="B33" s="61" t="s">
        <v>38</v>
      </c>
      <c r="C33" s="54"/>
      <c r="D33" s="55"/>
      <c r="E33" s="6">
        <v>300</v>
      </c>
      <c r="F33" s="6">
        <v>303</v>
      </c>
      <c r="G33" s="6">
        <v>273</v>
      </c>
      <c r="H33" s="6">
        <v>295</v>
      </c>
      <c r="I33" s="6">
        <v>303</v>
      </c>
      <c r="J33" s="6">
        <v>299</v>
      </c>
      <c r="K33" s="6">
        <v>289</v>
      </c>
      <c r="L33" s="6">
        <v>304</v>
      </c>
      <c r="M33" s="6">
        <v>281</v>
      </c>
      <c r="N33" s="6">
        <v>305</v>
      </c>
      <c r="O33" s="6">
        <v>305</v>
      </c>
      <c r="P33" s="6">
        <v>264</v>
      </c>
      <c r="Q33" s="6">
        <v>304</v>
      </c>
      <c r="R33" s="6">
        <v>301</v>
      </c>
      <c r="S33" s="6">
        <v>301</v>
      </c>
      <c r="T33" s="6">
        <v>304</v>
      </c>
      <c r="U33" s="6">
        <v>303</v>
      </c>
      <c r="V33" s="6">
        <v>301</v>
      </c>
      <c r="W33" s="6">
        <v>297</v>
      </c>
      <c r="X33" s="6">
        <v>304</v>
      </c>
      <c r="Y33" s="6">
        <v>271</v>
      </c>
      <c r="Z33" s="6">
        <v>293</v>
      </c>
      <c r="AA33" s="6">
        <v>288</v>
      </c>
      <c r="AB33" s="6">
        <v>304</v>
      </c>
      <c r="AC33" s="6">
        <v>300</v>
      </c>
      <c r="AD33" s="6">
        <v>303</v>
      </c>
      <c r="AE33" s="6">
        <v>305</v>
      </c>
      <c r="AF33" s="6">
        <v>298</v>
      </c>
      <c r="AG33" s="6">
        <v>293</v>
      </c>
      <c r="AH33" s="6">
        <v>285</v>
      </c>
      <c r="AI33" s="6">
        <v>299</v>
      </c>
      <c r="AJ33" s="6">
        <v>299</v>
      </c>
      <c r="AK33" s="6">
        <v>300</v>
      </c>
      <c r="AL33" s="6">
        <v>300</v>
      </c>
      <c r="AM33" s="6">
        <v>272</v>
      </c>
      <c r="AN33" s="6">
        <v>301</v>
      </c>
      <c r="AO33" s="6">
        <v>285</v>
      </c>
      <c r="AP33" s="6">
        <v>303</v>
      </c>
      <c r="AQ33" s="6">
        <v>283</v>
      </c>
      <c r="AR33" s="5">
        <f>SUM(E33:AQ33)</f>
        <v>11518</v>
      </c>
    </row>
    <row r="34" spans="1:44" x14ac:dyDescent="0.4">
      <c r="A34" s="6">
        <v>2</v>
      </c>
      <c r="B34" s="61" t="s">
        <v>39</v>
      </c>
      <c r="C34" s="54"/>
      <c r="D34" s="55"/>
      <c r="E34" s="5">
        <v>236</v>
      </c>
      <c r="F34" s="5">
        <v>230</v>
      </c>
      <c r="G34" s="5">
        <v>167</v>
      </c>
      <c r="H34" s="5">
        <v>193</v>
      </c>
      <c r="I34" s="5">
        <v>210</v>
      </c>
      <c r="J34" s="5">
        <v>195</v>
      </c>
      <c r="K34" s="5">
        <v>219</v>
      </c>
      <c r="L34" s="5">
        <v>241</v>
      </c>
      <c r="M34" s="5">
        <v>213</v>
      </c>
      <c r="N34" s="5">
        <v>220</v>
      </c>
      <c r="O34" s="5">
        <v>241</v>
      </c>
      <c r="P34" s="5">
        <v>216</v>
      </c>
      <c r="Q34" s="5">
        <v>240</v>
      </c>
      <c r="R34" s="5">
        <v>235</v>
      </c>
      <c r="S34" s="5">
        <v>231</v>
      </c>
      <c r="T34" s="5">
        <v>261</v>
      </c>
      <c r="U34" s="5">
        <v>201</v>
      </c>
      <c r="V34" s="5">
        <v>257</v>
      </c>
      <c r="W34" s="5">
        <v>222</v>
      </c>
      <c r="X34" s="5">
        <v>236</v>
      </c>
      <c r="Y34" s="5">
        <v>202</v>
      </c>
      <c r="Z34" s="5">
        <v>217</v>
      </c>
      <c r="AA34" s="5">
        <v>216</v>
      </c>
      <c r="AB34" s="5">
        <v>260</v>
      </c>
      <c r="AC34" s="5">
        <v>239</v>
      </c>
      <c r="AD34" s="5">
        <v>274</v>
      </c>
      <c r="AE34" s="5">
        <v>242</v>
      </c>
      <c r="AF34" s="5">
        <v>266</v>
      </c>
      <c r="AG34" s="5">
        <v>228</v>
      </c>
      <c r="AH34" s="5">
        <v>219</v>
      </c>
      <c r="AI34" s="5">
        <v>246</v>
      </c>
      <c r="AJ34" s="5">
        <v>244</v>
      </c>
      <c r="AK34" s="5">
        <v>234</v>
      </c>
      <c r="AL34" s="5">
        <v>257</v>
      </c>
      <c r="AM34" s="5">
        <v>226</v>
      </c>
      <c r="AN34" s="5">
        <v>269</v>
      </c>
      <c r="AO34" s="5">
        <v>205</v>
      </c>
      <c r="AP34" s="5">
        <v>253</v>
      </c>
      <c r="AQ34" s="5">
        <v>202</v>
      </c>
      <c r="AR34" s="5">
        <f>SUM(E34:AQ34)</f>
        <v>8963</v>
      </c>
    </row>
    <row r="35" spans="1:44" x14ac:dyDescent="0.4">
      <c r="A35" s="6">
        <v>3</v>
      </c>
      <c r="B35" s="61" t="s">
        <v>40</v>
      </c>
      <c r="C35" s="54"/>
      <c r="D35" s="55"/>
      <c r="E35" s="6">
        <v>0</v>
      </c>
      <c r="F35" s="6">
        <v>0</v>
      </c>
      <c r="G35" s="6">
        <v>0</v>
      </c>
      <c r="H35" s="6">
        <v>1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2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3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1</v>
      </c>
      <c r="AH35" s="6">
        <v>0</v>
      </c>
      <c r="AI35" s="6"/>
      <c r="AJ35" s="6"/>
      <c r="AK35" s="6"/>
      <c r="AL35" s="6"/>
      <c r="AM35" s="6">
        <v>1</v>
      </c>
      <c r="AN35" s="6"/>
      <c r="AO35" s="6">
        <v>1</v>
      </c>
      <c r="AP35" s="6"/>
      <c r="AQ35" s="6"/>
      <c r="AR35" s="5">
        <f>SUM(E35:AQ35)</f>
        <v>10</v>
      </c>
    </row>
    <row r="36" spans="1:44" x14ac:dyDescent="0.4">
      <c r="A36" s="6">
        <v>4</v>
      </c>
      <c r="B36" s="61" t="s">
        <v>41</v>
      </c>
      <c r="C36" s="54"/>
      <c r="D36" s="55"/>
      <c r="E36" s="5">
        <f t="shared" ref="E36:AQ36" si="21">E33-(E34+E35)</f>
        <v>64</v>
      </c>
      <c r="F36" s="5">
        <f t="shared" ref="F36:U36" si="22">F33-(F34+F35)</f>
        <v>73</v>
      </c>
      <c r="G36" s="5">
        <f t="shared" si="22"/>
        <v>106</v>
      </c>
      <c r="H36" s="5">
        <f t="shared" si="22"/>
        <v>101</v>
      </c>
      <c r="I36" s="5">
        <f t="shared" si="22"/>
        <v>93</v>
      </c>
      <c r="J36" s="5">
        <f t="shared" si="22"/>
        <v>103</v>
      </c>
      <c r="K36" s="5">
        <f t="shared" si="22"/>
        <v>70</v>
      </c>
      <c r="L36" s="5">
        <f t="shared" si="22"/>
        <v>63</v>
      </c>
      <c r="M36" s="5">
        <f t="shared" si="22"/>
        <v>68</v>
      </c>
      <c r="N36" s="5">
        <f t="shared" si="22"/>
        <v>85</v>
      </c>
      <c r="O36" s="5">
        <f t="shared" si="22"/>
        <v>64</v>
      </c>
      <c r="P36" s="5">
        <f t="shared" si="22"/>
        <v>46</v>
      </c>
      <c r="Q36" s="5">
        <f t="shared" si="22"/>
        <v>64</v>
      </c>
      <c r="R36" s="5">
        <f t="shared" si="22"/>
        <v>66</v>
      </c>
      <c r="S36" s="5">
        <f t="shared" si="22"/>
        <v>70</v>
      </c>
      <c r="T36" s="5">
        <f t="shared" si="22"/>
        <v>43</v>
      </c>
      <c r="U36" s="5">
        <f t="shared" si="22"/>
        <v>102</v>
      </c>
      <c r="V36" s="5">
        <f t="shared" si="21"/>
        <v>44</v>
      </c>
      <c r="W36" s="5">
        <f t="shared" si="21"/>
        <v>75</v>
      </c>
      <c r="X36" s="5">
        <f t="shared" si="21"/>
        <v>68</v>
      </c>
      <c r="Y36" s="5">
        <f t="shared" si="21"/>
        <v>69</v>
      </c>
      <c r="Z36" s="5">
        <f t="shared" si="21"/>
        <v>73</v>
      </c>
      <c r="AA36" s="5">
        <f t="shared" si="21"/>
        <v>72</v>
      </c>
      <c r="AB36" s="5">
        <f t="shared" si="21"/>
        <v>44</v>
      </c>
      <c r="AC36" s="5">
        <f t="shared" si="21"/>
        <v>61</v>
      </c>
      <c r="AD36" s="5">
        <f t="shared" si="21"/>
        <v>29</v>
      </c>
      <c r="AE36" s="5">
        <f t="shared" si="21"/>
        <v>63</v>
      </c>
      <c r="AF36" s="5">
        <f t="shared" si="21"/>
        <v>32</v>
      </c>
      <c r="AG36" s="5">
        <f t="shared" ref="AG36:AK36" si="23">AG33-(AG34+AG35)</f>
        <v>64</v>
      </c>
      <c r="AH36" s="5">
        <f t="shared" si="23"/>
        <v>66</v>
      </c>
      <c r="AI36" s="5">
        <f t="shared" si="23"/>
        <v>53</v>
      </c>
      <c r="AJ36" s="5">
        <f t="shared" si="23"/>
        <v>55</v>
      </c>
      <c r="AK36" s="5">
        <f t="shared" si="23"/>
        <v>66</v>
      </c>
      <c r="AL36" s="5">
        <f t="shared" si="21"/>
        <v>43</v>
      </c>
      <c r="AM36" s="5">
        <f t="shared" si="21"/>
        <v>45</v>
      </c>
      <c r="AN36" s="5">
        <f t="shared" si="21"/>
        <v>32</v>
      </c>
      <c r="AO36" s="5">
        <f t="shared" si="21"/>
        <v>79</v>
      </c>
      <c r="AP36" s="5">
        <f t="shared" si="21"/>
        <v>50</v>
      </c>
      <c r="AQ36" s="5">
        <f t="shared" si="21"/>
        <v>81</v>
      </c>
      <c r="AR36" s="5">
        <f>SUM(E36:AQ36)</f>
        <v>2545</v>
      </c>
    </row>
    <row r="37" spans="1:44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6"/>
      <c r="W37" s="76"/>
      <c r="X37" s="76"/>
      <c r="Y37" s="77"/>
      <c r="Z37" s="6"/>
      <c r="AA37" s="6"/>
      <c r="AB37" s="6"/>
      <c r="AC37" s="6"/>
      <c r="AD37" s="10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8"/>
    </row>
    <row r="38" spans="1:44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5"/>
      <c r="W38" s="5"/>
      <c r="X38" s="5"/>
      <c r="Y38" s="5"/>
      <c r="Z38" s="5"/>
      <c r="AA38" s="5"/>
      <c r="AB38" s="5"/>
      <c r="AC38" s="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28"/>
    </row>
    <row r="39" spans="1:44" x14ac:dyDescent="0.4">
      <c r="A39" s="11"/>
      <c r="B39" s="78" t="s">
        <v>44</v>
      </c>
      <c r="C39" s="63"/>
      <c r="D39" s="6" t="s">
        <v>23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2</v>
      </c>
      <c r="T39" s="6">
        <v>1</v>
      </c>
      <c r="U39" s="6">
        <v>0</v>
      </c>
      <c r="V39" s="6">
        <v>0</v>
      </c>
      <c r="W39" s="6">
        <v>2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3</v>
      </c>
      <c r="AD39" s="6">
        <v>3</v>
      </c>
      <c r="AE39" s="6">
        <v>0</v>
      </c>
      <c r="AF39" s="6">
        <v>0</v>
      </c>
      <c r="AG39" s="6">
        <v>0</v>
      </c>
      <c r="AH39" s="6">
        <v>1</v>
      </c>
      <c r="AI39" s="6"/>
      <c r="AJ39" s="6"/>
      <c r="AK39" s="6"/>
      <c r="AL39" s="6"/>
      <c r="AM39" s="6"/>
      <c r="AN39" s="6"/>
      <c r="AO39" s="6"/>
      <c r="AP39" s="6"/>
      <c r="AQ39" s="6"/>
      <c r="AR39" s="5">
        <f>SUM(E39:AQ39)</f>
        <v>15</v>
      </c>
    </row>
    <row r="40" spans="1:44" x14ac:dyDescent="0.4">
      <c r="A40" s="12"/>
      <c r="B40" s="79"/>
      <c r="C40" s="65"/>
      <c r="D40" s="6" t="s">
        <v>24</v>
      </c>
      <c r="E40" s="6">
        <v>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3</v>
      </c>
      <c r="T40" s="6">
        <v>0</v>
      </c>
      <c r="U40" s="6">
        <v>2</v>
      </c>
      <c r="V40" s="6">
        <v>0</v>
      </c>
      <c r="W40" s="6">
        <v>1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4</v>
      </c>
      <c r="AD40" s="6">
        <v>1</v>
      </c>
      <c r="AE40" s="6">
        <v>0</v>
      </c>
      <c r="AF40" s="6">
        <v>0</v>
      </c>
      <c r="AG40" s="6">
        <v>1</v>
      </c>
      <c r="AH40" s="6">
        <v>0</v>
      </c>
      <c r="AI40" s="6"/>
      <c r="AJ40" s="6"/>
      <c r="AK40" s="6"/>
      <c r="AL40" s="6"/>
      <c r="AM40" s="6"/>
      <c r="AN40" s="6"/>
      <c r="AO40" s="6"/>
      <c r="AP40" s="6"/>
      <c r="AQ40" s="6"/>
      <c r="AR40" s="5">
        <f>SUM(E40:AQ40)</f>
        <v>14</v>
      </c>
    </row>
    <row r="41" spans="1:44" x14ac:dyDescent="0.4">
      <c r="A41" s="14"/>
      <c r="B41" s="80"/>
      <c r="C41" s="67"/>
      <c r="D41" s="5" t="s">
        <v>25</v>
      </c>
      <c r="E41" s="5">
        <f t="shared" ref="E41:AQ41" si="24">SUM(E39:E40)</f>
        <v>3</v>
      </c>
      <c r="F41" s="5">
        <f t="shared" ref="F41:U41" si="25">SUM(F39:F40)</f>
        <v>1</v>
      </c>
      <c r="G41" s="5">
        <f t="shared" si="25"/>
        <v>0</v>
      </c>
      <c r="H41" s="5">
        <f t="shared" si="25"/>
        <v>0</v>
      </c>
      <c r="I41" s="5">
        <f t="shared" si="25"/>
        <v>0</v>
      </c>
      <c r="J41" s="5">
        <f t="shared" si="25"/>
        <v>0</v>
      </c>
      <c r="K41" s="5">
        <f t="shared" si="25"/>
        <v>0</v>
      </c>
      <c r="L41" s="5">
        <f t="shared" si="25"/>
        <v>0</v>
      </c>
      <c r="M41" s="5">
        <f t="shared" si="25"/>
        <v>1</v>
      </c>
      <c r="N41" s="5">
        <f t="shared" si="25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5</v>
      </c>
      <c r="T41" s="5">
        <f t="shared" si="25"/>
        <v>1</v>
      </c>
      <c r="U41" s="5">
        <f t="shared" si="25"/>
        <v>2</v>
      </c>
      <c r="V41" s="5">
        <f t="shared" si="24"/>
        <v>0</v>
      </c>
      <c r="W41" s="5">
        <f t="shared" si="24"/>
        <v>3</v>
      </c>
      <c r="X41" s="5">
        <f t="shared" si="24"/>
        <v>0</v>
      </c>
      <c r="Y41" s="5">
        <f t="shared" si="24"/>
        <v>0</v>
      </c>
      <c r="Z41" s="5">
        <f t="shared" si="24"/>
        <v>0</v>
      </c>
      <c r="AA41" s="5">
        <f t="shared" si="24"/>
        <v>0</v>
      </c>
      <c r="AB41" s="5">
        <f t="shared" si="24"/>
        <v>0</v>
      </c>
      <c r="AC41" s="5">
        <f t="shared" si="24"/>
        <v>7</v>
      </c>
      <c r="AD41" s="5">
        <f t="shared" si="24"/>
        <v>4</v>
      </c>
      <c r="AE41" s="5">
        <f t="shared" si="24"/>
        <v>0</v>
      </c>
      <c r="AF41" s="5">
        <f t="shared" si="24"/>
        <v>0</v>
      </c>
      <c r="AG41" s="5">
        <f t="shared" ref="AG41:AK41" si="26">SUM(AG39:AG40)</f>
        <v>1</v>
      </c>
      <c r="AH41" s="5">
        <f t="shared" si="26"/>
        <v>1</v>
      </c>
      <c r="AI41" s="5">
        <f t="shared" si="26"/>
        <v>0</v>
      </c>
      <c r="AJ41" s="5">
        <f t="shared" si="26"/>
        <v>0</v>
      </c>
      <c r="AK41" s="5">
        <f t="shared" si="26"/>
        <v>0</v>
      </c>
      <c r="AL41" s="5">
        <f t="shared" si="24"/>
        <v>0</v>
      </c>
      <c r="AM41" s="5">
        <f t="shared" si="24"/>
        <v>0</v>
      </c>
      <c r="AN41" s="5">
        <f t="shared" si="24"/>
        <v>0</v>
      </c>
      <c r="AO41" s="5">
        <f t="shared" si="24"/>
        <v>0</v>
      </c>
      <c r="AP41" s="5">
        <f t="shared" si="24"/>
        <v>0</v>
      </c>
      <c r="AQ41" s="5">
        <f t="shared" si="24"/>
        <v>0</v>
      </c>
      <c r="AR41" s="5">
        <f>SUM(E41:AQ41)</f>
        <v>29</v>
      </c>
    </row>
    <row r="42" spans="1:44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54"/>
      <c r="W42" s="54"/>
      <c r="X42" s="54"/>
      <c r="Y42" s="55"/>
      <c r="Z42" s="6"/>
      <c r="AA42" s="6"/>
      <c r="AB42" s="6"/>
      <c r="AC42" s="6"/>
      <c r="AD42" s="10"/>
      <c r="AE42" s="6"/>
      <c r="AF42" s="10"/>
      <c r="AG42" s="6"/>
      <c r="AH42" s="10"/>
      <c r="AI42" s="6"/>
      <c r="AJ42" s="10"/>
      <c r="AK42" s="6"/>
      <c r="AL42" s="6"/>
      <c r="AM42" s="10"/>
      <c r="AN42" s="6"/>
      <c r="AO42" s="10"/>
      <c r="AP42" s="6"/>
      <c r="AQ42" s="10"/>
      <c r="AR42" s="5"/>
    </row>
    <row r="43" spans="1:44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5"/>
      <c r="W43" s="5"/>
      <c r="X43" s="5"/>
      <c r="Y43" s="5"/>
      <c r="Z43" s="5"/>
      <c r="AA43" s="5"/>
      <c r="AB43" s="5"/>
      <c r="AC43" s="5"/>
      <c r="AD43" s="15"/>
      <c r="AE43" s="5"/>
      <c r="AF43" s="15"/>
      <c r="AG43" s="5"/>
      <c r="AH43" s="15"/>
      <c r="AI43" s="5"/>
      <c r="AJ43" s="15"/>
      <c r="AK43" s="5"/>
      <c r="AL43" s="5"/>
      <c r="AM43" s="15"/>
      <c r="AN43" s="5"/>
      <c r="AO43" s="15"/>
      <c r="AP43" s="5"/>
      <c r="AQ43" s="15"/>
      <c r="AR43" s="5"/>
    </row>
    <row r="44" spans="1:44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6"/>
      <c r="W44" s="6"/>
      <c r="X44" s="6"/>
      <c r="Y44" s="6"/>
      <c r="Z44" s="6"/>
      <c r="AA44" s="6"/>
      <c r="AB44" s="6"/>
      <c r="AC44" s="6"/>
      <c r="AD44" s="10"/>
      <c r="AE44" s="6"/>
      <c r="AF44" s="10"/>
      <c r="AG44" s="6"/>
      <c r="AH44" s="10"/>
      <c r="AI44" s="6"/>
      <c r="AJ44" s="10"/>
      <c r="AK44" s="6"/>
      <c r="AL44" s="6"/>
      <c r="AM44" s="10"/>
      <c r="AN44" s="6"/>
      <c r="AO44" s="10"/>
      <c r="AP44" s="6"/>
      <c r="AQ44" s="10"/>
      <c r="AR44" s="5"/>
    </row>
    <row r="45" spans="1:44" x14ac:dyDescent="0.4">
      <c r="A45" s="11" t="s">
        <v>48</v>
      </c>
      <c r="B45" s="17" t="s">
        <v>28</v>
      </c>
      <c r="C45" s="83" t="s">
        <v>49</v>
      </c>
      <c r="D45" s="55"/>
      <c r="E45" s="6">
        <v>4</v>
      </c>
      <c r="F45" s="6">
        <v>8</v>
      </c>
      <c r="G45" s="6">
        <v>3</v>
      </c>
      <c r="H45" s="6">
        <v>6</v>
      </c>
      <c r="I45" s="6">
        <v>6</v>
      </c>
      <c r="J45" s="6">
        <v>5</v>
      </c>
      <c r="K45" s="6">
        <v>9</v>
      </c>
      <c r="L45" s="6">
        <v>11</v>
      </c>
      <c r="M45" s="6">
        <v>5</v>
      </c>
      <c r="N45" s="6">
        <v>10</v>
      </c>
      <c r="O45" s="6">
        <v>6</v>
      </c>
      <c r="P45" s="6">
        <v>11</v>
      </c>
      <c r="Q45" s="6">
        <v>11</v>
      </c>
      <c r="R45" s="6">
        <v>5</v>
      </c>
      <c r="S45" s="6">
        <v>6</v>
      </c>
      <c r="T45" s="6">
        <v>11</v>
      </c>
      <c r="U45" s="6">
        <v>3</v>
      </c>
      <c r="V45" s="6">
        <v>18</v>
      </c>
      <c r="W45" s="6">
        <v>5</v>
      </c>
      <c r="X45" s="6">
        <v>7</v>
      </c>
      <c r="Y45" s="6">
        <v>7</v>
      </c>
      <c r="Z45" s="6">
        <v>5</v>
      </c>
      <c r="AA45" s="6">
        <v>24</v>
      </c>
      <c r="AB45" s="6">
        <v>20</v>
      </c>
      <c r="AC45" s="6">
        <v>9</v>
      </c>
      <c r="AD45" s="6">
        <v>9</v>
      </c>
      <c r="AE45" s="6">
        <v>5</v>
      </c>
      <c r="AF45" s="6">
        <v>14</v>
      </c>
      <c r="AG45" s="6">
        <v>17</v>
      </c>
      <c r="AH45" s="6">
        <v>16</v>
      </c>
      <c r="AI45" s="6">
        <v>22</v>
      </c>
      <c r="AJ45" s="6">
        <v>9</v>
      </c>
      <c r="AK45" s="6">
        <v>11</v>
      </c>
      <c r="AL45" s="6">
        <v>31</v>
      </c>
      <c r="AM45" s="6">
        <v>11</v>
      </c>
      <c r="AN45" s="6">
        <v>24</v>
      </c>
      <c r="AO45" s="6">
        <v>15</v>
      </c>
      <c r="AP45" s="6">
        <v>16</v>
      </c>
      <c r="AQ45" s="6">
        <v>0</v>
      </c>
      <c r="AR45" s="5">
        <f t="shared" ref="AR45:AR66" si="27">SUM(E45:AQ45)</f>
        <v>415</v>
      </c>
    </row>
    <row r="46" spans="1:44" x14ac:dyDescent="0.4">
      <c r="A46" s="11" t="s">
        <v>50</v>
      </c>
      <c r="B46" s="46"/>
      <c r="C46" s="24" t="s">
        <v>110</v>
      </c>
      <c r="D46" s="24"/>
      <c r="E46" s="6">
        <v>8</v>
      </c>
      <c r="F46" s="6">
        <v>11</v>
      </c>
      <c r="G46" s="6">
        <v>9</v>
      </c>
      <c r="H46" s="6">
        <v>18</v>
      </c>
      <c r="I46" s="6">
        <v>10</v>
      </c>
      <c r="J46" s="6">
        <v>14</v>
      </c>
      <c r="K46" s="6">
        <v>46</v>
      </c>
      <c r="L46" s="6">
        <v>62</v>
      </c>
      <c r="M46" s="6">
        <v>41</v>
      </c>
      <c r="N46" s="6">
        <v>36</v>
      </c>
      <c r="O46" s="6">
        <v>33</v>
      </c>
      <c r="P46" s="6">
        <v>40</v>
      </c>
      <c r="Q46" s="6">
        <v>37</v>
      </c>
      <c r="R46" s="6">
        <v>13</v>
      </c>
      <c r="S46" s="6">
        <v>22</v>
      </c>
      <c r="T46" s="6">
        <v>32</v>
      </c>
      <c r="U46" s="6">
        <v>12</v>
      </c>
      <c r="V46" s="6">
        <v>13</v>
      </c>
      <c r="W46" s="6">
        <v>16</v>
      </c>
      <c r="X46" s="6">
        <v>13</v>
      </c>
      <c r="Y46" s="6">
        <v>23</v>
      </c>
      <c r="Z46" s="6">
        <v>52</v>
      </c>
      <c r="AA46" s="6">
        <v>37</v>
      </c>
      <c r="AB46" s="6">
        <v>41</v>
      </c>
      <c r="AC46" s="6">
        <v>30</v>
      </c>
      <c r="AD46" s="6">
        <v>11</v>
      </c>
      <c r="AE46" s="6">
        <v>16</v>
      </c>
      <c r="AF46" s="6">
        <v>30</v>
      </c>
      <c r="AG46" s="6">
        <v>35</v>
      </c>
      <c r="AH46" s="6">
        <v>47</v>
      </c>
      <c r="AI46" s="6">
        <v>45</v>
      </c>
      <c r="AJ46" s="6">
        <v>39</v>
      </c>
      <c r="AK46" s="6">
        <v>29</v>
      </c>
      <c r="AL46" s="6">
        <v>40</v>
      </c>
      <c r="AM46" s="6">
        <v>25</v>
      </c>
      <c r="AN46" s="6">
        <v>69</v>
      </c>
      <c r="AO46" s="6">
        <v>35</v>
      </c>
      <c r="AP46" s="6">
        <v>43</v>
      </c>
      <c r="AQ46" s="6">
        <v>3</v>
      </c>
      <c r="AR46" s="5">
        <f t="shared" si="27"/>
        <v>1136</v>
      </c>
    </row>
    <row r="47" spans="1:44" x14ac:dyDescent="0.4">
      <c r="A47" s="7"/>
      <c r="B47" s="47"/>
      <c r="C47" s="24" t="s">
        <v>111</v>
      </c>
      <c r="D47" s="24"/>
      <c r="E47" s="6">
        <v>3</v>
      </c>
      <c r="F47" s="6">
        <v>2</v>
      </c>
      <c r="G47" s="6">
        <v>1</v>
      </c>
      <c r="H47" s="6">
        <v>1</v>
      </c>
      <c r="I47" s="6">
        <v>2</v>
      </c>
      <c r="J47" s="6">
        <v>1</v>
      </c>
      <c r="K47" s="6">
        <v>3</v>
      </c>
      <c r="L47" s="6">
        <v>0</v>
      </c>
      <c r="M47" s="6">
        <v>7</v>
      </c>
      <c r="N47" s="6">
        <v>1</v>
      </c>
      <c r="O47" s="6">
        <v>9</v>
      </c>
      <c r="P47" s="6">
        <v>1</v>
      </c>
      <c r="Q47" s="6">
        <v>2</v>
      </c>
      <c r="R47" s="6">
        <v>1</v>
      </c>
      <c r="S47" s="6">
        <v>2</v>
      </c>
      <c r="T47" s="6">
        <v>0</v>
      </c>
      <c r="U47" s="6">
        <v>2</v>
      </c>
      <c r="V47" s="6">
        <v>3</v>
      </c>
      <c r="W47" s="6">
        <v>2</v>
      </c>
      <c r="X47" s="6">
        <v>2</v>
      </c>
      <c r="Y47" s="6">
        <v>0</v>
      </c>
      <c r="Z47" s="6">
        <v>28</v>
      </c>
      <c r="AA47" s="6">
        <v>1</v>
      </c>
      <c r="AB47" s="6">
        <v>2</v>
      </c>
      <c r="AC47" s="6">
        <v>21</v>
      </c>
      <c r="AD47" s="6">
        <v>3</v>
      </c>
      <c r="AE47" s="6">
        <v>5</v>
      </c>
      <c r="AF47" s="6">
        <v>1</v>
      </c>
      <c r="AG47" s="6">
        <v>22</v>
      </c>
      <c r="AH47" s="6">
        <v>3</v>
      </c>
      <c r="AI47" s="6">
        <v>6</v>
      </c>
      <c r="AJ47" s="6">
        <v>1</v>
      </c>
      <c r="AK47" s="6">
        <v>3</v>
      </c>
      <c r="AL47" s="6">
        <v>4</v>
      </c>
      <c r="AM47" s="6">
        <v>1</v>
      </c>
      <c r="AN47" s="6">
        <v>5</v>
      </c>
      <c r="AO47" s="6">
        <v>18</v>
      </c>
      <c r="AP47" s="6">
        <v>3</v>
      </c>
      <c r="AQ47" s="6">
        <v>0</v>
      </c>
      <c r="AR47" s="5">
        <f t="shared" si="27"/>
        <v>172</v>
      </c>
    </row>
    <row r="48" spans="1:44" x14ac:dyDescent="0.4">
      <c r="A48" s="7"/>
      <c r="B48" s="47"/>
      <c r="C48" s="24" t="s">
        <v>112</v>
      </c>
      <c r="D48" s="24"/>
      <c r="E48" s="6">
        <v>0</v>
      </c>
      <c r="F48" s="6">
        <v>0</v>
      </c>
      <c r="G48" s="6">
        <v>3</v>
      </c>
      <c r="H48" s="6">
        <v>0</v>
      </c>
      <c r="I48" s="6">
        <v>0</v>
      </c>
      <c r="J48" s="6">
        <v>0</v>
      </c>
      <c r="K48" s="6">
        <v>1</v>
      </c>
      <c r="L48" s="6">
        <v>1</v>
      </c>
      <c r="M48" s="6">
        <v>1</v>
      </c>
      <c r="N48" s="6">
        <v>0</v>
      </c>
      <c r="O48" s="6">
        <v>0</v>
      </c>
      <c r="P48" s="6">
        <v>0</v>
      </c>
      <c r="Q48" s="6">
        <v>0</v>
      </c>
      <c r="R48" s="6">
        <v>1</v>
      </c>
      <c r="S48" s="6">
        <v>1</v>
      </c>
      <c r="T48" s="6">
        <v>0</v>
      </c>
      <c r="U48" s="6">
        <v>1</v>
      </c>
      <c r="V48" s="6">
        <v>1</v>
      </c>
      <c r="W48" s="6">
        <v>0</v>
      </c>
      <c r="X48" s="6">
        <v>0</v>
      </c>
      <c r="Y48" s="6">
        <v>0</v>
      </c>
      <c r="Z48" s="6">
        <v>0</v>
      </c>
      <c r="AA48" s="6">
        <v>2</v>
      </c>
      <c r="AB48" s="6">
        <v>2</v>
      </c>
      <c r="AC48" s="6">
        <v>0</v>
      </c>
      <c r="AD48" s="6">
        <v>0</v>
      </c>
      <c r="AE48" s="6">
        <v>4</v>
      </c>
      <c r="AF48" s="6">
        <v>1</v>
      </c>
      <c r="AG48" s="6">
        <v>2</v>
      </c>
      <c r="AH48" s="6">
        <v>0</v>
      </c>
      <c r="AI48" s="6">
        <v>0</v>
      </c>
      <c r="AJ48" s="6">
        <v>0</v>
      </c>
      <c r="AK48" s="6">
        <v>0</v>
      </c>
      <c r="AL48" s="6">
        <v>4</v>
      </c>
      <c r="AM48" s="6">
        <v>1</v>
      </c>
      <c r="AN48" s="6">
        <v>0</v>
      </c>
      <c r="AO48" s="6">
        <v>8</v>
      </c>
      <c r="AP48" s="6">
        <v>2</v>
      </c>
      <c r="AQ48" s="6">
        <v>0</v>
      </c>
      <c r="AR48" s="5">
        <f t="shared" si="27"/>
        <v>36</v>
      </c>
    </row>
    <row r="49" spans="1:44" x14ac:dyDescent="0.4">
      <c r="A49" s="7"/>
      <c r="B49" s="47"/>
      <c r="C49" s="24" t="s">
        <v>113</v>
      </c>
      <c r="D49" s="24"/>
      <c r="E49" s="6">
        <v>0</v>
      </c>
      <c r="F49" s="6">
        <v>1</v>
      </c>
      <c r="G49" s="6">
        <v>0</v>
      </c>
      <c r="H49" s="6">
        <v>0</v>
      </c>
      <c r="I49" s="6">
        <v>0</v>
      </c>
      <c r="J49" s="6">
        <v>1</v>
      </c>
      <c r="K49" s="6">
        <v>1</v>
      </c>
      <c r="L49" s="6">
        <v>0</v>
      </c>
      <c r="M49" s="6">
        <v>0</v>
      </c>
      <c r="N49" s="6">
        <v>1</v>
      </c>
      <c r="O49" s="6">
        <v>0</v>
      </c>
      <c r="P49" s="6">
        <v>1</v>
      </c>
      <c r="Q49" s="6">
        <v>0</v>
      </c>
      <c r="R49" s="6">
        <v>0</v>
      </c>
      <c r="S49" s="6">
        <v>0</v>
      </c>
      <c r="T49" s="6">
        <v>1</v>
      </c>
      <c r="U49" s="6">
        <v>2</v>
      </c>
      <c r="V49" s="6">
        <v>1</v>
      </c>
      <c r="W49" s="6">
        <v>2</v>
      </c>
      <c r="X49" s="6">
        <v>2</v>
      </c>
      <c r="Y49" s="6">
        <v>1</v>
      </c>
      <c r="Z49" s="6">
        <v>0</v>
      </c>
      <c r="AA49" s="6">
        <v>0</v>
      </c>
      <c r="AB49" s="6">
        <v>1</v>
      </c>
      <c r="AC49" s="6">
        <v>1</v>
      </c>
      <c r="AD49" s="6">
        <v>0</v>
      </c>
      <c r="AE49" s="6">
        <v>1</v>
      </c>
      <c r="AF49" s="6">
        <v>0</v>
      </c>
      <c r="AG49" s="6">
        <v>1</v>
      </c>
      <c r="AH49" s="6">
        <v>0</v>
      </c>
      <c r="AI49" s="6">
        <v>1</v>
      </c>
      <c r="AJ49" s="6">
        <v>0</v>
      </c>
      <c r="AK49" s="6">
        <v>0</v>
      </c>
      <c r="AL49" s="6">
        <v>0</v>
      </c>
      <c r="AM49" s="6">
        <v>2</v>
      </c>
      <c r="AN49" s="6">
        <v>1</v>
      </c>
      <c r="AO49" s="6">
        <v>1</v>
      </c>
      <c r="AP49" s="6">
        <v>1</v>
      </c>
      <c r="AQ49" s="6">
        <v>0</v>
      </c>
      <c r="AR49" s="5">
        <f t="shared" si="27"/>
        <v>24</v>
      </c>
    </row>
    <row r="50" spans="1:44" x14ac:dyDescent="0.4">
      <c r="A50" s="7"/>
      <c r="B50" s="47"/>
      <c r="C50" s="24" t="s">
        <v>114</v>
      </c>
      <c r="D50" s="24"/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2</v>
      </c>
      <c r="N50" s="6">
        <v>1</v>
      </c>
      <c r="O50" s="6">
        <v>0</v>
      </c>
      <c r="P50" s="6">
        <v>0</v>
      </c>
      <c r="Q50" s="6">
        <v>0</v>
      </c>
      <c r="R50" s="6">
        <v>1</v>
      </c>
      <c r="S50" s="6">
        <v>0</v>
      </c>
      <c r="T50" s="6">
        <v>1</v>
      </c>
      <c r="U50" s="6">
        <v>0</v>
      </c>
      <c r="V50" s="6">
        <v>0</v>
      </c>
      <c r="W50" s="6">
        <v>1</v>
      </c>
      <c r="X50" s="6">
        <v>0</v>
      </c>
      <c r="Y50" s="6">
        <v>0</v>
      </c>
      <c r="Z50" s="6">
        <v>1</v>
      </c>
      <c r="AA50" s="6">
        <v>1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  <c r="AG50" s="6">
        <v>1</v>
      </c>
      <c r="AH50" s="6">
        <v>0</v>
      </c>
      <c r="AI50" s="6">
        <v>0</v>
      </c>
      <c r="AJ50" s="6">
        <v>0</v>
      </c>
      <c r="AK50" s="6">
        <v>1</v>
      </c>
      <c r="AL50" s="6">
        <v>0</v>
      </c>
      <c r="AM50" s="6">
        <v>0</v>
      </c>
      <c r="AN50" s="6">
        <v>1</v>
      </c>
      <c r="AO50" s="6">
        <v>3</v>
      </c>
      <c r="AP50" s="6">
        <v>7</v>
      </c>
      <c r="AQ50" s="6">
        <v>0</v>
      </c>
      <c r="AR50" s="5">
        <f t="shared" si="27"/>
        <v>24</v>
      </c>
    </row>
    <row r="51" spans="1:44" x14ac:dyDescent="0.4">
      <c r="A51" s="7"/>
      <c r="B51" s="47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2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6">
        <v>1</v>
      </c>
      <c r="S51" s="6">
        <v>0</v>
      </c>
      <c r="T51" s="6">
        <v>0</v>
      </c>
      <c r="U51" s="6">
        <v>1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1</v>
      </c>
      <c r="AD51" s="6">
        <v>0</v>
      </c>
      <c r="AE51" s="6">
        <v>1</v>
      </c>
      <c r="AF51" s="6">
        <v>0</v>
      </c>
      <c r="AG51" s="6">
        <v>0</v>
      </c>
      <c r="AH51" s="6">
        <v>1</v>
      </c>
      <c r="AI51" s="6">
        <v>0</v>
      </c>
      <c r="AJ51" s="6">
        <v>1</v>
      </c>
      <c r="AK51" s="6">
        <v>0</v>
      </c>
      <c r="AL51" s="6">
        <v>0</v>
      </c>
      <c r="AM51" s="6">
        <v>0</v>
      </c>
      <c r="AN51" s="6">
        <v>1</v>
      </c>
      <c r="AO51" s="6">
        <v>0</v>
      </c>
      <c r="AP51" s="6">
        <v>1</v>
      </c>
      <c r="AQ51" s="6">
        <v>1</v>
      </c>
      <c r="AR51" s="5">
        <f t="shared" si="27"/>
        <v>13</v>
      </c>
    </row>
    <row r="52" spans="1:44" ht="13.15" customHeight="1" x14ac:dyDescent="0.4">
      <c r="A52" s="7"/>
      <c r="B52" s="47"/>
      <c r="C52" s="24" t="s">
        <v>116</v>
      </c>
      <c r="D52" s="24"/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1</v>
      </c>
      <c r="AI52" s="6">
        <v>2</v>
      </c>
      <c r="AJ52" s="6">
        <v>0</v>
      </c>
      <c r="AK52" s="6">
        <v>0</v>
      </c>
      <c r="AL52" s="6">
        <v>1</v>
      </c>
      <c r="AM52" s="6">
        <v>0</v>
      </c>
      <c r="AN52" s="6">
        <v>0</v>
      </c>
      <c r="AO52" s="6">
        <v>0</v>
      </c>
      <c r="AP52" s="6">
        <v>1</v>
      </c>
      <c r="AQ52" s="6">
        <v>0</v>
      </c>
      <c r="AR52" s="5">
        <f t="shared" si="27"/>
        <v>9</v>
      </c>
    </row>
    <row r="53" spans="1:44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1</v>
      </c>
      <c r="AK53" s="6">
        <v>0</v>
      </c>
      <c r="AL53" s="6">
        <v>1</v>
      </c>
      <c r="AM53" s="6">
        <v>0</v>
      </c>
      <c r="AN53" s="6">
        <v>0</v>
      </c>
      <c r="AO53" s="6">
        <v>0</v>
      </c>
      <c r="AP53" s="6">
        <v>1</v>
      </c>
      <c r="AQ53" s="6">
        <v>0</v>
      </c>
      <c r="AR53" s="5">
        <f t="shared" si="27"/>
        <v>6</v>
      </c>
    </row>
    <row r="54" spans="1:44" ht="13.15" customHeight="1" x14ac:dyDescent="0.4">
      <c r="A54" s="7"/>
      <c r="B54" s="47"/>
      <c r="C54" s="24" t="s">
        <v>118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</v>
      </c>
      <c r="X54" s="6">
        <v>0</v>
      </c>
      <c r="Y54" s="6">
        <v>1</v>
      </c>
      <c r="Z54" s="6">
        <v>0</v>
      </c>
      <c r="AA54" s="6">
        <v>0</v>
      </c>
      <c r="AB54" s="6">
        <v>1</v>
      </c>
      <c r="AC54" s="6">
        <v>1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5">
        <f t="shared" si="27"/>
        <v>8</v>
      </c>
    </row>
    <row r="55" spans="1:44" x14ac:dyDescent="0.4">
      <c r="A55" s="6" t="s">
        <v>26</v>
      </c>
      <c r="B55" s="74" t="s">
        <v>51</v>
      </c>
      <c r="C55" s="54"/>
      <c r="D55" s="55"/>
      <c r="E55" s="6">
        <f>SUM(E45:E54)</f>
        <v>17</v>
      </c>
      <c r="F55" s="6">
        <f t="shared" ref="F55:U55" si="28">SUM(F45:F54)</f>
        <v>22</v>
      </c>
      <c r="G55" s="6">
        <f t="shared" si="28"/>
        <v>17</v>
      </c>
      <c r="H55" s="6">
        <f t="shared" si="28"/>
        <v>25</v>
      </c>
      <c r="I55" s="6">
        <f t="shared" si="28"/>
        <v>19</v>
      </c>
      <c r="J55" s="6">
        <f t="shared" si="28"/>
        <v>21</v>
      </c>
      <c r="K55" s="6">
        <f t="shared" si="28"/>
        <v>63</v>
      </c>
      <c r="L55" s="6">
        <f t="shared" si="28"/>
        <v>75</v>
      </c>
      <c r="M55" s="6">
        <f t="shared" si="28"/>
        <v>56</v>
      </c>
      <c r="N55" s="6">
        <f t="shared" si="28"/>
        <v>51</v>
      </c>
      <c r="O55" s="6">
        <f t="shared" si="28"/>
        <v>48</v>
      </c>
      <c r="P55" s="6">
        <f t="shared" si="28"/>
        <v>54</v>
      </c>
      <c r="Q55" s="6">
        <f t="shared" si="28"/>
        <v>52</v>
      </c>
      <c r="R55" s="6">
        <f t="shared" si="28"/>
        <v>22</v>
      </c>
      <c r="S55" s="6">
        <f t="shared" si="28"/>
        <v>32</v>
      </c>
      <c r="T55" s="6">
        <f t="shared" si="28"/>
        <v>45</v>
      </c>
      <c r="U55" s="6">
        <f t="shared" si="28"/>
        <v>21</v>
      </c>
      <c r="V55" s="6">
        <f t="shared" ref="V55:AR55" si="29">SUM(V45:V54)</f>
        <v>36</v>
      </c>
      <c r="W55" s="6">
        <f t="shared" si="29"/>
        <v>27</v>
      </c>
      <c r="X55" s="6">
        <f t="shared" si="29"/>
        <v>24</v>
      </c>
      <c r="Y55" s="6">
        <f t="shared" si="29"/>
        <v>34</v>
      </c>
      <c r="Z55" s="6">
        <f t="shared" si="29"/>
        <v>86</v>
      </c>
      <c r="AA55" s="6">
        <f t="shared" si="29"/>
        <v>65</v>
      </c>
      <c r="AB55" s="6">
        <f t="shared" si="29"/>
        <v>69</v>
      </c>
      <c r="AC55" s="6">
        <f t="shared" si="29"/>
        <v>63</v>
      </c>
      <c r="AD55" s="6">
        <f t="shared" si="29"/>
        <v>23</v>
      </c>
      <c r="AE55" s="6">
        <f t="shared" si="29"/>
        <v>32</v>
      </c>
      <c r="AF55" s="6">
        <f t="shared" si="29"/>
        <v>46</v>
      </c>
      <c r="AG55" s="6">
        <f t="shared" ref="AG55:AK55" si="30">SUM(AG45:AG54)</f>
        <v>78</v>
      </c>
      <c r="AH55" s="6">
        <f t="shared" si="30"/>
        <v>68</v>
      </c>
      <c r="AI55" s="6">
        <f t="shared" si="30"/>
        <v>76</v>
      </c>
      <c r="AJ55" s="6">
        <f t="shared" si="30"/>
        <v>51</v>
      </c>
      <c r="AK55" s="6">
        <f t="shared" si="30"/>
        <v>44</v>
      </c>
      <c r="AL55" s="6">
        <f t="shared" si="29"/>
        <v>81</v>
      </c>
      <c r="AM55" s="6">
        <f t="shared" si="29"/>
        <v>40</v>
      </c>
      <c r="AN55" s="6">
        <f t="shared" si="29"/>
        <v>101</v>
      </c>
      <c r="AO55" s="6">
        <f t="shared" si="29"/>
        <v>80</v>
      </c>
      <c r="AP55" s="6">
        <f t="shared" si="29"/>
        <v>75</v>
      </c>
      <c r="AQ55" s="6">
        <f t="shared" si="29"/>
        <v>4</v>
      </c>
      <c r="AR55" s="6">
        <f t="shared" si="29"/>
        <v>1843</v>
      </c>
    </row>
    <row r="56" spans="1:44" x14ac:dyDescent="0.4">
      <c r="A56" s="81"/>
      <c r="B56" s="80"/>
      <c r="C56" s="80"/>
      <c r="D56" s="80"/>
      <c r="E56" s="80"/>
      <c r="AR56" s="5"/>
    </row>
    <row r="57" spans="1:44" x14ac:dyDescent="0.4">
      <c r="A57" s="11" t="s">
        <v>48</v>
      </c>
      <c r="B57" s="17" t="s">
        <v>30</v>
      </c>
      <c r="C57" s="83" t="s">
        <v>52</v>
      </c>
      <c r="D57" s="55"/>
      <c r="E57" s="6">
        <v>15</v>
      </c>
      <c r="F57" s="6">
        <v>22</v>
      </c>
      <c r="G57" s="6">
        <v>13</v>
      </c>
      <c r="H57" s="6">
        <v>11</v>
      </c>
      <c r="I57" s="6">
        <v>13</v>
      </c>
      <c r="J57" s="6">
        <v>9</v>
      </c>
      <c r="K57" s="6">
        <v>22</v>
      </c>
      <c r="L57" s="6">
        <v>9</v>
      </c>
      <c r="M57" s="6">
        <v>8</v>
      </c>
      <c r="N57" s="6">
        <v>10</v>
      </c>
      <c r="O57" s="6">
        <v>15</v>
      </c>
      <c r="P57" s="6">
        <v>11</v>
      </c>
      <c r="Q57" s="6">
        <v>28</v>
      </c>
      <c r="R57" s="6">
        <v>20</v>
      </c>
      <c r="S57" s="6">
        <v>20</v>
      </c>
      <c r="T57" s="6">
        <v>3</v>
      </c>
      <c r="U57" s="6">
        <v>21</v>
      </c>
      <c r="V57" s="6">
        <v>7</v>
      </c>
      <c r="W57" s="6">
        <v>12</v>
      </c>
      <c r="X57" s="6">
        <v>15</v>
      </c>
      <c r="Y57" s="6">
        <v>7</v>
      </c>
      <c r="Z57" s="6">
        <v>6</v>
      </c>
      <c r="AA57" s="6">
        <v>10</v>
      </c>
      <c r="AB57" s="6">
        <v>9</v>
      </c>
      <c r="AC57" s="6">
        <v>5</v>
      </c>
      <c r="AD57" s="6">
        <v>5</v>
      </c>
      <c r="AE57" s="6">
        <v>13</v>
      </c>
      <c r="AF57" s="6">
        <v>15</v>
      </c>
      <c r="AG57" s="6">
        <v>4</v>
      </c>
      <c r="AH57" s="6">
        <v>6</v>
      </c>
      <c r="AI57" s="6">
        <v>7</v>
      </c>
      <c r="AJ57" s="6">
        <v>8</v>
      </c>
      <c r="AK57" s="6">
        <v>5</v>
      </c>
      <c r="AL57" s="6">
        <v>7</v>
      </c>
      <c r="AM57" s="6">
        <v>10</v>
      </c>
      <c r="AN57" s="6">
        <v>3</v>
      </c>
      <c r="AO57" s="6">
        <v>3</v>
      </c>
      <c r="AP57" s="6">
        <v>6</v>
      </c>
      <c r="AQ57" s="6">
        <v>3</v>
      </c>
      <c r="AR57" s="5">
        <f t="shared" si="27"/>
        <v>416</v>
      </c>
    </row>
    <row r="58" spans="1:44" x14ac:dyDescent="0.4">
      <c r="A58" s="11" t="s">
        <v>50</v>
      </c>
      <c r="B58" s="47"/>
      <c r="C58" s="24" t="s">
        <v>119</v>
      </c>
      <c r="D58" s="48"/>
      <c r="E58" s="6">
        <v>5</v>
      </c>
      <c r="F58" s="6">
        <v>12</v>
      </c>
      <c r="G58" s="6">
        <v>2</v>
      </c>
      <c r="H58" s="6">
        <v>7</v>
      </c>
      <c r="I58" s="6">
        <v>1</v>
      </c>
      <c r="J58" s="6">
        <v>3</v>
      </c>
      <c r="K58" s="6">
        <v>7</v>
      </c>
      <c r="L58" s="6">
        <v>6</v>
      </c>
      <c r="M58" s="6">
        <v>6</v>
      </c>
      <c r="N58" s="6">
        <v>6</v>
      </c>
      <c r="O58" s="6">
        <v>11</v>
      </c>
      <c r="P58" s="6">
        <v>10</v>
      </c>
      <c r="Q58" s="6">
        <v>13</v>
      </c>
      <c r="R58" s="6">
        <v>9</v>
      </c>
      <c r="S58" s="6">
        <v>8</v>
      </c>
      <c r="T58" s="6">
        <v>8</v>
      </c>
      <c r="U58" s="6">
        <v>11</v>
      </c>
      <c r="V58" s="6">
        <v>11</v>
      </c>
      <c r="W58" s="6">
        <v>11</v>
      </c>
      <c r="X58" s="6">
        <v>15</v>
      </c>
      <c r="Y58" s="6">
        <v>8</v>
      </c>
      <c r="Z58" s="6">
        <v>3</v>
      </c>
      <c r="AA58" s="6">
        <v>3</v>
      </c>
      <c r="AB58" s="6">
        <v>6</v>
      </c>
      <c r="AC58" s="6">
        <v>3</v>
      </c>
      <c r="AD58" s="6">
        <v>4</v>
      </c>
      <c r="AE58" s="6">
        <v>4</v>
      </c>
      <c r="AF58" s="6">
        <v>1</v>
      </c>
      <c r="AG58" s="6">
        <v>2</v>
      </c>
      <c r="AH58" s="6">
        <v>6</v>
      </c>
      <c r="AI58" s="6">
        <v>5</v>
      </c>
      <c r="AJ58" s="6">
        <v>9</v>
      </c>
      <c r="AK58" s="6">
        <v>7</v>
      </c>
      <c r="AL58" s="6">
        <v>7</v>
      </c>
      <c r="AM58" s="6">
        <v>7</v>
      </c>
      <c r="AN58" s="6">
        <v>4</v>
      </c>
      <c r="AO58" s="6">
        <v>4</v>
      </c>
      <c r="AP58" s="6">
        <v>7</v>
      </c>
      <c r="AQ58" s="6">
        <v>5</v>
      </c>
      <c r="AR58" s="5">
        <f t="shared" si="27"/>
        <v>257</v>
      </c>
    </row>
    <row r="59" spans="1:44" x14ac:dyDescent="0.4">
      <c r="A59" s="7"/>
      <c r="B59" s="47"/>
      <c r="C59" s="24" t="s">
        <v>120</v>
      </c>
      <c r="D59" s="48"/>
      <c r="E59" s="6">
        <v>18</v>
      </c>
      <c r="F59" s="6">
        <v>18</v>
      </c>
      <c r="G59" s="6">
        <v>13</v>
      </c>
      <c r="H59" s="6">
        <v>17</v>
      </c>
      <c r="I59" s="6">
        <v>12</v>
      </c>
      <c r="J59" s="6">
        <v>8</v>
      </c>
      <c r="K59" s="6">
        <v>9</v>
      </c>
      <c r="L59" s="6">
        <v>9</v>
      </c>
      <c r="M59" s="6">
        <v>15</v>
      </c>
      <c r="N59" s="6">
        <v>16</v>
      </c>
      <c r="O59" s="6">
        <v>6</v>
      </c>
      <c r="P59" s="6">
        <v>12</v>
      </c>
      <c r="Q59" s="6">
        <v>19</v>
      </c>
      <c r="R59" s="6">
        <v>19</v>
      </c>
      <c r="S59" s="6">
        <v>19</v>
      </c>
      <c r="T59" s="6">
        <v>11</v>
      </c>
      <c r="U59" s="6">
        <v>28</v>
      </c>
      <c r="V59" s="6">
        <v>11</v>
      </c>
      <c r="W59" s="6">
        <v>29</v>
      </c>
      <c r="X59" s="6">
        <v>7</v>
      </c>
      <c r="Y59" s="6">
        <v>9</v>
      </c>
      <c r="Z59" s="6">
        <v>5</v>
      </c>
      <c r="AA59" s="6">
        <v>5</v>
      </c>
      <c r="AB59" s="6">
        <v>12</v>
      </c>
      <c r="AC59" s="6">
        <v>5</v>
      </c>
      <c r="AD59" s="6">
        <v>33</v>
      </c>
      <c r="AE59" s="6">
        <v>8</v>
      </c>
      <c r="AF59" s="6">
        <v>3</v>
      </c>
      <c r="AG59" s="6">
        <v>2</v>
      </c>
      <c r="AH59" s="6">
        <v>2</v>
      </c>
      <c r="AI59" s="6">
        <v>6</v>
      </c>
      <c r="AJ59" s="6">
        <v>6</v>
      </c>
      <c r="AK59" s="6">
        <v>4</v>
      </c>
      <c r="AL59" s="6">
        <v>2</v>
      </c>
      <c r="AM59" s="6">
        <v>3</v>
      </c>
      <c r="AN59" s="6">
        <v>0</v>
      </c>
      <c r="AO59" s="6">
        <v>3</v>
      </c>
      <c r="AP59" s="6">
        <v>7</v>
      </c>
      <c r="AQ59" s="6">
        <v>3</v>
      </c>
      <c r="AR59" s="5">
        <f t="shared" si="27"/>
        <v>414</v>
      </c>
    </row>
    <row r="60" spans="1:44" x14ac:dyDescent="0.4">
      <c r="A60" s="7"/>
      <c r="B60" s="47"/>
      <c r="C60" s="24" t="s">
        <v>121</v>
      </c>
      <c r="D60" s="48"/>
      <c r="E60" s="6">
        <v>4</v>
      </c>
      <c r="F60" s="6">
        <v>3</v>
      </c>
      <c r="G60" s="6">
        <v>4</v>
      </c>
      <c r="H60" s="6">
        <v>3</v>
      </c>
      <c r="I60" s="6">
        <v>6</v>
      </c>
      <c r="J60" s="6">
        <v>4</v>
      </c>
      <c r="K60" s="6">
        <v>5</v>
      </c>
      <c r="L60" s="6">
        <v>4</v>
      </c>
      <c r="M60" s="6">
        <v>2</v>
      </c>
      <c r="N60" s="6">
        <v>0</v>
      </c>
      <c r="O60" s="6">
        <v>2</v>
      </c>
      <c r="P60" s="6">
        <v>0</v>
      </c>
      <c r="Q60" s="6">
        <v>2</v>
      </c>
      <c r="R60" s="6">
        <v>3</v>
      </c>
      <c r="S60" s="6">
        <v>3</v>
      </c>
      <c r="T60" s="6">
        <v>6</v>
      </c>
      <c r="U60" s="6">
        <v>3</v>
      </c>
      <c r="V60" s="6">
        <v>2</v>
      </c>
      <c r="W60" s="6">
        <v>4</v>
      </c>
      <c r="X60" s="6">
        <v>1</v>
      </c>
      <c r="Y60" s="6">
        <v>1</v>
      </c>
      <c r="Z60" s="6">
        <v>0</v>
      </c>
      <c r="AA60" s="6">
        <v>0</v>
      </c>
      <c r="AB60" s="6">
        <v>2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1</v>
      </c>
      <c r="AM60" s="6">
        <v>1</v>
      </c>
      <c r="AN60" s="6">
        <v>1</v>
      </c>
      <c r="AO60" s="6">
        <v>1</v>
      </c>
      <c r="AP60" s="6">
        <v>0</v>
      </c>
      <c r="AQ60" s="6">
        <v>0</v>
      </c>
      <c r="AR60" s="5">
        <f t="shared" si="27"/>
        <v>68</v>
      </c>
    </row>
    <row r="61" spans="1:44" x14ac:dyDescent="0.4">
      <c r="A61" s="7"/>
      <c r="B61" s="47"/>
      <c r="C61" s="24" t="s">
        <v>122</v>
      </c>
      <c r="D61" s="48"/>
      <c r="E61" s="6">
        <v>19</v>
      </c>
      <c r="F61" s="6">
        <v>7</v>
      </c>
      <c r="G61" s="6">
        <v>1</v>
      </c>
      <c r="H61" s="6">
        <v>6</v>
      </c>
      <c r="I61" s="6">
        <v>6</v>
      </c>
      <c r="J61" s="6">
        <v>2</v>
      </c>
      <c r="K61" s="6">
        <v>8</v>
      </c>
      <c r="L61" s="6">
        <v>2</v>
      </c>
      <c r="M61" s="6">
        <v>5</v>
      </c>
      <c r="N61" s="6">
        <v>0</v>
      </c>
      <c r="O61" s="6">
        <v>2</v>
      </c>
      <c r="P61" s="6">
        <v>1</v>
      </c>
      <c r="Q61" s="6">
        <v>30</v>
      </c>
      <c r="R61" s="6">
        <v>4</v>
      </c>
      <c r="S61" s="6">
        <v>4</v>
      </c>
      <c r="T61" s="6">
        <v>11</v>
      </c>
      <c r="U61" s="6">
        <v>1</v>
      </c>
      <c r="V61" s="6">
        <v>1</v>
      </c>
      <c r="W61" s="6">
        <v>4</v>
      </c>
      <c r="X61" s="6">
        <v>4</v>
      </c>
      <c r="Y61" s="6">
        <v>1</v>
      </c>
      <c r="Z61" s="6">
        <v>1</v>
      </c>
      <c r="AA61" s="6">
        <v>5</v>
      </c>
      <c r="AB61" s="6">
        <v>3</v>
      </c>
      <c r="AC61" s="6">
        <v>2</v>
      </c>
      <c r="AD61" s="6">
        <v>0</v>
      </c>
      <c r="AE61" s="6">
        <v>0</v>
      </c>
      <c r="AF61" s="6">
        <v>0</v>
      </c>
      <c r="AG61" s="6">
        <v>1</v>
      </c>
      <c r="AH61" s="6">
        <v>0</v>
      </c>
      <c r="AI61" s="6">
        <v>5</v>
      </c>
      <c r="AJ61" s="6">
        <v>2</v>
      </c>
      <c r="AK61" s="6">
        <v>3</v>
      </c>
      <c r="AL61" s="6">
        <v>1</v>
      </c>
      <c r="AM61" s="6">
        <v>4</v>
      </c>
      <c r="AN61" s="6">
        <v>0</v>
      </c>
      <c r="AO61" s="6">
        <v>2</v>
      </c>
      <c r="AP61" s="6">
        <v>0</v>
      </c>
      <c r="AQ61" s="6">
        <v>0</v>
      </c>
      <c r="AR61" s="5">
        <f t="shared" si="27"/>
        <v>148</v>
      </c>
    </row>
    <row r="62" spans="1:44" x14ac:dyDescent="0.4">
      <c r="A62" s="7"/>
      <c r="B62" s="47"/>
      <c r="C62" s="24" t="s">
        <v>123</v>
      </c>
      <c r="D62" s="48"/>
      <c r="E62" s="6">
        <v>1</v>
      </c>
      <c r="F62" s="6">
        <v>3</v>
      </c>
      <c r="G62" s="6">
        <v>1</v>
      </c>
      <c r="H62" s="6">
        <v>1</v>
      </c>
      <c r="I62" s="6">
        <v>1</v>
      </c>
      <c r="J62" s="6">
        <v>1</v>
      </c>
      <c r="K62" s="6">
        <v>2</v>
      </c>
      <c r="L62" s="6">
        <v>3</v>
      </c>
      <c r="M62" s="6">
        <v>2</v>
      </c>
      <c r="N62" s="6">
        <v>2</v>
      </c>
      <c r="O62" s="6">
        <v>1</v>
      </c>
      <c r="P62" s="6">
        <v>0</v>
      </c>
      <c r="Q62" s="6">
        <v>1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2</v>
      </c>
      <c r="X62" s="6">
        <v>1</v>
      </c>
      <c r="Y62" s="6">
        <v>1</v>
      </c>
      <c r="Z62" s="6">
        <v>2</v>
      </c>
      <c r="AA62" s="6">
        <v>2</v>
      </c>
      <c r="AB62" s="6">
        <v>0</v>
      </c>
      <c r="AC62" s="6">
        <v>1</v>
      </c>
      <c r="AD62" s="6">
        <v>0</v>
      </c>
      <c r="AE62" s="6">
        <v>0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0</v>
      </c>
      <c r="AL62" s="6">
        <v>1</v>
      </c>
      <c r="AM62" s="6">
        <v>0</v>
      </c>
      <c r="AN62" s="6">
        <v>1</v>
      </c>
      <c r="AO62" s="6">
        <v>0</v>
      </c>
      <c r="AP62" s="6">
        <v>0</v>
      </c>
      <c r="AQ62" s="6">
        <v>1</v>
      </c>
      <c r="AR62" s="5">
        <f t="shared" si="27"/>
        <v>32</v>
      </c>
    </row>
    <row r="63" spans="1:44" ht="13.15" customHeight="1" x14ac:dyDescent="0.4">
      <c r="A63" s="7"/>
      <c r="B63" s="47"/>
      <c r="C63" s="24" t="s">
        <v>124</v>
      </c>
      <c r="D63" s="45"/>
      <c r="E63" s="6">
        <v>0</v>
      </c>
      <c r="F63" s="6">
        <v>2</v>
      </c>
      <c r="G63" s="6">
        <v>0</v>
      </c>
      <c r="H63" s="6">
        <v>1</v>
      </c>
      <c r="I63" s="6">
        <v>0</v>
      </c>
      <c r="J63" s="6">
        <v>1</v>
      </c>
      <c r="K63" s="6">
        <v>2</v>
      </c>
      <c r="L63" s="6">
        <v>1</v>
      </c>
      <c r="M63" s="6">
        <v>2</v>
      </c>
      <c r="N63" s="6">
        <v>0</v>
      </c>
      <c r="O63" s="6">
        <v>0</v>
      </c>
      <c r="P63" s="6">
        <v>1</v>
      </c>
      <c r="Q63" s="6">
        <v>0</v>
      </c>
      <c r="R63" s="6">
        <v>2</v>
      </c>
      <c r="S63" s="6">
        <v>3</v>
      </c>
      <c r="T63" s="6">
        <v>0</v>
      </c>
      <c r="U63" s="6">
        <v>0</v>
      </c>
      <c r="V63" s="6">
        <v>0</v>
      </c>
      <c r="W63" s="6">
        <v>0</v>
      </c>
      <c r="X63" s="6">
        <v>4</v>
      </c>
      <c r="Y63" s="6">
        <v>1</v>
      </c>
      <c r="Z63" s="6">
        <v>1</v>
      </c>
      <c r="AA63" s="6">
        <v>0</v>
      </c>
      <c r="AB63" s="6">
        <v>1</v>
      </c>
      <c r="AC63" s="6">
        <v>0</v>
      </c>
      <c r="AD63" s="6">
        <v>0</v>
      </c>
      <c r="AE63" s="6">
        <v>1</v>
      </c>
      <c r="AF63" s="6">
        <v>0</v>
      </c>
      <c r="AG63" s="6">
        <v>0</v>
      </c>
      <c r="AH63" s="6">
        <v>0</v>
      </c>
      <c r="AI63" s="6">
        <v>2</v>
      </c>
      <c r="AJ63" s="6">
        <v>1</v>
      </c>
      <c r="AK63" s="6">
        <v>1</v>
      </c>
      <c r="AL63" s="6">
        <v>5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5">
        <f t="shared" si="27"/>
        <v>32</v>
      </c>
    </row>
    <row r="64" spans="1:44" x14ac:dyDescent="0.4">
      <c r="A64" s="7"/>
      <c r="B64" s="47"/>
      <c r="C64" s="24" t="s">
        <v>125</v>
      </c>
      <c r="D64" s="48"/>
      <c r="E64" s="6">
        <v>2</v>
      </c>
      <c r="F64" s="6">
        <v>0</v>
      </c>
      <c r="G64" s="6">
        <v>0</v>
      </c>
      <c r="H64" s="6">
        <v>1</v>
      </c>
      <c r="I64" s="6">
        <v>1</v>
      </c>
      <c r="J64" s="6">
        <v>0</v>
      </c>
      <c r="K64" s="6">
        <v>0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2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</v>
      </c>
      <c r="AE64" s="6">
        <v>1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0</v>
      </c>
      <c r="AL64" s="6">
        <v>2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5">
        <f t="shared" si="27"/>
        <v>14</v>
      </c>
    </row>
    <row r="65" spans="1:44" x14ac:dyDescent="0.4">
      <c r="A65" s="7"/>
      <c r="B65" s="47"/>
      <c r="C65" s="24" t="s">
        <v>126</v>
      </c>
      <c r="D65" s="48"/>
      <c r="E65" s="6">
        <v>1</v>
      </c>
      <c r="F65" s="6">
        <v>1</v>
      </c>
      <c r="G65" s="6">
        <v>0</v>
      </c>
      <c r="H65" s="6">
        <v>0</v>
      </c>
      <c r="I65" s="6">
        <v>0</v>
      </c>
      <c r="J65" s="6">
        <v>1</v>
      </c>
      <c r="K65" s="6">
        <v>2</v>
      </c>
      <c r="L65" s="6">
        <v>1</v>
      </c>
      <c r="M65" s="6">
        <v>1</v>
      </c>
      <c r="N65" s="6">
        <v>1</v>
      </c>
      <c r="O65" s="6">
        <v>1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6">
        <v>0</v>
      </c>
      <c r="Z65" s="6">
        <v>1</v>
      </c>
      <c r="AA65" s="6">
        <v>0</v>
      </c>
      <c r="AB65" s="6">
        <v>1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1</v>
      </c>
      <c r="AJ65" s="6">
        <v>1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5">
        <f t="shared" si="27"/>
        <v>15</v>
      </c>
    </row>
    <row r="66" spans="1:44" x14ac:dyDescent="0.4">
      <c r="A66" s="7"/>
      <c r="B66" s="47"/>
      <c r="C66" s="24" t="s">
        <v>127</v>
      </c>
      <c r="D66" s="48"/>
      <c r="E66" s="6">
        <v>1</v>
      </c>
      <c r="F66" s="6">
        <v>2</v>
      </c>
      <c r="G66" s="6">
        <v>0</v>
      </c>
      <c r="H66" s="6">
        <v>1</v>
      </c>
      <c r="I66" s="6">
        <v>1</v>
      </c>
      <c r="J66" s="6">
        <v>0</v>
      </c>
      <c r="K66" s="6">
        <v>2</v>
      </c>
      <c r="L66" s="6">
        <v>0</v>
      </c>
      <c r="M66" s="6">
        <v>0</v>
      </c>
      <c r="N66" s="6">
        <v>1</v>
      </c>
      <c r="O66" s="6">
        <v>2</v>
      </c>
      <c r="P66" s="6">
        <v>1</v>
      </c>
      <c r="Q66" s="6">
        <v>0</v>
      </c>
      <c r="R66" s="6">
        <v>0</v>
      </c>
      <c r="S66" s="6">
        <v>1</v>
      </c>
      <c r="T66" s="6">
        <v>0</v>
      </c>
      <c r="U66" s="6">
        <v>1</v>
      </c>
      <c r="V66" s="6">
        <v>0</v>
      </c>
      <c r="W66" s="6">
        <v>1</v>
      </c>
      <c r="X66" s="6">
        <v>1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5">
        <f t="shared" si="27"/>
        <v>16</v>
      </c>
    </row>
    <row r="67" spans="1:44" x14ac:dyDescent="0.4">
      <c r="A67" s="6" t="s">
        <v>26</v>
      </c>
      <c r="B67" s="74" t="s">
        <v>51</v>
      </c>
      <c r="C67" s="54"/>
      <c r="D67" s="55"/>
      <c r="E67" s="6">
        <f t="shared" ref="E67:AR67" si="31">SUM(E57:E66)</f>
        <v>66</v>
      </c>
      <c r="F67" s="6">
        <f t="shared" ref="F67:U67" si="32">SUM(F57:F66)</f>
        <v>70</v>
      </c>
      <c r="G67" s="6">
        <f t="shared" si="32"/>
        <v>34</v>
      </c>
      <c r="H67" s="6">
        <f t="shared" si="32"/>
        <v>48</v>
      </c>
      <c r="I67" s="6">
        <f t="shared" si="32"/>
        <v>41</v>
      </c>
      <c r="J67" s="6">
        <f t="shared" si="32"/>
        <v>29</v>
      </c>
      <c r="K67" s="6">
        <f t="shared" si="32"/>
        <v>59</v>
      </c>
      <c r="L67" s="6">
        <f t="shared" si="32"/>
        <v>36</v>
      </c>
      <c r="M67" s="6">
        <f t="shared" si="32"/>
        <v>42</v>
      </c>
      <c r="N67" s="6">
        <f t="shared" si="32"/>
        <v>36</v>
      </c>
      <c r="O67" s="6">
        <f t="shared" si="32"/>
        <v>40</v>
      </c>
      <c r="P67" s="6">
        <f t="shared" si="32"/>
        <v>36</v>
      </c>
      <c r="Q67" s="6">
        <f t="shared" si="32"/>
        <v>94</v>
      </c>
      <c r="R67" s="6">
        <f t="shared" si="32"/>
        <v>57</v>
      </c>
      <c r="S67" s="6">
        <f t="shared" si="32"/>
        <v>58</v>
      </c>
      <c r="T67" s="6">
        <f t="shared" si="32"/>
        <v>39</v>
      </c>
      <c r="U67" s="6">
        <f t="shared" si="32"/>
        <v>67</v>
      </c>
      <c r="V67" s="6">
        <f t="shared" si="31"/>
        <v>32</v>
      </c>
      <c r="W67" s="6">
        <f t="shared" si="31"/>
        <v>64</v>
      </c>
      <c r="X67" s="6">
        <f t="shared" si="31"/>
        <v>48</v>
      </c>
      <c r="Y67" s="6">
        <f t="shared" si="31"/>
        <v>28</v>
      </c>
      <c r="Z67" s="6">
        <f t="shared" si="31"/>
        <v>19</v>
      </c>
      <c r="AA67" s="6">
        <f t="shared" si="31"/>
        <v>25</v>
      </c>
      <c r="AB67" s="6">
        <f t="shared" si="31"/>
        <v>34</v>
      </c>
      <c r="AC67" s="6">
        <f t="shared" si="31"/>
        <v>16</v>
      </c>
      <c r="AD67" s="6">
        <f t="shared" si="31"/>
        <v>43</v>
      </c>
      <c r="AE67" s="6">
        <f t="shared" si="31"/>
        <v>27</v>
      </c>
      <c r="AF67" s="6">
        <f t="shared" si="31"/>
        <v>19</v>
      </c>
      <c r="AG67" s="6">
        <f t="shared" ref="AG67:AK67" si="33">SUM(AG57:AG66)</f>
        <v>9</v>
      </c>
      <c r="AH67" s="6">
        <f t="shared" si="33"/>
        <v>16</v>
      </c>
      <c r="AI67" s="6">
        <f t="shared" si="33"/>
        <v>27</v>
      </c>
      <c r="AJ67" s="6">
        <f t="shared" si="33"/>
        <v>27</v>
      </c>
      <c r="AK67" s="6">
        <f t="shared" si="33"/>
        <v>20</v>
      </c>
      <c r="AL67" s="6">
        <f t="shared" si="31"/>
        <v>27</v>
      </c>
      <c r="AM67" s="6">
        <f t="shared" si="31"/>
        <v>25</v>
      </c>
      <c r="AN67" s="6">
        <f t="shared" si="31"/>
        <v>9</v>
      </c>
      <c r="AO67" s="6">
        <f t="shared" si="31"/>
        <v>13</v>
      </c>
      <c r="AP67" s="6">
        <f t="shared" si="31"/>
        <v>20</v>
      </c>
      <c r="AQ67" s="6">
        <f t="shared" si="31"/>
        <v>12</v>
      </c>
      <c r="AR67" s="6">
        <f t="shared" si="31"/>
        <v>1412</v>
      </c>
    </row>
    <row r="68" spans="1:44" x14ac:dyDescent="0.4">
      <c r="A68" s="81"/>
      <c r="B68" s="80"/>
      <c r="C68" s="80"/>
      <c r="D68" s="80"/>
      <c r="E68" s="80"/>
    </row>
    <row r="69" spans="1:44" x14ac:dyDescent="0.4">
      <c r="A69" s="11" t="s">
        <v>48</v>
      </c>
      <c r="B69" s="17" t="s">
        <v>32</v>
      </c>
      <c r="C69" s="83" t="s">
        <v>53</v>
      </c>
      <c r="D69" s="55"/>
      <c r="E69" s="6">
        <v>7</v>
      </c>
      <c r="F69" s="6">
        <v>10</v>
      </c>
      <c r="G69" s="6">
        <v>4</v>
      </c>
      <c r="H69" s="6">
        <v>7</v>
      </c>
      <c r="I69" s="6">
        <v>9</v>
      </c>
      <c r="J69" s="6">
        <v>5</v>
      </c>
      <c r="K69" s="6">
        <v>6</v>
      </c>
      <c r="L69" s="6">
        <v>3</v>
      </c>
      <c r="M69" s="6">
        <v>4</v>
      </c>
      <c r="N69" s="6">
        <v>3</v>
      </c>
      <c r="O69" s="6">
        <v>4</v>
      </c>
      <c r="P69" s="6">
        <v>5</v>
      </c>
      <c r="Q69" s="6">
        <v>2</v>
      </c>
      <c r="R69" s="6">
        <v>6</v>
      </c>
      <c r="S69" s="6">
        <v>8</v>
      </c>
      <c r="T69" s="6">
        <v>5</v>
      </c>
      <c r="U69" s="6">
        <v>5</v>
      </c>
      <c r="V69" s="6">
        <v>6</v>
      </c>
      <c r="W69" s="6">
        <v>3</v>
      </c>
      <c r="X69" s="6">
        <v>8</v>
      </c>
      <c r="Y69" s="6">
        <v>11</v>
      </c>
      <c r="Z69" s="6">
        <v>9</v>
      </c>
      <c r="AA69" s="6">
        <v>11</v>
      </c>
      <c r="AB69" s="6">
        <v>8</v>
      </c>
      <c r="AC69" s="6">
        <v>7</v>
      </c>
      <c r="AD69" s="6">
        <v>1</v>
      </c>
      <c r="AE69" s="6">
        <v>8</v>
      </c>
      <c r="AF69" s="6">
        <v>11</v>
      </c>
      <c r="AG69" s="6">
        <v>6</v>
      </c>
      <c r="AH69" s="6">
        <v>13</v>
      </c>
      <c r="AI69" s="6">
        <v>12</v>
      </c>
      <c r="AJ69" s="6">
        <v>11</v>
      </c>
      <c r="AK69" s="6">
        <v>10</v>
      </c>
      <c r="AL69" s="6">
        <v>7</v>
      </c>
      <c r="AM69" s="6">
        <v>11</v>
      </c>
      <c r="AN69" s="6">
        <v>4</v>
      </c>
      <c r="AO69" s="6">
        <v>11</v>
      </c>
      <c r="AP69" s="6">
        <v>5</v>
      </c>
      <c r="AQ69" s="6">
        <v>1</v>
      </c>
      <c r="AR69" s="5">
        <f t="shared" ref="AR69:AR78" si="34">SUM(E69:AQ69)</f>
        <v>267</v>
      </c>
    </row>
    <row r="70" spans="1:44" x14ac:dyDescent="0.4">
      <c r="A70" s="11" t="s">
        <v>50</v>
      </c>
      <c r="B70" s="47"/>
      <c r="C70" s="24" t="s">
        <v>128</v>
      </c>
      <c r="D70" s="45"/>
      <c r="E70" s="6">
        <v>4</v>
      </c>
      <c r="F70" s="6">
        <v>8</v>
      </c>
      <c r="G70" s="6">
        <v>5</v>
      </c>
      <c r="H70" s="6">
        <v>9</v>
      </c>
      <c r="I70" s="6">
        <v>7</v>
      </c>
      <c r="J70" s="6">
        <v>2</v>
      </c>
      <c r="K70" s="6">
        <v>1</v>
      </c>
      <c r="L70" s="6">
        <v>2</v>
      </c>
      <c r="M70" s="6">
        <v>2</v>
      </c>
      <c r="N70" s="6">
        <v>2</v>
      </c>
      <c r="O70" s="6">
        <v>2</v>
      </c>
      <c r="P70" s="6">
        <v>3</v>
      </c>
      <c r="Q70" s="6">
        <v>2</v>
      </c>
      <c r="R70" s="6">
        <v>5</v>
      </c>
      <c r="S70" s="6">
        <v>7</v>
      </c>
      <c r="T70" s="6">
        <v>3</v>
      </c>
      <c r="U70" s="6">
        <v>0</v>
      </c>
      <c r="V70" s="6">
        <v>4</v>
      </c>
      <c r="W70" s="6">
        <v>3</v>
      </c>
      <c r="X70" s="6">
        <v>4</v>
      </c>
      <c r="Y70" s="6">
        <v>8</v>
      </c>
      <c r="Z70" s="6">
        <v>11</v>
      </c>
      <c r="AA70" s="6">
        <v>3</v>
      </c>
      <c r="AB70" s="6">
        <v>6</v>
      </c>
      <c r="AC70" s="6">
        <v>11</v>
      </c>
      <c r="AD70" s="6">
        <v>12</v>
      </c>
      <c r="AE70" s="6">
        <v>6</v>
      </c>
      <c r="AF70" s="6">
        <v>6</v>
      </c>
      <c r="AG70" s="6">
        <v>4</v>
      </c>
      <c r="AH70" s="6">
        <v>10</v>
      </c>
      <c r="AI70" s="6">
        <v>13</v>
      </c>
      <c r="AJ70" s="6">
        <v>9</v>
      </c>
      <c r="AK70" s="6">
        <v>7</v>
      </c>
      <c r="AL70" s="6">
        <v>12</v>
      </c>
      <c r="AM70" s="6">
        <v>12</v>
      </c>
      <c r="AN70" s="6">
        <v>14</v>
      </c>
      <c r="AO70" s="6">
        <v>9</v>
      </c>
      <c r="AP70" s="6">
        <v>6</v>
      </c>
      <c r="AQ70" s="6">
        <v>7</v>
      </c>
      <c r="AR70" s="5">
        <f t="shared" si="34"/>
        <v>241</v>
      </c>
    </row>
    <row r="71" spans="1:44" x14ac:dyDescent="0.4">
      <c r="A71" s="7"/>
      <c r="B71" s="47"/>
      <c r="C71" s="24" t="s">
        <v>129</v>
      </c>
      <c r="D71" s="45"/>
      <c r="E71" s="6">
        <v>5</v>
      </c>
      <c r="F71" s="6">
        <v>6</v>
      </c>
      <c r="G71" s="6">
        <v>2</v>
      </c>
      <c r="H71" s="6">
        <v>6</v>
      </c>
      <c r="I71" s="6">
        <v>11</v>
      </c>
      <c r="J71" s="6">
        <v>1</v>
      </c>
      <c r="K71" s="6">
        <v>0</v>
      </c>
      <c r="L71" s="6">
        <v>4</v>
      </c>
      <c r="M71" s="6">
        <v>3</v>
      </c>
      <c r="N71" s="6">
        <v>2</v>
      </c>
      <c r="O71" s="6">
        <v>5</v>
      </c>
      <c r="P71" s="6">
        <v>4</v>
      </c>
      <c r="Q71" s="6">
        <v>4</v>
      </c>
      <c r="R71" s="6">
        <v>2</v>
      </c>
      <c r="S71" s="6">
        <v>9</v>
      </c>
      <c r="T71" s="6">
        <v>1</v>
      </c>
      <c r="U71" s="6">
        <v>6</v>
      </c>
      <c r="V71" s="6">
        <v>5</v>
      </c>
      <c r="W71" s="6">
        <v>1</v>
      </c>
      <c r="X71" s="6">
        <v>3</v>
      </c>
      <c r="Y71" s="6">
        <v>2</v>
      </c>
      <c r="Z71" s="6">
        <v>2</v>
      </c>
      <c r="AA71" s="6">
        <v>0</v>
      </c>
      <c r="AB71" s="6">
        <v>6</v>
      </c>
      <c r="AC71" s="6">
        <v>19</v>
      </c>
      <c r="AD71" s="6">
        <v>4</v>
      </c>
      <c r="AE71" s="6">
        <v>4</v>
      </c>
      <c r="AF71" s="6">
        <v>4</v>
      </c>
      <c r="AG71" s="6">
        <v>3</v>
      </c>
      <c r="AH71" s="6">
        <v>3</v>
      </c>
      <c r="AI71" s="6">
        <v>4</v>
      </c>
      <c r="AJ71" s="6">
        <v>9</v>
      </c>
      <c r="AK71" s="6">
        <v>9</v>
      </c>
      <c r="AL71" s="6">
        <v>2</v>
      </c>
      <c r="AM71" s="6">
        <v>5</v>
      </c>
      <c r="AN71" s="6">
        <v>3</v>
      </c>
      <c r="AO71" s="6">
        <v>4</v>
      </c>
      <c r="AP71" s="6">
        <v>1</v>
      </c>
      <c r="AQ71" s="6">
        <v>1</v>
      </c>
      <c r="AR71" s="5">
        <f t="shared" si="34"/>
        <v>165</v>
      </c>
    </row>
    <row r="72" spans="1:44" x14ac:dyDescent="0.4">
      <c r="A72" s="7"/>
      <c r="B72" s="47"/>
      <c r="C72" s="24" t="s">
        <v>130</v>
      </c>
      <c r="D72" s="45"/>
      <c r="E72" s="6">
        <v>2</v>
      </c>
      <c r="F72" s="6">
        <v>1</v>
      </c>
      <c r="G72" s="6">
        <v>2</v>
      </c>
      <c r="H72" s="6">
        <v>1</v>
      </c>
      <c r="I72" s="6">
        <v>3</v>
      </c>
      <c r="J72" s="6">
        <v>0</v>
      </c>
      <c r="K72" s="6">
        <v>1</v>
      </c>
      <c r="L72" s="6">
        <v>1</v>
      </c>
      <c r="M72" s="6">
        <v>5</v>
      </c>
      <c r="N72" s="6">
        <v>2</v>
      </c>
      <c r="O72" s="6">
        <v>0</v>
      </c>
      <c r="P72" s="6">
        <v>0</v>
      </c>
      <c r="Q72" s="6">
        <v>0</v>
      </c>
      <c r="R72" s="6">
        <v>1</v>
      </c>
      <c r="S72" s="6">
        <v>7</v>
      </c>
      <c r="T72" s="6">
        <v>0</v>
      </c>
      <c r="U72" s="6">
        <v>0</v>
      </c>
      <c r="V72" s="6">
        <v>2</v>
      </c>
      <c r="W72" s="6">
        <v>2</v>
      </c>
      <c r="X72" s="6">
        <v>1</v>
      </c>
      <c r="Y72" s="6">
        <v>7</v>
      </c>
      <c r="Z72" s="6">
        <v>10</v>
      </c>
      <c r="AA72" s="6">
        <v>1</v>
      </c>
      <c r="AB72" s="6">
        <v>6</v>
      </c>
      <c r="AC72" s="6">
        <v>2</v>
      </c>
      <c r="AD72" s="6">
        <v>1</v>
      </c>
      <c r="AE72" s="6">
        <v>1</v>
      </c>
      <c r="AF72" s="6">
        <v>0</v>
      </c>
      <c r="AG72" s="6">
        <v>2</v>
      </c>
      <c r="AH72" s="6">
        <v>2</v>
      </c>
      <c r="AI72" s="6">
        <v>2</v>
      </c>
      <c r="AJ72" s="6">
        <v>2</v>
      </c>
      <c r="AK72" s="6">
        <v>2</v>
      </c>
      <c r="AL72" s="6">
        <v>0</v>
      </c>
      <c r="AM72" s="6">
        <v>4</v>
      </c>
      <c r="AN72" s="6">
        <v>1</v>
      </c>
      <c r="AO72" s="6">
        <v>0</v>
      </c>
      <c r="AP72" s="6">
        <v>2</v>
      </c>
      <c r="AQ72" s="6">
        <v>1</v>
      </c>
      <c r="AR72" s="5">
        <f t="shared" si="34"/>
        <v>77</v>
      </c>
    </row>
    <row r="73" spans="1:44" x14ac:dyDescent="0.4">
      <c r="A73" s="7"/>
      <c r="B73" s="47"/>
      <c r="C73" s="24" t="s">
        <v>131</v>
      </c>
      <c r="D73" s="45"/>
      <c r="E73" s="6">
        <v>2</v>
      </c>
      <c r="F73" s="6">
        <v>5</v>
      </c>
      <c r="G73" s="6">
        <v>16</v>
      </c>
      <c r="H73" s="6">
        <v>10</v>
      </c>
      <c r="I73" s="6">
        <v>10</v>
      </c>
      <c r="J73" s="6">
        <v>8</v>
      </c>
      <c r="K73" s="6">
        <v>2</v>
      </c>
      <c r="L73" s="6">
        <v>17</v>
      </c>
      <c r="M73" s="6">
        <v>4</v>
      </c>
      <c r="N73" s="6">
        <v>7</v>
      </c>
      <c r="O73" s="6">
        <v>34</v>
      </c>
      <c r="P73" s="6">
        <v>6</v>
      </c>
      <c r="Q73" s="6">
        <v>5</v>
      </c>
      <c r="R73" s="6">
        <v>2</v>
      </c>
      <c r="S73" s="6">
        <v>11</v>
      </c>
      <c r="T73" s="6">
        <v>0</v>
      </c>
      <c r="U73" s="6">
        <v>4</v>
      </c>
      <c r="V73" s="6">
        <v>9</v>
      </c>
      <c r="W73" s="6">
        <v>20</v>
      </c>
      <c r="X73" s="6">
        <v>7</v>
      </c>
      <c r="Y73" s="6">
        <v>27</v>
      </c>
      <c r="Z73" s="6">
        <v>21</v>
      </c>
      <c r="AA73" s="6">
        <v>17</v>
      </c>
      <c r="AB73" s="6">
        <v>9</v>
      </c>
      <c r="AC73" s="6">
        <v>20</v>
      </c>
      <c r="AD73" s="6">
        <v>21</v>
      </c>
      <c r="AE73" s="6">
        <v>1</v>
      </c>
      <c r="AF73" s="6">
        <v>15</v>
      </c>
      <c r="AG73" s="6">
        <v>12</v>
      </c>
      <c r="AH73" s="6">
        <v>24</v>
      </c>
      <c r="AI73" s="6">
        <v>5</v>
      </c>
      <c r="AJ73" s="6">
        <v>31</v>
      </c>
      <c r="AK73" s="6">
        <v>25</v>
      </c>
      <c r="AL73" s="6">
        <v>13</v>
      </c>
      <c r="AM73" s="6">
        <v>15</v>
      </c>
      <c r="AN73" s="6">
        <v>11</v>
      </c>
      <c r="AO73" s="6">
        <v>19</v>
      </c>
      <c r="AP73" s="6">
        <v>19</v>
      </c>
      <c r="AQ73" s="6">
        <v>4</v>
      </c>
      <c r="AR73" s="5">
        <f t="shared" si="34"/>
        <v>488</v>
      </c>
    </row>
    <row r="74" spans="1:44" ht="13.15" customHeight="1" x14ac:dyDescent="0.4">
      <c r="A74" s="7"/>
      <c r="B74" s="47"/>
      <c r="C74" s="24" t="s">
        <v>132</v>
      </c>
      <c r="D74" s="45"/>
      <c r="E74" s="6">
        <v>0</v>
      </c>
      <c r="F74" s="6">
        <v>1</v>
      </c>
      <c r="G74" s="6">
        <v>1</v>
      </c>
      <c r="H74" s="6">
        <v>2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2</v>
      </c>
      <c r="T74" s="6">
        <v>0</v>
      </c>
      <c r="U74" s="6">
        <v>1</v>
      </c>
      <c r="V74" s="6">
        <v>0</v>
      </c>
      <c r="W74" s="6">
        <v>2</v>
      </c>
      <c r="X74" s="6">
        <v>2</v>
      </c>
      <c r="Y74" s="6">
        <v>0</v>
      </c>
      <c r="Z74" s="6">
        <v>0</v>
      </c>
      <c r="AA74" s="6">
        <v>0</v>
      </c>
      <c r="AB74" s="6">
        <v>1</v>
      </c>
      <c r="AC74" s="6">
        <v>0</v>
      </c>
      <c r="AD74" s="6">
        <v>0</v>
      </c>
      <c r="AE74" s="6">
        <v>1</v>
      </c>
      <c r="AF74" s="6">
        <v>0</v>
      </c>
      <c r="AG74" s="6">
        <v>0</v>
      </c>
      <c r="AH74" s="6">
        <v>1</v>
      </c>
      <c r="AI74" s="6">
        <v>1</v>
      </c>
      <c r="AJ74" s="6">
        <v>2</v>
      </c>
      <c r="AK74" s="6">
        <v>1</v>
      </c>
      <c r="AL74" s="6">
        <v>0</v>
      </c>
      <c r="AM74" s="6">
        <v>1</v>
      </c>
      <c r="AN74" s="6">
        <v>1</v>
      </c>
      <c r="AO74" s="6">
        <v>0</v>
      </c>
      <c r="AP74" s="6">
        <v>0</v>
      </c>
      <c r="AQ74" s="6">
        <v>1</v>
      </c>
      <c r="AR74" s="5">
        <f t="shared" si="34"/>
        <v>22</v>
      </c>
    </row>
    <row r="75" spans="1:44" x14ac:dyDescent="0.4">
      <c r="A75" s="7"/>
      <c r="B75" s="47"/>
      <c r="C75" s="24" t="s">
        <v>133</v>
      </c>
      <c r="D75" s="45"/>
      <c r="E75" s="6">
        <v>1</v>
      </c>
      <c r="F75" s="6">
        <v>1</v>
      </c>
      <c r="G75" s="6">
        <v>3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1</v>
      </c>
      <c r="S75" s="6">
        <v>0</v>
      </c>
      <c r="T75" s="6">
        <v>0</v>
      </c>
      <c r="U75" s="6">
        <v>0</v>
      </c>
      <c r="V75" s="6">
        <v>1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1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1</v>
      </c>
      <c r="AL75" s="6">
        <v>1</v>
      </c>
      <c r="AM75" s="6">
        <v>0</v>
      </c>
      <c r="AN75" s="6">
        <v>0</v>
      </c>
      <c r="AO75" s="6">
        <v>0</v>
      </c>
      <c r="AP75" s="6">
        <v>0</v>
      </c>
      <c r="AQ75" s="6">
        <v>1</v>
      </c>
      <c r="AR75" s="5">
        <f t="shared" si="34"/>
        <v>15</v>
      </c>
    </row>
    <row r="76" spans="1:44" x14ac:dyDescent="0.4">
      <c r="A76" s="7"/>
      <c r="B76" s="47"/>
      <c r="C76" s="24" t="s">
        <v>134</v>
      </c>
      <c r="D76" s="45"/>
      <c r="E76" s="6">
        <v>0</v>
      </c>
      <c r="F76" s="6">
        <v>1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1</v>
      </c>
      <c r="AD76" s="6">
        <v>0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2</v>
      </c>
      <c r="AK76" s="6">
        <v>0</v>
      </c>
      <c r="AL76" s="6">
        <v>0</v>
      </c>
      <c r="AM76" s="6">
        <v>1</v>
      </c>
      <c r="AN76" s="6">
        <v>1</v>
      </c>
      <c r="AO76" s="6">
        <v>0</v>
      </c>
      <c r="AP76" s="6">
        <v>0</v>
      </c>
      <c r="AQ76" s="6">
        <v>4</v>
      </c>
      <c r="AR76" s="5">
        <f t="shared" si="34"/>
        <v>15</v>
      </c>
    </row>
    <row r="77" spans="1:44" x14ac:dyDescent="0.4">
      <c r="A77" s="7"/>
      <c r="B77" s="47"/>
      <c r="C77" s="24" t="s">
        <v>135</v>
      </c>
      <c r="D77" s="45"/>
      <c r="E77" s="6">
        <v>1</v>
      </c>
      <c r="F77" s="6">
        <v>2</v>
      </c>
      <c r="G77" s="6">
        <v>0</v>
      </c>
      <c r="H77" s="6">
        <v>0</v>
      </c>
      <c r="I77" s="6">
        <v>0</v>
      </c>
      <c r="J77" s="6">
        <v>1</v>
      </c>
      <c r="K77" s="6">
        <v>1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1</v>
      </c>
      <c r="V77" s="6">
        <v>0</v>
      </c>
      <c r="W77" s="6">
        <v>1</v>
      </c>
      <c r="X77" s="6">
        <v>0</v>
      </c>
      <c r="Y77" s="6">
        <v>0</v>
      </c>
      <c r="Z77" s="6">
        <v>1</v>
      </c>
      <c r="AA77" s="6">
        <v>1</v>
      </c>
      <c r="AB77" s="6">
        <v>1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5">
        <f t="shared" si="34"/>
        <v>13</v>
      </c>
    </row>
    <row r="78" spans="1:44" x14ac:dyDescent="0.4">
      <c r="A78" s="7"/>
      <c r="B78" s="47"/>
      <c r="C78" s="24" t="s">
        <v>136</v>
      </c>
      <c r="D78" s="45"/>
      <c r="E78" s="6">
        <v>1</v>
      </c>
      <c r="F78" s="6">
        <v>1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1</v>
      </c>
      <c r="W78" s="6">
        <v>0</v>
      </c>
      <c r="X78" s="6">
        <v>0</v>
      </c>
      <c r="Y78" s="6">
        <v>1</v>
      </c>
      <c r="Z78" s="6">
        <v>1</v>
      </c>
      <c r="AA78" s="6">
        <v>0</v>
      </c>
      <c r="AB78" s="6">
        <v>0</v>
      </c>
      <c r="AC78" s="6">
        <v>2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1</v>
      </c>
      <c r="AJ78" s="6">
        <v>0</v>
      </c>
      <c r="AK78" s="6">
        <v>0</v>
      </c>
      <c r="AL78" s="6">
        <v>0</v>
      </c>
      <c r="AM78" s="6">
        <v>1</v>
      </c>
      <c r="AN78" s="6">
        <v>0</v>
      </c>
      <c r="AO78" s="6">
        <v>1</v>
      </c>
      <c r="AP78" s="6">
        <v>0</v>
      </c>
      <c r="AQ78" s="6">
        <v>1</v>
      </c>
      <c r="AR78" s="5">
        <f t="shared" si="34"/>
        <v>12</v>
      </c>
    </row>
    <row r="79" spans="1:44" x14ac:dyDescent="0.4">
      <c r="A79" s="6" t="s">
        <v>26</v>
      </c>
      <c r="B79" s="74" t="s">
        <v>51</v>
      </c>
      <c r="C79" s="54"/>
      <c r="D79" s="55"/>
      <c r="E79" s="6">
        <f t="shared" ref="E79:AR79" si="35">SUM(E69:E78)</f>
        <v>23</v>
      </c>
      <c r="F79" s="6">
        <f t="shared" ref="F79:U79" si="36">SUM(F69:F78)</f>
        <v>36</v>
      </c>
      <c r="G79" s="6">
        <f t="shared" si="36"/>
        <v>33</v>
      </c>
      <c r="H79" s="6">
        <f t="shared" si="36"/>
        <v>35</v>
      </c>
      <c r="I79" s="6">
        <f t="shared" si="36"/>
        <v>40</v>
      </c>
      <c r="J79" s="6">
        <f t="shared" si="36"/>
        <v>17</v>
      </c>
      <c r="K79" s="6">
        <f t="shared" si="36"/>
        <v>12</v>
      </c>
      <c r="L79" s="6">
        <f t="shared" si="36"/>
        <v>28</v>
      </c>
      <c r="M79" s="6">
        <f t="shared" si="36"/>
        <v>19</v>
      </c>
      <c r="N79" s="6">
        <f t="shared" si="36"/>
        <v>16</v>
      </c>
      <c r="O79" s="6">
        <f t="shared" si="36"/>
        <v>46</v>
      </c>
      <c r="P79" s="6">
        <f t="shared" si="36"/>
        <v>20</v>
      </c>
      <c r="Q79" s="6">
        <f t="shared" si="36"/>
        <v>14</v>
      </c>
      <c r="R79" s="6">
        <f t="shared" si="36"/>
        <v>17</v>
      </c>
      <c r="S79" s="6">
        <f t="shared" si="36"/>
        <v>45</v>
      </c>
      <c r="T79" s="6">
        <f t="shared" si="36"/>
        <v>10</v>
      </c>
      <c r="U79" s="6">
        <f t="shared" si="36"/>
        <v>17</v>
      </c>
      <c r="V79" s="6">
        <f t="shared" si="35"/>
        <v>29</v>
      </c>
      <c r="W79" s="6">
        <f t="shared" si="35"/>
        <v>32</v>
      </c>
      <c r="X79" s="6">
        <f t="shared" si="35"/>
        <v>26</v>
      </c>
      <c r="Y79" s="6">
        <f t="shared" si="35"/>
        <v>56</v>
      </c>
      <c r="Z79" s="6">
        <f t="shared" si="35"/>
        <v>55</v>
      </c>
      <c r="AA79" s="6">
        <f t="shared" si="35"/>
        <v>33</v>
      </c>
      <c r="AB79" s="6">
        <f t="shared" si="35"/>
        <v>37</v>
      </c>
      <c r="AC79" s="6">
        <f t="shared" si="35"/>
        <v>63</v>
      </c>
      <c r="AD79" s="6">
        <f t="shared" si="35"/>
        <v>39</v>
      </c>
      <c r="AE79" s="6">
        <f t="shared" si="35"/>
        <v>22</v>
      </c>
      <c r="AF79" s="6">
        <f t="shared" si="35"/>
        <v>36</v>
      </c>
      <c r="AG79" s="6">
        <f t="shared" ref="AG79:AK79" si="37">SUM(AG69:AG78)</f>
        <v>28</v>
      </c>
      <c r="AH79" s="6">
        <f t="shared" si="37"/>
        <v>54</v>
      </c>
      <c r="AI79" s="6">
        <f t="shared" si="37"/>
        <v>38</v>
      </c>
      <c r="AJ79" s="6">
        <f t="shared" si="37"/>
        <v>66</v>
      </c>
      <c r="AK79" s="6">
        <f t="shared" si="37"/>
        <v>55</v>
      </c>
      <c r="AL79" s="6">
        <f t="shared" si="35"/>
        <v>35</v>
      </c>
      <c r="AM79" s="6">
        <f t="shared" si="35"/>
        <v>50</v>
      </c>
      <c r="AN79" s="6">
        <f t="shared" si="35"/>
        <v>35</v>
      </c>
      <c r="AO79" s="6">
        <f t="shared" si="35"/>
        <v>44</v>
      </c>
      <c r="AP79" s="6">
        <f t="shared" si="35"/>
        <v>33</v>
      </c>
      <c r="AQ79" s="6">
        <f t="shared" si="35"/>
        <v>21</v>
      </c>
      <c r="AR79" s="6">
        <f t="shared" si="35"/>
        <v>1315</v>
      </c>
    </row>
    <row r="80" spans="1:44" x14ac:dyDescent="0.4">
      <c r="A80" s="81"/>
      <c r="B80" s="80"/>
      <c r="C80" s="80"/>
      <c r="D80" s="80"/>
      <c r="E80" s="80"/>
    </row>
    <row r="81" spans="1:44" x14ac:dyDescent="0.4">
      <c r="A81" s="11" t="s">
        <v>48</v>
      </c>
      <c r="B81" s="17" t="s">
        <v>34</v>
      </c>
      <c r="C81" s="83" t="s">
        <v>54</v>
      </c>
      <c r="D81" s="55"/>
      <c r="E81" s="6">
        <v>22</v>
      </c>
      <c r="F81" s="6">
        <v>6</v>
      </c>
      <c r="G81" s="6">
        <v>2</v>
      </c>
      <c r="H81" s="6">
        <v>2</v>
      </c>
      <c r="I81" s="6">
        <v>10</v>
      </c>
      <c r="J81" s="6">
        <v>13</v>
      </c>
      <c r="K81" s="6">
        <v>3</v>
      </c>
      <c r="L81" s="6">
        <v>0</v>
      </c>
      <c r="M81" s="6">
        <v>0</v>
      </c>
      <c r="N81" s="6">
        <v>4</v>
      </c>
      <c r="O81" s="6">
        <v>3</v>
      </c>
      <c r="P81" s="6">
        <v>2</v>
      </c>
      <c r="Q81" s="6">
        <v>5</v>
      </c>
      <c r="R81" s="6">
        <v>20</v>
      </c>
      <c r="S81" s="6">
        <v>2</v>
      </c>
      <c r="T81" s="6">
        <v>21</v>
      </c>
      <c r="U81" s="6">
        <v>6</v>
      </c>
      <c r="V81" s="6">
        <v>19</v>
      </c>
      <c r="W81" s="6">
        <v>4</v>
      </c>
      <c r="X81" s="6">
        <v>14</v>
      </c>
      <c r="Y81" s="6">
        <v>2</v>
      </c>
      <c r="Z81" s="6">
        <v>0</v>
      </c>
      <c r="AA81" s="6">
        <v>13</v>
      </c>
      <c r="AB81" s="6">
        <v>5</v>
      </c>
      <c r="AC81" s="6">
        <v>8</v>
      </c>
      <c r="AD81" s="6">
        <v>0</v>
      </c>
      <c r="AE81" s="6">
        <v>13</v>
      </c>
      <c r="AF81" s="6">
        <v>6</v>
      </c>
      <c r="AG81" s="6">
        <v>8</v>
      </c>
      <c r="AH81" s="6">
        <v>10</v>
      </c>
      <c r="AI81" s="6">
        <v>10</v>
      </c>
      <c r="AJ81" s="6">
        <v>6</v>
      </c>
      <c r="AK81" s="6">
        <v>5</v>
      </c>
      <c r="AL81" s="6">
        <v>3</v>
      </c>
      <c r="AM81" s="6">
        <v>10</v>
      </c>
      <c r="AN81" s="6">
        <v>4</v>
      </c>
      <c r="AO81" s="6">
        <v>1</v>
      </c>
      <c r="AP81" s="6">
        <v>2</v>
      </c>
      <c r="AQ81" s="6">
        <v>0</v>
      </c>
      <c r="AR81" s="5">
        <f t="shared" ref="AR81:AR90" si="38">SUM(E81:AQ81)</f>
        <v>264</v>
      </c>
    </row>
    <row r="82" spans="1:44" x14ac:dyDescent="0.4">
      <c r="A82" s="11" t="s">
        <v>50</v>
      </c>
      <c r="B82" s="47"/>
      <c r="C82" s="24" t="s">
        <v>137</v>
      </c>
      <c r="D82" s="45"/>
      <c r="E82" s="6">
        <v>13</v>
      </c>
      <c r="F82" s="6">
        <v>4</v>
      </c>
      <c r="G82" s="6">
        <v>7</v>
      </c>
      <c r="H82" s="6">
        <v>6</v>
      </c>
      <c r="I82" s="6">
        <v>7</v>
      </c>
      <c r="J82" s="6">
        <v>47</v>
      </c>
      <c r="K82" s="6">
        <v>2</v>
      </c>
      <c r="L82" s="6">
        <v>0</v>
      </c>
      <c r="M82" s="6">
        <v>3</v>
      </c>
      <c r="N82" s="6">
        <v>4</v>
      </c>
      <c r="O82" s="6">
        <v>17</v>
      </c>
      <c r="P82" s="6">
        <v>2</v>
      </c>
      <c r="Q82" s="6">
        <v>5</v>
      </c>
      <c r="R82" s="6">
        <v>40</v>
      </c>
      <c r="S82" s="6">
        <v>10</v>
      </c>
      <c r="T82" s="6">
        <v>79</v>
      </c>
      <c r="U82" s="6">
        <v>11</v>
      </c>
      <c r="V82" s="6">
        <v>76</v>
      </c>
      <c r="W82" s="6">
        <v>17</v>
      </c>
      <c r="X82" s="6">
        <v>26</v>
      </c>
      <c r="Y82" s="6">
        <v>2</v>
      </c>
      <c r="Z82" s="6">
        <v>8</v>
      </c>
      <c r="AA82" s="6">
        <v>37</v>
      </c>
      <c r="AB82" s="6">
        <v>62</v>
      </c>
      <c r="AC82" s="6">
        <v>11</v>
      </c>
      <c r="AD82" s="6">
        <v>4</v>
      </c>
      <c r="AE82" s="6">
        <v>16</v>
      </c>
      <c r="AF82" s="6">
        <v>48</v>
      </c>
      <c r="AG82" s="6">
        <v>42</v>
      </c>
      <c r="AH82" s="6">
        <v>35</v>
      </c>
      <c r="AI82" s="6">
        <v>31</v>
      </c>
      <c r="AJ82" s="6">
        <v>6</v>
      </c>
      <c r="AK82" s="6">
        <v>9</v>
      </c>
      <c r="AL82" s="6">
        <v>6</v>
      </c>
      <c r="AM82" s="6">
        <v>2</v>
      </c>
      <c r="AN82" s="6">
        <v>23</v>
      </c>
      <c r="AO82" s="6">
        <v>1</v>
      </c>
      <c r="AP82" s="6">
        <v>7</v>
      </c>
      <c r="AQ82" s="6">
        <v>1</v>
      </c>
      <c r="AR82" s="5">
        <f t="shared" si="38"/>
        <v>727</v>
      </c>
    </row>
    <row r="83" spans="1:44" x14ac:dyDescent="0.4">
      <c r="A83" s="7"/>
      <c r="B83" s="47"/>
      <c r="C83" s="24" t="s">
        <v>138</v>
      </c>
      <c r="D83" s="45"/>
      <c r="E83" s="6">
        <v>4</v>
      </c>
      <c r="F83" s="6">
        <v>2</v>
      </c>
      <c r="G83" s="6">
        <v>0</v>
      </c>
      <c r="H83" s="6">
        <v>2</v>
      </c>
      <c r="I83" s="6">
        <v>4</v>
      </c>
      <c r="J83" s="6">
        <v>3</v>
      </c>
      <c r="K83" s="6">
        <v>1</v>
      </c>
      <c r="L83" s="6">
        <v>0</v>
      </c>
      <c r="M83" s="6">
        <v>1</v>
      </c>
      <c r="N83" s="6">
        <v>1</v>
      </c>
      <c r="O83" s="6">
        <v>3</v>
      </c>
      <c r="P83" s="6">
        <v>0</v>
      </c>
      <c r="Q83" s="6">
        <v>2</v>
      </c>
      <c r="R83" s="6">
        <v>4</v>
      </c>
      <c r="S83" s="6">
        <v>3</v>
      </c>
      <c r="T83" s="6">
        <v>4</v>
      </c>
      <c r="U83" s="6">
        <v>2</v>
      </c>
      <c r="V83" s="6">
        <v>1</v>
      </c>
      <c r="W83" s="6">
        <v>0</v>
      </c>
      <c r="X83" s="6">
        <v>4</v>
      </c>
      <c r="Y83" s="6">
        <v>0</v>
      </c>
      <c r="Z83" s="6">
        <v>2</v>
      </c>
      <c r="AA83" s="6">
        <v>1</v>
      </c>
      <c r="AB83" s="6">
        <v>1</v>
      </c>
      <c r="AC83" s="6">
        <v>3</v>
      </c>
      <c r="AD83" s="6">
        <v>1</v>
      </c>
      <c r="AE83" s="6">
        <v>7</v>
      </c>
      <c r="AF83" s="6">
        <v>1</v>
      </c>
      <c r="AG83" s="6">
        <v>1</v>
      </c>
      <c r="AH83" s="6">
        <v>1</v>
      </c>
      <c r="AI83" s="6">
        <v>7</v>
      </c>
      <c r="AJ83" s="6">
        <v>2</v>
      </c>
      <c r="AK83" s="6">
        <v>5</v>
      </c>
      <c r="AL83" s="6">
        <v>0</v>
      </c>
      <c r="AM83" s="6">
        <v>5</v>
      </c>
      <c r="AN83" s="6">
        <v>2</v>
      </c>
      <c r="AO83" s="6">
        <v>1</v>
      </c>
      <c r="AP83" s="6">
        <v>0</v>
      </c>
      <c r="AQ83" s="6">
        <v>0</v>
      </c>
      <c r="AR83" s="5">
        <f t="shared" si="38"/>
        <v>81</v>
      </c>
    </row>
    <row r="84" spans="1:44" x14ac:dyDescent="0.4">
      <c r="A84" s="7"/>
      <c r="B84" s="47"/>
      <c r="C84" s="24" t="s">
        <v>139</v>
      </c>
      <c r="D84" s="45"/>
      <c r="E84" s="6">
        <v>4</v>
      </c>
      <c r="F84" s="6">
        <v>0</v>
      </c>
      <c r="G84" s="6">
        <v>0</v>
      </c>
      <c r="H84" s="6">
        <v>1</v>
      </c>
      <c r="I84" s="6">
        <v>1</v>
      </c>
      <c r="J84" s="6">
        <v>1</v>
      </c>
      <c r="K84" s="6">
        <v>1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1</v>
      </c>
      <c r="V84" s="6">
        <v>2</v>
      </c>
      <c r="W84" s="6">
        <v>1</v>
      </c>
      <c r="X84" s="6">
        <v>0</v>
      </c>
      <c r="Y84" s="6">
        <v>0</v>
      </c>
      <c r="Z84" s="6">
        <v>0</v>
      </c>
      <c r="AA84" s="6">
        <v>1</v>
      </c>
      <c r="AB84" s="6">
        <v>1</v>
      </c>
      <c r="AC84" s="6">
        <v>1</v>
      </c>
      <c r="AD84" s="6">
        <v>0</v>
      </c>
      <c r="AE84" s="6">
        <v>3</v>
      </c>
      <c r="AF84" s="6">
        <v>1</v>
      </c>
      <c r="AG84" s="6">
        <v>0</v>
      </c>
      <c r="AH84" s="6">
        <v>1</v>
      </c>
      <c r="AI84" s="6">
        <v>1</v>
      </c>
      <c r="AJ84" s="6">
        <v>2</v>
      </c>
      <c r="AK84" s="6">
        <v>0</v>
      </c>
      <c r="AL84" s="6">
        <v>0</v>
      </c>
      <c r="AM84" s="6">
        <v>1</v>
      </c>
      <c r="AN84" s="6">
        <v>1</v>
      </c>
      <c r="AO84" s="6">
        <v>0</v>
      </c>
      <c r="AP84" s="6">
        <v>0</v>
      </c>
      <c r="AQ84" s="6">
        <v>0</v>
      </c>
      <c r="AR84" s="5">
        <f t="shared" si="38"/>
        <v>27</v>
      </c>
    </row>
    <row r="85" spans="1:44" ht="13.15" customHeight="1" x14ac:dyDescent="0.4">
      <c r="A85" s="7"/>
      <c r="B85" s="47"/>
      <c r="C85" s="24" t="s">
        <v>140</v>
      </c>
      <c r="D85" s="45"/>
      <c r="E85" s="6">
        <v>6</v>
      </c>
      <c r="F85" s="6">
        <v>0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0</v>
      </c>
      <c r="N85" s="6">
        <v>0</v>
      </c>
      <c r="O85" s="6">
        <v>3</v>
      </c>
      <c r="P85" s="6">
        <v>0</v>
      </c>
      <c r="Q85" s="6">
        <v>1</v>
      </c>
      <c r="R85" s="6">
        <v>2</v>
      </c>
      <c r="S85" s="6">
        <v>0</v>
      </c>
      <c r="T85" s="6">
        <v>3</v>
      </c>
      <c r="U85" s="6">
        <v>3</v>
      </c>
      <c r="V85" s="6">
        <v>1</v>
      </c>
      <c r="W85" s="6">
        <v>1</v>
      </c>
      <c r="X85" s="6">
        <v>2</v>
      </c>
      <c r="Y85" s="6">
        <v>0</v>
      </c>
      <c r="Z85" s="6">
        <v>0</v>
      </c>
      <c r="AA85" s="6">
        <v>2</v>
      </c>
      <c r="AB85" s="6">
        <v>1</v>
      </c>
      <c r="AC85" s="6">
        <v>3</v>
      </c>
      <c r="AD85" s="6">
        <v>0</v>
      </c>
      <c r="AE85" s="6">
        <v>0</v>
      </c>
      <c r="AF85" s="6">
        <v>1</v>
      </c>
      <c r="AG85" s="6">
        <v>0</v>
      </c>
      <c r="AH85" s="6">
        <v>1</v>
      </c>
      <c r="AI85" s="6">
        <v>0</v>
      </c>
      <c r="AJ85" s="6">
        <v>1</v>
      </c>
      <c r="AK85" s="6">
        <v>6</v>
      </c>
      <c r="AL85" s="6">
        <v>2</v>
      </c>
      <c r="AM85" s="6">
        <v>1</v>
      </c>
      <c r="AN85" s="6">
        <v>0</v>
      </c>
      <c r="AO85" s="6">
        <v>1</v>
      </c>
      <c r="AP85" s="6">
        <v>0</v>
      </c>
      <c r="AQ85" s="6">
        <v>0</v>
      </c>
      <c r="AR85" s="5">
        <f t="shared" si="38"/>
        <v>47</v>
      </c>
    </row>
    <row r="86" spans="1:44" x14ac:dyDescent="0.4">
      <c r="A86" s="7"/>
      <c r="B86" s="47"/>
      <c r="C86" s="24" t="s">
        <v>141</v>
      </c>
      <c r="D86" s="45"/>
      <c r="E86" s="6">
        <v>6</v>
      </c>
      <c r="F86" s="6">
        <v>1</v>
      </c>
      <c r="G86" s="6">
        <v>3</v>
      </c>
      <c r="H86" s="6">
        <v>5</v>
      </c>
      <c r="I86" s="6">
        <v>0</v>
      </c>
      <c r="J86" s="6">
        <v>1</v>
      </c>
      <c r="K86" s="6">
        <v>0</v>
      </c>
      <c r="L86" s="6">
        <v>0</v>
      </c>
      <c r="M86" s="6">
        <v>1</v>
      </c>
      <c r="N86" s="6">
        <v>3</v>
      </c>
      <c r="O86" s="6">
        <v>0</v>
      </c>
      <c r="P86" s="6">
        <v>1</v>
      </c>
      <c r="Q86" s="6">
        <v>0</v>
      </c>
      <c r="R86" s="6">
        <v>0</v>
      </c>
      <c r="S86" s="6">
        <v>1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2</v>
      </c>
      <c r="AA86" s="6">
        <v>1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2</v>
      </c>
      <c r="AK86" s="6">
        <v>0</v>
      </c>
      <c r="AL86" s="6">
        <v>0</v>
      </c>
      <c r="AM86" s="6">
        <v>1</v>
      </c>
      <c r="AN86" s="6">
        <v>0</v>
      </c>
      <c r="AO86" s="6">
        <v>1</v>
      </c>
      <c r="AP86" s="6">
        <v>1</v>
      </c>
      <c r="AQ86" s="6">
        <v>0</v>
      </c>
      <c r="AR86" s="5">
        <f t="shared" si="38"/>
        <v>32</v>
      </c>
    </row>
    <row r="87" spans="1:44" x14ac:dyDescent="0.4">
      <c r="A87" s="7"/>
      <c r="B87" s="47"/>
      <c r="C87" s="24" t="s">
        <v>142</v>
      </c>
      <c r="D87" s="45"/>
      <c r="E87" s="6">
        <v>2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2</v>
      </c>
      <c r="T87" s="6">
        <v>0</v>
      </c>
      <c r="U87" s="6">
        <v>3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1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5">
        <f t="shared" si="38"/>
        <v>13</v>
      </c>
    </row>
    <row r="88" spans="1:44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1</v>
      </c>
      <c r="AJ88" s="6">
        <v>1</v>
      </c>
      <c r="AK88" s="6">
        <v>1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5">
        <f t="shared" si="38"/>
        <v>4</v>
      </c>
    </row>
    <row r="89" spans="1:44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5">
        <f t="shared" si="38"/>
        <v>2</v>
      </c>
    </row>
    <row r="90" spans="1:44" x14ac:dyDescent="0.4">
      <c r="A90" s="7"/>
      <c r="B90" s="47"/>
      <c r="C90" s="24" t="s">
        <v>145</v>
      </c>
      <c r="D90" s="45"/>
      <c r="E90" s="6">
        <v>5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5">
        <f t="shared" si="38"/>
        <v>8</v>
      </c>
    </row>
    <row r="91" spans="1:44" x14ac:dyDescent="0.4">
      <c r="A91" s="6" t="s">
        <v>26</v>
      </c>
      <c r="B91" s="74" t="s">
        <v>51</v>
      </c>
      <c r="C91" s="54"/>
      <c r="D91" s="55"/>
      <c r="E91" s="6">
        <f t="shared" ref="E91:AR91" si="39">SUM(E81:E90)</f>
        <v>62</v>
      </c>
      <c r="F91" s="6">
        <f t="shared" ref="F91:U91" si="40">SUM(F81:F90)</f>
        <v>14</v>
      </c>
      <c r="G91" s="6">
        <f t="shared" si="40"/>
        <v>13</v>
      </c>
      <c r="H91" s="6">
        <f t="shared" si="40"/>
        <v>17</v>
      </c>
      <c r="I91" s="6">
        <f t="shared" si="40"/>
        <v>23</v>
      </c>
      <c r="J91" s="6">
        <f t="shared" si="40"/>
        <v>66</v>
      </c>
      <c r="K91" s="6">
        <f t="shared" si="40"/>
        <v>8</v>
      </c>
      <c r="L91" s="6">
        <f t="shared" si="40"/>
        <v>4</v>
      </c>
      <c r="M91" s="6">
        <f t="shared" si="40"/>
        <v>6</v>
      </c>
      <c r="N91" s="6">
        <f t="shared" si="40"/>
        <v>12</v>
      </c>
      <c r="O91" s="6">
        <f t="shared" si="40"/>
        <v>26</v>
      </c>
      <c r="P91" s="6">
        <f t="shared" si="40"/>
        <v>5</v>
      </c>
      <c r="Q91" s="6">
        <f t="shared" si="40"/>
        <v>15</v>
      </c>
      <c r="R91" s="6">
        <f t="shared" si="40"/>
        <v>67</v>
      </c>
      <c r="S91" s="6">
        <f t="shared" si="40"/>
        <v>18</v>
      </c>
      <c r="T91" s="6">
        <f t="shared" si="40"/>
        <v>107</v>
      </c>
      <c r="U91" s="6">
        <f t="shared" si="40"/>
        <v>27</v>
      </c>
      <c r="V91" s="6">
        <f t="shared" si="39"/>
        <v>99</v>
      </c>
      <c r="W91" s="6">
        <f t="shared" si="39"/>
        <v>24</v>
      </c>
      <c r="X91" s="6">
        <f t="shared" si="39"/>
        <v>46</v>
      </c>
      <c r="Y91" s="6">
        <f t="shared" si="39"/>
        <v>4</v>
      </c>
      <c r="Z91" s="6">
        <f t="shared" si="39"/>
        <v>13</v>
      </c>
      <c r="AA91" s="6">
        <f t="shared" si="39"/>
        <v>55</v>
      </c>
      <c r="AB91" s="6">
        <f t="shared" si="39"/>
        <v>71</v>
      </c>
      <c r="AC91" s="6">
        <f t="shared" si="39"/>
        <v>27</v>
      </c>
      <c r="AD91" s="6">
        <f t="shared" si="39"/>
        <v>5</v>
      </c>
      <c r="AE91" s="6">
        <f t="shared" si="39"/>
        <v>40</v>
      </c>
      <c r="AF91" s="6">
        <f t="shared" si="39"/>
        <v>57</v>
      </c>
      <c r="AG91" s="6">
        <f t="shared" ref="AG91:AK91" si="41">SUM(AG81:AG90)</f>
        <v>51</v>
      </c>
      <c r="AH91" s="6">
        <f t="shared" si="41"/>
        <v>48</v>
      </c>
      <c r="AI91" s="6">
        <f t="shared" si="41"/>
        <v>51</v>
      </c>
      <c r="AJ91" s="6">
        <f t="shared" si="41"/>
        <v>20</v>
      </c>
      <c r="AK91" s="6">
        <f t="shared" si="41"/>
        <v>26</v>
      </c>
      <c r="AL91" s="6">
        <f t="shared" si="39"/>
        <v>12</v>
      </c>
      <c r="AM91" s="6">
        <f t="shared" si="39"/>
        <v>20</v>
      </c>
      <c r="AN91" s="6">
        <f t="shared" si="39"/>
        <v>30</v>
      </c>
      <c r="AO91" s="6">
        <f t="shared" si="39"/>
        <v>5</v>
      </c>
      <c r="AP91" s="6">
        <f t="shared" si="39"/>
        <v>10</v>
      </c>
      <c r="AQ91" s="6">
        <f t="shared" si="39"/>
        <v>1</v>
      </c>
      <c r="AR91" s="6">
        <f t="shared" si="39"/>
        <v>1205</v>
      </c>
    </row>
    <row r="92" spans="1:44" x14ac:dyDescent="0.4">
      <c r="A92" s="81"/>
      <c r="B92" s="80"/>
      <c r="C92" s="80"/>
      <c r="D92" s="80"/>
      <c r="E92" s="80"/>
    </row>
    <row r="93" spans="1:44" x14ac:dyDescent="0.4">
      <c r="A93" s="11" t="s">
        <v>48</v>
      </c>
      <c r="B93" s="17" t="s">
        <v>55</v>
      </c>
      <c r="C93" s="83" t="s">
        <v>56</v>
      </c>
      <c r="D93" s="55"/>
      <c r="E93" s="6">
        <v>4</v>
      </c>
      <c r="F93" s="6">
        <v>3</v>
      </c>
      <c r="G93" s="6">
        <v>2</v>
      </c>
      <c r="H93" s="6">
        <v>1</v>
      </c>
      <c r="I93" s="6">
        <v>2</v>
      </c>
      <c r="J93" s="6">
        <v>1</v>
      </c>
      <c r="K93" s="6">
        <v>3</v>
      </c>
      <c r="L93" s="6">
        <v>0</v>
      </c>
      <c r="M93" s="6">
        <v>2</v>
      </c>
      <c r="N93" s="6">
        <v>0</v>
      </c>
      <c r="O93" s="6">
        <v>2</v>
      </c>
      <c r="P93" s="6">
        <v>3</v>
      </c>
      <c r="Q93" s="6">
        <v>4</v>
      </c>
      <c r="R93" s="6">
        <v>2</v>
      </c>
      <c r="S93" s="6">
        <v>1</v>
      </c>
      <c r="T93" s="6">
        <v>3</v>
      </c>
      <c r="U93" s="6">
        <v>1</v>
      </c>
      <c r="V93" s="6">
        <v>5</v>
      </c>
      <c r="W93" s="6">
        <v>4</v>
      </c>
      <c r="X93" s="6">
        <v>3</v>
      </c>
      <c r="Y93" s="6">
        <v>5</v>
      </c>
      <c r="Z93" s="6">
        <v>2</v>
      </c>
      <c r="AA93" s="6">
        <v>3</v>
      </c>
      <c r="AB93" s="6">
        <v>2</v>
      </c>
      <c r="AC93" s="6">
        <v>7</v>
      </c>
      <c r="AD93" s="6">
        <v>3</v>
      </c>
      <c r="AE93" s="6">
        <v>3</v>
      </c>
      <c r="AF93" s="6">
        <v>1</v>
      </c>
      <c r="AG93" s="6">
        <v>3</v>
      </c>
      <c r="AH93" s="6">
        <v>1</v>
      </c>
      <c r="AI93" s="6">
        <v>2</v>
      </c>
      <c r="AJ93" s="6">
        <v>1</v>
      </c>
      <c r="AK93" s="6">
        <v>5</v>
      </c>
      <c r="AL93" s="6">
        <v>0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5">
        <f t="shared" ref="AR93:AR102" si="42">SUM(E93:AQ93)</f>
        <v>89</v>
      </c>
    </row>
    <row r="94" spans="1:44" x14ac:dyDescent="0.4">
      <c r="A94" s="11" t="s">
        <v>50</v>
      </c>
      <c r="B94" s="47"/>
      <c r="C94" s="24" t="s">
        <v>146</v>
      </c>
      <c r="D94" s="45"/>
      <c r="E94" s="6">
        <v>0</v>
      </c>
      <c r="F94" s="6">
        <v>6</v>
      </c>
      <c r="G94" s="6">
        <v>0</v>
      </c>
      <c r="H94" s="6">
        <v>2</v>
      </c>
      <c r="I94" s="6">
        <v>0</v>
      </c>
      <c r="J94" s="6">
        <v>4</v>
      </c>
      <c r="K94" s="6">
        <v>3</v>
      </c>
      <c r="L94" s="6">
        <v>1</v>
      </c>
      <c r="M94" s="6">
        <v>2</v>
      </c>
      <c r="N94" s="6">
        <v>4</v>
      </c>
      <c r="O94" s="6">
        <v>4</v>
      </c>
      <c r="P94" s="6">
        <v>1</v>
      </c>
      <c r="Q94" s="6">
        <v>1</v>
      </c>
      <c r="R94" s="6">
        <v>4</v>
      </c>
      <c r="S94" s="6">
        <v>4</v>
      </c>
      <c r="T94" s="6">
        <v>2</v>
      </c>
      <c r="U94" s="6">
        <v>1</v>
      </c>
      <c r="V94" s="6">
        <v>2</v>
      </c>
      <c r="W94" s="6">
        <v>2</v>
      </c>
      <c r="X94" s="6">
        <v>10</v>
      </c>
      <c r="Y94" s="6">
        <v>13</v>
      </c>
      <c r="Z94" s="6">
        <v>5</v>
      </c>
      <c r="AA94" s="6">
        <v>2</v>
      </c>
      <c r="AB94" s="6">
        <v>12</v>
      </c>
      <c r="AC94" s="6">
        <v>16</v>
      </c>
      <c r="AD94" s="6">
        <v>11</v>
      </c>
      <c r="AE94" s="6">
        <v>5</v>
      </c>
      <c r="AF94" s="6">
        <v>2</v>
      </c>
      <c r="AG94" s="6">
        <v>2</v>
      </c>
      <c r="AH94" s="6">
        <v>0</v>
      </c>
      <c r="AI94" s="6">
        <v>4</v>
      </c>
      <c r="AJ94" s="6">
        <v>0</v>
      </c>
      <c r="AK94" s="6">
        <v>11</v>
      </c>
      <c r="AL94" s="6">
        <v>5</v>
      </c>
      <c r="AM94" s="6">
        <v>4</v>
      </c>
      <c r="AN94" s="6">
        <v>1</v>
      </c>
      <c r="AO94" s="6">
        <v>1</v>
      </c>
      <c r="AP94" s="6">
        <v>10</v>
      </c>
      <c r="AQ94" s="6">
        <v>1</v>
      </c>
      <c r="AR94" s="5">
        <f t="shared" si="42"/>
        <v>158</v>
      </c>
    </row>
    <row r="95" spans="1:44" x14ac:dyDescent="0.4">
      <c r="A95" s="7"/>
      <c r="B95" s="47"/>
      <c r="C95" s="24" t="s">
        <v>147</v>
      </c>
      <c r="D95" s="45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2</v>
      </c>
      <c r="P95" s="6">
        <v>1</v>
      </c>
      <c r="Q95" s="6">
        <v>0</v>
      </c>
      <c r="R95" s="6">
        <v>1</v>
      </c>
      <c r="S95" s="6">
        <v>1</v>
      </c>
      <c r="T95" s="6">
        <v>0</v>
      </c>
      <c r="U95" s="6">
        <v>0</v>
      </c>
      <c r="V95" s="6">
        <v>2</v>
      </c>
      <c r="W95" s="6">
        <v>0</v>
      </c>
      <c r="X95" s="6">
        <v>2</v>
      </c>
      <c r="Y95" s="6">
        <v>3</v>
      </c>
      <c r="Z95" s="6">
        <v>2</v>
      </c>
      <c r="AA95" s="6">
        <v>0</v>
      </c>
      <c r="AB95" s="6">
        <v>0</v>
      </c>
      <c r="AC95" s="6">
        <v>1</v>
      </c>
      <c r="AD95" s="6">
        <v>3</v>
      </c>
      <c r="AE95" s="6">
        <v>3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1</v>
      </c>
      <c r="AL95" s="6">
        <v>1</v>
      </c>
      <c r="AM95" s="6">
        <v>1</v>
      </c>
      <c r="AN95" s="6">
        <v>0</v>
      </c>
      <c r="AO95" s="6">
        <v>0</v>
      </c>
      <c r="AP95" s="6">
        <v>3</v>
      </c>
      <c r="AQ95" s="6">
        <v>0</v>
      </c>
      <c r="AR95" s="5">
        <f t="shared" si="42"/>
        <v>27</v>
      </c>
    </row>
    <row r="96" spans="1:44" ht="13.15" customHeight="1" x14ac:dyDescent="0.4">
      <c r="A96" s="7"/>
      <c r="B96" s="47"/>
      <c r="C96" s="24" t="s">
        <v>148</v>
      </c>
      <c r="D96" s="45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2</v>
      </c>
      <c r="Z96" s="6">
        <v>0</v>
      </c>
      <c r="AA96" s="6">
        <v>0</v>
      </c>
      <c r="AB96" s="6">
        <v>0</v>
      </c>
      <c r="AC96" s="6">
        <v>2</v>
      </c>
      <c r="AD96" s="6">
        <v>0</v>
      </c>
      <c r="AE96" s="6">
        <v>1</v>
      </c>
      <c r="AF96" s="6">
        <v>2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1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5">
        <f t="shared" si="42"/>
        <v>11</v>
      </c>
    </row>
    <row r="97" spans="1:44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2</v>
      </c>
      <c r="T97" s="6">
        <v>0</v>
      </c>
      <c r="U97" s="6">
        <v>1</v>
      </c>
      <c r="V97" s="6">
        <v>1</v>
      </c>
      <c r="W97" s="6">
        <v>1</v>
      </c>
      <c r="X97" s="6">
        <v>2</v>
      </c>
      <c r="Y97" s="6">
        <v>1</v>
      </c>
      <c r="Z97" s="6">
        <v>1</v>
      </c>
      <c r="AA97" s="6">
        <v>0</v>
      </c>
      <c r="AB97" s="6">
        <v>0</v>
      </c>
      <c r="AC97" s="6">
        <v>1</v>
      </c>
      <c r="AD97" s="6">
        <v>0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5">
        <f t="shared" si="42"/>
        <v>14</v>
      </c>
    </row>
    <row r="98" spans="1:44" x14ac:dyDescent="0.4">
      <c r="A98" s="7"/>
      <c r="B98" s="47"/>
      <c r="C98" s="24" t="s">
        <v>150</v>
      </c>
      <c r="D98" s="45"/>
      <c r="E98" s="6">
        <v>0</v>
      </c>
      <c r="F98" s="6">
        <v>2</v>
      </c>
      <c r="G98" s="6">
        <v>0</v>
      </c>
      <c r="H98" s="6">
        <v>1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1</v>
      </c>
      <c r="AA98" s="6">
        <v>0</v>
      </c>
      <c r="AB98" s="6">
        <v>0</v>
      </c>
      <c r="AC98" s="6">
        <v>0</v>
      </c>
      <c r="AD98" s="6">
        <v>1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5">
        <f t="shared" si="42"/>
        <v>11</v>
      </c>
    </row>
    <row r="99" spans="1:44" x14ac:dyDescent="0.4">
      <c r="A99" s="7"/>
      <c r="B99" s="47"/>
      <c r="C99" s="24" t="s">
        <v>151</v>
      </c>
      <c r="D99" s="45"/>
      <c r="E99" s="6">
        <v>0</v>
      </c>
      <c r="F99" s="6">
        <v>1</v>
      </c>
      <c r="G99" s="6">
        <v>0</v>
      </c>
      <c r="H99" s="6">
        <v>0</v>
      </c>
      <c r="I99" s="6">
        <v>0</v>
      </c>
      <c r="J99" s="6">
        <v>2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2</v>
      </c>
      <c r="S99" s="6">
        <v>0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1</v>
      </c>
      <c r="AB99" s="6">
        <v>0</v>
      </c>
      <c r="AC99" s="6">
        <v>0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2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5">
        <f t="shared" si="42"/>
        <v>11</v>
      </c>
    </row>
    <row r="100" spans="1:44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5">
        <f t="shared" si="42"/>
        <v>1</v>
      </c>
    </row>
    <row r="101" spans="1:44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1</v>
      </c>
      <c r="AQ101" s="6">
        <v>0</v>
      </c>
      <c r="AR101" s="5">
        <f t="shared" si="42"/>
        <v>2</v>
      </c>
    </row>
    <row r="102" spans="1:44" x14ac:dyDescent="0.4">
      <c r="A102" s="7"/>
      <c r="B102" s="47"/>
      <c r="C102" s="24" t="s">
        <v>154</v>
      </c>
      <c r="D102" s="45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5">
        <f t="shared" si="42"/>
        <v>0</v>
      </c>
    </row>
    <row r="103" spans="1:44" x14ac:dyDescent="0.4">
      <c r="A103" s="6" t="s">
        <v>26</v>
      </c>
      <c r="B103" s="74" t="s">
        <v>51</v>
      </c>
      <c r="C103" s="54"/>
      <c r="D103" s="55"/>
      <c r="E103" s="6">
        <f t="shared" ref="E103:AR103" si="43">SUM(E93:E102)</f>
        <v>4</v>
      </c>
      <c r="F103" s="6">
        <f t="shared" ref="F103:U103" si="44">SUM(F93:F102)</f>
        <v>12</v>
      </c>
      <c r="G103" s="6">
        <f t="shared" si="44"/>
        <v>3</v>
      </c>
      <c r="H103" s="6">
        <f t="shared" si="44"/>
        <v>5</v>
      </c>
      <c r="I103" s="6">
        <f t="shared" si="44"/>
        <v>4</v>
      </c>
      <c r="J103" s="6">
        <f t="shared" si="44"/>
        <v>8</v>
      </c>
      <c r="K103" s="6">
        <f t="shared" si="44"/>
        <v>7</v>
      </c>
      <c r="L103" s="6">
        <f t="shared" si="44"/>
        <v>1</v>
      </c>
      <c r="M103" s="6">
        <f t="shared" si="44"/>
        <v>5</v>
      </c>
      <c r="N103" s="6">
        <f t="shared" si="44"/>
        <v>5</v>
      </c>
      <c r="O103" s="6">
        <f t="shared" si="44"/>
        <v>8</v>
      </c>
      <c r="P103" s="6">
        <f t="shared" si="44"/>
        <v>5</v>
      </c>
      <c r="Q103" s="6">
        <f t="shared" si="44"/>
        <v>6</v>
      </c>
      <c r="R103" s="6">
        <f t="shared" si="44"/>
        <v>9</v>
      </c>
      <c r="S103" s="6">
        <f t="shared" si="44"/>
        <v>9</v>
      </c>
      <c r="T103" s="6">
        <f t="shared" si="44"/>
        <v>6</v>
      </c>
      <c r="U103" s="6">
        <f t="shared" si="44"/>
        <v>3</v>
      </c>
      <c r="V103" s="6">
        <f t="shared" si="43"/>
        <v>10</v>
      </c>
      <c r="W103" s="6">
        <f t="shared" si="43"/>
        <v>8</v>
      </c>
      <c r="X103" s="6">
        <f t="shared" si="43"/>
        <v>17</v>
      </c>
      <c r="Y103" s="6">
        <f t="shared" si="43"/>
        <v>24</v>
      </c>
      <c r="Z103" s="6">
        <f t="shared" si="43"/>
        <v>11</v>
      </c>
      <c r="AA103" s="6">
        <f t="shared" si="43"/>
        <v>6</v>
      </c>
      <c r="AB103" s="6">
        <f t="shared" si="43"/>
        <v>14</v>
      </c>
      <c r="AC103" s="6">
        <f t="shared" si="43"/>
        <v>27</v>
      </c>
      <c r="AD103" s="6">
        <f t="shared" si="43"/>
        <v>19</v>
      </c>
      <c r="AE103" s="6">
        <f t="shared" si="43"/>
        <v>13</v>
      </c>
      <c r="AF103" s="6">
        <f t="shared" si="43"/>
        <v>5</v>
      </c>
      <c r="AG103" s="6">
        <f t="shared" ref="AG103:AK103" si="45">SUM(AG93:AG102)</f>
        <v>5</v>
      </c>
      <c r="AH103" s="6">
        <f t="shared" si="45"/>
        <v>1</v>
      </c>
      <c r="AI103" s="6">
        <f t="shared" si="45"/>
        <v>8</v>
      </c>
      <c r="AJ103" s="6">
        <f t="shared" si="45"/>
        <v>1</v>
      </c>
      <c r="AK103" s="6">
        <f t="shared" si="45"/>
        <v>20</v>
      </c>
      <c r="AL103" s="6">
        <f t="shared" si="43"/>
        <v>7</v>
      </c>
      <c r="AM103" s="6">
        <f t="shared" si="43"/>
        <v>6</v>
      </c>
      <c r="AN103" s="6">
        <f t="shared" si="43"/>
        <v>2</v>
      </c>
      <c r="AO103" s="6">
        <f t="shared" si="43"/>
        <v>2</v>
      </c>
      <c r="AP103" s="6">
        <f t="shared" si="43"/>
        <v>16</v>
      </c>
      <c r="AQ103" s="6">
        <f t="shared" si="43"/>
        <v>2</v>
      </c>
      <c r="AR103" s="6">
        <f t="shared" si="43"/>
        <v>324</v>
      </c>
    </row>
    <row r="104" spans="1:44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</row>
    <row r="105" spans="1:44" x14ac:dyDescent="0.4">
      <c r="A105" s="11" t="s">
        <v>48</v>
      </c>
      <c r="B105" s="17" t="s">
        <v>57</v>
      </c>
      <c r="C105" s="83" t="s">
        <v>58</v>
      </c>
      <c r="D105" s="55"/>
      <c r="E105" s="6">
        <v>1</v>
      </c>
      <c r="F105" s="6">
        <v>2</v>
      </c>
      <c r="G105" s="6">
        <v>0</v>
      </c>
      <c r="H105" s="6">
        <v>1</v>
      </c>
      <c r="I105" s="6">
        <v>0</v>
      </c>
      <c r="J105" s="6">
        <v>1</v>
      </c>
      <c r="K105" s="6">
        <v>1</v>
      </c>
      <c r="L105" s="6">
        <v>2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5</v>
      </c>
      <c r="T105" s="6">
        <v>1</v>
      </c>
      <c r="U105" s="6">
        <v>2</v>
      </c>
      <c r="V105" s="6">
        <v>0</v>
      </c>
      <c r="W105" s="6">
        <v>0</v>
      </c>
      <c r="X105" s="6">
        <v>4</v>
      </c>
      <c r="Y105" s="6">
        <v>1</v>
      </c>
      <c r="Z105" s="6">
        <v>0</v>
      </c>
      <c r="AA105" s="6">
        <v>1</v>
      </c>
      <c r="AB105" s="6">
        <v>1</v>
      </c>
      <c r="AC105" s="6">
        <v>1</v>
      </c>
      <c r="AD105" s="6">
        <v>0</v>
      </c>
      <c r="AE105" s="6">
        <v>0</v>
      </c>
      <c r="AF105" s="6">
        <v>0</v>
      </c>
      <c r="AG105" s="6">
        <v>1</v>
      </c>
      <c r="AH105" s="6">
        <v>1</v>
      </c>
      <c r="AI105" s="6">
        <v>0</v>
      </c>
      <c r="AJ105" s="6">
        <v>0</v>
      </c>
      <c r="AK105" s="6">
        <v>0</v>
      </c>
      <c r="AL105" s="6">
        <v>4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5">
        <f t="shared" ref="AR105:AR107" si="46">SUM(E105:AQ105)</f>
        <v>32</v>
      </c>
    </row>
    <row r="106" spans="1:44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1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1</v>
      </c>
      <c r="AK106" s="6">
        <v>1</v>
      </c>
      <c r="AL106" s="6">
        <v>0</v>
      </c>
      <c r="AM106" s="6">
        <v>0</v>
      </c>
      <c r="AN106" s="6">
        <v>0</v>
      </c>
      <c r="AO106" s="6">
        <v>0</v>
      </c>
      <c r="AP106" s="6">
        <v>1</v>
      </c>
      <c r="AQ106" s="6">
        <v>0</v>
      </c>
      <c r="AR106" s="5">
        <f t="shared" si="46"/>
        <v>10</v>
      </c>
    </row>
    <row r="107" spans="1:44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1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1</v>
      </c>
      <c r="T107" s="6">
        <v>0</v>
      </c>
      <c r="U107" s="6">
        <v>0</v>
      </c>
      <c r="V107" s="6">
        <v>0</v>
      </c>
      <c r="W107" s="6">
        <v>0</v>
      </c>
      <c r="X107" s="6">
        <v>1</v>
      </c>
      <c r="Y107" s="6">
        <v>0</v>
      </c>
      <c r="Z107" s="6">
        <v>0</v>
      </c>
      <c r="AA107" s="6">
        <v>1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5">
        <f t="shared" si="46"/>
        <v>7</v>
      </c>
    </row>
    <row r="108" spans="1:44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AR108" si="47">SUM(E105:E107)</f>
        <v>1</v>
      </c>
      <c r="F108" s="6">
        <f t="shared" si="47"/>
        <v>2</v>
      </c>
      <c r="G108" s="6">
        <f t="shared" si="47"/>
        <v>2</v>
      </c>
      <c r="H108" s="6">
        <f t="shared" si="47"/>
        <v>1</v>
      </c>
      <c r="I108" s="6">
        <f t="shared" si="47"/>
        <v>0</v>
      </c>
      <c r="J108" s="6">
        <f t="shared" si="47"/>
        <v>2</v>
      </c>
      <c r="K108" s="6">
        <f t="shared" si="47"/>
        <v>1</v>
      </c>
      <c r="L108" s="6">
        <f t="shared" si="47"/>
        <v>3</v>
      </c>
      <c r="M108" s="6">
        <f t="shared" si="47"/>
        <v>2</v>
      </c>
      <c r="N108" s="6">
        <f t="shared" si="47"/>
        <v>0</v>
      </c>
      <c r="O108" s="6">
        <f t="shared" si="47"/>
        <v>0</v>
      </c>
      <c r="P108" s="6">
        <f t="shared" si="47"/>
        <v>0</v>
      </c>
      <c r="Q108" s="6">
        <f t="shared" si="47"/>
        <v>1</v>
      </c>
      <c r="R108" s="6">
        <f t="shared" si="47"/>
        <v>0</v>
      </c>
      <c r="S108" s="6">
        <f t="shared" si="47"/>
        <v>6</v>
      </c>
      <c r="T108" s="6">
        <f t="shared" si="47"/>
        <v>2</v>
      </c>
      <c r="U108" s="6">
        <f t="shared" si="47"/>
        <v>3</v>
      </c>
      <c r="V108" s="6">
        <f t="shared" si="47"/>
        <v>0</v>
      </c>
      <c r="W108" s="6">
        <f t="shared" si="47"/>
        <v>0</v>
      </c>
      <c r="X108" s="6">
        <f t="shared" si="47"/>
        <v>5</v>
      </c>
      <c r="Y108" s="6">
        <f t="shared" si="47"/>
        <v>2</v>
      </c>
      <c r="Z108" s="6">
        <f t="shared" si="47"/>
        <v>0</v>
      </c>
      <c r="AA108" s="6">
        <f t="shared" si="47"/>
        <v>2</v>
      </c>
      <c r="AB108" s="6">
        <f t="shared" si="47"/>
        <v>1</v>
      </c>
      <c r="AC108" s="6">
        <f t="shared" si="47"/>
        <v>1</v>
      </c>
      <c r="AD108" s="6">
        <f t="shared" si="47"/>
        <v>1</v>
      </c>
      <c r="AE108" s="6">
        <f t="shared" si="47"/>
        <v>1</v>
      </c>
      <c r="AF108" s="6">
        <f t="shared" si="47"/>
        <v>0</v>
      </c>
      <c r="AG108" s="6">
        <f t="shared" si="47"/>
        <v>1</v>
      </c>
      <c r="AH108" s="6">
        <f t="shared" si="47"/>
        <v>1</v>
      </c>
      <c r="AI108" s="6">
        <f t="shared" si="47"/>
        <v>0</v>
      </c>
      <c r="AJ108" s="6">
        <f t="shared" si="47"/>
        <v>1</v>
      </c>
      <c r="AK108" s="6">
        <f t="shared" si="47"/>
        <v>1</v>
      </c>
      <c r="AL108" s="6">
        <f t="shared" si="47"/>
        <v>5</v>
      </c>
      <c r="AM108" s="6">
        <f t="shared" si="47"/>
        <v>0</v>
      </c>
      <c r="AN108" s="6">
        <f t="shared" si="47"/>
        <v>0</v>
      </c>
      <c r="AO108" s="6">
        <f t="shared" si="47"/>
        <v>0</v>
      </c>
      <c r="AP108" s="6">
        <f t="shared" si="47"/>
        <v>1</v>
      </c>
      <c r="AQ108" s="6">
        <f t="shared" si="47"/>
        <v>0</v>
      </c>
      <c r="AR108" s="6">
        <f t="shared" si="47"/>
        <v>49</v>
      </c>
    </row>
    <row r="109" spans="1:44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5"/>
    </row>
    <row r="110" spans="1:44" x14ac:dyDescent="0.4">
      <c r="A110" s="11" t="s">
        <v>48</v>
      </c>
      <c r="B110" s="17" t="s">
        <v>59</v>
      </c>
      <c r="C110" s="83" t="s">
        <v>60</v>
      </c>
      <c r="D110" s="55"/>
      <c r="E110" s="6">
        <v>0</v>
      </c>
      <c r="F110" s="6">
        <v>0</v>
      </c>
      <c r="G110" s="6">
        <v>0</v>
      </c>
      <c r="H110" s="6">
        <v>1</v>
      </c>
      <c r="I110" s="6">
        <v>0</v>
      </c>
      <c r="J110" s="6">
        <v>0</v>
      </c>
      <c r="K110" s="6">
        <v>2</v>
      </c>
      <c r="L110" s="6">
        <v>0</v>
      </c>
      <c r="M110" s="6">
        <v>1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1</v>
      </c>
      <c r="U110" s="6">
        <v>1</v>
      </c>
      <c r="V110" s="6">
        <v>1</v>
      </c>
      <c r="W110" s="6">
        <v>0</v>
      </c>
      <c r="X110" s="6">
        <v>1</v>
      </c>
      <c r="Y110" s="6">
        <v>0</v>
      </c>
      <c r="Z110" s="6">
        <v>1</v>
      </c>
      <c r="AA110" s="6">
        <v>2</v>
      </c>
      <c r="AB110" s="6">
        <v>0</v>
      </c>
      <c r="AC110" s="6">
        <v>0</v>
      </c>
      <c r="AD110" s="6">
        <v>1</v>
      </c>
      <c r="AE110" s="6">
        <v>1</v>
      </c>
      <c r="AF110" s="6">
        <v>0</v>
      </c>
      <c r="AG110" s="6">
        <v>0</v>
      </c>
      <c r="AH110" s="6">
        <v>2</v>
      </c>
      <c r="AI110" s="6">
        <v>1</v>
      </c>
      <c r="AJ110" s="6">
        <v>2</v>
      </c>
      <c r="AK110" s="6">
        <v>1</v>
      </c>
      <c r="AL110" s="6">
        <v>0</v>
      </c>
      <c r="AM110" s="6">
        <v>1</v>
      </c>
      <c r="AN110" s="6">
        <v>2</v>
      </c>
      <c r="AO110" s="6">
        <v>2</v>
      </c>
      <c r="AP110" s="6">
        <v>0</v>
      </c>
      <c r="AQ110" s="6">
        <v>0</v>
      </c>
      <c r="AR110" s="5">
        <f t="shared" ref="AR110:AR115" si="48">SUM(E110:AQ110)</f>
        <v>25</v>
      </c>
    </row>
    <row r="111" spans="1:44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2</v>
      </c>
      <c r="S111" s="6">
        <v>1</v>
      </c>
      <c r="T111" s="6">
        <v>0</v>
      </c>
      <c r="U111" s="6">
        <v>0</v>
      </c>
      <c r="V111" s="6">
        <v>0</v>
      </c>
      <c r="W111" s="6">
        <v>3</v>
      </c>
      <c r="X111" s="6">
        <v>0</v>
      </c>
      <c r="Y111" s="6">
        <v>0</v>
      </c>
      <c r="Z111" s="6">
        <v>0</v>
      </c>
      <c r="AA111" s="6">
        <v>0</v>
      </c>
      <c r="AB111" s="6">
        <v>1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2</v>
      </c>
      <c r="AM111" s="6">
        <v>0</v>
      </c>
      <c r="AN111" s="6">
        <v>0</v>
      </c>
      <c r="AO111" s="6">
        <v>1</v>
      </c>
      <c r="AP111" s="6">
        <v>0</v>
      </c>
      <c r="AQ111" s="6">
        <v>2</v>
      </c>
      <c r="AR111" s="5">
        <f t="shared" si="48"/>
        <v>12</v>
      </c>
    </row>
    <row r="112" spans="1:44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1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2</v>
      </c>
      <c r="AF112" s="6">
        <v>0</v>
      </c>
      <c r="AG112" s="6">
        <v>0</v>
      </c>
      <c r="AH112" s="6">
        <v>1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5">
        <f t="shared" si="48"/>
        <v>4</v>
      </c>
    </row>
    <row r="113" spans="1:44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1</v>
      </c>
      <c r="Q113" s="6">
        <v>0</v>
      </c>
      <c r="R113" s="6">
        <v>0</v>
      </c>
      <c r="S113" s="6">
        <v>0</v>
      </c>
      <c r="T113" s="6">
        <v>1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1</v>
      </c>
      <c r="AN113" s="6">
        <v>0</v>
      </c>
      <c r="AO113" s="6">
        <v>0</v>
      </c>
      <c r="AP113" s="6">
        <v>0</v>
      </c>
      <c r="AQ113" s="6">
        <v>0</v>
      </c>
      <c r="AR113" s="5">
        <f t="shared" si="48"/>
        <v>3</v>
      </c>
    </row>
    <row r="114" spans="1:44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1</v>
      </c>
      <c r="AN114" s="6">
        <v>0</v>
      </c>
      <c r="AO114" s="6">
        <v>0</v>
      </c>
      <c r="AP114" s="6">
        <v>0</v>
      </c>
      <c r="AQ114" s="6">
        <v>0</v>
      </c>
      <c r="AR114" s="5">
        <f t="shared" si="48"/>
        <v>2</v>
      </c>
    </row>
    <row r="115" spans="1:44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1</v>
      </c>
      <c r="Z115" s="6">
        <v>0</v>
      </c>
      <c r="AA115" s="6">
        <v>0</v>
      </c>
      <c r="AB115" s="6">
        <v>1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1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5">
        <f t="shared" si="48"/>
        <v>4</v>
      </c>
    </row>
    <row r="116" spans="1:44" x14ac:dyDescent="0.4">
      <c r="A116" s="6" t="s">
        <v>26</v>
      </c>
      <c r="B116" s="74" t="s">
        <v>51</v>
      </c>
      <c r="C116" s="84"/>
      <c r="D116" s="85"/>
      <c r="E116" s="6">
        <f t="shared" ref="E116:AR116" si="49">SUM(E110:E115)</f>
        <v>0</v>
      </c>
      <c r="F116" s="6">
        <f t="shared" si="49"/>
        <v>0</v>
      </c>
      <c r="G116" s="6">
        <f t="shared" si="49"/>
        <v>0</v>
      </c>
      <c r="H116" s="6">
        <f t="shared" si="49"/>
        <v>1</v>
      </c>
      <c r="I116" s="6">
        <f t="shared" si="49"/>
        <v>0</v>
      </c>
      <c r="J116" s="6">
        <f t="shared" si="49"/>
        <v>0</v>
      </c>
      <c r="K116" s="6">
        <f t="shared" si="49"/>
        <v>2</v>
      </c>
      <c r="L116" s="6">
        <f t="shared" si="49"/>
        <v>1</v>
      </c>
      <c r="M116" s="6">
        <f t="shared" si="49"/>
        <v>1</v>
      </c>
      <c r="N116" s="6">
        <f t="shared" si="49"/>
        <v>0</v>
      </c>
      <c r="O116" s="6">
        <f t="shared" si="49"/>
        <v>0</v>
      </c>
      <c r="P116" s="6">
        <f t="shared" si="49"/>
        <v>2</v>
      </c>
      <c r="Q116" s="6">
        <f t="shared" si="49"/>
        <v>1</v>
      </c>
      <c r="R116" s="6">
        <f t="shared" si="49"/>
        <v>2</v>
      </c>
      <c r="S116" s="6">
        <f t="shared" si="49"/>
        <v>1</v>
      </c>
      <c r="T116" s="6">
        <f t="shared" si="49"/>
        <v>2</v>
      </c>
      <c r="U116" s="6">
        <f t="shared" si="49"/>
        <v>1</v>
      </c>
      <c r="V116" s="6">
        <f t="shared" si="49"/>
        <v>2</v>
      </c>
      <c r="W116" s="6">
        <f t="shared" si="49"/>
        <v>3</v>
      </c>
      <c r="X116" s="6">
        <f t="shared" si="49"/>
        <v>1</v>
      </c>
      <c r="Y116" s="6">
        <f t="shared" si="49"/>
        <v>1</v>
      </c>
      <c r="Z116" s="6">
        <f t="shared" si="49"/>
        <v>1</v>
      </c>
      <c r="AA116" s="6">
        <f t="shared" si="49"/>
        <v>2</v>
      </c>
      <c r="AB116" s="6">
        <f t="shared" si="49"/>
        <v>2</v>
      </c>
      <c r="AC116" s="6">
        <f t="shared" si="49"/>
        <v>0</v>
      </c>
      <c r="AD116" s="6">
        <f t="shared" si="49"/>
        <v>1</v>
      </c>
      <c r="AE116" s="6">
        <f t="shared" si="49"/>
        <v>3</v>
      </c>
      <c r="AF116" s="6">
        <f t="shared" si="49"/>
        <v>0</v>
      </c>
      <c r="AG116" s="6">
        <f t="shared" si="49"/>
        <v>0</v>
      </c>
      <c r="AH116" s="6">
        <f t="shared" si="49"/>
        <v>3</v>
      </c>
      <c r="AI116" s="6">
        <f t="shared" si="49"/>
        <v>2</v>
      </c>
      <c r="AJ116" s="6">
        <f t="shared" si="49"/>
        <v>2</v>
      </c>
      <c r="AK116" s="6">
        <f t="shared" si="49"/>
        <v>1</v>
      </c>
      <c r="AL116" s="6">
        <f t="shared" si="49"/>
        <v>2</v>
      </c>
      <c r="AM116" s="6">
        <f t="shared" si="49"/>
        <v>3</v>
      </c>
      <c r="AN116" s="6">
        <f t="shared" si="49"/>
        <v>2</v>
      </c>
      <c r="AO116" s="6">
        <f t="shared" si="49"/>
        <v>3</v>
      </c>
      <c r="AP116" s="6">
        <f t="shared" si="49"/>
        <v>0</v>
      </c>
      <c r="AQ116" s="6">
        <f t="shared" si="49"/>
        <v>2</v>
      </c>
      <c r="AR116" s="6">
        <f t="shared" si="49"/>
        <v>50</v>
      </c>
    </row>
    <row r="117" spans="1:44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</row>
    <row r="118" spans="1:44" x14ac:dyDescent="0.4">
      <c r="A118" s="11" t="s">
        <v>48</v>
      </c>
      <c r="B118" s="17" t="s">
        <v>61</v>
      </c>
      <c r="C118" s="83" t="s">
        <v>62</v>
      </c>
      <c r="D118" s="55"/>
      <c r="E118" s="6">
        <v>2</v>
      </c>
      <c r="F118" s="6">
        <v>1</v>
      </c>
      <c r="G118" s="6">
        <v>2</v>
      </c>
      <c r="H118" s="6">
        <v>1</v>
      </c>
      <c r="I118" s="6">
        <v>10</v>
      </c>
      <c r="J118" s="6">
        <v>3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0</v>
      </c>
      <c r="Q118" s="6">
        <v>2</v>
      </c>
      <c r="R118" s="6">
        <v>1</v>
      </c>
      <c r="S118" s="6">
        <v>1</v>
      </c>
      <c r="T118" s="6">
        <v>0</v>
      </c>
      <c r="U118" s="6">
        <v>1</v>
      </c>
      <c r="V118" s="6">
        <v>0</v>
      </c>
      <c r="W118" s="6">
        <v>0</v>
      </c>
      <c r="X118" s="6">
        <v>0</v>
      </c>
      <c r="Y118" s="6">
        <v>2</v>
      </c>
      <c r="Z118" s="6">
        <v>1</v>
      </c>
      <c r="AA118" s="6">
        <v>1</v>
      </c>
      <c r="AB118" s="6">
        <v>1</v>
      </c>
      <c r="AC118" s="6">
        <v>1</v>
      </c>
      <c r="AD118" s="6">
        <v>0</v>
      </c>
      <c r="AE118" s="6">
        <v>4</v>
      </c>
      <c r="AF118" s="6">
        <v>3</v>
      </c>
      <c r="AG118" s="6">
        <v>0</v>
      </c>
      <c r="AH118" s="6">
        <v>0</v>
      </c>
      <c r="AI118" s="6">
        <v>1</v>
      </c>
      <c r="AJ118" s="6">
        <v>0</v>
      </c>
      <c r="AK118" s="6">
        <v>0</v>
      </c>
      <c r="AL118" s="6">
        <v>1</v>
      </c>
      <c r="AM118" s="6">
        <v>6</v>
      </c>
      <c r="AN118" s="6">
        <v>11</v>
      </c>
      <c r="AO118" s="6">
        <v>7</v>
      </c>
      <c r="AP118" s="6">
        <v>0</v>
      </c>
      <c r="AQ118" s="6">
        <v>0</v>
      </c>
      <c r="AR118" s="5">
        <f t="shared" ref="AR118:AR127" si="50">SUM(E118:AQ118)</f>
        <v>65</v>
      </c>
    </row>
    <row r="119" spans="1:44" ht="13.15" customHeight="1" x14ac:dyDescent="0.4">
      <c r="A119" s="11" t="s">
        <v>50</v>
      </c>
      <c r="B119" s="47"/>
      <c r="C119" s="24" t="s">
        <v>162</v>
      </c>
      <c r="D119" s="48"/>
      <c r="E119" s="6">
        <v>7</v>
      </c>
      <c r="F119" s="6">
        <v>2</v>
      </c>
      <c r="G119" s="6">
        <v>3</v>
      </c>
      <c r="H119" s="6">
        <v>3</v>
      </c>
      <c r="I119" s="6">
        <v>4</v>
      </c>
      <c r="J119" s="6">
        <v>0</v>
      </c>
      <c r="K119" s="6">
        <v>5</v>
      </c>
      <c r="L119" s="6">
        <v>2</v>
      </c>
      <c r="M119" s="6">
        <v>1</v>
      </c>
      <c r="N119" s="6">
        <v>3</v>
      </c>
      <c r="O119" s="6">
        <v>1</v>
      </c>
      <c r="P119" s="6">
        <v>3</v>
      </c>
      <c r="Q119" s="6">
        <v>0</v>
      </c>
      <c r="R119" s="6">
        <v>2</v>
      </c>
      <c r="S119" s="6">
        <v>1</v>
      </c>
      <c r="T119" s="6">
        <v>1</v>
      </c>
      <c r="U119" s="6">
        <v>3</v>
      </c>
      <c r="V119" s="6">
        <v>0</v>
      </c>
      <c r="W119" s="6">
        <v>6</v>
      </c>
      <c r="X119" s="6">
        <v>1</v>
      </c>
      <c r="Y119" s="6">
        <v>0</v>
      </c>
      <c r="Z119" s="6">
        <v>0</v>
      </c>
      <c r="AA119" s="6">
        <v>1</v>
      </c>
      <c r="AB119" s="6">
        <v>0</v>
      </c>
      <c r="AC119" s="6">
        <v>1</v>
      </c>
      <c r="AD119" s="6">
        <v>6</v>
      </c>
      <c r="AE119" s="6">
        <v>17</v>
      </c>
      <c r="AF119" s="6">
        <v>3</v>
      </c>
      <c r="AG119" s="6">
        <v>0</v>
      </c>
      <c r="AH119" s="6">
        <v>0</v>
      </c>
      <c r="AI119" s="6">
        <v>2</v>
      </c>
      <c r="AJ119" s="6">
        <v>1</v>
      </c>
      <c r="AK119" s="6">
        <v>6</v>
      </c>
      <c r="AL119" s="6">
        <v>2</v>
      </c>
      <c r="AM119" s="6">
        <v>9</v>
      </c>
      <c r="AN119" s="6">
        <v>11</v>
      </c>
      <c r="AO119" s="6">
        <v>13</v>
      </c>
      <c r="AP119" s="6">
        <v>7</v>
      </c>
      <c r="AQ119" s="6">
        <v>0</v>
      </c>
      <c r="AR119" s="5">
        <f t="shared" si="50"/>
        <v>127</v>
      </c>
    </row>
    <row r="120" spans="1:44" x14ac:dyDescent="0.4">
      <c r="A120" s="7"/>
      <c r="B120" s="47"/>
      <c r="C120" s="24" t="s">
        <v>163</v>
      </c>
      <c r="D120" s="48"/>
      <c r="E120" s="6">
        <v>0</v>
      </c>
      <c r="F120" s="6">
        <v>1</v>
      </c>
      <c r="G120" s="6">
        <v>1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2</v>
      </c>
      <c r="P120" s="6">
        <v>1</v>
      </c>
      <c r="Q120" s="6">
        <v>0</v>
      </c>
      <c r="R120" s="6">
        <v>0</v>
      </c>
      <c r="S120" s="6">
        <v>1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</v>
      </c>
      <c r="AE120" s="6">
        <v>3</v>
      </c>
      <c r="AF120" s="6">
        <v>3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2</v>
      </c>
      <c r="AN120" s="6">
        <v>0</v>
      </c>
      <c r="AO120" s="6">
        <v>1</v>
      </c>
      <c r="AP120" s="6">
        <v>0</v>
      </c>
      <c r="AQ120" s="6">
        <v>0</v>
      </c>
      <c r="AR120" s="5">
        <f t="shared" si="50"/>
        <v>17</v>
      </c>
    </row>
    <row r="121" spans="1:44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1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1</v>
      </c>
      <c r="AP121" s="6">
        <v>0</v>
      </c>
      <c r="AQ121" s="6">
        <v>0</v>
      </c>
      <c r="AR121" s="5">
        <f t="shared" si="50"/>
        <v>4</v>
      </c>
    </row>
    <row r="122" spans="1:44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1</v>
      </c>
      <c r="AN122" s="6">
        <v>0</v>
      </c>
      <c r="AO122" s="6">
        <v>0</v>
      </c>
      <c r="AP122" s="6">
        <v>0</v>
      </c>
      <c r="AQ122" s="6">
        <v>0</v>
      </c>
      <c r="AR122" s="5">
        <f t="shared" si="50"/>
        <v>1</v>
      </c>
    </row>
    <row r="123" spans="1:44" x14ac:dyDescent="0.4">
      <c r="A123" s="7"/>
      <c r="B123" s="47"/>
      <c r="C123" s="24" t="s">
        <v>166</v>
      </c>
      <c r="D123" s="48"/>
      <c r="E123" s="6">
        <v>4</v>
      </c>
      <c r="F123" s="6">
        <v>1</v>
      </c>
      <c r="G123" s="6">
        <v>1</v>
      </c>
      <c r="H123" s="6">
        <v>2</v>
      </c>
      <c r="I123" s="6">
        <v>0</v>
      </c>
      <c r="J123" s="6">
        <v>5</v>
      </c>
      <c r="K123" s="6">
        <v>0</v>
      </c>
      <c r="L123" s="6">
        <v>0</v>
      </c>
      <c r="M123" s="6">
        <v>0</v>
      </c>
      <c r="N123" s="6">
        <v>1</v>
      </c>
      <c r="O123" s="6">
        <v>2</v>
      </c>
      <c r="P123" s="6">
        <v>3</v>
      </c>
      <c r="Q123" s="6">
        <v>3</v>
      </c>
      <c r="R123" s="6">
        <v>2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2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1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1</v>
      </c>
      <c r="AP123" s="6">
        <v>0</v>
      </c>
      <c r="AQ123" s="6">
        <v>0</v>
      </c>
      <c r="AR123" s="5">
        <f t="shared" si="50"/>
        <v>28</v>
      </c>
    </row>
    <row r="124" spans="1:44" x14ac:dyDescent="0.4">
      <c r="A124" s="7"/>
      <c r="B124" s="47"/>
      <c r="C124" s="24" t="s">
        <v>167</v>
      </c>
      <c r="D124" s="45"/>
      <c r="E124" s="6">
        <v>1</v>
      </c>
      <c r="F124" s="6">
        <v>0</v>
      </c>
      <c r="G124" s="6">
        <v>0</v>
      </c>
      <c r="H124" s="6">
        <v>1</v>
      </c>
      <c r="I124" s="6">
        <v>1</v>
      </c>
      <c r="J124" s="6">
        <v>2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2</v>
      </c>
      <c r="V124" s="6">
        <v>0</v>
      </c>
      <c r="W124" s="6">
        <v>1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2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1</v>
      </c>
      <c r="AN124" s="6">
        <v>0</v>
      </c>
      <c r="AO124" s="6">
        <v>0</v>
      </c>
      <c r="AP124" s="6">
        <v>0</v>
      </c>
      <c r="AQ124" s="6">
        <v>0</v>
      </c>
      <c r="AR124" s="5">
        <f t="shared" si="50"/>
        <v>13</v>
      </c>
    </row>
    <row r="125" spans="1:44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5">
        <f t="shared" si="50"/>
        <v>1</v>
      </c>
    </row>
    <row r="126" spans="1:44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1</v>
      </c>
      <c r="AO126" s="6">
        <v>2</v>
      </c>
      <c r="AP126" s="6">
        <v>0</v>
      </c>
      <c r="AQ126" s="6">
        <v>0</v>
      </c>
      <c r="AR126" s="5">
        <f t="shared" si="50"/>
        <v>3</v>
      </c>
    </row>
    <row r="127" spans="1:44" x14ac:dyDescent="0.4">
      <c r="A127" s="7"/>
      <c r="B127" s="47"/>
      <c r="C127" s="24" t="s">
        <v>170</v>
      </c>
      <c r="D127" s="48"/>
      <c r="E127" s="6">
        <v>0</v>
      </c>
      <c r="F127" s="6">
        <v>1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5">
        <f t="shared" si="50"/>
        <v>1</v>
      </c>
    </row>
    <row r="128" spans="1:44" x14ac:dyDescent="0.4">
      <c r="A128" s="6" t="s">
        <v>26</v>
      </c>
      <c r="B128" s="74" t="s">
        <v>51</v>
      </c>
      <c r="C128" s="84"/>
      <c r="D128" s="85"/>
      <c r="E128" s="6">
        <f t="shared" ref="E128:AR128" si="51">SUM(E118:E127)</f>
        <v>14</v>
      </c>
      <c r="F128" s="6">
        <f t="shared" ref="F128:U128" si="52">SUM(F118:F127)</f>
        <v>6</v>
      </c>
      <c r="G128" s="6">
        <f t="shared" si="52"/>
        <v>8</v>
      </c>
      <c r="H128" s="6">
        <f t="shared" si="52"/>
        <v>7</v>
      </c>
      <c r="I128" s="6">
        <f t="shared" si="52"/>
        <v>16</v>
      </c>
      <c r="J128" s="6">
        <f t="shared" si="52"/>
        <v>10</v>
      </c>
      <c r="K128" s="6">
        <f t="shared" si="52"/>
        <v>6</v>
      </c>
      <c r="L128" s="6">
        <f t="shared" si="52"/>
        <v>2</v>
      </c>
      <c r="M128" s="6">
        <f t="shared" si="52"/>
        <v>1</v>
      </c>
      <c r="N128" s="6">
        <f t="shared" si="52"/>
        <v>5</v>
      </c>
      <c r="O128" s="6">
        <f t="shared" si="52"/>
        <v>6</v>
      </c>
      <c r="P128" s="6">
        <f t="shared" si="52"/>
        <v>8</v>
      </c>
      <c r="Q128" s="6">
        <f t="shared" si="52"/>
        <v>5</v>
      </c>
      <c r="R128" s="6">
        <f t="shared" si="52"/>
        <v>5</v>
      </c>
      <c r="S128" s="6">
        <f t="shared" si="52"/>
        <v>3</v>
      </c>
      <c r="T128" s="6">
        <f t="shared" si="52"/>
        <v>1</v>
      </c>
      <c r="U128" s="6">
        <f t="shared" si="52"/>
        <v>6</v>
      </c>
      <c r="V128" s="6">
        <f t="shared" si="51"/>
        <v>0</v>
      </c>
      <c r="W128" s="6">
        <f t="shared" si="51"/>
        <v>7</v>
      </c>
      <c r="X128" s="6">
        <f t="shared" si="51"/>
        <v>4</v>
      </c>
      <c r="Y128" s="6">
        <f t="shared" si="51"/>
        <v>2</v>
      </c>
      <c r="Z128" s="6">
        <f t="shared" si="51"/>
        <v>1</v>
      </c>
      <c r="AA128" s="6">
        <f t="shared" si="51"/>
        <v>2</v>
      </c>
      <c r="AB128" s="6">
        <f t="shared" si="51"/>
        <v>1</v>
      </c>
      <c r="AC128" s="6">
        <f t="shared" si="51"/>
        <v>2</v>
      </c>
      <c r="AD128" s="6">
        <f t="shared" si="51"/>
        <v>9</v>
      </c>
      <c r="AE128" s="6">
        <f t="shared" si="51"/>
        <v>26</v>
      </c>
      <c r="AF128" s="6">
        <f t="shared" si="51"/>
        <v>9</v>
      </c>
      <c r="AG128" s="6">
        <f t="shared" ref="AG128:AK128" si="53">SUM(AG118:AG127)</f>
        <v>0</v>
      </c>
      <c r="AH128" s="6">
        <f t="shared" si="53"/>
        <v>1</v>
      </c>
      <c r="AI128" s="6">
        <f t="shared" si="53"/>
        <v>3</v>
      </c>
      <c r="AJ128" s="6">
        <f t="shared" si="53"/>
        <v>1</v>
      </c>
      <c r="AK128" s="6">
        <f t="shared" si="53"/>
        <v>6</v>
      </c>
      <c r="AL128" s="6">
        <f t="shared" si="51"/>
        <v>3</v>
      </c>
      <c r="AM128" s="6">
        <f t="shared" si="51"/>
        <v>19</v>
      </c>
      <c r="AN128" s="6">
        <f t="shared" si="51"/>
        <v>23</v>
      </c>
      <c r="AO128" s="6">
        <f t="shared" si="51"/>
        <v>25</v>
      </c>
      <c r="AP128" s="6">
        <f t="shared" si="51"/>
        <v>7</v>
      </c>
      <c r="AQ128" s="6">
        <f t="shared" si="51"/>
        <v>0</v>
      </c>
      <c r="AR128" s="6">
        <f t="shared" si="51"/>
        <v>260</v>
      </c>
    </row>
    <row r="129" spans="1:44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5">
        <f t="shared" ref="AR130:AR133" si="54">SUM(E130:AQ130)</f>
        <v>1</v>
      </c>
    </row>
    <row r="131" spans="1:44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5">
        <f t="shared" si="54"/>
        <v>3</v>
      </c>
    </row>
    <row r="132" spans="1:44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5">
        <f t="shared" si="54"/>
        <v>1</v>
      </c>
    </row>
    <row r="133" spans="1:44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5">
        <f t="shared" si="54"/>
        <v>0</v>
      </c>
    </row>
    <row r="134" spans="1:44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AR134" si="55">SUM(E130:E133)</f>
        <v>0</v>
      </c>
      <c r="F134" s="6">
        <f t="shared" si="55"/>
        <v>0</v>
      </c>
      <c r="G134" s="6">
        <f t="shared" si="55"/>
        <v>0</v>
      </c>
      <c r="H134" s="6">
        <f t="shared" si="55"/>
        <v>0</v>
      </c>
      <c r="I134" s="6">
        <f t="shared" si="55"/>
        <v>0</v>
      </c>
      <c r="J134" s="6">
        <f t="shared" si="55"/>
        <v>0</v>
      </c>
      <c r="K134" s="6">
        <f t="shared" si="55"/>
        <v>0</v>
      </c>
      <c r="L134" s="6">
        <f t="shared" si="55"/>
        <v>0</v>
      </c>
      <c r="M134" s="6">
        <f t="shared" si="55"/>
        <v>0</v>
      </c>
      <c r="N134" s="6">
        <f t="shared" si="55"/>
        <v>0</v>
      </c>
      <c r="O134" s="6">
        <f t="shared" si="55"/>
        <v>0</v>
      </c>
      <c r="P134" s="6">
        <f t="shared" si="55"/>
        <v>0</v>
      </c>
      <c r="Q134" s="6">
        <f t="shared" si="55"/>
        <v>1</v>
      </c>
      <c r="R134" s="6">
        <f t="shared" si="55"/>
        <v>1</v>
      </c>
      <c r="S134" s="6">
        <f t="shared" si="55"/>
        <v>0</v>
      </c>
      <c r="T134" s="6">
        <f t="shared" si="55"/>
        <v>0</v>
      </c>
      <c r="U134" s="6">
        <f t="shared" si="55"/>
        <v>0</v>
      </c>
      <c r="V134" s="6">
        <f t="shared" si="55"/>
        <v>0</v>
      </c>
      <c r="W134" s="6">
        <f t="shared" si="55"/>
        <v>0</v>
      </c>
      <c r="X134" s="6">
        <f t="shared" si="55"/>
        <v>0</v>
      </c>
      <c r="Y134" s="6">
        <f t="shared" si="55"/>
        <v>0</v>
      </c>
      <c r="Z134" s="6">
        <f t="shared" si="55"/>
        <v>0</v>
      </c>
      <c r="AA134" s="6">
        <f t="shared" si="55"/>
        <v>0</v>
      </c>
      <c r="AB134" s="6">
        <f t="shared" si="55"/>
        <v>0</v>
      </c>
      <c r="AC134" s="6">
        <f t="shared" si="55"/>
        <v>0</v>
      </c>
      <c r="AD134" s="6">
        <f t="shared" si="55"/>
        <v>0</v>
      </c>
      <c r="AE134" s="6">
        <f t="shared" si="55"/>
        <v>2</v>
      </c>
      <c r="AF134" s="6">
        <f t="shared" si="55"/>
        <v>0</v>
      </c>
      <c r="AG134" s="6">
        <f t="shared" si="55"/>
        <v>0</v>
      </c>
      <c r="AH134" s="6">
        <f t="shared" si="55"/>
        <v>0</v>
      </c>
      <c r="AI134" s="6">
        <f t="shared" si="55"/>
        <v>0</v>
      </c>
      <c r="AJ134" s="6">
        <f t="shared" si="55"/>
        <v>1</v>
      </c>
      <c r="AK134" s="6">
        <f t="shared" si="55"/>
        <v>0</v>
      </c>
      <c r="AL134" s="6">
        <f t="shared" si="55"/>
        <v>0</v>
      </c>
      <c r="AM134" s="6">
        <f t="shared" si="55"/>
        <v>0</v>
      </c>
      <c r="AN134" s="6">
        <f t="shared" si="55"/>
        <v>0</v>
      </c>
      <c r="AO134" s="6">
        <f t="shared" si="55"/>
        <v>0</v>
      </c>
      <c r="AP134" s="6">
        <f t="shared" si="55"/>
        <v>0</v>
      </c>
      <c r="AQ134" s="6">
        <f t="shared" si="55"/>
        <v>0</v>
      </c>
      <c r="AR134" s="6">
        <f t="shared" si="55"/>
        <v>5</v>
      </c>
    </row>
    <row r="135" spans="1:44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5"/>
    </row>
    <row r="136" spans="1:44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4</v>
      </c>
      <c r="M136" s="6">
        <v>4</v>
      </c>
      <c r="N136" s="6">
        <v>2</v>
      </c>
      <c r="O136" s="6">
        <v>0</v>
      </c>
      <c r="P136" s="6">
        <v>5</v>
      </c>
      <c r="Q136" s="6">
        <v>1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4</v>
      </c>
      <c r="Y136" s="6">
        <v>3</v>
      </c>
      <c r="Z136" s="6">
        <v>1</v>
      </c>
      <c r="AA136" s="6">
        <v>1</v>
      </c>
      <c r="AB136" s="6">
        <v>0</v>
      </c>
      <c r="AC136" s="6">
        <v>0</v>
      </c>
      <c r="AD136" s="6">
        <v>1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4</v>
      </c>
      <c r="AK136" s="6">
        <v>4</v>
      </c>
      <c r="AL136" s="6">
        <v>3</v>
      </c>
      <c r="AM136" s="6">
        <v>0</v>
      </c>
      <c r="AN136" s="6">
        <v>2</v>
      </c>
      <c r="AO136" s="6">
        <v>1</v>
      </c>
      <c r="AP136" s="6">
        <v>4</v>
      </c>
      <c r="AQ136" s="6">
        <v>3</v>
      </c>
      <c r="AR136" s="5">
        <f t="shared" ref="AR136:AR143" si="56">SUM(E136:AQ136)</f>
        <v>50</v>
      </c>
    </row>
    <row r="137" spans="1:44" x14ac:dyDescent="0.4">
      <c r="A137" s="49" t="s">
        <v>50</v>
      </c>
      <c r="B137" s="51"/>
      <c r="C137" s="24" t="s">
        <v>174</v>
      </c>
      <c r="D137" s="52"/>
      <c r="E137" s="50">
        <v>1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2</v>
      </c>
      <c r="M137" s="6">
        <v>6</v>
      </c>
      <c r="N137" s="6">
        <v>5</v>
      </c>
      <c r="O137" s="6">
        <v>0</v>
      </c>
      <c r="P137" s="6">
        <v>3</v>
      </c>
      <c r="Q137" s="6">
        <v>3</v>
      </c>
      <c r="R137" s="6">
        <v>2</v>
      </c>
      <c r="S137" s="6">
        <v>2</v>
      </c>
      <c r="T137" s="6">
        <v>0</v>
      </c>
      <c r="U137" s="6">
        <v>2</v>
      </c>
      <c r="V137" s="6">
        <v>0</v>
      </c>
      <c r="W137" s="6">
        <v>4</v>
      </c>
      <c r="X137" s="6">
        <v>2</v>
      </c>
      <c r="Y137" s="6">
        <v>2</v>
      </c>
      <c r="Z137" s="6">
        <v>5</v>
      </c>
      <c r="AA137" s="6">
        <v>0</v>
      </c>
      <c r="AB137" s="6">
        <v>3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2</v>
      </c>
      <c r="AJ137" s="6">
        <v>5</v>
      </c>
      <c r="AK137" s="6">
        <v>0</v>
      </c>
      <c r="AL137" s="6">
        <v>5</v>
      </c>
      <c r="AM137" s="6">
        <v>0</v>
      </c>
      <c r="AN137" s="6">
        <v>2</v>
      </c>
      <c r="AO137" s="6">
        <v>1</v>
      </c>
      <c r="AP137" s="6">
        <v>7</v>
      </c>
      <c r="AQ137" s="6">
        <v>7</v>
      </c>
      <c r="AR137" s="5">
        <f t="shared" si="56"/>
        <v>71</v>
      </c>
    </row>
    <row r="138" spans="1:44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1</v>
      </c>
      <c r="M138" s="6">
        <v>1</v>
      </c>
      <c r="N138" s="6">
        <v>1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</v>
      </c>
      <c r="AC138" s="6">
        <v>0</v>
      </c>
      <c r="AD138" s="6">
        <v>0</v>
      </c>
      <c r="AE138" s="6">
        <v>0</v>
      </c>
      <c r="AF138" s="6">
        <v>0</v>
      </c>
      <c r="AG138" s="6">
        <v>1</v>
      </c>
      <c r="AH138" s="6">
        <v>0</v>
      </c>
      <c r="AI138" s="6">
        <v>0</v>
      </c>
      <c r="AJ138" s="6">
        <v>3</v>
      </c>
      <c r="AK138" s="6">
        <v>1</v>
      </c>
      <c r="AL138" s="6">
        <v>0</v>
      </c>
      <c r="AM138" s="6">
        <v>5</v>
      </c>
      <c r="AN138" s="6">
        <v>2</v>
      </c>
      <c r="AO138" s="6">
        <v>1</v>
      </c>
      <c r="AP138" s="6">
        <v>0</v>
      </c>
      <c r="AQ138" s="6">
        <v>0</v>
      </c>
      <c r="AR138" s="5">
        <f t="shared" si="56"/>
        <v>19</v>
      </c>
    </row>
    <row r="139" spans="1:44" x14ac:dyDescent="0.4">
      <c r="A139" s="7"/>
      <c r="B139" s="51"/>
      <c r="C139" s="24" t="s">
        <v>176</v>
      </c>
      <c r="D139" s="52"/>
      <c r="E139" s="50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2</v>
      </c>
      <c r="X139" s="6">
        <v>0</v>
      </c>
      <c r="Y139" s="6">
        <v>0</v>
      </c>
      <c r="Z139" s="6">
        <v>1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5">
        <f t="shared" si="56"/>
        <v>3</v>
      </c>
    </row>
    <row r="140" spans="1:44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0</v>
      </c>
      <c r="U140" s="6">
        <v>2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1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5">
        <f t="shared" si="56"/>
        <v>5</v>
      </c>
    </row>
    <row r="141" spans="1:44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5">
        <f t="shared" si="56"/>
        <v>0</v>
      </c>
    </row>
    <row r="142" spans="1:44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1</v>
      </c>
      <c r="V142" s="6">
        <v>0</v>
      </c>
      <c r="W142" s="6">
        <v>1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5">
        <f t="shared" si="56"/>
        <v>2</v>
      </c>
    </row>
    <row r="143" spans="1:44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5">
        <f t="shared" si="56"/>
        <v>2</v>
      </c>
    </row>
    <row r="144" spans="1:44" x14ac:dyDescent="0.4">
      <c r="A144" s="6" t="s">
        <v>26</v>
      </c>
      <c r="B144" s="88" t="s">
        <v>51</v>
      </c>
      <c r="C144" s="89"/>
      <c r="D144" s="90"/>
      <c r="E144" s="6">
        <f t="shared" ref="E144:AR144" si="57">SUM(E136:E143)</f>
        <v>1</v>
      </c>
      <c r="F144" s="6">
        <f t="shared" si="57"/>
        <v>0</v>
      </c>
      <c r="G144" s="6">
        <f t="shared" si="57"/>
        <v>0</v>
      </c>
      <c r="H144" s="6">
        <f t="shared" si="57"/>
        <v>1</v>
      </c>
      <c r="I144" s="6">
        <f t="shared" si="57"/>
        <v>1</v>
      </c>
      <c r="J144" s="6">
        <f t="shared" si="57"/>
        <v>0</v>
      </c>
      <c r="K144" s="6">
        <f t="shared" si="57"/>
        <v>1</v>
      </c>
      <c r="L144" s="6">
        <f t="shared" si="57"/>
        <v>7</v>
      </c>
      <c r="M144" s="6">
        <f t="shared" si="57"/>
        <v>11</v>
      </c>
      <c r="N144" s="6">
        <f t="shared" si="57"/>
        <v>9</v>
      </c>
      <c r="O144" s="6">
        <f t="shared" si="57"/>
        <v>0</v>
      </c>
      <c r="P144" s="6">
        <f t="shared" si="57"/>
        <v>8</v>
      </c>
      <c r="Q144" s="6">
        <f t="shared" si="57"/>
        <v>5</v>
      </c>
      <c r="R144" s="6">
        <f t="shared" si="57"/>
        <v>3</v>
      </c>
      <c r="S144" s="6">
        <f t="shared" si="57"/>
        <v>3</v>
      </c>
      <c r="T144" s="6">
        <f t="shared" si="57"/>
        <v>0</v>
      </c>
      <c r="U144" s="6">
        <f t="shared" si="57"/>
        <v>5</v>
      </c>
      <c r="V144" s="6">
        <f t="shared" si="57"/>
        <v>0</v>
      </c>
      <c r="W144" s="6">
        <f t="shared" si="57"/>
        <v>8</v>
      </c>
      <c r="X144" s="6">
        <f t="shared" si="57"/>
        <v>6</v>
      </c>
      <c r="Y144" s="6">
        <f t="shared" si="57"/>
        <v>5</v>
      </c>
      <c r="Z144" s="6">
        <f t="shared" si="57"/>
        <v>7</v>
      </c>
      <c r="AA144" s="6">
        <f t="shared" si="57"/>
        <v>1</v>
      </c>
      <c r="AB144" s="6">
        <f t="shared" si="57"/>
        <v>4</v>
      </c>
      <c r="AC144" s="6">
        <f t="shared" si="57"/>
        <v>0</v>
      </c>
      <c r="AD144" s="6">
        <f t="shared" si="57"/>
        <v>1</v>
      </c>
      <c r="AE144" s="6">
        <f t="shared" si="57"/>
        <v>0</v>
      </c>
      <c r="AF144" s="6">
        <f t="shared" si="57"/>
        <v>0</v>
      </c>
      <c r="AG144" s="6">
        <f t="shared" si="57"/>
        <v>1</v>
      </c>
      <c r="AH144" s="6">
        <f t="shared" si="57"/>
        <v>0</v>
      </c>
      <c r="AI144" s="6">
        <f t="shared" si="57"/>
        <v>2</v>
      </c>
      <c r="AJ144" s="6">
        <f t="shared" si="57"/>
        <v>13</v>
      </c>
      <c r="AK144" s="6">
        <f t="shared" si="57"/>
        <v>5</v>
      </c>
      <c r="AL144" s="6">
        <f t="shared" si="57"/>
        <v>9</v>
      </c>
      <c r="AM144" s="6">
        <f t="shared" si="57"/>
        <v>5</v>
      </c>
      <c r="AN144" s="6">
        <f t="shared" si="57"/>
        <v>6</v>
      </c>
      <c r="AO144" s="6">
        <f t="shared" si="57"/>
        <v>3</v>
      </c>
      <c r="AP144" s="6">
        <f t="shared" si="57"/>
        <v>11</v>
      </c>
      <c r="AQ144" s="6">
        <f t="shared" si="57"/>
        <v>10</v>
      </c>
      <c r="AR144" s="6">
        <f t="shared" si="57"/>
        <v>152</v>
      </c>
    </row>
    <row r="145" spans="1:44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</row>
    <row r="146" spans="1:44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1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2</v>
      </c>
      <c r="AL146" s="6">
        <v>1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5">
        <f t="shared" ref="AR146:AR147" si="58">SUM(E146:AQ146)</f>
        <v>8</v>
      </c>
    </row>
    <row r="147" spans="1:44" x14ac:dyDescent="0.4">
      <c r="A147" s="11" t="s">
        <v>50</v>
      </c>
      <c r="B147" s="47"/>
      <c r="C147" s="24" t="s">
        <v>181</v>
      </c>
      <c r="D147" s="45"/>
      <c r="E147" s="6">
        <v>1</v>
      </c>
      <c r="F147" s="6">
        <v>0</v>
      </c>
      <c r="G147" s="6">
        <v>0</v>
      </c>
      <c r="H147" s="6">
        <v>0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1</v>
      </c>
      <c r="Y147" s="6">
        <v>0</v>
      </c>
      <c r="Z147" s="6">
        <v>1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1</v>
      </c>
      <c r="AL147" s="6">
        <v>0</v>
      </c>
      <c r="AM147" s="6">
        <v>2</v>
      </c>
      <c r="AN147" s="6">
        <v>0</v>
      </c>
      <c r="AO147" s="6">
        <v>1</v>
      </c>
      <c r="AP147" s="6">
        <v>0</v>
      </c>
      <c r="AQ147" s="6">
        <v>0</v>
      </c>
      <c r="AR147" s="5">
        <f t="shared" si="58"/>
        <v>8</v>
      </c>
    </row>
    <row r="148" spans="1:44" x14ac:dyDescent="0.4">
      <c r="A148" s="6" t="s">
        <v>26</v>
      </c>
      <c r="B148" s="74" t="s">
        <v>51</v>
      </c>
      <c r="C148" s="84"/>
      <c r="D148" s="85"/>
      <c r="E148" s="6">
        <f t="shared" ref="E148:AR148" si="59">SUM(E146:E147)</f>
        <v>1</v>
      </c>
      <c r="F148" s="6">
        <f t="shared" si="59"/>
        <v>1</v>
      </c>
      <c r="G148" s="6">
        <f t="shared" si="59"/>
        <v>0</v>
      </c>
      <c r="H148" s="6">
        <f t="shared" si="59"/>
        <v>0</v>
      </c>
      <c r="I148" s="6">
        <f t="shared" si="59"/>
        <v>0</v>
      </c>
      <c r="J148" s="6">
        <f t="shared" si="59"/>
        <v>1</v>
      </c>
      <c r="K148" s="6">
        <f t="shared" si="59"/>
        <v>1</v>
      </c>
      <c r="L148" s="6">
        <f t="shared" si="59"/>
        <v>0</v>
      </c>
      <c r="M148" s="6">
        <f t="shared" si="59"/>
        <v>0</v>
      </c>
      <c r="N148" s="6">
        <f t="shared" si="59"/>
        <v>0</v>
      </c>
      <c r="O148" s="6">
        <f t="shared" si="59"/>
        <v>0</v>
      </c>
      <c r="P148" s="6">
        <f t="shared" si="59"/>
        <v>0</v>
      </c>
      <c r="Q148" s="6">
        <f t="shared" si="59"/>
        <v>0</v>
      </c>
      <c r="R148" s="6">
        <f t="shared" si="59"/>
        <v>0</v>
      </c>
      <c r="S148" s="6">
        <f t="shared" si="59"/>
        <v>1</v>
      </c>
      <c r="T148" s="6">
        <f t="shared" si="59"/>
        <v>0</v>
      </c>
      <c r="U148" s="6">
        <f t="shared" si="59"/>
        <v>1</v>
      </c>
      <c r="V148" s="6">
        <f t="shared" si="59"/>
        <v>0</v>
      </c>
      <c r="W148" s="6">
        <f t="shared" si="59"/>
        <v>0</v>
      </c>
      <c r="X148" s="6">
        <f t="shared" si="59"/>
        <v>1</v>
      </c>
      <c r="Y148" s="6">
        <f t="shared" si="59"/>
        <v>0</v>
      </c>
      <c r="Z148" s="6">
        <f t="shared" si="59"/>
        <v>1</v>
      </c>
      <c r="AA148" s="6">
        <f t="shared" si="59"/>
        <v>0</v>
      </c>
      <c r="AB148" s="6">
        <f t="shared" si="59"/>
        <v>0</v>
      </c>
      <c r="AC148" s="6">
        <f t="shared" si="59"/>
        <v>0</v>
      </c>
      <c r="AD148" s="6">
        <f t="shared" si="59"/>
        <v>0</v>
      </c>
      <c r="AE148" s="6">
        <f t="shared" si="59"/>
        <v>0</v>
      </c>
      <c r="AF148" s="6">
        <f t="shared" si="59"/>
        <v>0</v>
      </c>
      <c r="AG148" s="6">
        <f t="shared" si="59"/>
        <v>0</v>
      </c>
      <c r="AH148" s="6">
        <f t="shared" si="59"/>
        <v>0</v>
      </c>
      <c r="AI148" s="6">
        <f t="shared" si="59"/>
        <v>0</v>
      </c>
      <c r="AJ148" s="6">
        <f t="shared" si="59"/>
        <v>1</v>
      </c>
      <c r="AK148" s="6">
        <f t="shared" si="59"/>
        <v>3</v>
      </c>
      <c r="AL148" s="6">
        <f t="shared" si="59"/>
        <v>1</v>
      </c>
      <c r="AM148" s="6">
        <f t="shared" si="59"/>
        <v>2</v>
      </c>
      <c r="AN148" s="6">
        <f t="shared" si="59"/>
        <v>0</v>
      </c>
      <c r="AO148" s="6">
        <f t="shared" si="59"/>
        <v>1</v>
      </c>
      <c r="AP148" s="6">
        <f t="shared" si="59"/>
        <v>0</v>
      </c>
      <c r="AQ148" s="6">
        <f t="shared" si="59"/>
        <v>0</v>
      </c>
      <c r="AR148" s="6">
        <f t="shared" si="59"/>
        <v>16</v>
      </c>
    </row>
    <row r="149" spans="1:44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</row>
    <row r="150" spans="1:44" x14ac:dyDescent="0.4">
      <c r="A150" s="11" t="s">
        <v>48</v>
      </c>
      <c r="B150" s="17" t="s">
        <v>69</v>
      </c>
      <c r="C150" s="83" t="s">
        <v>70</v>
      </c>
      <c r="D150" s="55"/>
      <c r="E150" s="6">
        <v>0</v>
      </c>
      <c r="F150" s="6">
        <v>1</v>
      </c>
      <c r="G150" s="6">
        <v>1</v>
      </c>
      <c r="H150" s="6">
        <v>0</v>
      </c>
      <c r="I150" s="6">
        <v>0</v>
      </c>
      <c r="J150" s="6">
        <v>0</v>
      </c>
      <c r="K150" s="6">
        <v>2</v>
      </c>
      <c r="L150" s="6">
        <v>0</v>
      </c>
      <c r="M150" s="6">
        <v>1</v>
      </c>
      <c r="N150" s="6">
        <v>0</v>
      </c>
      <c r="O150" s="6">
        <v>0</v>
      </c>
      <c r="P150" s="6">
        <v>0</v>
      </c>
      <c r="Q150" s="6">
        <v>0</v>
      </c>
      <c r="R150" s="6">
        <v>2</v>
      </c>
      <c r="S150" s="6">
        <v>1</v>
      </c>
      <c r="T150" s="6">
        <v>0</v>
      </c>
      <c r="U150" s="6">
        <v>2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1</v>
      </c>
      <c r="AD150" s="6">
        <v>0</v>
      </c>
      <c r="AE150" s="6">
        <v>0</v>
      </c>
      <c r="AF150" s="6">
        <v>0</v>
      </c>
      <c r="AG150" s="6">
        <v>1</v>
      </c>
      <c r="AH150" s="6">
        <v>0</v>
      </c>
      <c r="AI150" s="6">
        <v>0</v>
      </c>
      <c r="AJ150" s="6">
        <v>0</v>
      </c>
      <c r="AK150" s="6">
        <v>0</v>
      </c>
      <c r="AL150" s="6">
        <v>1</v>
      </c>
      <c r="AM150" s="6">
        <v>3</v>
      </c>
      <c r="AN150" s="6">
        <v>0</v>
      </c>
      <c r="AO150" s="6">
        <v>1</v>
      </c>
      <c r="AP150" s="6">
        <v>0</v>
      </c>
      <c r="AQ150" s="6">
        <v>0</v>
      </c>
      <c r="AR150" s="5">
        <f t="shared" ref="AR150:AR159" si="60">SUM(E150:AQ150)</f>
        <v>17</v>
      </c>
    </row>
    <row r="151" spans="1:44" x14ac:dyDescent="0.4">
      <c r="A151" s="11" t="s">
        <v>50</v>
      </c>
      <c r="B151" s="47"/>
      <c r="C151" s="24" t="s">
        <v>182</v>
      </c>
      <c r="D151" s="45"/>
      <c r="E151" s="6">
        <v>0</v>
      </c>
      <c r="F151" s="6">
        <v>0</v>
      </c>
      <c r="G151" s="6">
        <v>0</v>
      </c>
      <c r="H151" s="6">
        <v>2</v>
      </c>
      <c r="I151" s="6">
        <v>0</v>
      </c>
      <c r="J151" s="6">
        <v>0</v>
      </c>
      <c r="K151" s="6">
        <v>2</v>
      </c>
      <c r="L151" s="6">
        <v>0</v>
      </c>
      <c r="M151" s="6">
        <v>2</v>
      </c>
      <c r="N151" s="6">
        <v>7</v>
      </c>
      <c r="O151" s="6">
        <v>0</v>
      </c>
      <c r="P151" s="6">
        <v>1</v>
      </c>
      <c r="Q151" s="6">
        <v>0</v>
      </c>
      <c r="R151" s="6">
        <v>2</v>
      </c>
      <c r="S151" s="6">
        <v>0</v>
      </c>
      <c r="T151" s="6">
        <v>1</v>
      </c>
      <c r="U151" s="6">
        <v>1</v>
      </c>
      <c r="V151" s="6">
        <v>26</v>
      </c>
      <c r="W151" s="6">
        <v>2</v>
      </c>
      <c r="X151" s="6">
        <v>1</v>
      </c>
      <c r="Y151" s="6">
        <v>0</v>
      </c>
      <c r="Z151" s="6">
        <v>1</v>
      </c>
      <c r="AA151" s="6">
        <v>1</v>
      </c>
      <c r="AB151" s="6">
        <v>0</v>
      </c>
      <c r="AC151" s="6">
        <v>0</v>
      </c>
      <c r="AD151" s="6">
        <v>1</v>
      </c>
      <c r="AE151" s="6">
        <v>4</v>
      </c>
      <c r="AF151" s="6">
        <v>0</v>
      </c>
      <c r="AG151" s="6">
        <v>0</v>
      </c>
      <c r="AH151" s="6">
        <v>0</v>
      </c>
      <c r="AI151" s="6">
        <v>2</v>
      </c>
      <c r="AJ151" s="6">
        <v>0</v>
      </c>
      <c r="AK151" s="6">
        <v>3</v>
      </c>
      <c r="AL151" s="6">
        <v>0</v>
      </c>
      <c r="AM151" s="6">
        <v>3</v>
      </c>
      <c r="AN151" s="6">
        <v>0</v>
      </c>
      <c r="AO151" s="6">
        <v>0</v>
      </c>
      <c r="AP151" s="6">
        <v>1</v>
      </c>
      <c r="AQ151" s="6">
        <v>1</v>
      </c>
      <c r="AR151" s="5">
        <f t="shared" si="60"/>
        <v>64</v>
      </c>
    </row>
    <row r="152" spans="1:44" x14ac:dyDescent="0.4">
      <c r="A152" s="7"/>
      <c r="B152" s="47"/>
      <c r="C152" s="24" t="s">
        <v>183</v>
      </c>
      <c r="D152" s="45"/>
      <c r="E152" s="6">
        <v>0</v>
      </c>
      <c r="F152" s="6">
        <v>1</v>
      </c>
      <c r="G152" s="6">
        <v>0</v>
      </c>
      <c r="H152" s="6">
        <v>0</v>
      </c>
      <c r="I152" s="6">
        <v>0</v>
      </c>
      <c r="J152" s="6">
        <v>1</v>
      </c>
      <c r="K152" s="6">
        <v>0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1</v>
      </c>
      <c r="X152" s="6">
        <v>1</v>
      </c>
      <c r="Y152" s="6">
        <v>1</v>
      </c>
      <c r="Z152" s="6">
        <v>0</v>
      </c>
      <c r="AA152" s="6">
        <v>0</v>
      </c>
      <c r="AB152" s="6">
        <v>0</v>
      </c>
      <c r="AC152" s="6">
        <v>0</v>
      </c>
      <c r="AD152" s="6">
        <v>1</v>
      </c>
      <c r="AE152" s="6">
        <v>0</v>
      </c>
      <c r="AF152" s="6">
        <v>0</v>
      </c>
      <c r="AG152" s="6">
        <v>1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5">
        <f t="shared" si="60"/>
        <v>8</v>
      </c>
    </row>
    <row r="153" spans="1:44" x14ac:dyDescent="0.4">
      <c r="A153" s="7"/>
      <c r="B153" s="47"/>
      <c r="C153" s="24" t="s">
        <v>184</v>
      </c>
      <c r="D153" s="45"/>
      <c r="E153" s="6">
        <v>1</v>
      </c>
      <c r="F153" s="6">
        <v>0</v>
      </c>
      <c r="G153" s="6">
        <v>3</v>
      </c>
      <c r="H153" s="6">
        <v>1</v>
      </c>
      <c r="I153" s="6">
        <v>1</v>
      </c>
      <c r="J153" s="6">
        <v>0</v>
      </c>
      <c r="K153" s="6">
        <v>0</v>
      </c>
      <c r="L153" s="6">
        <v>2</v>
      </c>
      <c r="M153" s="6">
        <v>0</v>
      </c>
      <c r="N153" s="6">
        <v>0</v>
      </c>
      <c r="O153" s="6">
        <v>1</v>
      </c>
      <c r="P153" s="6">
        <v>2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1</v>
      </c>
      <c r="AE153" s="6">
        <v>0</v>
      </c>
      <c r="AF153" s="6">
        <v>0</v>
      </c>
      <c r="AG153" s="6">
        <v>0</v>
      </c>
      <c r="AH153" s="6">
        <v>1</v>
      </c>
      <c r="AI153" s="6">
        <v>0</v>
      </c>
      <c r="AJ153" s="6">
        <v>1</v>
      </c>
      <c r="AK153" s="6">
        <v>0</v>
      </c>
      <c r="AL153" s="6">
        <v>0</v>
      </c>
      <c r="AM153" s="6">
        <v>2</v>
      </c>
      <c r="AN153" s="6">
        <v>0</v>
      </c>
      <c r="AO153" s="6">
        <v>0</v>
      </c>
      <c r="AP153" s="6">
        <v>0</v>
      </c>
      <c r="AQ153" s="6">
        <v>0</v>
      </c>
      <c r="AR153" s="5">
        <f t="shared" si="60"/>
        <v>17</v>
      </c>
    </row>
    <row r="154" spans="1:44" x14ac:dyDescent="0.4">
      <c r="A154" s="7"/>
      <c r="B154" s="47"/>
      <c r="C154" s="24" t="s">
        <v>185</v>
      </c>
      <c r="D154" s="45"/>
      <c r="E154" s="6">
        <v>1</v>
      </c>
      <c r="F154" s="6">
        <v>1</v>
      </c>
      <c r="G154" s="6">
        <v>4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1</v>
      </c>
      <c r="AE154" s="6">
        <v>0</v>
      </c>
      <c r="AF154" s="6">
        <v>0</v>
      </c>
      <c r="AG154" s="6">
        <v>1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1</v>
      </c>
      <c r="AN154" s="6">
        <v>0</v>
      </c>
      <c r="AO154" s="6">
        <v>0</v>
      </c>
      <c r="AP154" s="6">
        <v>0</v>
      </c>
      <c r="AQ154" s="6">
        <v>0</v>
      </c>
      <c r="AR154" s="5">
        <f t="shared" si="60"/>
        <v>13</v>
      </c>
    </row>
    <row r="155" spans="1:44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1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1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5">
        <f t="shared" si="60"/>
        <v>3</v>
      </c>
    </row>
    <row r="156" spans="1:44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5">
        <f t="shared" si="60"/>
        <v>0</v>
      </c>
    </row>
    <row r="157" spans="1:44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1</v>
      </c>
      <c r="AO157" s="6">
        <v>0</v>
      </c>
      <c r="AP157" s="6">
        <v>0</v>
      </c>
      <c r="AQ157" s="6">
        <v>0</v>
      </c>
      <c r="AR157" s="5">
        <f t="shared" si="60"/>
        <v>3</v>
      </c>
    </row>
    <row r="158" spans="1:44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1</v>
      </c>
      <c r="H158" s="6">
        <v>0</v>
      </c>
      <c r="I158" s="6">
        <v>2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1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1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5">
        <f t="shared" si="60"/>
        <v>6</v>
      </c>
    </row>
    <row r="159" spans="1:44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5">
        <f t="shared" si="60"/>
        <v>1</v>
      </c>
    </row>
    <row r="160" spans="1:44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:U160" si="61">SUM(E150:E159)</f>
        <v>2</v>
      </c>
      <c r="F160" s="6">
        <f t="shared" si="61"/>
        <v>3</v>
      </c>
      <c r="G160" s="6">
        <f t="shared" si="61"/>
        <v>10</v>
      </c>
      <c r="H160" s="6">
        <f t="shared" si="61"/>
        <v>3</v>
      </c>
      <c r="I160" s="6">
        <f t="shared" si="61"/>
        <v>4</v>
      </c>
      <c r="J160" s="6">
        <f t="shared" si="61"/>
        <v>1</v>
      </c>
      <c r="K160" s="6">
        <f t="shared" si="61"/>
        <v>4</v>
      </c>
      <c r="L160" s="6">
        <f t="shared" si="61"/>
        <v>4</v>
      </c>
      <c r="M160" s="6">
        <f t="shared" si="61"/>
        <v>5</v>
      </c>
      <c r="N160" s="6">
        <f t="shared" si="61"/>
        <v>7</v>
      </c>
      <c r="O160" s="6">
        <f t="shared" si="61"/>
        <v>2</v>
      </c>
      <c r="P160" s="6">
        <f t="shared" si="61"/>
        <v>4</v>
      </c>
      <c r="Q160" s="6">
        <f t="shared" si="61"/>
        <v>0</v>
      </c>
      <c r="R160" s="6">
        <f t="shared" si="61"/>
        <v>7</v>
      </c>
      <c r="S160" s="6">
        <f t="shared" si="61"/>
        <v>1</v>
      </c>
      <c r="T160" s="6">
        <f t="shared" si="61"/>
        <v>1</v>
      </c>
      <c r="U160" s="6">
        <f t="shared" si="61"/>
        <v>3</v>
      </c>
      <c r="V160" s="6">
        <f t="shared" ref="V160" si="62">SUM(V150:V159)</f>
        <v>26</v>
      </c>
      <c r="W160" s="6">
        <f t="shared" ref="W160" si="63">SUM(W150:W159)</f>
        <v>3</v>
      </c>
      <c r="X160" s="6">
        <f t="shared" ref="X160" si="64">SUM(X150:X159)</f>
        <v>2</v>
      </c>
      <c r="Y160" s="6">
        <f t="shared" ref="Y160" si="65">SUM(Y150:Y159)</f>
        <v>1</v>
      </c>
      <c r="Z160" s="6">
        <f t="shared" ref="Z160" si="66">SUM(Z150:Z159)</f>
        <v>3</v>
      </c>
      <c r="AA160" s="6">
        <f t="shared" ref="AA160" si="67">SUM(AA150:AA159)</f>
        <v>1</v>
      </c>
      <c r="AB160" s="6">
        <f t="shared" ref="AB160" si="68">SUM(AB150:AB159)</f>
        <v>0</v>
      </c>
      <c r="AC160" s="6">
        <f t="shared" ref="AC160" si="69">SUM(AC150:AC159)</f>
        <v>1</v>
      </c>
      <c r="AD160" s="6">
        <f t="shared" ref="AD160" si="70">SUM(AD150:AD159)</f>
        <v>4</v>
      </c>
      <c r="AE160" s="6">
        <f t="shared" ref="AE160" si="71">SUM(AE150:AE159)</f>
        <v>4</v>
      </c>
      <c r="AF160" s="6">
        <f t="shared" ref="AF160:AK160" si="72">SUM(AF150:AF159)</f>
        <v>0</v>
      </c>
      <c r="AG160" s="6">
        <f t="shared" si="72"/>
        <v>4</v>
      </c>
      <c r="AH160" s="6">
        <f t="shared" si="72"/>
        <v>1</v>
      </c>
      <c r="AI160" s="6">
        <f t="shared" si="72"/>
        <v>2</v>
      </c>
      <c r="AJ160" s="6">
        <f t="shared" si="72"/>
        <v>1</v>
      </c>
      <c r="AK160" s="6">
        <f t="shared" si="72"/>
        <v>4</v>
      </c>
      <c r="AL160" s="6">
        <f t="shared" ref="AL160" si="73">SUM(AL150:AL159)</f>
        <v>1</v>
      </c>
      <c r="AM160" s="6">
        <f t="shared" ref="AM160" si="74">SUM(AM150:AM159)</f>
        <v>9</v>
      </c>
      <c r="AN160" s="6">
        <f t="shared" ref="AN160" si="75">SUM(AN150:AN159)</f>
        <v>1</v>
      </c>
      <c r="AO160" s="6">
        <f t="shared" ref="AO160" si="76">SUM(AO150:AO159)</f>
        <v>1</v>
      </c>
      <c r="AP160" s="6">
        <f t="shared" ref="AP160" si="77">SUM(AP150:AP159)</f>
        <v>1</v>
      </c>
      <c r="AQ160" s="6">
        <f t="shared" ref="AQ160" si="78">SUM(AQ150:AQ159)</f>
        <v>1</v>
      </c>
      <c r="AR160" s="6">
        <f t="shared" ref="AR160" si="79">SUM(AR150:AR159)</f>
        <v>132</v>
      </c>
    </row>
    <row r="161" spans="1:44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V161" s="18"/>
      <c r="W161" s="18"/>
      <c r="X161" s="18"/>
      <c r="Y161" s="18"/>
      <c r="Z161" s="18"/>
      <c r="AA161" s="18"/>
      <c r="AB161" s="18"/>
      <c r="AC161" s="18"/>
      <c r="AD161" s="18"/>
      <c r="AR161" s="5"/>
    </row>
    <row r="162" spans="1:44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1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1</v>
      </c>
      <c r="AQ162" s="6">
        <v>0</v>
      </c>
      <c r="AR162" s="5">
        <f t="shared" ref="AR162:AR171" si="80">SUM(E162:AQ162)</f>
        <v>3</v>
      </c>
    </row>
    <row r="163" spans="1:44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0</v>
      </c>
      <c r="G163" s="6">
        <v>0</v>
      </c>
      <c r="H163" s="6">
        <v>1</v>
      </c>
      <c r="I163" s="6">
        <v>7</v>
      </c>
      <c r="J163" s="6">
        <v>0</v>
      </c>
      <c r="K163" s="6">
        <v>0</v>
      </c>
      <c r="L163" s="6">
        <v>1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1</v>
      </c>
      <c r="T163" s="6">
        <v>0</v>
      </c>
      <c r="U163" s="6">
        <v>1</v>
      </c>
      <c r="V163" s="6">
        <v>0</v>
      </c>
      <c r="W163" s="6">
        <v>0</v>
      </c>
      <c r="X163" s="6">
        <v>0</v>
      </c>
      <c r="Y163" s="6">
        <v>0</v>
      </c>
      <c r="Z163" s="6">
        <v>1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1</v>
      </c>
      <c r="AK163" s="6">
        <v>1</v>
      </c>
      <c r="AL163" s="6">
        <v>0</v>
      </c>
      <c r="AM163" s="6">
        <v>0</v>
      </c>
      <c r="AN163" s="6">
        <v>0</v>
      </c>
      <c r="AO163" s="6">
        <v>0</v>
      </c>
      <c r="AP163" s="6">
        <v>1</v>
      </c>
      <c r="AQ163" s="6">
        <v>0</v>
      </c>
      <c r="AR163" s="5">
        <f t="shared" si="80"/>
        <v>15</v>
      </c>
    </row>
    <row r="164" spans="1:44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1</v>
      </c>
      <c r="AF164" s="6">
        <v>0</v>
      </c>
      <c r="AG164" s="6">
        <v>0</v>
      </c>
      <c r="AH164" s="6">
        <v>1</v>
      </c>
      <c r="AI164" s="6">
        <v>2</v>
      </c>
      <c r="AJ164" s="6">
        <v>1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5">
        <f t="shared" si="80"/>
        <v>5</v>
      </c>
    </row>
    <row r="165" spans="1:44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5">
        <f t="shared" si="80"/>
        <v>1</v>
      </c>
    </row>
    <row r="166" spans="1:44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5">
        <f t="shared" si="80"/>
        <v>1</v>
      </c>
    </row>
    <row r="167" spans="1:44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1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1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5">
        <f t="shared" si="80"/>
        <v>2</v>
      </c>
    </row>
    <row r="168" spans="1:44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5">
        <f t="shared" si="80"/>
        <v>0</v>
      </c>
    </row>
    <row r="169" spans="1:44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5">
        <f t="shared" si="80"/>
        <v>0</v>
      </c>
    </row>
    <row r="170" spans="1:44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5">
        <f t="shared" si="80"/>
        <v>0</v>
      </c>
    </row>
    <row r="171" spans="1:44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1</v>
      </c>
      <c r="AJ171" s="6">
        <v>0</v>
      </c>
      <c r="AK171" s="6">
        <v>0</v>
      </c>
      <c r="AL171" s="6">
        <v>1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5">
        <f t="shared" si="80"/>
        <v>2</v>
      </c>
    </row>
    <row r="172" spans="1:44" x14ac:dyDescent="0.4">
      <c r="A172" s="6" t="s">
        <v>26</v>
      </c>
      <c r="B172" s="74" t="s">
        <v>51</v>
      </c>
      <c r="C172" s="84"/>
      <c r="D172" s="85"/>
      <c r="E172" s="6">
        <f t="shared" ref="E172:U172" si="81">SUM(E162:E171)</f>
        <v>0</v>
      </c>
      <c r="F172" s="6">
        <f t="shared" si="81"/>
        <v>0</v>
      </c>
      <c r="G172" s="6">
        <f t="shared" si="81"/>
        <v>1</v>
      </c>
      <c r="H172" s="6">
        <f t="shared" si="81"/>
        <v>1</v>
      </c>
      <c r="I172" s="6">
        <f t="shared" si="81"/>
        <v>8</v>
      </c>
      <c r="J172" s="6">
        <f t="shared" si="81"/>
        <v>0</v>
      </c>
      <c r="K172" s="6">
        <f t="shared" si="81"/>
        <v>0</v>
      </c>
      <c r="L172" s="6">
        <f t="shared" si="81"/>
        <v>1</v>
      </c>
      <c r="M172" s="6">
        <f t="shared" si="81"/>
        <v>0</v>
      </c>
      <c r="N172" s="6">
        <f t="shared" si="81"/>
        <v>0</v>
      </c>
      <c r="O172" s="6">
        <f t="shared" si="81"/>
        <v>1</v>
      </c>
      <c r="P172" s="6">
        <f t="shared" si="81"/>
        <v>0</v>
      </c>
      <c r="Q172" s="6">
        <f t="shared" si="81"/>
        <v>0</v>
      </c>
      <c r="R172" s="6">
        <f t="shared" si="81"/>
        <v>0</v>
      </c>
      <c r="S172" s="6">
        <f t="shared" si="81"/>
        <v>1</v>
      </c>
      <c r="T172" s="6">
        <f t="shared" si="81"/>
        <v>0</v>
      </c>
      <c r="U172" s="6">
        <f t="shared" si="81"/>
        <v>2</v>
      </c>
      <c r="V172" s="6">
        <f t="shared" ref="V172" si="82">SUM(V162:V171)</f>
        <v>0</v>
      </c>
      <c r="W172" s="6">
        <f t="shared" ref="W172" si="83">SUM(W162:W171)</f>
        <v>0</v>
      </c>
      <c r="X172" s="6">
        <f t="shared" ref="X172" si="84">SUM(X162:X171)</f>
        <v>0</v>
      </c>
      <c r="Y172" s="6">
        <f t="shared" ref="Y172" si="85">SUM(Y162:Y171)</f>
        <v>0</v>
      </c>
      <c r="Z172" s="6">
        <f t="shared" ref="Z172" si="86">SUM(Z162:Z171)</f>
        <v>1</v>
      </c>
      <c r="AA172" s="6">
        <f t="shared" ref="AA172" si="87">SUM(AA162:AA171)</f>
        <v>0</v>
      </c>
      <c r="AB172" s="6">
        <f t="shared" ref="AB172" si="88">SUM(AB162:AB171)</f>
        <v>0</v>
      </c>
      <c r="AC172" s="6">
        <f t="shared" ref="AC172" si="89">SUM(AC162:AC171)</f>
        <v>0</v>
      </c>
      <c r="AD172" s="6">
        <f t="shared" ref="AD172" si="90">SUM(AD162:AD171)</f>
        <v>0</v>
      </c>
      <c r="AE172" s="6">
        <f t="shared" ref="AE172" si="91">SUM(AE162:AE171)</f>
        <v>1</v>
      </c>
      <c r="AF172" s="6">
        <f t="shared" ref="AF172:AK172" si="92">SUM(AF162:AF171)</f>
        <v>0</v>
      </c>
      <c r="AG172" s="6">
        <f t="shared" si="92"/>
        <v>0</v>
      </c>
      <c r="AH172" s="6">
        <f t="shared" si="92"/>
        <v>2</v>
      </c>
      <c r="AI172" s="6">
        <f t="shared" si="92"/>
        <v>3</v>
      </c>
      <c r="AJ172" s="6">
        <f t="shared" si="92"/>
        <v>2</v>
      </c>
      <c r="AK172" s="6">
        <f t="shared" si="92"/>
        <v>1</v>
      </c>
      <c r="AL172" s="6">
        <f t="shared" ref="AL172" si="93">SUM(AL162:AL171)</f>
        <v>2</v>
      </c>
      <c r="AM172" s="6">
        <f t="shared" ref="AM172" si="94">SUM(AM162:AM171)</f>
        <v>0</v>
      </c>
      <c r="AN172" s="6">
        <f t="shared" ref="AN172" si="95">SUM(AN162:AN171)</f>
        <v>0</v>
      </c>
      <c r="AO172" s="6">
        <f t="shared" ref="AO172" si="96">SUM(AO162:AO171)</f>
        <v>0</v>
      </c>
      <c r="AP172" s="6">
        <f t="shared" ref="AP172" si="97">SUM(AP162:AP171)</f>
        <v>2</v>
      </c>
      <c r="AQ172" s="6">
        <f t="shared" ref="AQ172" si="98">SUM(AQ162:AQ171)</f>
        <v>0</v>
      </c>
      <c r="AR172" s="6">
        <f t="shared" ref="AR172" si="99">SUM(AR162:AR171)</f>
        <v>29</v>
      </c>
    </row>
    <row r="173" spans="1:44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</row>
    <row r="174" spans="1:44" x14ac:dyDescent="0.4">
      <c r="A174" s="11" t="s">
        <v>48</v>
      </c>
      <c r="B174" s="17" t="s">
        <v>73</v>
      </c>
      <c r="C174" s="83" t="s">
        <v>74</v>
      </c>
      <c r="D174" s="55"/>
      <c r="E174" s="6">
        <v>4</v>
      </c>
      <c r="F174" s="6">
        <v>3</v>
      </c>
      <c r="G174" s="6">
        <v>2</v>
      </c>
      <c r="H174" s="6">
        <v>3</v>
      </c>
      <c r="I174" s="6">
        <v>4</v>
      </c>
      <c r="J174" s="6">
        <v>3</v>
      </c>
      <c r="K174" s="6">
        <v>2</v>
      </c>
      <c r="L174" s="6">
        <v>1</v>
      </c>
      <c r="M174" s="6">
        <v>0</v>
      </c>
      <c r="N174" s="6">
        <v>3</v>
      </c>
      <c r="O174" s="6">
        <v>3</v>
      </c>
      <c r="P174" s="6">
        <v>6</v>
      </c>
      <c r="Q174" s="6">
        <v>0</v>
      </c>
      <c r="R174" s="6">
        <v>4</v>
      </c>
      <c r="S174" s="6">
        <v>5</v>
      </c>
      <c r="T174" s="6">
        <v>2</v>
      </c>
      <c r="U174" s="6">
        <v>1</v>
      </c>
      <c r="V174" s="6">
        <v>0</v>
      </c>
      <c r="W174" s="6">
        <v>1</v>
      </c>
      <c r="X174" s="6">
        <v>3</v>
      </c>
      <c r="Y174" s="6">
        <v>1</v>
      </c>
      <c r="Z174" s="6">
        <v>0</v>
      </c>
      <c r="AA174" s="6">
        <v>0</v>
      </c>
      <c r="AB174" s="6">
        <v>0</v>
      </c>
      <c r="AC174" s="6">
        <v>3</v>
      </c>
      <c r="AD174" s="6">
        <v>5</v>
      </c>
      <c r="AE174" s="6">
        <v>4</v>
      </c>
      <c r="AF174" s="6">
        <v>2</v>
      </c>
      <c r="AG174" s="6">
        <v>2</v>
      </c>
      <c r="AH174" s="6">
        <v>0</v>
      </c>
      <c r="AI174" s="6">
        <v>1</v>
      </c>
      <c r="AJ174" s="6">
        <v>0</v>
      </c>
      <c r="AK174" s="6">
        <v>2</v>
      </c>
      <c r="AL174" s="6">
        <v>1</v>
      </c>
      <c r="AM174" s="6">
        <v>0</v>
      </c>
      <c r="AN174" s="6">
        <v>1</v>
      </c>
      <c r="AO174" s="6">
        <v>1</v>
      </c>
      <c r="AP174" s="6">
        <v>0</v>
      </c>
      <c r="AQ174" s="6">
        <v>0</v>
      </c>
      <c r="AR174" s="5">
        <f t="shared" ref="AR174:AR183" si="100">SUM(E174:AQ174)</f>
        <v>73</v>
      </c>
    </row>
    <row r="175" spans="1:44" x14ac:dyDescent="0.4">
      <c r="A175" s="11" t="s">
        <v>50</v>
      </c>
      <c r="B175" s="47"/>
      <c r="C175" s="24" t="s">
        <v>200</v>
      </c>
      <c r="D175" s="45"/>
      <c r="E175" s="6">
        <v>4</v>
      </c>
      <c r="F175" s="6">
        <v>9</v>
      </c>
      <c r="G175" s="6">
        <v>6</v>
      </c>
      <c r="H175" s="6">
        <v>4</v>
      </c>
      <c r="I175" s="6">
        <v>3</v>
      </c>
      <c r="J175" s="6">
        <v>4</v>
      </c>
      <c r="K175" s="6">
        <v>12</v>
      </c>
      <c r="L175" s="6">
        <v>41</v>
      </c>
      <c r="M175" s="6">
        <v>40</v>
      </c>
      <c r="N175" s="6">
        <v>30</v>
      </c>
      <c r="O175" s="6">
        <v>18</v>
      </c>
      <c r="P175" s="6">
        <v>18</v>
      </c>
      <c r="Q175" s="6">
        <v>2</v>
      </c>
      <c r="R175" s="6">
        <v>6</v>
      </c>
      <c r="S175" s="6">
        <v>12</v>
      </c>
      <c r="T175" s="6">
        <v>0</v>
      </c>
      <c r="U175" s="6">
        <v>6</v>
      </c>
      <c r="V175" s="6">
        <v>2</v>
      </c>
      <c r="W175" s="6">
        <v>9</v>
      </c>
      <c r="X175" s="6">
        <v>4</v>
      </c>
      <c r="Y175" s="6">
        <v>0</v>
      </c>
      <c r="Z175" s="6">
        <v>0</v>
      </c>
      <c r="AA175" s="6">
        <v>1</v>
      </c>
      <c r="AB175" s="6">
        <v>5</v>
      </c>
      <c r="AC175" s="6">
        <v>5</v>
      </c>
      <c r="AD175" s="6">
        <v>22</v>
      </c>
      <c r="AE175" s="6">
        <v>9</v>
      </c>
      <c r="AF175" s="6">
        <v>9</v>
      </c>
      <c r="AG175" s="6">
        <v>2</v>
      </c>
      <c r="AH175" s="6">
        <v>1</v>
      </c>
      <c r="AI175" s="6">
        <v>0</v>
      </c>
      <c r="AJ175" s="6">
        <v>0</v>
      </c>
      <c r="AK175" s="6">
        <v>1</v>
      </c>
      <c r="AL175" s="6">
        <v>2</v>
      </c>
      <c r="AM175" s="6">
        <v>3</v>
      </c>
      <c r="AN175" s="6">
        <v>0</v>
      </c>
      <c r="AO175" s="6">
        <v>0</v>
      </c>
      <c r="AP175" s="6">
        <v>0</v>
      </c>
      <c r="AQ175" s="6">
        <v>0</v>
      </c>
      <c r="AR175" s="5">
        <f t="shared" si="100"/>
        <v>290</v>
      </c>
    </row>
    <row r="176" spans="1:44" x14ac:dyDescent="0.4">
      <c r="A176" s="7"/>
      <c r="B176" s="47"/>
      <c r="C176" s="24" t="s">
        <v>201</v>
      </c>
      <c r="D176" s="45"/>
      <c r="E176" s="6">
        <v>1</v>
      </c>
      <c r="F176" s="6">
        <v>0</v>
      </c>
      <c r="G176" s="6">
        <v>1</v>
      </c>
      <c r="H176" s="6">
        <v>4</v>
      </c>
      <c r="I176" s="6">
        <v>3</v>
      </c>
      <c r="J176" s="6">
        <v>0</v>
      </c>
      <c r="K176" s="6">
        <v>5</v>
      </c>
      <c r="L176" s="6">
        <v>3</v>
      </c>
      <c r="M176" s="6">
        <v>0</v>
      </c>
      <c r="N176" s="6">
        <v>0</v>
      </c>
      <c r="O176" s="6">
        <v>3</v>
      </c>
      <c r="P176" s="6">
        <v>1</v>
      </c>
      <c r="Q176" s="6">
        <v>3</v>
      </c>
      <c r="R176" s="6">
        <v>1</v>
      </c>
      <c r="S176" s="6">
        <v>1</v>
      </c>
      <c r="T176" s="6">
        <v>2</v>
      </c>
      <c r="U176" s="6">
        <v>2</v>
      </c>
      <c r="V176" s="6">
        <v>0</v>
      </c>
      <c r="W176" s="6">
        <v>2</v>
      </c>
      <c r="X176" s="6">
        <v>1</v>
      </c>
      <c r="Y176" s="6">
        <v>1</v>
      </c>
      <c r="Z176" s="6">
        <v>2</v>
      </c>
      <c r="AA176" s="6">
        <v>0</v>
      </c>
      <c r="AB176" s="6">
        <v>0</v>
      </c>
      <c r="AC176" s="6">
        <v>0</v>
      </c>
      <c r="AD176" s="6">
        <v>0</v>
      </c>
      <c r="AE176" s="6">
        <v>3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5">
        <f t="shared" si="100"/>
        <v>41</v>
      </c>
    </row>
    <row r="177" spans="1:44" x14ac:dyDescent="0.4">
      <c r="A177" s="7"/>
      <c r="B177" s="47"/>
      <c r="C177" s="24" t="s">
        <v>202</v>
      </c>
      <c r="D177" s="45"/>
      <c r="E177" s="6">
        <v>0</v>
      </c>
      <c r="F177" s="6">
        <v>2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2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1</v>
      </c>
      <c r="AE177" s="6">
        <v>1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5">
        <f t="shared" si="100"/>
        <v>9</v>
      </c>
    </row>
    <row r="178" spans="1:44" x14ac:dyDescent="0.4">
      <c r="A178" s="7"/>
      <c r="B178" s="47"/>
      <c r="C178" s="24" t="s">
        <v>203</v>
      </c>
      <c r="D178" s="45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2</v>
      </c>
      <c r="R178" s="6">
        <v>0</v>
      </c>
      <c r="S178" s="6">
        <v>0</v>
      </c>
      <c r="T178" s="6">
        <v>1</v>
      </c>
      <c r="U178" s="6">
        <v>1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2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1</v>
      </c>
      <c r="AN178" s="6">
        <v>0</v>
      </c>
      <c r="AO178" s="6">
        <v>0</v>
      </c>
      <c r="AP178" s="6">
        <v>0</v>
      </c>
      <c r="AQ178" s="6">
        <v>0</v>
      </c>
      <c r="AR178" s="5">
        <f t="shared" si="100"/>
        <v>8</v>
      </c>
    </row>
    <row r="179" spans="1:44" x14ac:dyDescent="0.4">
      <c r="A179" s="7"/>
      <c r="B179" s="47"/>
      <c r="C179" s="24" t="s">
        <v>204</v>
      </c>
      <c r="D179" s="45"/>
      <c r="E179" s="6">
        <v>0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5">
        <f t="shared" si="100"/>
        <v>3</v>
      </c>
    </row>
    <row r="180" spans="1:44" ht="13.15" customHeight="1" x14ac:dyDescent="0.4">
      <c r="A180" s="7"/>
      <c r="B180" s="47"/>
      <c r="C180" s="24" t="s">
        <v>205</v>
      </c>
      <c r="D180" s="45"/>
      <c r="E180" s="6">
        <v>1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0</v>
      </c>
      <c r="W180" s="6">
        <v>0</v>
      </c>
      <c r="X180" s="6">
        <v>1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5">
        <f t="shared" si="100"/>
        <v>6</v>
      </c>
    </row>
    <row r="181" spans="1:44" x14ac:dyDescent="0.4">
      <c r="A181" s="7"/>
      <c r="B181" s="47"/>
      <c r="C181" s="24" t="s">
        <v>206</v>
      </c>
      <c r="D181" s="45"/>
      <c r="E181" s="6">
        <v>1</v>
      </c>
      <c r="F181" s="6">
        <v>0</v>
      </c>
      <c r="G181" s="6">
        <v>0</v>
      </c>
      <c r="H181" s="6">
        <v>1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2</v>
      </c>
      <c r="Q181" s="6">
        <v>0</v>
      </c>
      <c r="R181" s="6">
        <v>1</v>
      </c>
      <c r="S181" s="6">
        <v>1</v>
      </c>
      <c r="T181" s="6">
        <v>0</v>
      </c>
      <c r="U181" s="6">
        <v>0</v>
      </c>
      <c r="V181" s="6">
        <v>0</v>
      </c>
      <c r="W181" s="6">
        <v>1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5">
        <f t="shared" si="100"/>
        <v>8</v>
      </c>
    </row>
    <row r="182" spans="1:44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5">
        <f t="shared" si="100"/>
        <v>0</v>
      </c>
    </row>
    <row r="183" spans="1:44" x14ac:dyDescent="0.4">
      <c r="A183" s="7"/>
      <c r="B183" s="47"/>
      <c r="C183" s="24" t="s">
        <v>208</v>
      </c>
      <c r="D183" s="45"/>
      <c r="E183" s="6">
        <v>2</v>
      </c>
      <c r="F183" s="6">
        <v>0</v>
      </c>
      <c r="G183" s="6">
        <v>0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5">
        <f t="shared" si="100"/>
        <v>5</v>
      </c>
    </row>
    <row r="184" spans="1:44" x14ac:dyDescent="0.4">
      <c r="A184" s="6" t="s">
        <v>26</v>
      </c>
      <c r="B184" s="74" t="s">
        <v>51</v>
      </c>
      <c r="C184" s="84"/>
      <c r="D184" s="85"/>
      <c r="E184" s="6">
        <f t="shared" ref="E184:U184" si="101">SUM(E174:E183)</f>
        <v>13</v>
      </c>
      <c r="F184" s="6">
        <f t="shared" si="101"/>
        <v>17</v>
      </c>
      <c r="G184" s="6">
        <f t="shared" si="101"/>
        <v>11</v>
      </c>
      <c r="H184" s="6">
        <f t="shared" si="101"/>
        <v>13</v>
      </c>
      <c r="I184" s="6">
        <f t="shared" si="101"/>
        <v>11</v>
      </c>
      <c r="J184" s="6">
        <f t="shared" si="101"/>
        <v>7</v>
      </c>
      <c r="K184" s="6">
        <f t="shared" si="101"/>
        <v>20</v>
      </c>
      <c r="L184" s="6">
        <f t="shared" si="101"/>
        <v>46</v>
      </c>
      <c r="M184" s="6">
        <f t="shared" si="101"/>
        <v>40</v>
      </c>
      <c r="N184" s="6">
        <f t="shared" si="101"/>
        <v>34</v>
      </c>
      <c r="O184" s="6">
        <f t="shared" si="101"/>
        <v>25</v>
      </c>
      <c r="P184" s="6">
        <f t="shared" si="101"/>
        <v>29</v>
      </c>
      <c r="Q184" s="6">
        <f t="shared" si="101"/>
        <v>7</v>
      </c>
      <c r="R184" s="6">
        <f t="shared" si="101"/>
        <v>13</v>
      </c>
      <c r="S184" s="6">
        <f t="shared" si="101"/>
        <v>19</v>
      </c>
      <c r="T184" s="6">
        <f t="shared" si="101"/>
        <v>6</v>
      </c>
      <c r="U184" s="6">
        <f t="shared" si="101"/>
        <v>10</v>
      </c>
      <c r="V184" s="6">
        <f t="shared" ref="V184" si="102">SUM(V174:V183)</f>
        <v>2</v>
      </c>
      <c r="W184" s="6">
        <f t="shared" ref="W184" si="103">SUM(W174:W183)</f>
        <v>13</v>
      </c>
      <c r="X184" s="6">
        <f t="shared" ref="X184" si="104">SUM(X174:X183)</f>
        <v>9</v>
      </c>
      <c r="Y184" s="6">
        <f t="shared" ref="Y184" si="105">SUM(Y174:Y183)</f>
        <v>2</v>
      </c>
      <c r="Z184" s="6">
        <f t="shared" ref="Z184" si="106">SUM(Z174:Z183)</f>
        <v>3</v>
      </c>
      <c r="AA184" s="6">
        <f t="shared" ref="AA184" si="107">SUM(AA174:AA183)</f>
        <v>1</v>
      </c>
      <c r="AB184" s="6">
        <f t="shared" ref="AB184" si="108">SUM(AB174:AB183)</f>
        <v>5</v>
      </c>
      <c r="AC184" s="6">
        <f t="shared" ref="AC184" si="109">SUM(AC174:AC183)</f>
        <v>8</v>
      </c>
      <c r="AD184" s="6">
        <f t="shared" ref="AD184" si="110">SUM(AD174:AD183)</f>
        <v>30</v>
      </c>
      <c r="AE184" s="6">
        <f t="shared" ref="AE184" si="111">SUM(AE174:AE183)</f>
        <v>17</v>
      </c>
      <c r="AF184" s="6">
        <f t="shared" ref="AF184:AK184" si="112">SUM(AF174:AF183)</f>
        <v>11</v>
      </c>
      <c r="AG184" s="6">
        <f t="shared" si="112"/>
        <v>4</v>
      </c>
      <c r="AH184" s="6">
        <f t="shared" si="112"/>
        <v>2</v>
      </c>
      <c r="AI184" s="6">
        <f t="shared" si="112"/>
        <v>1</v>
      </c>
      <c r="AJ184" s="6">
        <f t="shared" si="112"/>
        <v>0</v>
      </c>
      <c r="AK184" s="6">
        <f t="shared" si="112"/>
        <v>4</v>
      </c>
      <c r="AL184" s="6">
        <f t="shared" ref="AL184" si="113">SUM(AL174:AL183)</f>
        <v>4</v>
      </c>
      <c r="AM184" s="6">
        <f t="shared" ref="AM184" si="114">SUM(AM174:AM183)</f>
        <v>4</v>
      </c>
      <c r="AN184" s="6">
        <f t="shared" ref="AN184" si="115">SUM(AN174:AN183)</f>
        <v>1</v>
      </c>
      <c r="AO184" s="6">
        <f t="shared" ref="AO184" si="116">SUM(AO174:AO183)</f>
        <v>1</v>
      </c>
      <c r="AP184" s="6">
        <f t="shared" ref="AP184" si="117">SUM(AP174:AP183)</f>
        <v>0</v>
      </c>
      <c r="AQ184" s="6">
        <f t="shared" ref="AQ184" si="118">SUM(AQ174:AQ183)</f>
        <v>0</v>
      </c>
      <c r="AR184" s="6">
        <f t="shared" ref="AR184" si="119">SUM(AR174:AR183)</f>
        <v>443</v>
      </c>
    </row>
    <row r="185" spans="1:44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</row>
    <row r="186" spans="1:44" x14ac:dyDescent="0.4">
      <c r="A186" s="11" t="s">
        <v>48</v>
      </c>
      <c r="B186" s="17" t="s">
        <v>75</v>
      </c>
      <c r="C186" s="83" t="s">
        <v>76</v>
      </c>
      <c r="D186" s="55"/>
      <c r="E186" s="6">
        <v>0</v>
      </c>
      <c r="F186" s="6">
        <v>3</v>
      </c>
      <c r="G186" s="6">
        <v>1</v>
      </c>
      <c r="H186" s="6">
        <v>5</v>
      </c>
      <c r="I186" s="6">
        <v>4</v>
      </c>
      <c r="J186" s="6">
        <v>1</v>
      </c>
      <c r="K186" s="6">
        <v>1</v>
      </c>
      <c r="L186" s="6">
        <v>0</v>
      </c>
      <c r="M186" s="6">
        <v>0</v>
      </c>
      <c r="N186" s="6">
        <v>2</v>
      </c>
      <c r="O186" s="6">
        <v>3</v>
      </c>
      <c r="P186" s="6">
        <v>1</v>
      </c>
      <c r="Q186" s="6">
        <v>1</v>
      </c>
      <c r="R186" s="6">
        <v>2</v>
      </c>
      <c r="S186" s="6">
        <v>0</v>
      </c>
      <c r="T186" s="6">
        <v>1</v>
      </c>
      <c r="U186" s="6">
        <v>0</v>
      </c>
      <c r="V186" s="6">
        <v>0</v>
      </c>
      <c r="W186" s="6">
        <v>0</v>
      </c>
      <c r="X186" s="6">
        <v>4</v>
      </c>
      <c r="Y186" s="6">
        <v>0</v>
      </c>
      <c r="Z186" s="6">
        <v>0</v>
      </c>
      <c r="AA186" s="6">
        <v>4</v>
      </c>
      <c r="AB186" s="6">
        <v>0</v>
      </c>
      <c r="AC186" s="6">
        <v>0</v>
      </c>
      <c r="AD186" s="6">
        <v>3</v>
      </c>
      <c r="AE186" s="6">
        <v>0</v>
      </c>
      <c r="AF186" s="6">
        <v>0</v>
      </c>
      <c r="AG186" s="6">
        <v>5</v>
      </c>
      <c r="AH186" s="6">
        <v>1</v>
      </c>
      <c r="AI186" s="6">
        <v>1</v>
      </c>
      <c r="AJ186" s="6">
        <v>4</v>
      </c>
      <c r="AK186" s="6">
        <v>2</v>
      </c>
      <c r="AL186" s="6">
        <v>3</v>
      </c>
      <c r="AM186" s="6">
        <v>4</v>
      </c>
      <c r="AN186" s="6">
        <v>1</v>
      </c>
      <c r="AO186" s="6">
        <v>0</v>
      </c>
      <c r="AP186" s="6">
        <v>1</v>
      </c>
      <c r="AQ186" s="6">
        <v>0</v>
      </c>
      <c r="AR186" s="5">
        <f t="shared" ref="AR186:AR189" si="120">SUM(E186:AQ186)</f>
        <v>58</v>
      </c>
    </row>
    <row r="187" spans="1:44" x14ac:dyDescent="0.4">
      <c r="A187" s="11" t="s">
        <v>50</v>
      </c>
      <c r="B187" s="47"/>
      <c r="C187" s="24" t="s">
        <v>209</v>
      </c>
      <c r="D187" s="48"/>
      <c r="E187" s="6">
        <v>1</v>
      </c>
      <c r="F187" s="6">
        <v>0</v>
      </c>
      <c r="G187" s="6">
        <v>3</v>
      </c>
      <c r="H187" s="6">
        <v>1</v>
      </c>
      <c r="I187" s="6">
        <v>3</v>
      </c>
      <c r="J187" s="6">
        <v>0</v>
      </c>
      <c r="K187" s="6">
        <v>0</v>
      </c>
      <c r="L187" s="6">
        <v>1</v>
      </c>
      <c r="M187" s="6">
        <v>1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1</v>
      </c>
      <c r="T187" s="6">
        <v>0</v>
      </c>
      <c r="U187" s="6">
        <v>1</v>
      </c>
      <c r="V187" s="6">
        <v>0</v>
      </c>
      <c r="W187" s="6">
        <v>0</v>
      </c>
      <c r="X187" s="6">
        <v>2</v>
      </c>
      <c r="Y187" s="6">
        <v>1</v>
      </c>
      <c r="Z187" s="6">
        <v>1</v>
      </c>
      <c r="AA187" s="6">
        <v>1</v>
      </c>
      <c r="AB187" s="6">
        <v>0</v>
      </c>
      <c r="AC187" s="6">
        <v>0</v>
      </c>
      <c r="AD187" s="6">
        <v>3</v>
      </c>
      <c r="AE187" s="6">
        <v>2</v>
      </c>
      <c r="AF187" s="6">
        <v>0</v>
      </c>
      <c r="AG187" s="6">
        <v>15</v>
      </c>
      <c r="AH187" s="6">
        <v>3</v>
      </c>
      <c r="AI187" s="6">
        <v>0</v>
      </c>
      <c r="AJ187" s="6">
        <v>1</v>
      </c>
      <c r="AK187" s="6">
        <v>4</v>
      </c>
      <c r="AL187" s="6">
        <v>5</v>
      </c>
      <c r="AM187" s="6">
        <v>7</v>
      </c>
      <c r="AN187" s="6">
        <v>1</v>
      </c>
      <c r="AO187" s="6">
        <v>2</v>
      </c>
      <c r="AP187" s="6">
        <v>1</v>
      </c>
      <c r="AQ187" s="6">
        <v>0</v>
      </c>
      <c r="AR187" s="5">
        <f t="shared" si="120"/>
        <v>61</v>
      </c>
    </row>
    <row r="188" spans="1:44" x14ac:dyDescent="0.4">
      <c r="A188" s="7"/>
      <c r="B188" s="47"/>
      <c r="C188" s="24" t="s">
        <v>210</v>
      </c>
      <c r="D188" s="48"/>
      <c r="E188" s="6">
        <v>1</v>
      </c>
      <c r="F188" s="6">
        <v>4</v>
      </c>
      <c r="G188" s="6">
        <v>1</v>
      </c>
      <c r="H188" s="6">
        <v>3</v>
      </c>
      <c r="I188" s="6">
        <v>3</v>
      </c>
      <c r="J188" s="6">
        <v>2</v>
      </c>
      <c r="K188" s="6">
        <v>3</v>
      </c>
      <c r="L188" s="6">
        <v>1</v>
      </c>
      <c r="M188" s="6">
        <v>0</v>
      </c>
      <c r="N188" s="6">
        <v>0</v>
      </c>
      <c r="O188" s="6">
        <v>0</v>
      </c>
      <c r="P188" s="6">
        <v>1</v>
      </c>
      <c r="Q188" s="6">
        <v>1</v>
      </c>
      <c r="R188" s="6">
        <v>0</v>
      </c>
      <c r="S188" s="6">
        <v>0</v>
      </c>
      <c r="T188" s="6">
        <v>0</v>
      </c>
      <c r="U188" s="6">
        <v>1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1</v>
      </c>
      <c r="AE188" s="6">
        <v>0</v>
      </c>
      <c r="AF188" s="6">
        <v>0</v>
      </c>
      <c r="AG188" s="6">
        <v>2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5">
        <f t="shared" si="120"/>
        <v>24</v>
      </c>
    </row>
    <row r="189" spans="1:44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2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1</v>
      </c>
      <c r="Y189" s="6">
        <v>1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5">
        <f t="shared" si="120"/>
        <v>4</v>
      </c>
    </row>
    <row r="190" spans="1:44" x14ac:dyDescent="0.4">
      <c r="A190" s="6" t="s">
        <v>26</v>
      </c>
      <c r="B190" s="74" t="s">
        <v>51</v>
      </c>
      <c r="C190" s="84"/>
      <c r="D190" s="85"/>
      <c r="E190" s="6">
        <f t="shared" ref="E190:AR190" si="121">SUM(E186:E189)</f>
        <v>2</v>
      </c>
      <c r="F190" s="6">
        <f t="shared" si="121"/>
        <v>7</v>
      </c>
      <c r="G190" s="6">
        <f t="shared" si="121"/>
        <v>5</v>
      </c>
      <c r="H190" s="6">
        <f t="shared" si="121"/>
        <v>9</v>
      </c>
      <c r="I190" s="6">
        <f t="shared" si="121"/>
        <v>10</v>
      </c>
      <c r="J190" s="6">
        <f t="shared" si="121"/>
        <v>3</v>
      </c>
      <c r="K190" s="6">
        <f t="shared" si="121"/>
        <v>4</v>
      </c>
      <c r="L190" s="6">
        <f t="shared" si="121"/>
        <v>2</v>
      </c>
      <c r="M190" s="6">
        <f t="shared" si="121"/>
        <v>1</v>
      </c>
      <c r="N190" s="6">
        <f t="shared" si="121"/>
        <v>2</v>
      </c>
      <c r="O190" s="6">
        <f t="shared" si="121"/>
        <v>5</v>
      </c>
      <c r="P190" s="6">
        <f t="shared" si="121"/>
        <v>2</v>
      </c>
      <c r="Q190" s="6">
        <f t="shared" si="121"/>
        <v>2</v>
      </c>
      <c r="R190" s="6">
        <f t="shared" si="121"/>
        <v>2</v>
      </c>
      <c r="S190" s="6">
        <f t="shared" si="121"/>
        <v>1</v>
      </c>
      <c r="T190" s="6">
        <f t="shared" si="121"/>
        <v>1</v>
      </c>
      <c r="U190" s="6">
        <f t="shared" si="121"/>
        <v>2</v>
      </c>
      <c r="V190" s="6">
        <f t="shared" si="121"/>
        <v>0</v>
      </c>
      <c r="W190" s="6">
        <f t="shared" si="121"/>
        <v>0</v>
      </c>
      <c r="X190" s="6">
        <f t="shared" si="121"/>
        <v>7</v>
      </c>
      <c r="Y190" s="6">
        <f t="shared" si="121"/>
        <v>2</v>
      </c>
      <c r="Z190" s="6">
        <f t="shared" si="121"/>
        <v>1</v>
      </c>
      <c r="AA190" s="6">
        <f t="shared" si="121"/>
        <v>5</v>
      </c>
      <c r="AB190" s="6">
        <f t="shared" si="121"/>
        <v>0</v>
      </c>
      <c r="AC190" s="6">
        <f t="shared" si="121"/>
        <v>0</v>
      </c>
      <c r="AD190" s="6">
        <f t="shared" si="121"/>
        <v>7</v>
      </c>
      <c r="AE190" s="6">
        <f t="shared" si="121"/>
        <v>2</v>
      </c>
      <c r="AF190" s="6">
        <f t="shared" si="121"/>
        <v>0</v>
      </c>
      <c r="AG190" s="6">
        <f t="shared" si="121"/>
        <v>22</v>
      </c>
      <c r="AH190" s="6">
        <f t="shared" si="121"/>
        <v>4</v>
      </c>
      <c r="AI190" s="6">
        <f t="shared" si="121"/>
        <v>1</v>
      </c>
      <c r="AJ190" s="6">
        <f t="shared" si="121"/>
        <v>5</v>
      </c>
      <c r="AK190" s="6">
        <f t="shared" si="121"/>
        <v>6</v>
      </c>
      <c r="AL190" s="6">
        <f t="shared" si="121"/>
        <v>8</v>
      </c>
      <c r="AM190" s="6">
        <f t="shared" si="121"/>
        <v>11</v>
      </c>
      <c r="AN190" s="6">
        <f t="shared" si="121"/>
        <v>2</v>
      </c>
      <c r="AO190" s="6">
        <f t="shared" si="121"/>
        <v>2</v>
      </c>
      <c r="AP190" s="6">
        <f t="shared" si="121"/>
        <v>2</v>
      </c>
      <c r="AQ190" s="6">
        <f t="shared" si="121"/>
        <v>0</v>
      </c>
      <c r="AR190" s="6">
        <f t="shared" si="121"/>
        <v>147</v>
      </c>
    </row>
    <row r="191" spans="1:44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</row>
    <row r="192" spans="1:44" x14ac:dyDescent="0.4">
      <c r="A192" s="11" t="s">
        <v>48</v>
      </c>
      <c r="B192" s="17" t="s">
        <v>77</v>
      </c>
      <c r="C192" s="83" t="s">
        <v>78</v>
      </c>
      <c r="D192" s="55"/>
      <c r="E192" s="6">
        <v>1</v>
      </c>
      <c r="F192" s="6">
        <v>3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5">
        <f t="shared" ref="AR192:AR196" si="122">SUM(E192:AQ192)</f>
        <v>8</v>
      </c>
    </row>
    <row r="193" spans="1:44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2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1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5">
        <f t="shared" si="122"/>
        <v>4</v>
      </c>
    </row>
    <row r="194" spans="1:44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1</v>
      </c>
      <c r="V194" s="6">
        <v>1</v>
      </c>
      <c r="W194" s="6">
        <v>0</v>
      </c>
      <c r="X194" s="6">
        <v>1</v>
      </c>
      <c r="Y194" s="6">
        <v>0</v>
      </c>
      <c r="Z194" s="6">
        <v>0</v>
      </c>
      <c r="AA194" s="6">
        <v>1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5">
        <f t="shared" si="122"/>
        <v>4</v>
      </c>
    </row>
    <row r="195" spans="1:44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1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5">
        <f t="shared" si="122"/>
        <v>1</v>
      </c>
    </row>
    <row r="196" spans="1:44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5">
        <f t="shared" si="122"/>
        <v>1</v>
      </c>
    </row>
    <row r="197" spans="1:44" x14ac:dyDescent="0.4">
      <c r="A197" s="6" t="s">
        <v>26</v>
      </c>
      <c r="B197" s="74" t="s">
        <v>51</v>
      </c>
      <c r="C197" s="84"/>
      <c r="D197" s="85"/>
      <c r="E197" s="6">
        <f t="shared" ref="E197:AR197" si="123">SUM(E192:E196)</f>
        <v>1</v>
      </c>
      <c r="F197" s="6">
        <f t="shared" si="123"/>
        <v>3</v>
      </c>
      <c r="G197" s="6">
        <f t="shared" si="123"/>
        <v>0</v>
      </c>
      <c r="H197" s="6">
        <f t="shared" si="123"/>
        <v>0</v>
      </c>
      <c r="I197" s="6">
        <f t="shared" si="123"/>
        <v>0</v>
      </c>
      <c r="J197" s="6">
        <f t="shared" si="123"/>
        <v>0</v>
      </c>
      <c r="K197" s="6">
        <f t="shared" si="123"/>
        <v>0</v>
      </c>
      <c r="L197" s="6">
        <f t="shared" si="123"/>
        <v>0</v>
      </c>
      <c r="M197" s="6">
        <f t="shared" si="123"/>
        <v>0</v>
      </c>
      <c r="N197" s="6">
        <f t="shared" si="123"/>
        <v>2</v>
      </c>
      <c r="O197" s="6">
        <f t="shared" si="123"/>
        <v>0</v>
      </c>
      <c r="P197" s="6">
        <f t="shared" si="123"/>
        <v>0</v>
      </c>
      <c r="Q197" s="6">
        <f t="shared" si="123"/>
        <v>0</v>
      </c>
      <c r="R197" s="6">
        <f t="shared" si="123"/>
        <v>0</v>
      </c>
      <c r="S197" s="6">
        <f t="shared" si="123"/>
        <v>3</v>
      </c>
      <c r="T197" s="6">
        <f t="shared" si="123"/>
        <v>0</v>
      </c>
      <c r="U197" s="6">
        <f t="shared" si="123"/>
        <v>1</v>
      </c>
      <c r="V197" s="6">
        <f t="shared" si="123"/>
        <v>1</v>
      </c>
      <c r="W197" s="6">
        <f t="shared" si="123"/>
        <v>0</v>
      </c>
      <c r="X197" s="6">
        <f t="shared" si="123"/>
        <v>1</v>
      </c>
      <c r="Y197" s="6">
        <f t="shared" si="123"/>
        <v>0</v>
      </c>
      <c r="Z197" s="6">
        <f t="shared" si="123"/>
        <v>0</v>
      </c>
      <c r="AA197" s="6">
        <f t="shared" si="123"/>
        <v>2</v>
      </c>
      <c r="AB197" s="6">
        <f t="shared" si="123"/>
        <v>0</v>
      </c>
      <c r="AC197" s="6">
        <f t="shared" si="123"/>
        <v>0</v>
      </c>
      <c r="AD197" s="6">
        <f t="shared" si="123"/>
        <v>0</v>
      </c>
      <c r="AE197" s="6">
        <f t="shared" si="123"/>
        <v>0</v>
      </c>
      <c r="AF197" s="6">
        <f t="shared" si="123"/>
        <v>2</v>
      </c>
      <c r="AG197" s="6">
        <f t="shared" si="123"/>
        <v>0</v>
      </c>
      <c r="AH197" s="6">
        <f t="shared" si="123"/>
        <v>0</v>
      </c>
      <c r="AI197" s="6">
        <f t="shared" si="123"/>
        <v>0</v>
      </c>
      <c r="AJ197" s="6">
        <f t="shared" si="123"/>
        <v>0</v>
      </c>
      <c r="AK197" s="6">
        <f t="shared" si="123"/>
        <v>0</v>
      </c>
      <c r="AL197" s="6">
        <f t="shared" si="123"/>
        <v>2</v>
      </c>
      <c r="AM197" s="6">
        <f t="shared" si="123"/>
        <v>0</v>
      </c>
      <c r="AN197" s="6">
        <f t="shared" si="123"/>
        <v>0</v>
      </c>
      <c r="AO197" s="6">
        <f t="shared" si="123"/>
        <v>0</v>
      </c>
      <c r="AP197" s="6">
        <f t="shared" si="123"/>
        <v>0</v>
      </c>
      <c r="AQ197" s="6">
        <f t="shared" si="123"/>
        <v>0</v>
      </c>
      <c r="AR197" s="6">
        <f t="shared" si="123"/>
        <v>18</v>
      </c>
    </row>
    <row r="198" spans="1:44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</row>
    <row r="199" spans="1:44" x14ac:dyDescent="0.4">
      <c r="A199" s="11" t="s">
        <v>48</v>
      </c>
      <c r="B199" s="17" t="s">
        <v>79</v>
      </c>
      <c r="C199" s="83" t="s">
        <v>80</v>
      </c>
      <c r="D199" s="55"/>
      <c r="E199" s="6">
        <v>0</v>
      </c>
      <c r="F199" s="6">
        <v>0</v>
      </c>
      <c r="G199" s="6">
        <v>0</v>
      </c>
      <c r="H199" s="6">
        <v>1</v>
      </c>
      <c r="I199" s="6">
        <v>0</v>
      </c>
      <c r="J199" s="6">
        <v>0</v>
      </c>
      <c r="K199" s="6">
        <v>0</v>
      </c>
      <c r="L199" s="6">
        <v>0</v>
      </c>
      <c r="M199" s="6">
        <v>1</v>
      </c>
      <c r="N199" s="6">
        <v>1</v>
      </c>
      <c r="O199" s="6">
        <v>4</v>
      </c>
      <c r="P199" s="6">
        <v>4</v>
      </c>
      <c r="Q199" s="6">
        <v>0</v>
      </c>
      <c r="R199" s="6">
        <v>2</v>
      </c>
      <c r="S199" s="6">
        <v>1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29</v>
      </c>
      <c r="AI199" s="6">
        <v>0</v>
      </c>
      <c r="AJ199" s="6">
        <v>1</v>
      </c>
      <c r="AK199" s="6">
        <v>0</v>
      </c>
      <c r="AL199" s="6">
        <v>5</v>
      </c>
      <c r="AM199" s="6">
        <v>0</v>
      </c>
      <c r="AN199" s="6">
        <v>3</v>
      </c>
      <c r="AO199" s="6">
        <v>0</v>
      </c>
      <c r="AP199" s="6">
        <v>2</v>
      </c>
      <c r="AQ199" s="6">
        <v>3</v>
      </c>
      <c r="AR199" s="5">
        <f t="shared" ref="AR199:AR208" si="124">SUM(E199:AQ199)</f>
        <v>57</v>
      </c>
    </row>
    <row r="200" spans="1:44" x14ac:dyDescent="0.4">
      <c r="A200" s="11" t="s">
        <v>50</v>
      </c>
      <c r="B200" s="47"/>
      <c r="C200" s="24" t="s">
        <v>216</v>
      </c>
      <c r="D200" s="45"/>
      <c r="E200" s="6">
        <v>2</v>
      </c>
      <c r="F200" s="6">
        <v>0</v>
      </c>
      <c r="G200" s="6">
        <v>3</v>
      </c>
      <c r="H200" s="6">
        <v>0</v>
      </c>
      <c r="I200" s="6">
        <v>0</v>
      </c>
      <c r="J200" s="6">
        <v>1</v>
      </c>
      <c r="K200" s="6">
        <v>0</v>
      </c>
      <c r="L200" s="6">
        <v>2</v>
      </c>
      <c r="M200" s="6">
        <v>2</v>
      </c>
      <c r="N200" s="6">
        <v>1</v>
      </c>
      <c r="O200" s="6">
        <v>8</v>
      </c>
      <c r="P200" s="6">
        <v>9</v>
      </c>
      <c r="Q200" s="6">
        <v>2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95</v>
      </c>
      <c r="AI200" s="6">
        <v>13</v>
      </c>
      <c r="AJ200" s="6">
        <v>29</v>
      </c>
      <c r="AK200" s="6">
        <v>8</v>
      </c>
      <c r="AL200" s="6">
        <v>42</v>
      </c>
      <c r="AM200" s="6">
        <v>2</v>
      </c>
      <c r="AN200" s="6">
        <v>2</v>
      </c>
      <c r="AO200" s="6">
        <v>4</v>
      </c>
      <c r="AP200" s="6">
        <v>40</v>
      </c>
      <c r="AQ200" s="6">
        <v>128</v>
      </c>
      <c r="AR200" s="5">
        <f t="shared" si="124"/>
        <v>393</v>
      </c>
    </row>
    <row r="201" spans="1:44" x14ac:dyDescent="0.4">
      <c r="A201" s="7"/>
      <c r="B201" s="47"/>
      <c r="C201" s="24" t="s">
        <v>217</v>
      </c>
      <c r="D201" s="45"/>
      <c r="E201" s="6">
        <v>1</v>
      </c>
      <c r="F201" s="6">
        <v>4</v>
      </c>
      <c r="G201" s="6">
        <v>0</v>
      </c>
      <c r="H201" s="6">
        <v>1</v>
      </c>
      <c r="I201" s="6">
        <v>2</v>
      </c>
      <c r="J201" s="6">
        <v>1</v>
      </c>
      <c r="K201" s="6">
        <v>1</v>
      </c>
      <c r="L201" s="6">
        <v>0</v>
      </c>
      <c r="M201" s="6">
        <v>1</v>
      </c>
      <c r="N201" s="6">
        <v>0</v>
      </c>
      <c r="O201" s="6">
        <v>1</v>
      </c>
      <c r="P201" s="6">
        <v>3</v>
      </c>
      <c r="Q201" s="6">
        <v>1</v>
      </c>
      <c r="R201" s="6">
        <v>1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77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1</v>
      </c>
      <c r="AO201" s="6">
        <v>1</v>
      </c>
      <c r="AP201" s="6">
        <v>0</v>
      </c>
      <c r="AQ201" s="6">
        <v>3</v>
      </c>
      <c r="AR201" s="5">
        <f t="shared" si="124"/>
        <v>99</v>
      </c>
    </row>
    <row r="202" spans="1:44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1</v>
      </c>
      <c r="L202" s="6">
        <v>0</v>
      </c>
      <c r="M202" s="6">
        <v>1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3</v>
      </c>
      <c r="AI202" s="6">
        <v>0</v>
      </c>
      <c r="AJ202" s="6">
        <v>0</v>
      </c>
      <c r="AK202" s="6">
        <v>0</v>
      </c>
      <c r="AL202" s="6">
        <v>1</v>
      </c>
      <c r="AM202" s="6">
        <v>0</v>
      </c>
      <c r="AN202" s="6">
        <v>0</v>
      </c>
      <c r="AO202" s="6">
        <v>0</v>
      </c>
      <c r="AP202" s="6">
        <v>0</v>
      </c>
      <c r="AQ202" s="6">
        <v>1</v>
      </c>
      <c r="AR202" s="5">
        <f t="shared" si="124"/>
        <v>7</v>
      </c>
    </row>
    <row r="203" spans="1:44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1</v>
      </c>
      <c r="J203" s="6">
        <v>0</v>
      </c>
      <c r="K203" s="6">
        <v>1</v>
      </c>
      <c r="L203" s="6">
        <v>5</v>
      </c>
      <c r="M203" s="6">
        <v>0</v>
      </c>
      <c r="N203" s="6">
        <v>1</v>
      </c>
      <c r="O203" s="6">
        <v>0</v>
      </c>
      <c r="P203" s="6">
        <v>1</v>
      </c>
      <c r="Q203" s="6">
        <v>2</v>
      </c>
      <c r="R203" s="6">
        <v>0</v>
      </c>
      <c r="S203" s="6">
        <v>2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22</v>
      </c>
      <c r="AI203" s="6">
        <v>0</v>
      </c>
      <c r="AJ203" s="6">
        <v>0</v>
      </c>
      <c r="AK203" s="6">
        <v>1</v>
      </c>
      <c r="AL203" s="6">
        <v>1</v>
      </c>
      <c r="AM203" s="6">
        <v>0</v>
      </c>
      <c r="AN203" s="6">
        <v>0</v>
      </c>
      <c r="AO203" s="6">
        <v>0</v>
      </c>
      <c r="AP203" s="6">
        <v>2</v>
      </c>
      <c r="AQ203" s="6">
        <v>1</v>
      </c>
      <c r="AR203" s="5">
        <f t="shared" si="124"/>
        <v>40</v>
      </c>
    </row>
    <row r="204" spans="1:44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1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3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4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1</v>
      </c>
      <c r="AQ204" s="6">
        <v>1</v>
      </c>
      <c r="AR204" s="5">
        <f t="shared" si="124"/>
        <v>10</v>
      </c>
    </row>
    <row r="205" spans="1:44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3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5">
        <f t="shared" si="124"/>
        <v>4</v>
      </c>
    </row>
    <row r="206" spans="1:44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2</v>
      </c>
      <c r="R206" s="6">
        <v>1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4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5">
        <f t="shared" si="124"/>
        <v>9</v>
      </c>
    </row>
    <row r="207" spans="1:44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1</v>
      </c>
      <c r="AQ207" s="6">
        <v>0</v>
      </c>
      <c r="AR207" s="5">
        <f t="shared" si="124"/>
        <v>2</v>
      </c>
    </row>
    <row r="208" spans="1:44" x14ac:dyDescent="0.4">
      <c r="A208" s="7"/>
      <c r="B208" s="47"/>
      <c r="C208" s="24" t="s">
        <v>224</v>
      </c>
      <c r="D208" s="45"/>
      <c r="E208" s="6">
        <v>0</v>
      </c>
      <c r="F208" s="6">
        <v>1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1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1</v>
      </c>
      <c r="AR208" s="5">
        <f t="shared" si="124"/>
        <v>5</v>
      </c>
    </row>
    <row r="209" spans="1:44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:U209" si="125">SUM(E199:E208)</f>
        <v>3</v>
      </c>
      <c r="F209" s="6">
        <f t="shared" si="125"/>
        <v>6</v>
      </c>
      <c r="G209" s="6">
        <f t="shared" si="125"/>
        <v>3</v>
      </c>
      <c r="H209" s="6">
        <f t="shared" si="125"/>
        <v>3</v>
      </c>
      <c r="I209" s="6">
        <f t="shared" si="125"/>
        <v>3</v>
      </c>
      <c r="J209" s="6">
        <f t="shared" si="125"/>
        <v>2</v>
      </c>
      <c r="K209" s="6">
        <f t="shared" si="125"/>
        <v>3</v>
      </c>
      <c r="L209" s="6">
        <f t="shared" si="125"/>
        <v>7</v>
      </c>
      <c r="M209" s="6">
        <f t="shared" si="125"/>
        <v>5</v>
      </c>
      <c r="N209" s="6">
        <f t="shared" si="125"/>
        <v>5</v>
      </c>
      <c r="O209" s="6">
        <f t="shared" si="125"/>
        <v>14</v>
      </c>
      <c r="P209" s="6">
        <f t="shared" si="125"/>
        <v>18</v>
      </c>
      <c r="Q209" s="6">
        <f t="shared" si="125"/>
        <v>10</v>
      </c>
      <c r="R209" s="6">
        <f t="shared" si="125"/>
        <v>4</v>
      </c>
      <c r="S209" s="6">
        <f t="shared" si="125"/>
        <v>3</v>
      </c>
      <c r="T209" s="6">
        <f t="shared" si="125"/>
        <v>0</v>
      </c>
      <c r="U209" s="6">
        <f t="shared" si="125"/>
        <v>0</v>
      </c>
      <c r="V209" s="6">
        <f t="shared" ref="V209" si="126">SUM(V199:V208)</f>
        <v>0</v>
      </c>
      <c r="W209" s="6">
        <f t="shared" ref="W209" si="127">SUM(W199:W208)</f>
        <v>0</v>
      </c>
      <c r="X209" s="6">
        <f t="shared" ref="X209" si="128">SUM(X199:X208)</f>
        <v>0</v>
      </c>
      <c r="Y209" s="6">
        <f t="shared" ref="Y209" si="129">SUM(Y199:Y208)</f>
        <v>0</v>
      </c>
      <c r="Z209" s="6">
        <f t="shared" ref="Z209" si="130">SUM(Z199:Z208)</f>
        <v>0</v>
      </c>
      <c r="AA209" s="6">
        <f t="shared" ref="AA209" si="131">SUM(AA199:AA208)</f>
        <v>0</v>
      </c>
      <c r="AB209" s="6">
        <f t="shared" ref="AB209" si="132">SUM(AB199:AB208)</f>
        <v>0</v>
      </c>
      <c r="AC209" s="6">
        <f t="shared" ref="AC209" si="133">SUM(AC199:AC208)</f>
        <v>0</v>
      </c>
      <c r="AD209" s="6">
        <f t="shared" ref="AD209" si="134">SUM(AD199:AD208)</f>
        <v>0</v>
      </c>
      <c r="AE209" s="6">
        <f t="shared" ref="AE209" si="135">SUM(AE199:AE208)</f>
        <v>0</v>
      </c>
      <c r="AF209" s="6">
        <f t="shared" ref="AF209:AK209" si="136">SUM(AF199:AF208)</f>
        <v>0</v>
      </c>
      <c r="AG209" s="6">
        <f t="shared" si="136"/>
        <v>0</v>
      </c>
      <c r="AH209" s="6">
        <f t="shared" si="136"/>
        <v>238</v>
      </c>
      <c r="AI209" s="6">
        <f t="shared" si="136"/>
        <v>14</v>
      </c>
      <c r="AJ209" s="6">
        <f t="shared" si="136"/>
        <v>30</v>
      </c>
      <c r="AK209" s="6">
        <f t="shared" si="136"/>
        <v>9</v>
      </c>
      <c r="AL209" s="6">
        <f t="shared" ref="AL209" si="137">SUM(AL199:AL208)</f>
        <v>49</v>
      </c>
      <c r="AM209" s="6">
        <f t="shared" ref="AM209" si="138">SUM(AM199:AM208)</f>
        <v>2</v>
      </c>
      <c r="AN209" s="6">
        <f t="shared" ref="AN209" si="139">SUM(AN199:AN208)</f>
        <v>6</v>
      </c>
      <c r="AO209" s="6">
        <f t="shared" ref="AO209" si="140">SUM(AO199:AO208)</f>
        <v>5</v>
      </c>
      <c r="AP209" s="6">
        <f t="shared" ref="AP209" si="141">SUM(AP199:AP208)</f>
        <v>46</v>
      </c>
      <c r="AQ209" s="6">
        <f t="shared" ref="AQ209" si="142">SUM(AQ199:AQ208)</f>
        <v>138</v>
      </c>
      <c r="AR209" s="6">
        <f t="shared" ref="AR209" si="143">SUM(AR199:AR208)</f>
        <v>626</v>
      </c>
    </row>
    <row r="210" spans="1:44" x14ac:dyDescent="0.4">
      <c r="A210" s="53"/>
      <c r="B210" s="75"/>
      <c r="C210" s="75"/>
      <c r="D210" s="75"/>
      <c r="E210" s="86"/>
    </row>
    <row r="211" spans="1:44" x14ac:dyDescent="0.4">
      <c r="A211" s="11" t="s">
        <v>48</v>
      </c>
      <c r="B211" s="17" t="s">
        <v>81</v>
      </c>
      <c r="C211" s="83" t="s">
        <v>82</v>
      </c>
      <c r="D211" s="55"/>
      <c r="E211" s="6">
        <v>1</v>
      </c>
      <c r="F211" s="6">
        <v>0</v>
      </c>
      <c r="G211" s="6">
        <v>0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3</v>
      </c>
      <c r="AI211" s="6">
        <v>0</v>
      </c>
      <c r="AJ211" s="6">
        <v>0</v>
      </c>
      <c r="AK211" s="6">
        <v>2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5">
        <f t="shared" ref="AR211:AR214" si="144">SUM(E211:AQ211)</f>
        <v>7</v>
      </c>
    </row>
    <row r="212" spans="1:44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1</v>
      </c>
      <c r="H212" s="6">
        <v>1</v>
      </c>
      <c r="I212" s="6">
        <v>0</v>
      </c>
      <c r="J212" s="6">
        <v>0</v>
      </c>
      <c r="K212" s="6">
        <v>6</v>
      </c>
      <c r="L212" s="6">
        <v>0</v>
      </c>
      <c r="M212" s="6">
        <v>0</v>
      </c>
      <c r="N212" s="6">
        <v>2</v>
      </c>
      <c r="O212" s="6">
        <v>0</v>
      </c>
      <c r="P212" s="6">
        <v>3</v>
      </c>
      <c r="Q212" s="6">
        <v>1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1</v>
      </c>
      <c r="AI212" s="6">
        <v>1</v>
      </c>
      <c r="AJ212" s="6">
        <v>0</v>
      </c>
      <c r="AK212" s="6">
        <v>0</v>
      </c>
      <c r="AL212" s="6">
        <v>0</v>
      </c>
      <c r="AM212" s="6">
        <v>0</v>
      </c>
      <c r="AN212" s="6">
        <v>1</v>
      </c>
      <c r="AO212" s="6">
        <v>0</v>
      </c>
      <c r="AP212" s="6">
        <v>0</v>
      </c>
      <c r="AQ212" s="6">
        <v>0</v>
      </c>
      <c r="AR212" s="5">
        <f t="shared" si="144"/>
        <v>17</v>
      </c>
    </row>
    <row r="213" spans="1:44" x14ac:dyDescent="0.4">
      <c r="A213" s="7"/>
      <c r="B213" s="47"/>
      <c r="C213" s="24" t="s">
        <v>226</v>
      </c>
      <c r="D213" s="45"/>
      <c r="E213" s="6">
        <v>0</v>
      </c>
      <c r="F213" s="6">
        <v>1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6">
        <v>0</v>
      </c>
      <c r="P213" s="6">
        <v>0</v>
      </c>
      <c r="Q213" s="6">
        <v>1</v>
      </c>
      <c r="R213" s="6">
        <v>1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5">
        <f t="shared" si="144"/>
        <v>4</v>
      </c>
    </row>
    <row r="214" spans="1:44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5">
        <f t="shared" si="144"/>
        <v>0</v>
      </c>
    </row>
    <row r="215" spans="1:44" x14ac:dyDescent="0.4">
      <c r="A215" s="6" t="s">
        <v>26</v>
      </c>
      <c r="B215" s="74" t="s">
        <v>51</v>
      </c>
      <c r="C215" s="84"/>
      <c r="D215" s="85"/>
      <c r="E215" s="6">
        <f t="shared" ref="E215:AR215" si="145">SUM(E211:E214)</f>
        <v>1</v>
      </c>
      <c r="F215" s="6">
        <f t="shared" si="145"/>
        <v>1</v>
      </c>
      <c r="G215" s="6">
        <f t="shared" si="145"/>
        <v>1</v>
      </c>
      <c r="H215" s="6">
        <f t="shared" si="145"/>
        <v>2</v>
      </c>
      <c r="I215" s="6">
        <f t="shared" si="145"/>
        <v>0</v>
      </c>
      <c r="J215" s="6">
        <f t="shared" si="145"/>
        <v>0</v>
      </c>
      <c r="K215" s="6">
        <f t="shared" si="145"/>
        <v>6</v>
      </c>
      <c r="L215" s="6">
        <f t="shared" si="145"/>
        <v>1</v>
      </c>
      <c r="M215" s="6">
        <f t="shared" si="145"/>
        <v>0</v>
      </c>
      <c r="N215" s="6">
        <f t="shared" si="145"/>
        <v>2</v>
      </c>
      <c r="O215" s="6">
        <f t="shared" si="145"/>
        <v>0</v>
      </c>
      <c r="P215" s="6">
        <f t="shared" si="145"/>
        <v>3</v>
      </c>
      <c r="Q215" s="6">
        <f t="shared" si="145"/>
        <v>2</v>
      </c>
      <c r="R215" s="6">
        <f t="shared" si="145"/>
        <v>1</v>
      </c>
      <c r="S215" s="6">
        <f t="shared" si="145"/>
        <v>0</v>
      </c>
      <c r="T215" s="6">
        <f t="shared" si="145"/>
        <v>0</v>
      </c>
      <c r="U215" s="6">
        <f t="shared" si="145"/>
        <v>0</v>
      </c>
      <c r="V215" s="6">
        <f t="shared" si="145"/>
        <v>0</v>
      </c>
      <c r="W215" s="6">
        <f t="shared" si="145"/>
        <v>0</v>
      </c>
      <c r="X215" s="6">
        <f t="shared" si="145"/>
        <v>0</v>
      </c>
      <c r="Y215" s="6">
        <f t="shared" si="145"/>
        <v>0</v>
      </c>
      <c r="Z215" s="6">
        <f t="shared" si="145"/>
        <v>0</v>
      </c>
      <c r="AA215" s="6">
        <f t="shared" si="145"/>
        <v>0</v>
      </c>
      <c r="AB215" s="6">
        <f t="shared" si="145"/>
        <v>0</v>
      </c>
      <c r="AC215" s="6">
        <f t="shared" si="145"/>
        <v>0</v>
      </c>
      <c r="AD215" s="6">
        <f t="shared" si="145"/>
        <v>0</v>
      </c>
      <c r="AE215" s="6">
        <f t="shared" si="145"/>
        <v>0</v>
      </c>
      <c r="AF215" s="6">
        <f t="shared" si="145"/>
        <v>0</v>
      </c>
      <c r="AG215" s="6">
        <f t="shared" si="145"/>
        <v>0</v>
      </c>
      <c r="AH215" s="6">
        <f t="shared" si="145"/>
        <v>4</v>
      </c>
      <c r="AI215" s="6">
        <f t="shared" si="145"/>
        <v>1</v>
      </c>
      <c r="AJ215" s="6">
        <f t="shared" si="145"/>
        <v>0</v>
      </c>
      <c r="AK215" s="6">
        <f t="shared" si="145"/>
        <v>2</v>
      </c>
      <c r="AL215" s="6">
        <f t="shared" si="145"/>
        <v>0</v>
      </c>
      <c r="AM215" s="6">
        <f t="shared" si="145"/>
        <v>0</v>
      </c>
      <c r="AN215" s="6">
        <f t="shared" si="145"/>
        <v>1</v>
      </c>
      <c r="AO215" s="6">
        <f t="shared" si="145"/>
        <v>0</v>
      </c>
      <c r="AP215" s="6">
        <f t="shared" si="145"/>
        <v>0</v>
      </c>
      <c r="AQ215" s="6">
        <f t="shared" si="145"/>
        <v>0</v>
      </c>
      <c r="AR215" s="6">
        <f t="shared" si="145"/>
        <v>28</v>
      </c>
    </row>
    <row r="217" spans="1:44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15"/>
      <c r="U217" s="15"/>
      <c r="V217" s="5"/>
      <c r="W217" s="5"/>
      <c r="X217" s="5"/>
      <c r="Y217" s="5"/>
      <c r="Z217" s="5"/>
      <c r="AA217" s="5"/>
      <c r="AB217" s="5"/>
      <c r="AC217" s="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5"/>
    </row>
    <row r="218" spans="1:44" x14ac:dyDescent="0.4">
      <c r="A218" s="16"/>
      <c r="B218" s="19" t="s">
        <v>85</v>
      </c>
      <c r="C218" s="91" t="s">
        <v>86</v>
      </c>
      <c r="D218" s="92"/>
      <c r="E218" s="6">
        <f t="shared" ref="E218:AQ218" si="146">E55+E67+E79+E91+E103+E108+E116+E128+E134+E144+E148+E160+E172+E184+E190+E197+E209+E215</f>
        <v>211</v>
      </c>
      <c r="F218" s="6">
        <f t="shared" si="146"/>
        <v>200</v>
      </c>
      <c r="G218" s="6">
        <f t="shared" si="146"/>
        <v>141</v>
      </c>
      <c r="H218" s="6">
        <f t="shared" si="146"/>
        <v>171</v>
      </c>
      <c r="I218" s="6">
        <f t="shared" si="146"/>
        <v>180</v>
      </c>
      <c r="J218" s="6">
        <f t="shared" si="146"/>
        <v>167</v>
      </c>
      <c r="K218" s="6">
        <f t="shared" si="146"/>
        <v>197</v>
      </c>
      <c r="L218" s="6">
        <f t="shared" si="146"/>
        <v>218</v>
      </c>
      <c r="M218" s="6">
        <f t="shared" si="146"/>
        <v>194</v>
      </c>
      <c r="N218" s="6">
        <f t="shared" si="146"/>
        <v>186</v>
      </c>
      <c r="O218" s="6">
        <f t="shared" si="146"/>
        <v>221</v>
      </c>
      <c r="P218" s="6">
        <f t="shared" si="146"/>
        <v>194</v>
      </c>
      <c r="Q218" s="6">
        <f t="shared" si="146"/>
        <v>215</v>
      </c>
      <c r="R218" s="6">
        <f t="shared" si="146"/>
        <v>210</v>
      </c>
      <c r="S218" s="6">
        <f t="shared" si="146"/>
        <v>204</v>
      </c>
      <c r="T218" s="6">
        <f t="shared" si="146"/>
        <v>220</v>
      </c>
      <c r="U218" s="6">
        <f t="shared" si="146"/>
        <v>169</v>
      </c>
      <c r="V218" s="6">
        <f t="shared" si="146"/>
        <v>237</v>
      </c>
      <c r="W218" s="6">
        <f t="shared" si="146"/>
        <v>189</v>
      </c>
      <c r="X218" s="6">
        <f t="shared" si="146"/>
        <v>197</v>
      </c>
      <c r="Y218" s="6">
        <f t="shared" si="146"/>
        <v>161</v>
      </c>
      <c r="Z218" s="6">
        <f t="shared" si="146"/>
        <v>202</v>
      </c>
      <c r="AA218" s="6">
        <f t="shared" si="146"/>
        <v>200</v>
      </c>
      <c r="AB218" s="6">
        <f t="shared" si="146"/>
        <v>238</v>
      </c>
      <c r="AC218" s="6">
        <f t="shared" si="146"/>
        <v>208</v>
      </c>
      <c r="AD218" s="6">
        <f t="shared" si="146"/>
        <v>182</v>
      </c>
      <c r="AE218" s="6">
        <f t="shared" si="146"/>
        <v>190</v>
      </c>
      <c r="AF218" s="6">
        <f t="shared" si="146"/>
        <v>185</v>
      </c>
      <c r="AG218" s="6">
        <f t="shared" si="146"/>
        <v>203</v>
      </c>
      <c r="AH218" s="6">
        <f t="shared" si="146"/>
        <v>443</v>
      </c>
      <c r="AI218" s="6">
        <f t="shared" si="146"/>
        <v>229</v>
      </c>
      <c r="AJ218" s="6">
        <f t="shared" si="146"/>
        <v>222</v>
      </c>
      <c r="AK218" s="6">
        <f t="shared" si="146"/>
        <v>207</v>
      </c>
      <c r="AL218" s="6">
        <f t="shared" si="146"/>
        <v>248</v>
      </c>
      <c r="AM218" s="6">
        <f t="shared" si="146"/>
        <v>196</v>
      </c>
      <c r="AN218" s="6">
        <f t="shared" si="146"/>
        <v>219</v>
      </c>
      <c r="AO218" s="6">
        <f t="shared" si="146"/>
        <v>185</v>
      </c>
      <c r="AP218" s="6">
        <f t="shared" si="146"/>
        <v>224</v>
      </c>
      <c r="AQ218" s="6">
        <f t="shared" si="146"/>
        <v>191</v>
      </c>
      <c r="AR218" s="5">
        <f>SUM(E218:AQ218)</f>
        <v>8054</v>
      </c>
    </row>
    <row r="219" spans="1:44" x14ac:dyDescent="0.4">
      <c r="A219" s="13"/>
      <c r="B219" s="19" t="s">
        <v>87</v>
      </c>
      <c r="C219" s="91" t="s">
        <v>88</v>
      </c>
      <c r="D219" s="92"/>
      <c r="E219" s="6">
        <v>25</v>
      </c>
      <c r="F219" s="6">
        <v>30</v>
      </c>
      <c r="G219" s="6">
        <v>26</v>
      </c>
      <c r="H219" s="6">
        <v>22</v>
      </c>
      <c r="I219" s="6">
        <v>30</v>
      </c>
      <c r="J219" s="6">
        <v>28</v>
      </c>
      <c r="K219" s="6">
        <v>22</v>
      </c>
      <c r="L219" s="6">
        <v>23</v>
      </c>
      <c r="M219" s="6">
        <v>18</v>
      </c>
      <c r="N219" s="6">
        <v>35</v>
      </c>
      <c r="O219" s="6">
        <v>20</v>
      </c>
      <c r="P219" s="6">
        <v>22</v>
      </c>
      <c r="Q219" s="6">
        <v>25</v>
      </c>
      <c r="R219" s="6">
        <v>25</v>
      </c>
      <c r="S219" s="6">
        <v>27</v>
      </c>
      <c r="T219" s="6">
        <v>33</v>
      </c>
      <c r="U219" s="6">
        <v>27</v>
      </c>
      <c r="V219" s="6">
        <v>18</v>
      </c>
      <c r="W219" s="6">
        <v>19</v>
      </c>
      <c r="X219" s="6">
        <v>37</v>
      </c>
      <c r="Y219" s="6">
        <v>21</v>
      </c>
      <c r="Z219" s="6">
        <v>7</v>
      </c>
      <c r="AA219" s="6">
        <v>12</v>
      </c>
      <c r="AB219" s="6">
        <v>15</v>
      </c>
      <c r="AC219" s="6">
        <v>12</v>
      </c>
      <c r="AD219" s="6">
        <v>36</v>
      </c>
      <c r="AE219" s="6">
        <v>17</v>
      </c>
      <c r="AF219" s="6">
        <v>34</v>
      </c>
      <c r="AG219" s="6">
        <v>16</v>
      </c>
      <c r="AH219" s="6">
        <v>12</v>
      </c>
      <c r="AI219" s="6">
        <v>17</v>
      </c>
      <c r="AJ219" s="6">
        <v>22</v>
      </c>
      <c r="AK219" s="6">
        <v>27</v>
      </c>
      <c r="AL219" s="6">
        <v>9</v>
      </c>
      <c r="AM219" s="6">
        <v>30</v>
      </c>
      <c r="AN219" s="6">
        <v>50</v>
      </c>
      <c r="AO219" s="6">
        <v>20</v>
      </c>
      <c r="AP219" s="6">
        <v>29</v>
      </c>
      <c r="AQ219" s="6">
        <v>11</v>
      </c>
      <c r="AR219" s="5">
        <f>SUM(E219:AQ219)</f>
        <v>909</v>
      </c>
    </row>
    <row r="220" spans="1:44" x14ac:dyDescent="0.4">
      <c r="A220" s="14"/>
      <c r="B220" s="19" t="s">
        <v>89</v>
      </c>
      <c r="C220" s="91" t="s">
        <v>90</v>
      </c>
      <c r="D220" s="92"/>
      <c r="E220" s="5">
        <f>SUM(E218:E219)</f>
        <v>236</v>
      </c>
      <c r="F220" s="5">
        <f t="shared" ref="F220:U220" si="147">SUM(F218:F219)</f>
        <v>230</v>
      </c>
      <c r="G220" s="5">
        <f t="shared" si="147"/>
        <v>167</v>
      </c>
      <c r="H220" s="5">
        <f t="shared" si="147"/>
        <v>193</v>
      </c>
      <c r="I220" s="5">
        <f t="shared" si="147"/>
        <v>210</v>
      </c>
      <c r="J220" s="5">
        <f t="shared" si="147"/>
        <v>195</v>
      </c>
      <c r="K220" s="5">
        <f t="shared" si="147"/>
        <v>219</v>
      </c>
      <c r="L220" s="5">
        <f t="shared" si="147"/>
        <v>241</v>
      </c>
      <c r="M220" s="5">
        <f t="shared" si="147"/>
        <v>212</v>
      </c>
      <c r="N220" s="5">
        <f t="shared" si="147"/>
        <v>221</v>
      </c>
      <c r="O220" s="5">
        <f t="shared" si="147"/>
        <v>241</v>
      </c>
      <c r="P220" s="5">
        <f t="shared" si="147"/>
        <v>216</v>
      </c>
      <c r="Q220" s="5">
        <f t="shared" si="147"/>
        <v>240</v>
      </c>
      <c r="R220" s="5">
        <f t="shared" si="147"/>
        <v>235</v>
      </c>
      <c r="S220" s="5">
        <f t="shared" si="147"/>
        <v>231</v>
      </c>
      <c r="T220" s="5">
        <f t="shared" si="147"/>
        <v>253</v>
      </c>
      <c r="U220" s="5">
        <f t="shared" si="147"/>
        <v>196</v>
      </c>
      <c r="V220" s="5">
        <f t="shared" ref="V220:AQ220" si="148">SUM(V218:V219)</f>
        <v>255</v>
      </c>
      <c r="W220" s="5">
        <f t="shared" si="148"/>
        <v>208</v>
      </c>
      <c r="X220" s="5">
        <f t="shared" si="148"/>
        <v>234</v>
      </c>
      <c r="Y220" s="5">
        <f t="shared" si="148"/>
        <v>182</v>
      </c>
      <c r="Z220" s="5">
        <f t="shared" si="148"/>
        <v>209</v>
      </c>
      <c r="AA220" s="5">
        <f t="shared" si="148"/>
        <v>212</v>
      </c>
      <c r="AB220" s="5">
        <f t="shared" si="148"/>
        <v>253</v>
      </c>
      <c r="AC220" s="5">
        <f t="shared" si="148"/>
        <v>220</v>
      </c>
      <c r="AD220" s="5">
        <f t="shared" si="148"/>
        <v>218</v>
      </c>
      <c r="AE220" s="5">
        <f t="shared" si="148"/>
        <v>207</v>
      </c>
      <c r="AF220" s="5">
        <f t="shared" si="148"/>
        <v>219</v>
      </c>
      <c r="AG220" s="5">
        <f t="shared" ref="AG220:AK220" si="149">SUM(AG218:AG219)</f>
        <v>219</v>
      </c>
      <c r="AH220" s="5">
        <f t="shared" si="149"/>
        <v>455</v>
      </c>
      <c r="AI220" s="5">
        <f t="shared" si="149"/>
        <v>246</v>
      </c>
      <c r="AJ220" s="5">
        <f t="shared" si="149"/>
        <v>244</v>
      </c>
      <c r="AK220" s="5">
        <f t="shared" si="149"/>
        <v>234</v>
      </c>
      <c r="AL220" s="5">
        <f t="shared" si="148"/>
        <v>257</v>
      </c>
      <c r="AM220" s="5">
        <f t="shared" si="148"/>
        <v>226</v>
      </c>
      <c r="AN220" s="5">
        <f t="shared" si="148"/>
        <v>269</v>
      </c>
      <c r="AO220" s="5">
        <f t="shared" si="148"/>
        <v>205</v>
      </c>
      <c r="AP220" s="5">
        <f t="shared" si="148"/>
        <v>253</v>
      </c>
      <c r="AQ220" s="5">
        <f t="shared" si="148"/>
        <v>202</v>
      </c>
      <c r="AR220" s="5">
        <f>SUM(E220:AQ220)</f>
        <v>8963</v>
      </c>
    </row>
    <row r="222" spans="1:44" x14ac:dyDescent="0.4">
      <c r="AR222">
        <f>AR218-8054</f>
        <v>0</v>
      </c>
    </row>
  </sheetData>
  <mergeCells count="86">
    <mergeCell ref="C220:D220"/>
    <mergeCell ref="A210:E210"/>
    <mergeCell ref="C211:D211"/>
    <mergeCell ref="B215:D215"/>
    <mergeCell ref="B217:D217"/>
    <mergeCell ref="C218:D218"/>
    <mergeCell ref="C219:D219"/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Y37"/>
    <mergeCell ref="B38:D38"/>
    <mergeCell ref="B39:C41"/>
    <mergeCell ref="A42:D42"/>
    <mergeCell ref="E42:Y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Q12"/>
    <mergeCell ref="AR12:AR13"/>
    <mergeCell ref="B13:D13"/>
    <mergeCell ref="B14:C16"/>
  </mergeCells>
  <phoneticPr fontId="8" type="noConversion"/>
  <conditionalFormatting sqref="E34:T34 V34:AJ34 AL34:AO34">
    <cfRule type="expression" dxfId="171" priority="32">
      <formula>E34&lt;&gt;E64</formula>
    </cfRule>
  </conditionalFormatting>
  <conditionalFormatting sqref="E14:AQ15">
    <cfRule type="containsBlanks" dxfId="170" priority="23">
      <formula>LEN(TRIM(E14))=0</formula>
    </cfRule>
  </conditionalFormatting>
  <conditionalFormatting sqref="E19:AQ20">
    <cfRule type="containsBlanks" dxfId="169" priority="26">
      <formula>LEN(TRIM(E19))=0</formula>
    </cfRule>
  </conditionalFormatting>
  <conditionalFormatting sqref="E22:AQ23 E25:AQ26 E33:AQ33 E35:AQ35 E39:AQ40">
    <cfRule type="containsBlanks" dxfId="168" priority="27">
      <formula>LEN(TRIM(E22))=0</formula>
    </cfRule>
  </conditionalFormatting>
  <conditionalFormatting sqref="E30:AQ30">
    <cfRule type="expression" dxfId="167" priority="28">
      <formula>E30&lt;&gt;E47</formula>
    </cfRule>
    <cfRule type="expression" dxfId="166" priority="29">
      <formula>E30&lt;&gt;E34</formula>
    </cfRule>
  </conditionalFormatting>
  <conditionalFormatting sqref="E34:AQ34">
    <cfRule type="expression" dxfId="165" priority="24">
      <formula>E30&lt;&gt;E34</formula>
    </cfRule>
    <cfRule type="expression" dxfId="164" priority="25">
      <formula>E30=E34</formula>
    </cfRule>
    <cfRule type="expression" dxfId="163" priority="30">
      <formula>E34&lt;&gt;E30</formula>
    </cfRule>
  </conditionalFormatting>
  <conditionalFormatting sqref="E45:AQ54">
    <cfRule type="containsBlanks" dxfId="162" priority="22">
      <formula>LEN(TRIM(E45))=0</formula>
    </cfRule>
  </conditionalFormatting>
  <conditionalFormatting sqref="E57:AQ66">
    <cfRule type="containsBlanks" dxfId="161" priority="21">
      <formula>LEN(TRIM(E57))=0</formula>
    </cfRule>
  </conditionalFormatting>
  <conditionalFormatting sqref="E69:AQ78">
    <cfRule type="containsBlanks" dxfId="160" priority="20">
      <formula>LEN(TRIM(E69))=0</formula>
    </cfRule>
  </conditionalFormatting>
  <conditionalFormatting sqref="E81:AQ90">
    <cfRule type="containsBlanks" dxfId="159" priority="19">
      <formula>LEN(TRIM(E81))=0</formula>
    </cfRule>
  </conditionalFormatting>
  <conditionalFormatting sqref="E93:AQ102">
    <cfRule type="containsBlanks" dxfId="158" priority="18">
      <formula>LEN(TRIM(E93))=0</formula>
    </cfRule>
  </conditionalFormatting>
  <conditionalFormatting sqref="E105:AQ107">
    <cfRule type="containsBlanks" dxfId="157" priority="17">
      <formula>LEN(TRIM(E105))=0</formula>
    </cfRule>
  </conditionalFormatting>
  <conditionalFormatting sqref="E110:AQ115">
    <cfRule type="containsBlanks" dxfId="156" priority="4">
      <formula>LEN(TRIM(E110))=0</formula>
    </cfRule>
  </conditionalFormatting>
  <conditionalFormatting sqref="E118:AQ127">
    <cfRule type="containsBlanks" dxfId="155" priority="16">
      <formula>LEN(TRIM(E118))=0</formula>
    </cfRule>
  </conditionalFormatting>
  <conditionalFormatting sqref="E130:AQ133">
    <cfRule type="containsBlanks" dxfId="154" priority="15">
      <formula>LEN(TRIM(E130))=0</formula>
    </cfRule>
  </conditionalFormatting>
  <conditionalFormatting sqref="E136:AQ143">
    <cfRule type="containsBlanks" dxfId="153" priority="6">
      <formula>LEN(TRIM(E136))=0</formula>
    </cfRule>
  </conditionalFormatting>
  <conditionalFormatting sqref="E146:AQ147">
    <cfRule type="containsBlanks" dxfId="152" priority="14">
      <formula>LEN(TRIM(E146))=0</formula>
    </cfRule>
  </conditionalFormatting>
  <conditionalFormatting sqref="E150:AQ159">
    <cfRule type="containsBlanks" dxfId="151" priority="13">
      <formula>LEN(TRIM(E150))=0</formula>
    </cfRule>
  </conditionalFormatting>
  <conditionalFormatting sqref="E162:AQ171">
    <cfRule type="containsBlanks" dxfId="150" priority="12">
      <formula>LEN(TRIM(E162))=0</formula>
    </cfRule>
  </conditionalFormatting>
  <conditionalFormatting sqref="E174:AQ183">
    <cfRule type="containsBlanks" dxfId="149" priority="11">
      <formula>LEN(TRIM(E174))=0</formula>
    </cfRule>
  </conditionalFormatting>
  <conditionalFormatting sqref="E186:AQ189">
    <cfRule type="containsBlanks" dxfId="148" priority="10">
      <formula>LEN(TRIM(E186))=0</formula>
    </cfRule>
  </conditionalFormatting>
  <conditionalFormatting sqref="E192:AQ196">
    <cfRule type="containsBlanks" dxfId="147" priority="9">
      <formula>LEN(TRIM(E192))=0</formula>
    </cfRule>
  </conditionalFormatting>
  <conditionalFormatting sqref="E199:AQ208">
    <cfRule type="containsBlanks" dxfId="146" priority="8">
      <formula>LEN(TRIM(E199))=0</formula>
    </cfRule>
  </conditionalFormatting>
  <conditionalFormatting sqref="E211:S214 AH211:AQ214">
    <cfRule type="containsBlanks" dxfId="145" priority="7">
      <formula>LEN(TRIM(E211))=0</formula>
    </cfRule>
  </conditionalFormatting>
  <conditionalFormatting sqref="E218:AQ219">
    <cfRule type="containsBlanks" dxfId="144" priority="5">
      <formula>LEN(TRIM(E218))=0</formula>
    </cfRule>
  </conditionalFormatting>
  <conditionalFormatting sqref="U34">
    <cfRule type="expression" dxfId="143" priority="3">
      <formula>U34&lt;&gt;U47</formula>
    </cfRule>
  </conditionalFormatting>
  <conditionalFormatting sqref="AK34">
    <cfRule type="expression" dxfId="142" priority="2">
      <formula>AK34&lt;&gt;AK47</formula>
    </cfRule>
  </conditionalFormatting>
  <conditionalFormatting sqref="AP34:AQ34">
    <cfRule type="expression" dxfId="141" priority="31">
      <formula>AP34&lt;&gt;AP47</formula>
    </cfRule>
  </conditionalFormatting>
  <conditionalFormatting sqref="T211:AG214">
    <cfRule type="containsBlanks" dxfId="0" priority="1">
      <formula>LEN(TRIM(T211))=0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92D050"/>
  </sheetPr>
  <dimension ref="A2:W220"/>
  <sheetViews>
    <sheetView topLeftCell="D13" zoomScale="85" zoomScaleNormal="85" workbookViewId="0">
      <pane ySplit="1" topLeftCell="A206" activePane="bottomLeft" state="frozen"/>
      <selection activeCell="E14" sqref="E14"/>
      <selection pane="bottomLeft" activeCell="Q220" sqref="Q220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232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241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</row>
    <row r="12" spans="1:23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9" t="s">
        <v>103</v>
      </c>
    </row>
    <row r="13" spans="1:23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60"/>
    </row>
    <row r="14" spans="1:23" x14ac:dyDescent="0.4">
      <c r="A14" s="7"/>
      <c r="B14" s="62" t="s">
        <v>22</v>
      </c>
      <c r="C14" s="63"/>
      <c r="D14" s="6" t="s">
        <v>23</v>
      </c>
      <c r="E14" s="6">
        <v>124</v>
      </c>
      <c r="F14" s="6">
        <v>130</v>
      </c>
      <c r="G14" s="6">
        <v>115</v>
      </c>
      <c r="H14" s="6">
        <v>131</v>
      </c>
      <c r="I14" s="6">
        <v>128</v>
      </c>
      <c r="J14" s="6">
        <v>128</v>
      </c>
      <c r="K14" s="6">
        <v>73</v>
      </c>
      <c r="L14" s="6">
        <v>128</v>
      </c>
      <c r="M14" s="6">
        <v>117</v>
      </c>
      <c r="N14" s="6">
        <v>117</v>
      </c>
      <c r="O14" s="6">
        <v>93</v>
      </c>
      <c r="P14" s="6">
        <v>139</v>
      </c>
      <c r="Q14" s="6">
        <v>152</v>
      </c>
      <c r="R14" s="6">
        <v>142</v>
      </c>
      <c r="S14" s="6">
        <v>132</v>
      </c>
      <c r="T14" s="6">
        <v>122</v>
      </c>
      <c r="U14" s="6">
        <v>115</v>
      </c>
      <c r="V14" s="6">
        <v>117</v>
      </c>
      <c r="W14" s="5">
        <f>SUM(E14:V14)</f>
        <v>2203</v>
      </c>
    </row>
    <row r="15" spans="1:23" x14ac:dyDescent="0.4">
      <c r="A15" s="7"/>
      <c r="B15" s="64"/>
      <c r="C15" s="65"/>
      <c r="D15" s="6" t="s">
        <v>24</v>
      </c>
      <c r="E15" s="6">
        <v>141</v>
      </c>
      <c r="F15" s="6">
        <v>140</v>
      </c>
      <c r="G15" s="6">
        <v>124</v>
      </c>
      <c r="H15" s="6">
        <v>131</v>
      </c>
      <c r="I15" s="6">
        <v>131</v>
      </c>
      <c r="J15" s="6">
        <v>141</v>
      </c>
      <c r="K15" s="6">
        <v>85</v>
      </c>
      <c r="L15" s="6">
        <v>136</v>
      </c>
      <c r="M15" s="6">
        <v>113</v>
      </c>
      <c r="N15" s="6">
        <v>133</v>
      </c>
      <c r="O15" s="6">
        <v>83</v>
      </c>
      <c r="P15" s="6">
        <v>148</v>
      </c>
      <c r="Q15" s="6">
        <v>136</v>
      </c>
      <c r="R15" s="6">
        <v>134</v>
      </c>
      <c r="S15" s="6">
        <v>139</v>
      </c>
      <c r="T15" s="6">
        <v>136</v>
      </c>
      <c r="U15" s="6">
        <v>122</v>
      </c>
      <c r="V15" s="6">
        <v>125</v>
      </c>
      <c r="W15" s="5">
        <f>SUM(E15:V15)</f>
        <v>2298</v>
      </c>
    </row>
    <row r="16" spans="1:23" x14ac:dyDescent="0.4">
      <c r="A16" s="8"/>
      <c r="B16" s="66"/>
      <c r="C16" s="67"/>
      <c r="D16" s="5" t="s">
        <v>25</v>
      </c>
      <c r="E16" s="5">
        <f t="shared" ref="E16:V16" si="0">SUM(E14:E15)</f>
        <v>265</v>
      </c>
      <c r="F16" s="5">
        <f t="shared" si="0"/>
        <v>270</v>
      </c>
      <c r="G16" s="5">
        <f t="shared" si="0"/>
        <v>239</v>
      </c>
      <c r="H16" s="5">
        <f t="shared" si="0"/>
        <v>262</v>
      </c>
      <c r="I16" s="5">
        <f t="shared" si="0"/>
        <v>259</v>
      </c>
      <c r="J16" s="5">
        <f t="shared" si="0"/>
        <v>269</v>
      </c>
      <c r="K16" s="5">
        <f t="shared" si="0"/>
        <v>158</v>
      </c>
      <c r="L16" s="5">
        <f t="shared" ref="L16:Q16" si="1">SUM(L14:L15)</f>
        <v>264</v>
      </c>
      <c r="M16" s="5">
        <f t="shared" si="1"/>
        <v>230</v>
      </c>
      <c r="N16" s="5">
        <f t="shared" si="1"/>
        <v>250</v>
      </c>
      <c r="O16" s="5">
        <f t="shared" si="1"/>
        <v>176</v>
      </c>
      <c r="P16" s="5">
        <f t="shared" si="1"/>
        <v>287</v>
      </c>
      <c r="Q16" s="5">
        <f t="shared" si="1"/>
        <v>288</v>
      </c>
      <c r="R16" s="5">
        <f t="shared" si="0"/>
        <v>276</v>
      </c>
      <c r="S16" s="5">
        <f t="shared" si="0"/>
        <v>271</v>
      </c>
      <c r="T16" s="5">
        <f t="shared" si="0"/>
        <v>258</v>
      </c>
      <c r="U16" s="5">
        <f t="shared" si="0"/>
        <v>237</v>
      </c>
      <c r="V16" s="5">
        <f t="shared" si="0"/>
        <v>242</v>
      </c>
      <c r="W16" s="5">
        <f>SUM(E16:V16)</f>
        <v>4501</v>
      </c>
    </row>
    <row r="17" spans="1:23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28"/>
    </row>
    <row r="18" spans="1:23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28"/>
    </row>
    <row r="19" spans="1:23" x14ac:dyDescent="0.4">
      <c r="A19" s="11"/>
      <c r="B19" s="68" t="s">
        <v>28</v>
      </c>
      <c r="C19" s="69" t="s">
        <v>29</v>
      </c>
      <c r="D19" s="6" t="s">
        <v>23</v>
      </c>
      <c r="E19" s="6">
        <v>106</v>
      </c>
      <c r="F19" s="6">
        <v>108</v>
      </c>
      <c r="G19" s="6">
        <v>96</v>
      </c>
      <c r="H19" s="6">
        <v>104</v>
      </c>
      <c r="I19" s="6">
        <v>100</v>
      </c>
      <c r="J19" s="6">
        <v>106</v>
      </c>
      <c r="K19" s="6">
        <v>52</v>
      </c>
      <c r="L19" s="6">
        <v>112</v>
      </c>
      <c r="M19" s="6">
        <v>92</v>
      </c>
      <c r="N19" s="6">
        <v>96</v>
      </c>
      <c r="O19" s="6">
        <v>72</v>
      </c>
      <c r="P19" s="6">
        <v>108</v>
      </c>
      <c r="Q19" s="6">
        <v>117</v>
      </c>
      <c r="R19" s="6">
        <v>108</v>
      </c>
      <c r="S19" s="6">
        <v>109</v>
      </c>
      <c r="T19" s="6">
        <v>104</v>
      </c>
      <c r="U19" s="6">
        <v>100</v>
      </c>
      <c r="V19" s="6">
        <v>82</v>
      </c>
      <c r="W19" s="5">
        <f t="shared" ref="W19:W30" si="2">SUM(E19:V19)</f>
        <v>1772</v>
      </c>
    </row>
    <row r="20" spans="1:23" x14ac:dyDescent="0.4">
      <c r="A20" s="12"/>
      <c r="B20" s="65"/>
      <c r="C20" s="70"/>
      <c r="D20" s="6" t="s">
        <v>24</v>
      </c>
      <c r="E20" s="6">
        <v>119</v>
      </c>
      <c r="F20" s="6">
        <v>120</v>
      </c>
      <c r="G20" s="6">
        <v>108</v>
      </c>
      <c r="H20" s="6">
        <v>108</v>
      </c>
      <c r="I20" s="6">
        <v>106</v>
      </c>
      <c r="J20" s="6">
        <v>119</v>
      </c>
      <c r="K20" s="6">
        <v>70</v>
      </c>
      <c r="L20" s="6">
        <v>115</v>
      </c>
      <c r="M20" s="6">
        <v>101</v>
      </c>
      <c r="N20" s="6">
        <v>121</v>
      </c>
      <c r="O20" s="6">
        <v>63</v>
      </c>
      <c r="P20" s="6">
        <v>130</v>
      </c>
      <c r="Q20" s="6">
        <v>111</v>
      </c>
      <c r="R20" s="6">
        <v>119</v>
      </c>
      <c r="S20" s="6">
        <v>118</v>
      </c>
      <c r="T20" s="6">
        <v>117</v>
      </c>
      <c r="U20" s="6">
        <v>103</v>
      </c>
      <c r="V20" s="6">
        <v>93</v>
      </c>
      <c r="W20" s="5">
        <f t="shared" si="2"/>
        <v>1941</v>
      </c>
    </row>
    <row r="21" spans="1:23" x14ac:dyDescent="0.4">
      <c r="A21" s="13"/>
      <c r="B21" s="67"/>
      <c r="C21" s="71"/>
      <c r="D21" s="5" t="s">
        <v>25</v>
      </c>
      <c r="E21" s="5">
        <f t="shared" ref="E21:V21" si="3">SUM(E19:E20)</f>
        <v>225</v>
      </c>
      <c r="F21" s="5">
        <f t="shared" si="3"/>
        <v>228</v>
      </c>
      <c r="G21" s="5">
        <f t="shared" si="3"/>
        <v>204</v>
      </c>
      <c r="H21" s="5">
        <f t="shared" si="3"/>
        <v>212</v>
      </c>
      <c r="I21" s="5">
        <f t="shared" si="3"/>
        <v>206</v>
      </c>
      <c r="J21" s="5">
        <f t="shared" si="3"/>
        <v>225</v>
      </c>
      <c r="K21" s="5">
        <f t="shared" si="3"/>
        <v>122</v>
      </c>
      <c r="L21" s="5">
        <f t="shared" ref="L21:Q21" si="4">SUM(L19:L20)</f>
        <v>227</v>
      </c>
      <c r="M21" s="5">
        <f t="shared" si="4"/>
        <v>193</v>
      </c>
      <c r="N21" s="5">
        <f t="shared" si="4"/>
        <v>217</v>
      </c>
      <c r="O21" s="5">
        <f t="shared" si="4"/>
        <v>135</v>
      </c>
      <c r="P21" s="5">
        <f t="shared" si="4"/>
        <v>238</v>
      </c>
      <c r="Q21" s="5">
        <f t="shared" si="4"/>
        <v>228</v>
      </c>
      <c r="R21" s="5">
        <f t="shared" si="3"/>
        <v>227</v>
      </c>
      <c r="S21" s="5">
        <f t="shared" si="3"/>
        <v>227</v>
      </c>
      <c r="T21" s="5">
        <f t="shared" si="3"/>
        <v>221</v>
      </c>
      <c r="U21" s="5">
        <f t="shared" si="3"/>
        <v>203</v>
      </c>
      <c r="V21" s="5">
        <f t="shared" si="3"/>
        <v>175</v>
      </c>
      <c r="W21" s="5">
        <f t="shared" si="2"/>
        <v>3713</v>
      </c>
    </row>
    <row r="22" spans="1:23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1</v>
      </c>
      <c r="J22" s="6">
        <v>0</v>
      </c>
      <c r="K22" s="6">
        <v>1</v>
      </c>
      <c r="L22" s="6">
        <v>1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1</v>
      </c>
      <c r="T22" s="6">
        <v>0</v>
      </c>
      <c r="U22" s="6">
        <v>1</v>
      </c>
      <c r="V22" s="6">
        <v>0</v>
      </c>
      <c r="W22" s="5">
        <f t="shared" si="2"/>
        <v>7</v>
      </c>
    </row>
    <row r="23" spans="1:23" x14ac:dyDescent="0.4">
      <c r="A23" s="12"/>
      <c r="B23" s="65"/>
      <c r="C23" s="70"/>
      <c r="D23" s="6" t="s">
        <v>24</v>
      </c>
      <c r="E23" s="6">
        <v>0</v>
      </c>
      <c r="F23" s="6">
        <v>1</v>
      </c>
      <c r="G23" s="6">
        <v>0</v>
      </c>
      <c r="H23" s="6">
        <v>1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>
        <v>1</v>
      </c>
      <c r="Q23" s="6">
        <v>0</v>
      </c>
      <c r="R23" s="6">
        <v>1</v>
      </c>
      <c r="S23" s="6">
        <v>0</v>
      </c>
      <c r="T23" s="6">
        <v>1</v>
      </c>
      <c r="U23" s="6">
        <v>2</v>
      </c>
      <c r="V23" s="6">
        <v>0</v>
      </c>
      <c r="W23" s="5">
        <f t="shared" si="2"/>
        <v>10</v>
      </c>
    </row>
    <row r="24" spans="1:23" x14ac:dyDescent="0.4">
      <c r="A24" s="13"/>
      <c r="B24" s="67"/>
      <c r="C24" s="71"/>
      <c r="D24" s="5" t="s">
        <v>25</v>
      </c>
      <c r="E24" s="5">
        <f t="shared" ref="E24:V24" si="5">SUM(E22:E23)</f>
        <v>0</v>
      </c>
      <c r="F24" s="5">
        <f t="shared" si="5"/>
        <v>1</v>
      </c>
      <c r="G24" s="5">
        <f t="shared" si="5"/>
        <v>1</v>
      </c>
      <c r="H24" s="5">
        <f t="shared" si="5"/>
        <v>1</v>
      </c>
      <c r="I24" s="5">
        <f t="shared" si="5"/>
        <v>1</v>
      </c>
      <c r="J24" s="5">
        <f t="shared" si="5"/>
        <v>1</v>
      </c>
      <c r="K24" s="5">
        <f t="shared" si="5"/>
        <v>1</v>
      </c>
      <c r="L24" s="5">
        <f t="shared" ref="L24:Q24" si="6">SUM(L22:L23)</f>
        <v>1</v>
      </c>
      <c r="M24" s="5">
        <f t="shared" si="6"/>
        <v>0</v>
      </c>
      <c r="N24" s="5">
        <f t="shared" si="6"/>
        <v>2</v>
      </c>
      <c r="O24" s="5">
        <f t="shared" si="6"/>
        <v>1</v>
      </c>
      <c r="P24" s="5">
        <f t="shared" si="6"/>
        <v>1</v>
      </c>
      <c r="Q24" s="5">
        <f t="shared" si="6"/>
        <v>0</v>
      </c>
      <c r="R24" s="5">
        <f t="shared" si="5"/>
        <v>1</v>
      </c>
      <c r="S24" s="5">
        <f t="shared" si="5"/>
        <v>1</v>
      </c>
      <c r="T24" s="5">
        <f t="shared" si="5"/>
        <v>1</v>
      </c>
      <c r="U24" s="5">
        <f t="shared" si="5"/>
        <v>3</v>
      </c>
      <c r="V24" s="5">
        <f t="shared" si="5"/>
        <v>0</v>
      </c>
      <c r="W24" s="5">
        <f t="shared" si="2"/>
        <v>17</v>
      </c>
    </row>
    <row r="25" spans="1:23" x14ac:dyDescent="0.4">
      <c r="A25" s="12"/>
      <c r="B25" s="68" t="s">
        <v>32</v>
      </c>
      <c r="C25" s="69" t="s">
        <v>33</v>
      </c>
      <c r="D25" s="6" t="s">
        <v>23</v>
      </c>
      <c r="E25" s="6">
        <v>1</v>
      </c>
      <c r="F25" s="6">
        <v>1</v>
      </c>
      <c r="G25" s="6">
        <v>1</v>
      </c>
      <c r="H25" s="6">
        <v>1</v>
      </c>
      <c r="I25" s="6">
        <v>0</v>
      </c>
      <c r="J25" s="6">
        <v>2</v>
      </c>
      <c r="K25" s="6">
        <v>4</v>
      </c>
      <c r="L25" s="6">
        <v>0</v>
      </c>
      <c r="M25" s="6">
        <v>0</v>
      </c>
      <c r="N25" s="6">
        <v>1</v>
      </c>
      <c r="O25" s="6">
        <v>2</v>
      </c>
      <c r="P25" s="6">
        <v>4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7</v>
      </c>
      <c r="W25" s="5">
        <f t="shared" si="2"/>
        <v>25</v>
      </c>
    </row>
    <row r="26" spans="1:23" x14ac:dyDescent="0.4">
      <c r="A26" s="12"/>
      <c r="B26" s="65"/>
      <c r="C26" s="70"/>
      <c r="D26" s="6" t="s">
        <v>24</v>
      </c>
      <c r="E26" s="6">
        <v>2</v>
      </c>
      <c r="F26" s="6">
        <v>2</v>
      </c>
      <c r="G26" s="6">
        <v>1</v>
      </c>
      <c r="H26" s="6">
        <v>1</v>
      </c>
      <c r="I26" s="6">
        <v>1</v>
      </c>
      <c r="J26" s="6">
        <v>1</v>
      </c>
      <c r="K26" s="6">
        <v>3</v>
      </c>
      <c r="L26" s="6">
        <v>0</v>
      </c>
      <c r="M26" s="6">
        <v>0</v>
      </c>
      <c r="N26" s="6">
        <v>1</v>
      </c>
      <c r="O26" s="6">
        <v>2</v>
      </c>
      <c r="P26" s="6">
        <v>7</v>
      </c>
      <c r="Q26" s="6">
        <v>1</v>
      </c>
      <c r="R26" s="6">
        <v>0</v>
      </c>
      <c r="S26" s="6">
        <v>1</v>
      </c>
      <c r="T26" s="6">
        <v>2</v>
      </c>
      <c r="U26" s="6">
        <v>3</v>
      </c>
      <c r="V26" s="6">
        <v>6</v>
      </c>
      <c r="W26" s="5">
        <f t="shared" si="2"/>
        <v>34</v>
      </c>
    </row>
    <row r="27" spans="1:23" x14ac:dyDescent="0.4">
      <c r="A27" s="13"/>
      <c r="B27" s="67"/>
      <c r="C27" s="71"/>
      <c r="D27" s="5" t="s">
        <v>25</v>
      </c>
      <c r="E27" s="5">
        <f t="shared" ref="E27:V27" si="7">SUM(E25:E26)</f>
        <v>3</v>
      </c>
      <c r="F27" s="5">
        <f t="shared" si="7"/>
        <v>3</v>
      </c>
      <c r="G27" s="5">
        <f t="shared" si="7"/>
        <v>2</v>
      </c>
      <c r="H27" s="5">
        <f t="shared" si="7"/>
        <v>2</v>
      </c>
      <c r="I27" s="5">
        <f t="shared" si="7"/>
        <v>1</v>
      </c>
      <c r="J27" s="5">
        <f t="shared" si="7"/>
        <v>3</v>
      </c>
      <c r="K27" s="5">
        <f t="shared" si="7"/>
        <v>7</v>
      </c>
      <c r="L27" s="5">
        <f t="shared" ref="L27:Q27" si="8">SUM(L25:L26)</f>
        <v>0</v>
      </c>
      <c r="M27" s="5">
        <f t="shared" si="8"/>
        <v>0</v>
      </c>
      <c r="N27" s="5">
        <f t="shared" si="8"/>
        <v>2</v>
      </c>
      <c r="O27" s="5">
        <f t="shared" si="8"/>
        <v>4</v>
      </c>
      <c r="P27" s="5">
        <f t="shared" si="8"/>
        <v>11</v>
      </c>
      <c r="Q27" s="5">
        <f t="shared" si="8"/>
        <v>1</v>
      </c>
      <c r="R27" s="5">
        <f t="shared" si="7"/>
        <v>0</v>
      </c>
      <c r="S27" s="5">
        <f t="shared" si="7"/>
        <v>1</v>
      </c>
      <c r="T27" s="5">
        <f t="shared" si="7"/>
        <v>2</v>
      </c>
      <c r="U27" s="5">
        <f t="shared" si="7"/>
        <v>4</v>
      </c>
      <c r="V27" s="5">
        <f t="shared" si="7"/>
        <v>13</v>
      </c>
      <c r="W27" s="5">
        <f t="shared" si="2"/>
        <v>59</v>
      </c>
    </row>
    <row r="28" spans="1:23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107</v>
      </c>
      <c r="F28" s="5">
        <f t="shared" ref="F28:V29" si="9">SUM(F19,F22,F25)</f>
        <v>109</v>
      </c>
      <c r="G28" s="5">
        <f t="shared" si="9"/>
        <v>98</v>
      </c>
      <c r="H28" s="5">
        <f t="shared" si="9"/>
        <v>105</v>
      </c>
      <c r="I28" s="5">
        <f t="shared" si="9"/>
        <v>101</v>
      </c>
      <c r="J28" s="5">
        <f t="shared" si="9"/>
        <v>108</v>
      </c>
      <c r="K28" s="5">
        <f t="shared" si="9"/>
        <v>57</v>
      </c>
      <c r="L28" s="5">
        <f t="shared" ref="L28:Q28" si="10">SUM(L19,L22,L25)</f>
        <v>113</v>
      </c>
      <c r="M28" s="5">
        <f t="shared" si="10"/>
        <v>92</v>
      </c>
      <c r="N28" s="5">
        <f t="shared" si="10"/>
        <v>97</v>
      </c>
      <c r="O28" s="5">
        <f t="shared" si="10"/>
        <v>75</v>
      </c>
      <c r="P28" s="5">
        <f t="shared" si="10"/>
        <v>112</v>
      </c>
      <c r="Q28" s="5">
        <f t="shared" si="10"/>
        <v>117</v>
      </c>
      <c r="R28" s="5">
        <f t="shared" si="9"/>
        <v>108</v>
      </c>
      <c r="S28" s="5">
        <f t="shared" si="9"/>
        <v>110</v>
      </c>
      <c r="T28" s="5">
        <f t="shared" si="9"/>
        <v>104</v>
      </c>
      <c r="U28" s="5">
        <f t="shared" si="9"/>
        <v>102</v>
      </c>
      <c r="V28" s="5">
        <f t="shared" si="9"/>
        <v>89</v>
      </c>
      <c r="W28" s="5">
        <f t="shared" si="2"/>
        <v>1804</v>
      </c>
    </row>
    <row r="29" spans="1:23" x14ac:dyDescent="0.4">
      <c r="A29" s="13"/>
      <c r="B29" s="65"/>
      <c r="C29" s="70"/>
      <c r="D29" s="5" t="s">
        <v>24</v>
      </c>
      <c r="E29" s="5">
        <f>SUM(E20,E23,E26)</f>
        <v>121</v>
      </c>
      <c r="F29" s="5">
        <f t="shared" si="9"/>
        <v>123</v>
      </c>
      <c r="G29" s="5">
        <f t="shared" si="9"/>
        <v>109</v>
      </c>
      <c r="H29" s="5">
        <f t="shared" si="9"/>
        <v>110</v>
      </c>
      <c r="I29" s="5">
        <f t="shared" si="9"/>
        <v>107</v>
      </c>
      <c r="J29" s="5">
        <f t="shared" si="9"/>
        <v>121</v>
      </c>
      <c r="K29" s="5">
        <f t="shared" si="9"/>
        <v>73</v>
      </c>
      <c r="L29" s="5">
        <f t="shared" ref="L29:Q29" si="11">SUM(L20,L23,L26)</f>
        <v>115</v>
      </c>
      <c r="M29" s="5">
        <f t="shared" si="11"/>
        <v>101</v>
      </c>
      <c r="N29" s="5">
        <f t="shared" si="11"/>
        <v>124</v>
      </c>
      <c r="O29" s="5">
        <f t="shared" si="11"/>
        <v>65</v>
      </c>
      <c r="P29" s="5">
        <f t="shared" si="11"/>
        <v>138</v>
      </c>
      <c r="Q29" s="5">
        <f t="shared" si="11"/>
        <v>112</v>
      </c>
      <c r="R29" s="5">
        <f t="shared" si="9"/>
        <v>120</v>
      </c>
      <c r="S29" s="5">
        <f t="shared" si="9"/>
        <v>119</v>
      </c>
      <c r="T29" s="5">
        <f t="shared" si="9"/>
        <v>120</v>
      </c>
      <c r="U29" s="5">
        <f t="shared" si="9"/>
        <v>108</v>
      </c>
      <c r="V29" s="5">
        <f t="shared" si="9"/>
        <v>99</v>
      </c>
      <c r="W29" s="5">
        <f t="shared" si="2"/>
        <v>1985</v>
      </c>
    </row>
    <row r="30" spans="1:23" x14ac:dyDescent="0.4">
      <c r="A30" s="13"/>
      <c r="B30" s="67"/>
      <c r="C30" s="71"/>
      <c r="D30" s="5" t="s">
        <v>25</v>
      </c>
      <c r="E30" s="5">
        <f t="shared" ref="E30" si="12">SUM(E28:E29)</f>
        <v>228</v>
      </c>
      <c r="F30" s="5">
        <f t="shared" ref="F30:V30" si="13">SUM(F28:F29)</f>
        <v>232</v>
      </c>
      <c r="G30" s="5">
        <f t="shared" si="13"/>
        <v>207</v>
      </c>
      <c r="H30" s="5">
        <f t="shared" si="13"/>
        <v>215</v>
      </c>
      <c r="I30" s="5">
        <f t="shared" si="13"/>
        <v>208</v>
      </c>
      <c r="J30" s="5">
        <f t="shared" si="13"/>
        <v>229</v>
      </c>
      <c r="K30" s="5">
        <f t="shared" si="13"/>
        <v>130</v>
      </c>
      <c r="L30" s="5">
        <f t="shared" ref="L30:Q30" si="14">SUM(L28:L29)</f>
        <v>228</v>
      </c>
      <c r="M30" s="5">
        <f t="shared" si="14"/>
        <v>193</v>
      </c>
      <c r="N30" s="5">
        <f t="shared" si="14"/>
        <v>221</v>
      </c>
      <c r="O30" s="5">
        <f t="shared" si="14"/>
        <v>140</v>
      </c>
      <c r="P30" s="5">
        <f t="shared" si="14"/>
        <v>250</v>
      </c>
      <c r="Q30" s="5">
        <f t="shared" si="14"/>
        <v>229</v>
      </c>
      <c r="R30" s="5">
        <f t="shared" si="13"/>
        <v>228</v>
      </c>
      <c r="S30" s="5">
        <f t="shared" si="13"/>
        <v>229</v>
      </c>
      <c r="T30" s="5">
        <f t="shared" si="13"/>
        <v>224</v>
      </c>
      <c r="U30" s="5">
        <f t="shared" si="13"/>
        <v>210</v>
      </c>
      <c r="V30" s="5">
        <f t="shared" si="13"/>
        <v>188</v>
      </c>
      <c r="W30" s="5">
        <f t="shared" si="2"/>
        <v>3789</v>
      </c>
    </row>
    <row r="31" spans="1:23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28"/>
    </row>
    <row r="32" spans="1:23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28"/>
    </row>
    <row r="33" spans="1:23" x14ac:dyDescent="0.4">
      <c r="A33" s="6">
        <v>1</v>
      </c>
      <c r="B33" s="61" t="s">
        <v>38</v>
      </c>
      <c r="C33" s="54"/>
      <c r="D33" s="55"/>
      <c r="E33" s="6">
        <v>271</v>
      </c>
      <c r="F33" s="6">
        <v>276</v>
      </c>
      <c r="G33" s="6">
        <v>244</v>
      </c>
      <c r="H33" s="6">
        <v>268</v>
      </c>
      <c r="I33" s="6">
        <v>264</v>
      </c>
      <c r="J33" s="6">
        <v>275</v>
      </c>
      <c r="K33" s="6">
        <v>162</v>
      </c>
      <c r="L33" s="6">
        <v>270</v>
      </c>
      <c r="M33" s="6">
        <v>235</v>
      </c>
      <c r="N33" s="6">
        <v>255</v>
      </c>
      <c r="O33" s="6">
        <v>180</v>
      </c>
      <c r="P33" s="6">
        <v>293</v>
      </c>
      <c r="Q33" s="6">
        <v>294</v>
      </c>
      <c r="R33" s="6">
        <v>284</v>
      </c>
      <c r="S33" s="6">
        <v>277</v>
      </c>
      <c r="T33" s="6">
        <v>264</v>
      </c>
      <c r="U33" s="6">
        <v>242</v>
      </c>
      <c r="V33" s="6">
        <v>247</v>
      </c>
      <c r="W33" s="5">
        <f>SUM(E33:V33)</f>
        <v>4601</v>
      </c>
    </row>
    <row r="34" spans="1:23" x14ac:dyDescent="0.4">
      <c r="A34" s="6">
        <v>2</v>
      </c>
      <c r="B34" s="61" t="s">
        <v>39</v>
      </c>
      <c r="C34" s="54"/>
      <c r="D34" s="55"/>
      <c r="E34" s="5">
        <v>228</v>
      </c>
      <c r="F34" s="5">
        <v>232</v>
      </c>
      <c r="G34" s="5">
        <v>207</v>
      </c>
      <c r="H34" s="5">
        <v>215</v>
      </c>
      <c r="I34" s="5">
        <v>208</v>
      </c>
      <c r="J34" s="5">
        <v>229</v>
      </c>
      <c r="K34" s="5">
        <v>130</v>
      </c>
      <c r="L34" s="5">
        <v>228</v>
      </c>
      <c r="M34" s="5">
        <v>193</v>
      </c>
      <c r="N34" s="5">
        <v>221</v>
      </c>
      <c r="O34" s="5">
        <v>140</v>
      </c>
      <c r="P34" s="5">
        <v>250</v>
      </c>
      <c r="Q34" s="5">
        <v>229</v>
      </c>
      <c r="R34" s="5">
        <v>228</v>
      </c>
      <c r="S34" s="5">
        <v>229</v>
      </c>
      <c r="T34" s="5">
        <v>224</v>
      </c>
      <c r="U34" s="5">
        <v>210</v>
      </c>
      <c r="V34" s="5">
        <v>188</v>
      </c>
      <c r="W34" s="5">
        <f>SUM(E34:V34)</f>
        <v>3789</v>
      </c>
    </row>
    <row r="35" spans="1:23" x14ac:dyDescent="0.4">
      <c r="A35" s="6">
        <v>3</v>
      </c>
      <c r="B35" s="61" t="s">
        <v>40</v>
      </c>
      <c r="C35" s="54"/>
      <c r="D35" s="55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1</v>
      </c>
      <c r="P35" s="6"/>
      <c r="Q35" s="6"/>
      <c r="R35" s="6"/>
      <c r="S35" s="6"/>
      <c r="T35" s="6"/>
      <c r="U35" s="6">
        <v>2</v>
      </c>
      <c r="V35" s="6"/>
      <c r="W35" s="5">
        <f>SUM(E35:V35)</f>
        <v>3</v>
      </c>
    </row>
    <row r="36" spans="1:23" x14ac:dyDescent="0.4">
      <c r="A36" s="6">
        <v>4</v>
      </c>
      <c r="B36" s="61" t="s">
        <v>41</v>
      </c>
      <c r="C36" s="54"/>
      <c r="D36" s="55"/>
      <c r="E36" s="5">
        <f t="shared" ref="E36:V36" si="15">E33-(E34+E35)</f>
        <v>43</v>
      </c>
      <c r="F36" s="5">
        <f t="shared" si="15"/>
        <v>44</v>
      </c>
      <c r="G36" s="5">
        <f t="shared" si="15"/>
        <v>37</v>
      </c>
      <c r="H36" s="5">
        <f t="shared" si="15"/>
        <v>53</v>
      </c>
      <c r="I36" s="5">
        <f t="shared" si="15"/>
        <v>56</v>
      </c>
      <c r="J36" s="5">
        <f t="shared" si="15"/>
        <v>46</v>
      </c>
      <c r="K36" s="5">
        <f t="shared" si="15"/>
        <v>32</v>
      </c>
      <c r="L36" s="5">
        <f t="shared" ref="L36:Q36" si="16">L33-(L34+L35)</f>
        <v>42</v>
      </c>
      <c r="M36" s="5">
        <f t="shared" si="16"/>
        <v>42</v>
      </c>
      <c r="N36" s="5">
        <f t="shared" si="16"/>
        <v>34</v>
      </c>
      <c r="O36" s="5">
        <f t="shared" si="16"/>
        <v>39</v>
      </c>
      <c r="P36" s="5">
        <f t="shared" si="16"/>
        <v>43</v>
      </c>
      <c r="Q36" s="5">
        <f t="shared" si="16"/>
        <v>65</v>
      </c>
      <c r="R36" s="5">
        <f t="shared" si="15"/>
        <v>56</v>
      </c>
      <c r="S36" s="5">
        <f t="shared" si="15"/>
        <v>48</v>
      </c>
      <c r="T36" s="5">
        <f t="shared" si="15"/>
        <v>40</v>
      </c>
      <c r="U36" s="5">
        <f t="shared" si="15"/>
        <v>30</v>
      </c>
      <c r="V36" s="5">
        <f t="shared" si="15"/>
        <v>59</v>
      </c>
      <c r="W36" s="5">
        <f>SUM(E36:V36)</f>
        <v>809</v>
      </c>
    </row>
    <row r="37" spans="1:23" x14ac:dyDescent="0.4">
      <c r="A37" s="53"/>
      <c r="B37" s="54"/>
      <c r="C37" s="54"/>
      <c r="D37" s="54"/>
      <c r="E37" s="53"/>
      <c r="F37" s="76"/>
      <c r="G37" s="76"/>
      <c r="H37" s="76"/>
      <c r="I37" s="77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8"/>
    </row>
    <row r="38" spans="1:23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28"/>
    </row>
    <row r="39" spans="1:23" x14ac:dyDescent="0.4">
      <c r="A39" s="11"/>
      <c r="B39" s="78" t="s">
        <v>44</v>
      </c>
      <c r="C39" s="63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1</v>
      </c>
      <c r="P39" s="6"/>
      <c r="Q39" s="6"/>
      <c r="R39" s="6"/>
      <c r="S39" s="6"/>
      <c r="T39" s="6"/>
      <c r="U39" s="6"/>
      <c r="V39" s="6"/>
      <c r="W39" s="5">
        <f>SUM(E39:V39)</f>
        <v>1</v>
      </c>
    </row>
    <row r="40" spans="1:23" x14ac:dyDescent="0.4">
      <c r="A40" s="12"/>
      <c r="B40" s="79"/>
      <c r="C40" s="65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1</v>
      </c>
      <c r="W40" s="5">
        <f>SUM(E40:V40)</f>
        <v>1</v>
      </c>
    </row>
    <row r="41" spans="1:23" x14ac:dyDescent="0.4">
      <c r="A41" s="14"/>
      <c r="B41" s="80"/>
      <c r="C41" s="67"/>
      <c r="D41" s="5" t="s">
        <v>25</v>
      </c>
      <c r="E41" s="5">
        <f t="shared" ref="E41:V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ref="L41:Q41" si="18">SUM(L39:L40)</f>
        <v>0</v>
      </c>
      <c r="M41" s="5">
        <f t="shared" si="18"/>
        <v>0</v>
      </c>
      <c r="N41" s="5">
        <f t="shared" si="18"/>
        <v>0</v>
      </c>
      <c r="O41" s="5">
        <f t="shared" si="18"/>
        <v>1</v>
      </c>
      <c r="P41" s="5">
        <f t="shared" si="18"/>
        <v>0</v>
      </c>
      <c r="Q41" s="5">
        <f t="shared" si="18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0</v>
      </c>
      <c r="V41" s="5">
        <f t="shared" si="17"/>
        <v>1</v>
      </c>
      <c r="W41" s="5">
        <f>SUM(E41:V41)</f>
        <v>2</v>
      </c>
    </row>
    <row r="42" spans="1:23" x14ac:dyDescent="0.4">
      <c r="A42" s="81"/>
      <c r="B42" s="80"/>
      <c r="C42" s="80"/>
      <c r="D42" s="67"/>
      <c r="E42" s="53"/>
      <c r="F42" s="54"/>
      <c r="G42" s="54"/>
      <c r="H42" s="54"/>
      <c r="I42" s="55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</row>
    <row r="44" spans="1:23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83" t="s">
        <v>49</v>
      </c>
      <c r="D45" s="55"/>
      <c r="E45" s="6">
        <v>14</v>
      </c>
      <c r="F45" s="6">
        <v>12</v>
      </c>
      <c r="G45" s="6">
        <v>11</v>
      </c>
      <c r="H45" s="6">
        <v>9</v>
      </c>
      <c r="I45" s="6">
        <v>7</v>
      </c>
      <c r="J45" s="6">
        <v>11</v>
      </c>
      <c r="K45" s="6">
        <v>8</v>
      </c>
      <c r="L45" s="6">
        <v>8</v>
      </c>
      <c r="M45" s="6">
        <v>18</v>
      </c>
      <c r="N45" s="6">
        <v>13</v>
      </c>
      <c r="O45" s="6">
        <v>8</v>
      </c>
      <c r="P45" s="6">
        <v>16</v>
      </c>
      <c r="Q45" s="6">
        <v>16</v>
      </c>
      <c r="R45" s="6">
        <v>15</v>
      </c>
      <c r="S45" s="6">
        <v>11</v>
      </c>
      <c r="T45" s="6">
        <v>9</v>
      </c>
      <c r="U45" s="6">
        <v>9</v>
      </c>
      <c r="V45" s="6">
        <v>3</v>
      </c>
      <c r="W45" s="5">
        <f t="shared" ref="W45:W54" si="19">SUM(E45:V45)</f>
        <v>198</v>
      </c>
    </row>
    <row r="46" spans="1:23" x14ac:dyDescent="0.4">
      <c r="A46" s="11" t="s">
        <v>50</v>
      </c>
      <c r="B46" s="46"/>
      <c r="C46" s="24" t="s">
        <v>110</v>
      </c>
      <c r="D46" s="24"/>
      <c r="E46" s="6">
        <v>33</v>
      </c>
      <c r="F46" s="6">
        <v>48</v>
      </c>
      <c r="G46" s="6">
        <v>40</v>
      </c>
      <c r="H46" s="6">
        <v>21</v>
      </c>
      <c r="I46" s="6">
        <v>32</v>
      </c>
      <c r="J46" s="6">
        <v>7</v>
      </c>
      <c r="K46" s="6">
        <v>8</v>
      </c>
      <c r="L46" s="6">
        <v>22</v>
      </c>
      <c r="M46" s="6">
        <v>26</v>
      </c>
      <c r="N46" s="6">
        <v>53</v>
      </c>
      <c r="O46" s="6">
        <v>32</v>
      </c>
      <c r="P46" s="6">
        <v>54</v>
      </c>
      <c r="Q46" s="6">
        <v>62</v>
      </c>
      <c r="R46" s="6">
        <v>23</v>
      </c>
      <c r="S46" s="6">
        <v>40</v>
      </c>
      <c r="T46" s="6">
        <v>13</v>
      </c>
      <c r="U46" s="6">
        <v>25</v>
      </c>
      <c r="V46" s="6">
        <v>10</v>
      </c>
      <c r="W46" s="5">
        <f t="shared" si="19"/>
        <v>549</v>
      </c>
    </row>
    <row r="47" spans="1:23" x14ac:dyDescent="0.4">
      <c r="A47" s="7"/>
      <c r="B47" s="47"/>
      <c r="C47" s="24" t="s">
        <v>111</v>
      </c>
      <c r="D47" s="24"/>
      <c r="E47" s="6">
        <v>3</v>
      </c>
      <c r="F47" s="6">
        <v>2</v>
      </c>
      <c r="G47" s="6">
        <v>4</v>
      </c>
      <c r="H47" s="6">
        <v>15</v>
      </c>
      <c r="I47" s="6">
        <v>1</v>
      </c>
      <c r="J47" s="6">
        <v>2</v>
      </c>
      <c r="K47" s="6">
        <v>2</v>
      </c>
      <c r="L47" s="6">
        <v>6</v>
      </c>
      <c r="M47" s="6">
        <v>2</v>
      </c>
      <c r="N47" s="6">
        <v>2</v>
      </c>
      <c r="O47" s="6">
        <v>1</v>
      </c>
      <c r="P47" s="6">
        <v>2</v>
      </c>
      <c r="Q47" s="6">
        <v>2</v>
      </c>
      <c r="R47" s="6">
        <v>2</v>
      </c>
      <c r="S47" s="6">
        <v>4</v>
      </c>
      <c r="T47" s="6">
        <v>3</v>
      </c>
      <c r="U47" s="6">
        <v>4</v>
      </c>
      <c r="V47" s="6">
        <v>0</v>
      </c>
      <c r="W47" s="5">
        <f t="shared" si="19"/>
        <v>57</v>
      </c>
    </row>
    <row r="48" spans="1:23" x14ac:dyDescent="0.4">
      <c r="A48" s="7"/>
      <c r="B48" s="47"/>
      <c r="C48" s="24" t="s">
        <v>112</v>
      </c>
      <c r="D48" s="24"/>
      <c r="E48" s="6">
        <v>0</v>
      </c>
      <c r="F48" s="6">
        <v>0</v>
      </c>
      <c r="G48" s="6">
        <v>0</v>
      </c>
      <c r="H48" s="6">
        <v>0</v>
      </c>
      <c r="I48" s="6">
        <v>1</v>
      </c>
      <c r="J48" s="6">
        <v>2</v>
      </c>
      <c r="K48" s="6">
        <v>0</v>
      </c>
      <c r="L48" s="6">
        <v>1</v>
      </c>
      <c r="M48" s="6">
        <v>1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5">
        <f t="shared" si="19"/>
        <v>6</v>
      </c>
    </row>
    <row r="49" spans="1:23" x14ac:dyDescent="0.4">
      <c r="A49" s="7"/>
      <c r="B49" s="47"/>
      <c r="C49" s="24" t="s">
        <v>113</v>
      </c>
      <c r="D49" s="24"/>
      <c r="E49" s="6">
        <v>0</v>
      </c>
      <c r="F49" s="6">
        <v>4</v>
      </c>
      <c r="G49" s="6">
        <v>0</v>
      </c>
      <c r="H49" s="6">
        <v>0</v>
      </c>
      <c r="I49" s="6">
        <v>1</v>
      </c>
      <c r="J49" s="6">
        <v>0</v>
      </c>
      <c r="K49" s="6">
        <v>0</v>
      </c>
      <c r="L49" s="6">
        <v>3</v>
      </c>
      <c r="M49" s="6">
        <v>0</v>
      </c>
      <c r="N49" s="6">
        <v>1</v>
      </c>
      <c r="O49" s="6">
        <v>0</v>
      </c>
      <c r="P49" s="6">
        <v>1</v>
      </c>
      <c r="Q49" s="6">
        <v>0</v>
      </c>
      <c r="R49" s="6">
        <v>1</v>
      </c>
      <c r="S49" s="6">
        <v>1</v>
      </c>
      <c r="T49" s="6">
        <v>1</v>
      </c>
      <c r="U49" s="6">
        <v>1</v>
      </c>
      <c r="V49" s="6">
        <v>0</v>
      </c>
      <c r="W49" s="5">
        <f t="shared" si="19"/>
        <v>14</v>
      </c>
    </row>
    <row r="50" spans="1:23" x14ac:dyDescent="0.4">
      <c r="A50" s="7"/>
      <c r="B50" s="47"/>
      <c r="C50" s="24" t="s">
        <v>114</v>
      </c>
      <c r="D50" s="24"/>
      <c r="E50" s="6">
        <v>3</v>
      </c>
      <c r="F50" s="6">
        <v>0</v>
      </c>
      <c r="G50" s="6">
        <v>0</v>
      </c>
      <c r="H50" s="6">
        <v>4</v>
      </c>
      <c r="I50" s="6">
        <v>8</v>
      </c>
      <c r="J50" s="6">
        <v>1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5">
        <f t="shared" si="19"/>
        <v>17</v>
      </c>
    </row>
    <row r="51" spans="1:23" x14ac:dyDescent="0.4">
      <c r="A51" s="7"/>
      <c r="B51" s="47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1</v>
      </c>
      <c r="Q51" s="6">
        <v>0</v>
      </c>
      <c r="R51" s="6">
        <v>0</v>
      </c>
      <c r="S51" s="6">
        <v>4</v>
      </c>
      <c r="T51" s="6">
        <v>0</v>
      </c>
      <c r="U51" s="6">
        <v>0</v>
      </c>
      <c r="V51" s="6">
        <v>0</v>
      </c>
      <c r="W51" s="5">
        <f t="shared" si="19"/>
        <v>6</v>
      </c>
    </row>
    <row r="52" spans="1:23" ht="13.15" customHeight="1" x14ac:dyDescent="0.4">
      <c r="A52" s="7"/>
      <c r="B52" s="47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2</v>
      </c>
      <c r="R52" s="6">
        <v>0</v>
      </c>
      <c r="S52" s="6">
        <v>0</v>
      </c>
      <c r="T52" s="6">
        <v>1</v>
      </c>
      <c r="U52" s="6">
        <v>0</v>
      </c>
      <c r="V52" s="6">
        <v>0</v>
      </c>
      <c r="W52" s="5">
        <f t="shared" si="19"/>
        <v>5</v>
      </c>
    </row>
    <row r="53" spans="1:23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1</v>
      </c>
      <c r="S53" s="6">
        <v>0</v>
      </c>
      <c r="T53" s="6">
        <v>0</v>
      </c>
      <c r="U53" s="6">
        <v>0</v>
      </c>
      <c r="V53" s="6">
        <v>0</v>
      </c>
      <c r="W53" s="5">
        <f t="shared" si="19"/>
        <v>4</v>
      </c>
    </row>
    <row r="54" spans="1:23" ht="13.15" customHeight="1" x14ac:dyDescent="0.4">
      <c r="A54" s="7"/>
      <c r="B54" s="47"/>
      <c r="C54" s="24" t="s">
        <v>118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6">
        <v>1</v>
      </c>
      <c r="T54" s="6">
        <v>0</v>
      </c>
      <c r="U54" s="6">
        <v>0</v>
      </c>
      <c r="V54" s="6">
        <v>0</v>
      </c>
      <c r="W54" s="5">
        <f t="shared" si="19"/>
        <v>4</v>
      </c>
    </row>
    <row r="55" spans="1:23" x14ac:dyDescent="0.4">
      <c r="A55" s="6" t="s">
        <v>26</v>
      </c>
      <c r="B55" s="74" t="s">
        <v>51</v>
      </c>
      <c r="C55" s="54"/>
      <c r="D55" s="55"/>
      <c r="E55" s="6">
        <f>SUM(E45:E54)</f>
        <v>54</v>
      </c>
      <c r="F55" s="6">
        <f t="shared" ref="F55:W55" si="20">SUM(F45:F54)</f>
        <v>66</v>
      </c>
      <c r="G55" s="6">
        <f t="shared" si="20"/>
        <v>56</v>
      </c>
      <c r="H55" s="6">
        <f t="shared" si="20"/>
        <v>49</v>
      </c>
      <c r="I55" s="6">
        <f t="shared" si="20"/>
        <v>52</v>
      </c>
      <c r="J55" s="6">
        <f t="shared" si="20"/>
        <v>23</v>
      </c>
      <c r="K55" s="6">
        <f t="shared" si="20"/>
        <v>19</v>
      </c>
      <c r="L55" s="6">
        <f t="shared" si="20"/>
        <v>40</v>
      </c>
      <c r="M55" s="6">
        <f t="shared" si="20"/>
        <v>47</v>
      </c>
      <c r="N55" s="6">
        <f t="shared" si="20"/>
        <v>69</v>
      </c>
      <c r="O55" s="6">
        <f t="shared" si="20"/>
        <v>43</v>
      </c>
      <c r="P55" s="6">
        <f t="shared" si="20"/>
        <v>75</v>
      </c>
      <c r="Q55" s="6">
        <f t="shared" si="20"/>
        <v>84</v>
      </c>
      <c r="R55" s="6">
        <f t="shared" si="20"/>
        <v>43</v>
      </c>
      <c r="S55" s="6">
        <f t="shared" si="20"/>
        <v>61</v>
      </c>
      <c r="T55" s="6">
        <f t="shared" si="20"/>
        <v>27</v>
      </c>
      <c r="U55" s="6">
        <f t="shared" si="20"/>
        <v>39</v>
      </c>
      <c r="V55" s="6">
        <f t="shared" si="20"/>
        <v>13</v>
      </c>
      <c r="W55" s="6">
        <f t="shared" si="20"/>
        <v>860</v>
      </c>
    </row>
    <row r="56" spans="1:23" x14ac:dyDescent="0.4">
      <c r="A56" s="81"/>
      <c r="B56" s="80"/>
      <c r="C56" s="80"/>
      <c r="D56" s="80"/>
      <c r="E56" s="80"/>
      <c r="W56" s="5"/>
    </row>
    <row r="57" spans="1:23" x14ac:dyDescent="0.4">
      <c r="A57" s="11" t="s">
        <v>48</v>
      </c>
      <c r="B57" s="17" t="s">
        <v>30</v>
      </c>
      <c r="C57" s="83" t="s">
        <v>52</v>
      </c>
      <c r="D57" s="55"/>
      <c r="E57" s="6">
        <v>8</v>
      </c>
      <c r="F57" s="6">
        <v>7</v>
      </c>
      <c r="G57" s="6">
        <v>9</v>
      </c>
      <c r="H57" s="6">
        <v>13</v>
      </c>
      <c r="I57" s="6">
        <v>9</v>
      </c>
      <c r="J57" s="6">
        <v>14</v>
      </c>
      <c r="K57" s="6">
        <v>15</v>
      </c>
      <c r="L57" s="6">
        <v>7</v>
      </c>
      <c r="M57" s="6">
        <v>10</v>
      </c>
      <c r="N57" s="6">
        <v>8</v>
      </c>
      <c r="O57" s="6">
        <v>2</v>
      </c>
      <c r="P57" s="6">
        <v>9</v>
      </c>
      <c r="Q57" s="6">
        <v>9</v>
      </c>
      <c r="R57" s="6">
        <v>11</v>
      </c>
      <c r="S57" s="6">
        <v>18</v>
      </c>
      <c r="T57" s="6">
        <v>14</v>
      </c>
      <c r="U57" s="6">
        <v>5</v>
      </c>
      <c r="V57" s="6">
        <v>5</v>
      </c>
      <c r="W57" s="5">
        <f t="shared" ref="W57:W66" si="21">SUM(E57:V57)</f>
        <v>173</v>
      </c>
    </row>
    <row r="58" spans="1:23" x14ac:dyDescent="0.4">
      <c r="A58" s="11" t="s">
        <v>50</v>
      </c>
      <c r="B58" s="47"/>
      <c r="C58" s="24" t="s">
        <v>119</v>
      </c>
      <c r="D58" s="48"/>
      <c r="E58" s="6">
        <v>7</v>
      </c>
      <c r="F58" s="6">
        <v>5</v>
      </c>
      <c r="G58" s="6">
        <v>4</v>
      </c>
      <c r="H58" s="6">
        <v>9</v>
      </c>
      <c r="I58" s="6">
        <v>6</v>
      </c>
      <c r="J58" s="6">
        <v>6</v>
      </c>
      <c r="K58" s="6">
        <v>9</v>
      </c>
      <c r="L58" s="6">
        <v>0</v>
      </c>
      <c r="M58" s="6">
        <v>6</v>
      </c>
      <c r="N58" s="6">
        <v>4</v>
      </c>
      <c r="O58" s="6">
        <v>2</v>
      </c>
      <c r="P58" s="6">
        <v>4</v>
      </c>
      <c r="Q58" s="6">
        <v>7</v>
      </c>
      <c r="R58" s="6">
        <v>8</v>
      </c>
      <c r="S58" s="6">
        <v>3</v>
      </c>
      <c r="T58" s="6">
        <v>5</v>
      </c>
      <c r="U58" s="6">
        <v>7</v>
      </c>
      <c r="V58" s="6">
        <v>1</v>
      </c>
      <c r="W58" s="5">
        <f t="shared" si="21"/>
        <v>93</v>
      </c>
    </row>
    <row r="59" spans="1:23" x14ac:dyDescent="0.4">
      <c r="A59" s="7"/>
      <c r="B59" s="47"/>
      <c r="C59" s="24" t="s">
        <v>120</v>
      </c>
      <c r="D59" s="48"/>
      <c r="E59" s="6">
        <v>10</v>
      </c>
      <c r="F59" s="6">
        <v>5</v>
      </c>
      <c r="G59" s="6">
        <v>6</v>
      </c>
      <c r="H59" s="6">
        <v>17</v>
      </c>
      <c r="I59" s="6">
        <v>7</v>
      </c>
      <c r="J59" s="6">
        <v>6</v>
      </c>
      <c r="K59" s="6">
        <v>3</v>
      </c>
      <c r="L59" s="6">
        <v>3</v>
      </c>
      <c r="M59" s="6">
        <v>13</v>
      </c>
      <c r="N59" s="6">
        <v>6</v>
      </c>
      <c r="O59" s="6">
        <v>3</v>
      </c>
      <c r="P59" s="6">
        <v>6</v>
      </c>
      <c r="Q59" s="6">
        <v>4</v>
      </c>
      <c r="R59" s="6">
        <v>8</v>
      </c>
      <c r="S59" s="6">
        <v>4</v>
      </c>
      <c r="T59" s="6">
        <v>12</v>
      </c>
      <c r="U59" s="6">
        <v>0</v>
      </c>
      <c r="V59" s="6">
        <v>5</v>
      </c>
      <c r="W59" s="5">
        <f t="shared" si="21"/>
        <v>118</v>
      </c>
    </row>
    <row r="60" spans="1:23" x14ac:dyDescent="0.4">
      <c r="A60" s="7"/>
      <c r="B60" s="47"/>
      <c r="C60" s="24" t="s">
        <v>121</v>
      </c>
      <c r="D60" s="48"/>
      <c r="E60" s="6">
        <v>1</v>
      </c>
      <c r="F60" s="6">
        <v>3</v>
      </c>
      <c r="G60" s="6">
        <v>3</v>
      </c>
      <c r="H60" s="6">
        <v>3</v>
      </c>
      <c r="I60" s="6">
        <v>4</v>
      </c>
      <c r="J60" s="6">
        <v>0</v>
      </c>
      <c r="K60" s="6">
        <v>1</v>
      </c>
      <c r="L60" s="6">
        <v>1</v>
      </c>
      <c r="M60" s="6">
        <v>0</v>
      </c>
      <c r="N60" s="6">
        <v>1</v>
      </c>
      <c r="O60" s="6">
        <v>1</v>
      </c>
      <c r="P60" s="6">
        <v>2</v>
      </c>
      <c r="Q60" s="6">
        <v>2</v>
      </c>
      <c r="R60" s="6">
        <v>0</v>
      </c>
      <c r="S60" s="6">
        <v>0</v>
      </c>
      <c r="T60" s="6">
        <v>2</v>
      </c>
      <c r="U60" s="6">
        <v>2</v>
      </c>
      <c r="V60" s="6">
        <v>2</v>
      </c>
      <c r="W60" s="5">
        <f t="shared" si="21"/>
        <v>28</v>
      </c>
    </row>
    <row r="61" spans="1:23" x14ac:dyDescent="0.4">
      <c r="A61" s="7"/>
      <c r="B61" s="47"/>
      <c r="C61" s="24" t="s">
        <v>122</v>
      </c>
      <c r="D61" s="48"/>
      <c r="E61" s="6">
        <v>4</v>
      </c>
      <c r="F61" s="6">
        <v>1</v>
      </c>
      <c r="G61" s="6">
        <v>2</v>
      </c>
      <c r="H61" s="6">
        <v>1</v>
      </c>
      <c r="I61" s="6">
        <v>1</v>
      </c>
      <c r="J61" s="6">
        <v>2</v>
      </c>
      <c r="K61" s="6">
        <v>2</v>
      </c>
      <c r="L61" s="6">
        <v>0</v>
      </c>
      <c r="M61" s="6">
        <v>9</v>
      </c>
      <c r="N61" s="6">
        <v>0</v>
      </c>
      <c r="O61" s="6">
        <v>1</v>
      </c>
      <c r="P61" s="6">
        <v>1</v>
      </c>
      <c r="Q61" s="6">
        <v>2</v>
      </c>
      <c r="R61" s="6">
        <v>2</v>
      </c>
      <c r="S61" s="6">
        <v>3</v>
      </c>
      <c r="T61" s="6">
        <v>10</v>
      </c>
      <c r="U61" s="6">
        <v>16</v>
      </c>
      <c r="V61" s="6">
        <v>1</v>
      </c>
      <c r="W61" s="5">
        <f t="shared" si="21"/>
        <v>58</v>
      </c>
    </row>
    <row r="62" spans="1:23" x14ac:dyDescent="0.4">
      <c r="A62" s="7"/>
      <c r="B62" s="47"/>
      <c r="C62" s="24" t="s">
        <v>123</v>
      </c>
      <c r="D62" s="48"/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2</v>
      </c>
      <c r="K62" s="6">
        <v>0</v>
      </c>
      <c r="L62" s="6">
        <v>0</v>
      </c>
      <c r="M62" s="6">
        <v>1</v>
      </c>
      <c r="N62" s="6">
        <v>1</v>
      </c>
      <c r="O62" s="6">
        <v>0</v>
      </c>
      <c r="P62" s="6">
        <v>2</v>
      </c>
      <c r="Q62" s="6">
        <v>0</v>
      </c>
      <c r="R62" s="6">
        <v>1</v>
      </c>
      <c r="S62" s="6">
        <v>0</v>
      </c>
      <c r="T62" s="6">
        <v>0</v>
      </c>
      <c r="U62" s="6">
        <v>0</v>
      </c>
      <c r="V62" s="6">
        <v>1</v>
      </c>
      <c r="W62" s="5">
        <f t="shared" si="21"/>
        <v>9</v>
      </c>
    </row>
    <row r="63" spans="1:23" ht="13.15" customHeight="1" x14ac:dyDescent="0.4">
      <c r="A63" s="7"/>
      <c r="B63" s="47"/>
      <c r="C63" s="24" t="s">
        <v>124</v>
      </c>
      <c r="D63" s="45"/>
      <c r="E63" s="6">
        <v>0</v>
      </c>
      <c r="F63" s="6">
        <v>1</v>
      </c>
      <c r="G63" s="6">
        <v>0</v>
      </c>
      <c r="H63" s="6">
        <v>0</v>
      </c>
      <c r="I63" s="6">
        <v>0</v>
      </c>
      <c r="J63" s="6">
        <v>0</v>
      </c>
      <c r="K63" s="6">
        <v>3</v>
      </c>
      <c r="L63" s="6">
        <v>0</v>
      </c>
      <c r="M63" s="6">
        <v>1</v>
      </c>
      <c r="N63" s="6">
        <v>0</v>
      </c>
      <c r="O63" s="6">
        <v>0</v>
      </c>
      <c r="P63" s="6">
        <v>2</v>
      </c>
      <c r="Q63" s="6">
        <v>2</v>
      </c>
      <c r="R63" s="6">
        <v>1</v>
      </c>
      <c r="S63" s="6">
        <v>1</v>
      </c>
      <c r="T63" s="6">
        <v>0</v>
      </c>
      <c r="U63" s="6">
        <v>1</v>
      </c>
      <c r="V63" s="6">
        <v>0</v>
      </c>
      <c r="W63" s="5">
        <f t="shared" si="21"/>
        <v>12</v>
      </c>
    </row>
    <row r="64" spans="1:23" x14ac:dyDescent="0.4">
      <c r="A64" s="7"/>
      <c r="B64" s="47"/>
      <c r="C64" s="24" t="s">
        <v>125</v>
      </c>
      <c r="D64" s="48"/>
      <c r="E64" s="6">
        <v>1</v>
      </c>
      <c r="F64" s="6">
        <v>1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5">
        <f t="shared" si="21"/>
        <v>3</v>
      </c>
    </row>
    <row r="65" spans="1:23" x14ac:dyDescent="0.4">
      <c r="A65" s="7"/>
      <c r="B65" s="47"/>
      <c r="C65" s="24" t="s">
        <v>126</v>
      </c>
      <c r="D65" s="48"/>
      <c r="E65" s="6">
        <v>1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>
        <v>0</v>
      </c>
      <c r="U65" s="6">
        <v>0</v>
      </c>
      <c r="V65" s="6">
        <v>1</v>
      </c>
      <c r="W65" s="5">
        <f t="shared" si="21"/>
        <v>4</v>
      </c>
    </row>
    <row r="66" spans="1:23" x14ac:dyDescent="0.4">
      <c r="A66" s="7"/>
      <c r="B66" s="47"/>
      <c r="C66" s="24" t="s">
        <v>127</v>
      </c>
      <c r="D66" s="48"/>
      <c r="E66" s="6">
        <v>0</v>
      </c>
      <c r="F66" s="6">
        <v>1</v>
      </c>
      <c r="G66" s="6">
        <v>0</v>
      </c>
      <c r="H66" s="6">
        <v>0</v>
      </c>
      <c r="I66" s="6">
        <v>0</v>
      </c>
      <c r="J66" s="6">
        <v>1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6">
        <v>1</v>
      </c>
      <c r="W66" s="5">
        <f t="shared" si="21"/>
        <v>5</v>
      </c>
    </row>
    <row r="67" spans="1:23" x14ac:dyDescent="0.4">
      <c r="A67" s="6" t="s">
        <v>26</v>
      </c>
      <c r="B67" s="74" t="s">
        <v>51</v>
      </c>
      <c r="C67" s="54"/>
      <c r="D67" s="55"/>
      <c r="E67" s="6">
        <f t="shared" ref="E67:W67" si="22">SUM(E57:E66)</f>
        <v>32</v>
      </c>
      <c r="F67" s="6">
        <f t="shared" si="22"/>
        <v>25</v>
      </c>
      <c r="G67" s="6">
        <f t="shared" si="22"/>
        <v>24</v>
      </c>
      <c r="H67" s="6">
        <f t="shared" si="22"/>
        <v>44</v>
      </c>
      <c r="I67" s="6">
        <f t="shared" si="22"/>
        <v>28</v>
      </c>
      <c r="J67" s="6">
        <f t="shared" si="22"/>
        <v>31</v>
      </c>
      <c r="K67" s="6">
        <f t="shared" si="22"/>
        <v>34</v>
      </c>
      <c r="L67" s="6">
        <f t="shared" si="22"/>
        <v>11</v>
      </c>
      <c r="M67" s="6">
        <f t="shared" si="22"/>
        <v>40</v>
      </c>
      <c r="N67" s="6">
        <f t="shared" si="22"/>
        <v>20</v>
      </c>
      <c r="O67" s="6">
        <f t="shared" si="22"/>
        <v>9</v>
      </c>
      <c r="P67" s="6">
        <f t="shared" si="22"/>
        <v>26</v>
      </c>
      <c r="Q67" s="6">
        <f t="shared" si="22"/>
        <v>26</v>
      </c>
      <c r="R67" s="6">
        <f t="shared" si="22"/>
        <v>32</v>
      </c>
      <c r="S67" s="6">
        <f t="shared" si="22"/>
        <v>30</v>
      </c>
      <c r="T67" s="6">
        <f t="shared" si="22"/>
        <v>43</v>
      </c>
      <c r="U67" s="6">
        <f t="shared" si="22"/>
        <v>31</v>
      </c>
      <c r="V67" s="6">
        <f t="shared" si="22"/>
        <v>17</v>
      </c>
      <c r="W67" s="6">
        <f t="shared" si="22"/>
        <v>503</v>
      </c>
    </row>
    <row r="68" spans="1:23" x14ac:dyDescent="0.4">
      <c r="A68" s="81"/>
      <c r="B68" s="80"/>
      <c r="C68" s="80"/>
      <c r="D68" s="80"/>
      <c r="E68" s="80"/>
    </row>
    <row r="69" spans="1:23" x14ac:dyDescent="0.4">
      <c r="A69" s="11" t="s">
        <v>48</v>
      </c>
      <c r="B69" s="17" t="s">
        <v>32</v>
      </c>
      <c r="C69" s="83" t="s">
        <v>53</v>
      </c>
      <c r="D69" s="55"/>
      <c r="E69" s="6">
        <v>14</v>
      </c>
      <c r="F69" s="6">
        <v>5</v>
      </c>
      <c r="G69" s="6">
        <v>5</v>
      </c>
      <c r="H69" s="6">
        <v>6</v>
      </c>
      <c r="I69" s="6">
        <v>4</v>
      </c>
      <c r="J69" s="6">
        <v>13</v>
      </c>
      <c r="K69" s="6">
        <v>5</v>
      </c>
      <c r="L69" s="6">
        <v>6</v>
      </c>
      <c r="M69" s="6">
        <v>6</v>
      </c>
      <c r="N69" s="6">
        <v>11</v>
      </c>
      <c r="O69" s="6">
        <v>4</v>
      </c>
      <c r="P69" s="6">
        <v>8</v>
      </c>
      <c r="Q69" s="6">
        <v>6</v>
      </c>
      <c r="R69" s="6">
        <v>14</v>
      </c>
      <c r="S69" s="6">
        <v>12</v>
      </c>
      <c r="T69" s="6">
        <v>10</v>
      </c>
      <c r="U69" s="6">
        <v>5</v>
      </c>
      <c r="V69" s="6">
        <v>7</v>
      </c>
      <c r="W69" s="5">
        <f t="shared" ref="W69:W78" si="23">SUM(E69:V69)</f>
        <v>141</v>
      </c>
    </row>
    <row r="70" spans="1:23" x14ac:dyDescent="0.4">
      <c r="A70" s="11" t="s">
        <v>50</v>
      </c>
      <c r="B70" s="47"/>
      <c r="C70" s="24" t="s">
        <v>128</v>
      </c>
      <c r="D70" s="45"/>
      <c r="E70" s="6">
        <v>3</v>
      </c>
      <c r="F70" s="6">
        <v>5</v>
      </c>
      <c r="G70" s="6">
        <v>1</v>
      </c>
      <c r="H70" s="6">
        <v>4</v>
      </c>
      <c r="I70" s="6">
        <v>5</v>
      </c>
      <c r="J70" s="6">
        <v>6</v>
      </c>
      <c r="K70" s="6">
        <v>3</v>
      </c>
      <c r="L70" s="6">
        <v>5</v>
      </c>
      <c r="M70" s="6">
        <v>1</v>
      </c>
      <c r="N70" s="6">
        <v>2</v>
      </c>
      <c r="O70" s="6">
        <v>3</v>
      </c>
      <c r="P70" s="6">
        <v>5</v>
      </c>
      <c r="Q70" s="6">
        <v>11</v>
      </c>
      <c r="R70" s="6">
        <v>8</v>
      </c>
      <c r="S70" s="6">
        <v>7</v>
      </c>
      <c r="T70" s="6">
        <v>3</v>
      </c>
      <c r="U70" s="6">
        <v>2</v>
      </c>
      <c r="V70" s="6">
        <v>3</v>
      </c>
      <c r="W70" s="5">
        <f t="shared" si="23"/>
        <v>77</v>
      </c>
    </row>
    <row r="71" spans="1:23" x14ac:dyDescent="0.4">
      <c r="A71" s="7"/>
      <c r="B71" s="47"/>
      <c r="C71" s="24" t="s">
        <v>129</v>
      </c>
      <c r="D71" s="45"/>
      <c r="E71" s="6">
        <v>2</v>
      </c>
      <c r="F71" s="6">
        <v>17</v>
      </c>
      <c r="G71" s="6">
        <v>7</v>
      </c>
      <c r="H71" s="6">
        <v>2</v>
      </c>
      <c r="I71" s="6">
        <v>4</v>
      </c>
      <c r="J71" s="6">
        <v>12</v>
      </c>
      <c r="K71" s="6">
        <v>0</v>
      </c>
      <c r="L71" s="6">
        <v>1</v>
      </c>
      <c r="M71" s="6">
        <v>2</v>
      </c>
      <c r="N71" s="6">
        <v>3</v>
      </c>
      <c r="O71" s="6">
        <v>3</v>
      </c>
      <c r="P71" s="6">
        <v>2</v>
      </c>
      <c r="Q71" s="6">
        <v>4</v>
      </c>
      <c r="R71" s="6">
        <v>3</v>
      </c>
      <c r="S71" s="6">
        <v>8</v>
      </c>
      <c r="T71" s="6">
        <v>3</v>
      </c>
      <c r="U71" s="6">
        <v>10</v>
      </c>
      <c r="V71" s="6">
        <v>23</v>
      </c>
      <c r="W71" s="5">
        <f t="shared" si="23"/>
        <v>106</v>
      </c>
    </row>
    <row r="72" spans="1:23" x14ac:dyDescent="0.4">
      <c r="A72" s="7"/>
      <c r="B72" s="47"/>
      <c r="C72" s="24" t="s">
        <v>130</v>
      </c>
      <c r="D72" s="45"/>
      <c r="E72" s="6">
        <v>4</v>
      </c>
      <c r="F72" s="6">
        <v>5</v>
      </c>
      <c r="G72" s="6">
        <v>4</v>
      </c>
      <c r="H72" s="6">
        <v>1</v>
      </c>
      <c r="I72" s="6">
        <v>2</v>
      </c>
      <c r="J72" s="6">
        <v>3</v>
      </c>
      <c r="K72" s="6">
        <v>0</v>
      </c>
      <c r="L72" s="6">
        <v>3</v>
      </c>
      <c r="M72" s="6">
        <v>3</v>
      </c>
      <c r="N72" s="6">
        <v>1</v>
      </c>
      <c r="O72" s="6">
        <v>1</v>
      </c>
      <c r="P72" s="6">
        <v>2</v>
      </c>
      <c r="Q72" s="6">
        <v>3</v>
      </c>
      <c r="R72" s="6">
        <v>2</v>
      </c>
      <c r="S72" s="6">
        <v>2</v>
      </c>
      <c r="T72" s="6">
        <v>1</v>
      </c>
      <c r="U72" s="6">
        <v>1</v>
      </c>
      <c r="V72" s="6">
        <v>1</v>
      </c>
      <c r="W72" s="5">
        <f t="shared" si="23"/>
        <v>39</v>
      </c>
    </row>
    <row r="73" spans="1:23" x14ac:dyDescent="0.4">
      <c r="A73" s="7"/>
      <c r="B73" s="47"/>
      <c r="C73" s="24" t="s">
        <v>131</v>
      </c>
      <c r="D73" s="45"/>
      <c r="E73" s="6">
        <v>10</v>
      </c>
      <c r="F73" s="6">
        <v>10</v>
      </c>
      <c r="G73" s="6">
        <v>9</v>
      </c>
      <c r="H73" s="6">
        <v>15</v>
      </c>
      <c r="I73" s="6">
        <v>10</v>
      </c>
      <c r="J73" s="6">
        <v>7</v>
      </c>
      <c r="K73" s="6">
        <v>7</v>
      </c>
      <c r="L73" s="6">
        <v>11</v>
      </c>
      <c r="M73" s="6">
        <v>1</v>
      </c>
      <c r="N73" s="6">
        <v>21</v>
      </c>
      <c r="O73" s="6">
        <v>2</v>
      </c>
      <c r="P73" s="6">
        <v>13</v>
      </c>
      <c r="Q73" s="6">
        <v>8</v>
      </c>
      <c r="R73" s="6">
        <v>15</v>
      </c>
      <c r="S73" s="6">
        <v>13</v>
      </c>
      <c r="T73" s="6">
        <v>13</v>
      </c>
      <c r="U73" s="6">
        <v>13</v>
      </c>
      <c r="V73" s="6">
        <v>1</v>
      </c>
      <c r="W73" s="5">
        <f t="shared" si="23"/>
        <v>179</v>
      </c>
    </row>
    <row r="74" spans="1:23" ht="13.15" customHeight="1" x14ac:dyDescent="0.4">
      <c r="A74" s="7"/>
      <c r="B74" s="47"/>
      <c r="C74" s="24" t="s">
        <v>132</v>
      </c>
      <c r="D74" s="45"/>
      <c r="E74" s="6">
        <v>1</v>
      </c>
      <c r="F74" s="6">
        <v>2</v>
      </c>
      <c r="G74" s="6">
        <v>1</v>
      </c>
      <c r="H74" s="6">
        <v>2</v>
      </c>
      <c r="I74" s="6">
        <v>0</v>
      </c>
      <c r="J74" s="6">
        <v>11</v>
      </c>
      <c r="K74" s="6">
        <v>1</v>
      </c>
      <c r="L74" s="6">
        <v>0</v>
      </c>
      <c r="M74" s="6">
        <v>0</v>
      </c>
      <c r="N74" s="6">
        <v>1</v>
      </c>
      <c r="O74" s="6">
        <v>1</v>
      </c>
      <c r="P74" s="6">
        <v>2</v>
      </c>
      <c r="Q74" s="6">
        <v>0</v>
      </c>
      <c r="R74" s="6">
        <v>2</v>
      </c>
      <c r="S74" s="6">
        <v>4</v>
      </c>
      <c r="T74" s="6">
        <v>0</v>
      </c>
      <c r="U74" s="6">
        <v>1</v>
      </c>
      <c r="V74" s="6">
        <v>1</v>
      </c>
      <c r="W74" s="5">
        <f t="shared" si="23"/>
        <v>30</v>
      </c>
    </row>
    <row r="75" spans="1:23" x14ac:dyDescent="0.4">
      <c r="A75" s="7"/>
      <c r="B75" s="47"/>
      <c r="C75" s="24" t="s">
        <v>133</v>
      </c>
      <c r="D75" s="45"/>
      <c r="E75" s="6">
        <v>1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1</v>
      </c>
      <c r="V75" s="6">
        <v>1</v>
      </c>
      <c r="W75" s="5">
        <f t="shared" si="23"/>
        <v>5</v>
      </c>
    </row>
    <row r="76" spans="1:23" x14ac:dyDescent="0.4">
      <c r="A76" s="7"/>
      <c r="B76" s="47"/>
      <c r="C76" s="24" t="s">
        <v>134</v>
      </c>
      <c r="D76" s="45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0</v>
      </c>
      <c r="V76" s="6">
        <v>0</v>
      </c>
      <c r="W76" s="5">
        <f t="shared" si="23"/>
        <v>1</v>
      </c>
    </row>
    <row r="77" spans="1:23" x14ac:dyDescent="0.4">
      <c r="A77" s="7"/>
      <c r="B77" s="47"/>
      <c r="C77" s="24" t="s">
        <v>135</v>
      </c>
      <c r="D77" s="45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1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5">
        <f t="shared" si="23"/>
        <v>3</v>
      </c>
    </row>
    <row r="78" spans="1:23" x14ac:dyDescent="0.4">
      <c r="A78" s="7"/>
      <c r="B78" s="47"/>
      <c r="C78" s="24" t="s">
        <v>136</v>
      </c>
      <c r="D78" s="45"/>
      <c r="E78" s="6">
        <v>2</v>
      </c>
      <c r="F78" s="6">
        <v>0</v>
      </c>
      <c r="G78" s="6">
        <v>1</v>
      </c>
      <c r="H78" s="6">
        <v>0</v>
      </c>
      <c r="I78" s="6">
        <v>0</v>
      </c>
      <c r="J78" s="6">
        <v>1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5">
        <f t="shared" si="23"/>
        <v>5</v>
      </c>
    </row>
    <row r="79" spans="1:23" x14ac:dyDescent="0.4">
      <c r="A79" s="6" t="s">
        <v>26</v>
      </c>
      <c r="B79" s="74" t="s">
        <v>51</v>
      </c>
      <c r="C79" s="54"/>
      <c r="D79" s="55"/>
      <c r="E79" s="6">
        <f t="shared" ref="E79:W79" si="24">SUM(E69:E78)</f>
        <v>38</v>
      </c>
      <c r="F79" s="6">
        <f t="shared" si="24"/>
        <v>44</v>
      </c>
      <c r="G79" s="6">
        <f t="shared" si="24"/>
        <v>28</v>
      </c>
      <c r="H79" s="6">
        <f t="shared" si="24"/>
        <v>30</v>
      </c>
      <c r="I79" s="6">
        <f t="shared" si="24"/>
        <v>26</v>
      </c>
      <c r="J79" s="6">
        <f t="shared" si="24"/>
        <v>53</v>
      </c>
      <c r="K79" s="6">
        <f t="shared" si="24"/>
        <v>16</v>
      </c>
      <c r="L79" s="6">
        <f t="shared" si="24"/>
        <v>27</v>
      </c>
      <c r="M79" s="6">
        <f t="shared" si="24"/>
        <v>13</v>
      </c>
      <c r="N79" s="6">
        <f t="shared" si="24"/>
        <v>39</v>
      </c>
      <c r="O79" s="6">
        <f t="shared" si="24"/>
        <v>15</v>
      </c>
      <c r="P79" s="6">
        <f t="shared" si="24"/>
        <v>33</v>
      </c>
      <c r="Q79" s="6">
        <f t="shared" si="24"/>
        <v>32</v>
      </c>
      <c r="R79" s="6">
        <f t="shared" si="24"/>
        <v>44</v>
      </c>
      <c r="S79" s="6">
        <f t="shared" si="24"/>
        <v>46</v>
      </c>
      <c r="T79" s="6">
        <f t="shared" si="24"/>
        <v>32</v>
      </c>
      <c r="U79" s="6">
        <f t="shared" si="24"/>
        <v>33</v>
      </c>
      <c r="V79" s="6">
        <f t="shared" si="24"/>
        <v>37</v>
      </c>
      <c r="W79" s="6">
        <f t="shared" si="24"/>
        <v>586</v>
      </c>
    </row>
    <row r="80" spans="1:23" x14ac:dyDescent="0.4">
      <c r="A80" s="81"/>
      <c r="B80" s="80"/>
      <c r="C80" s="80"/>
      <c r="D80" s="80"/>
      <c r="E80" s="80"/>
    </row>
    <row r="81" spans="1:23" x14ac:dyDescent="0.4">
      <c r="A81" s="11" t="s">
        <v>48</v>
      </c>
      <c r="B81" s="17" t="s">
        <v>34</v>
      </c>
      <c r="C81" s="83" t="s">
        <v>54</v>
      </c>
      <c r="D81" s="55"/>
      <c r="E81" s="6">
        <v>7</v>
      </c>
      <c r="F81" s="6">
        <v>3</v>
      </c>
      <c r="G81" s="6">
        <v>6</v>
      </c>
      <c r="H81" s="6">
        <v>5</v>
      </c>
      <c r="I81" s="6">
        <v>5</v>
      </c>
      <c r="J81" s="6">
        <v>9</v>
      </c>
      <c r="K81" s="6">
        <v>6</v>
      </c>
      <c r="L81" s="6">
        <v>22</v>
      </c>
      <c r="M81" s="6">
        <v>5</v>
      </c>
      <c r="N81" s="6">
        <v>6</v>
      </c>
      <c r="O81" s="6">
        <v>4</v>
      </c>
      <c r="P81" s="6">
        <v>8</v>
      </c>
      <c r="Q81" s="6">
        <v>4</v>
      </c>
      <c r="R81" s="6">
        <v>10</v>
      </c>
      <c r="S81" s="6">
        <v>9</v>
      </c>
      <c r="T81" s="6">
        <v>2</v>
      </c>
      <c r="U81" s="6">
        <v>21</v>
      </c>
      <c r="V81" s="6">
        <v>18</v>
      </c>
      <c r="W81" s="5">
        <f t="shared" ref="W81:W90" si="25">SUM(E81:V81)</f>
        <v>150</v>
      </c>
    </row>
    <row r="82" spans="1:23" x14ac:dyDescent="0.4">
      <c r="A82" s="11" t="s">
        <v>50</v>
      </c>
      <c r="B82" s="47"/>
      <c r="C82" s="24" t="s">
        <v>137</v>
      </c>
      <c r="D82" s="45"/>
      <c r="E82" s="6">
        <v>11</v>
      </c>
      <c r="F82" s="6">
        <v>14</v>
      </c>
      <c r="G82" s="6">
        <v>9</v>
      </c>
      <c r="H82" s="6">
        <v>6</v>
      </c>
      <c r="I82" s="6">
        <v>5</v>
      </c>
      <c r="J82" s="6">
        <v>26</v>
      </c>
      <c r="K82" s="6">
        <v>5</v>
      </c>
      <c r="L82" s="6">
        <v>52</v>
      </c>
      <c r="M82" s="6">
        <v>23</v>
      </c>
      <c r="N82" s="6">
        <v>11</v>
      </c>
      <c r="O82" s="6">
        <v>36</v>
      </c>
      <c r="P82" s="6">
        <v>8</v>
      </c>
      <c r="Q82" s="6">
        <v>6</v>
      </c>
      <c r="R82" s="6">
        <v>9</v>
      </c>
      <c r="S82" s="6">
        <v>6</v>
      </c>
      <c r="T82" s="6">
        <v>9</v>
      </c>
      <c r="U82" s="6">
        <v>9</v>
      </c>
      <c r="V82" s="6">
        <v>51</v>
      </c>
      <c r="W82" s="5">
        <f t="shared" si="25"/>
        <v>296</v>
      </c>
    </row>
    <row r="83" spans="1:23" x14ac:dyDescent="0.4">
      <c r="A83" s="7"/>
      <c r="B83" s="47"/>
      <c r="C83" s="24" t="s">
        <v>138</v>
      </c>
      <c r="D83" s="45"/>
      <c r="E83" s="6">
        <v>0</v>
      </c>
      <c r="F83" s="6">
        <v>0</v>
      </c>
      <c r="G83" s="6">
        <v>1</v>
      </c>
      <c r="H83" s="6">
        <v>1</v>
      </c>
      <c r="I83" s="6">
        <v>1</v>
      </c>
      <c r="J83" s="6">
        <v>3</v>
      </c>
      <c r="K83" s="6">
        <v>1</v>
      </c>
      <c r="L83" s="6">
        <v>3</v>
      </c>
      <c r="M83" s="6">
        <v>0</v>
      </c>
      <c r="N83" s="6">
        <v>1</v>
      </c>
      <c r="O83" s="6">
        <v>1</v>
      </c>
      <c r="P83" s="6">
        <v>2</v>
      </c>
      <c r="Q83" s="6">
        <v>1</v>
      </c>
      <c r="R83" s="6">
        <v>7</v>
      </c>
      <c r="S83" s="6">
        <v>14</v>
      </c>
      <c r="T83" s="6">
        <v>6</v>
      </c>
      <c r="U83" s="6">
        <v>3</v>
      </c>
      <c r="V83" s="6">
        <v>3</v>
      </c>
      <c r="W83" s="5">
        <f t="shared" si="25"/>
        <v>48</v>
      </c>
    </row>
    <row r="84" spans="1:23" x14ac:dyDescent="0.4">
      <c r="A84" s="7"/>
      <c r="B84" s="47"/>
      <c r="C84" s="24" t="s">
        <v>139</v>
      </c>
      <c r="D84" s="45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4</v>
      </c>
      <c r="M84" s="6">
        <v>0</v>
      </c>
      <c r="N84" s="6">
        <v>1</v>
      </c>
      <c r="O84" s="6">
        <v>0</v>
      </c>
      <c r="P84" s="6">
        <v>3</v>
      </c>
      <c r="Q84" s="6">
        <v>1</v>
      </c>
      <c r="R84" s="6">
        <v>2</v>
      </c>
      <c r="S84" s="6">
        <v>2</v>
      </c>
      <c r="T84" s="6">
        <v>1</v>
      </c>
      <c r="U84" s="6">
        <v>0</v>
      </c>
      <c r="V84" s="6">
        <v>1</v>
      </c>
      <c r="W84" s="5">
        <f t="shared" si="25"/>
        <v>16</v>
      </c>
    </row>
    <row r="85" spans="1:23" ht="13.15" customHeight="1" x14ac:dyDescent="0.4">
      <c r="A85" s="7"/>
      <c r="B85" s="47"/>
      <c r="C85" s="24" t="s">
        <v>140</v>
      </c>
      <c r="D85" s="45"/>
      <c r="E85" s="6">
        <v>1</v>
      </c>
      <c r="F85" s="6">
        <v>0</v>
      </c>
      <c r="G85" s="6">
        <v>1</v>
      </c>
      <c r="H85" s="6">
        <v>2</v>
      </c>
      <c r="I85" s="6">
        <v>1</v>
      </c>
      <c r="J85" s="6">
        <v>3</v>
      </c>
      <c r="K85" s="6">
        <v>0</v>
      </c>
      <c r="L85" s="6">
        <v>0</v>
      </c>
      <c r="M85" s="6">
        <v>0</v>
      </c>
      <c r="N85" s="6">
        <v>0</v>
      </c>
      <c r="O85" s="6">
        <v>3</v>
      </c>
      <c r="P85" s="6">
        <v>3</v>
      </c>
      <c r="Q85" s="6">
        <v>1</v>
      </c>
      <c r="R85" s="6">
        <v>0</v>
      </c>
      <c r="S85" s="6">
        <v>2</v>
      </c>
      <c r="T85" s="6">
        <v>0</v>
      </c>
      <c r="U85" s="6">
        <v>2</v>
      </c>
      <c r="V85" s="6">
        <v>1</v>
      </c>
      <c r="W85" s="5">
        <f t="shared" si="25"/>
        <v>20</v>
      </c>
    </row>
    <row r="86" spans="1:23" x14ac:dyDescent="0.4">
      <c r="A86" s="7"/>
      <c r="B86" s="47"/>
      <c r="C86" s="24" t="s">
        <v>141</v>
      </c>
      <c r="D86" s="45"/>
      <c r="E86" s="6">
        <v>1</v>
      </c>
      <c r="F86" s="6">
        <v>0</v>
      </c>
      <c r="G86" s="6">
        <v>2</v>
      </c>
      <c r="H86" s="6">
        <v>1</v>
      </c>
      <c r="I86" s="6">
        <v>1</v>
      </c>
      <c r="J86" s="6">
        <v>0</v>
      </c>
      <c r="K86" s="6">
        <v>1</v>
      </c>
      <c r="L86" s="6">
        <v>0</v>
      </c>
      <c r="M86" s="6">
        <v>0</v>
      </c>
      <c r="N86" s="6">
        <v>2</v>
      </c>
      <c r="O86" s="6">
        <v>2</v>
      </c>
      <c r="P86" s="6">
        <v>1</v>
      </c>
      <c r="Q86" s="6">
        <v>2</v>
      </c>
      <c r="R86" s="6">
        <v>1</v>
      </c>
      <c r="S86" s="6">
        <v>0</v>
      </c>
      <c r="T86" s="6">
        <v>3</v>
      </c>
      <c r="U86" s="6">
        <v>3</v>
      </c>
      <c r="V86" s="6">
        <v>0</v>
      </c>
      <c r="W86" s="5">
        <f t="shared" si="25"/>
        <v>20</v>
      </c>
    </row>
    <row r="87" spans="1:23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1</v>
      </c>
      <c r="T87" s="6">
        <v>1</v>
      </c>
      <c r="U87" s="6">
        <v>0</v>
      </c>
      <c r="V87" s="6">
        <v>0</v>
      </c>
      <c r="W87" s="5">
        <f t="shared" si="25"/>
        <v>2</v>
      </c>
    </row>
    <row r="88" spans="1:23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1</v>
      </c>
      <c r="U88" s="6">
        <v>1</v>
      </c>
      <c r="V88" s="6">
        <v>1</v>
      </c>
      <c r="W88" s="5">
        <f t="shared" si="25"/>
        <v>4</v>
      </c>
    </row>
    <row r="89" spans="1:23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2</v>
      </c>
      <c r="N89" s="6">
        <v>0</v>
      </c>
      <c r="O89" s="6">
        <v>0</v>
      </c>
      <c r="P89" s="6">
        <v>0</v>
      </c>
      <c r="Q89" s="6">
        <v>0</v>
      </c>
      <c r="R89" s="6">
        <v>1</v>
      </c>
      <c r="S89" s="6">
        <v>0</v>
      </c>
      <c r="T89" s="6">
        <v>0</v>
      </c>
      <c r="U89" s="6">
        <v>1</v>
      </c>
      <c r="V89" s="6">
        <v>0</v>
      </c>
      <c r="W89" s="5">
        <f t="shared" si="25"/>
        <v>4</v>
      </c>
    </row>
    <row r="90" spans="1:23" x14ac:dyDescent="0.4">
      <c r="A90" s="7"/>
      <c r="B90" s="47"/>
      <c r="C90" s="24" t="s">
        <v>145</v>
      </c>
      <c r="D90" s="45"/>
      <c r="E90" s="6">
        <v>0</v>
      </c>
      <c r="F90" s="6">
        <v>1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2</v>
      </c>
      <c r="Q90" s="6">
        <v>1</v>
      </c>
      <c r="R90" s="6">
        <v>0</v>
      </c>
      <c r="S90" s="6">
        <v>0</v>
      </c>
      <c r="T90" s="6">
        <v>2</v>
      </c>
      <c r="U90" s="6">
        <v>0</v>
      </c>
      <c r="V90" s="6">
        <v>0</v>
      </c>
      <c r="W90" s="5">
        <f t="shared" si="25"/>
        <v>7</v>
      </c>
    </row>
    <row r="91" spans="1:23" x14ac:dyDescent="0.4">
      <c r="A91" s="6" t="s">
        <v>26</v>
      </c>
      <c r="B91" s="74" t="s">
        <v>51</v>
      </c>
      <c r="C91" s="54"/>
      <c r="D91" s="55"/>
      <c r="E91" s="6">
        <f t="shared" ref="E91:W91" si="26">SUM(E81:E90)</f>
        <v>20</v>
      </c>
      <c r="F91" s="6">
        <f t="shared" si="26"/>
        <v>18</v>
      </c>
      <c r="G91" s="6">
        <f t="shared" si="26"/>
        <v>19</v>
      </c>
      <c r="H91" s="6">
        <f t="shared" si="26"/>
        <v>16</v>
      </c>
      <c r="I91" s="6">
        <f t="shared" si="26"/>
        <v>15</v>
      </c>
      <c r="J91" s="6">
        <f t="shared" si="26"/>
        <v>41</v>
      </c>
      <c r="K91" s="6">
        <f t="shared" si="26"/>
        <v>13</v>
      </c>
      <c r="L91" s="6">
        <f t="shared" si="26"/>
        <v>81</v>
      </c>
      <c r="M91" s="6">
        <f t="shared" si="26"/>
        <v>30</v>
      </c>
      <c r="N91" s="6">
        <f t="shared" si="26"/>
        <v>21</v>
      </c>
      <c r="O91" s="6">
        <f t="shared" si="26"/>
        <v>46</v>
      </c>
      <c r="P91" s="6">
        <f t="shared" si="26"/>
        <v>27</v>
      </c>
      <c r="Q91" s="6">
        <f t="shared" si="26"/>
        <v>16</v>
      </c>
      <c r="R91" s="6">
        <f t="shared" si="26"/>
        <v>30</v>
      </c>
      <c r="S91" s="6">
        <f t="shared" si="26"/>
        <v>34</v>
      </c>
      <c r="T91" s="6">
        <f t="shared" si="26"/>
        <v>25</v>
      </c>
      <c r="U91" s="6">
        <f t="shared" si="26"/>
        <v>40</v>
      </c>
      <c r="V91" s="6">
        <f t="shared" si="26"/>
        <v>75</v>
      </c>
      <c r="W91" s="6">
        <f t="shared" si="26"/>
        <v>567</v>
      </c>
    </row>
    <row r="92" spans="1:23" x14ac:dyDescent="0.4">
      <c r="A92" s="81"/>
      <c r="B92" s="80"/>
      <c r="C92" s="80"/>
      <c r="D92" s="80"/>
      <c r="E92" s="80"/>
    </row>
    <row r="93" spans="1:23" x14ac:dyDescent="0.4">
      <c r="A93" s="11" t="s">
        <v>48</v>
      </c>
      <c r="B93" s="17" t="s">
        <v>55</v>
      </c>
      <c r="C93" s="83" t="s">
        <v>56</v>
      </c>
      <c r="D93" s="55"/>
      <c r="E93" s="6">
        <v>1</v>
      </c>
      <c r="F93" s="6">
        <v>2</v>
      </c>
      <c r="G93" s="6">
        <v>2</v>
      </c>
      <c r="H93" s="6">
        <v>2</v>
      </c>
      <c r="I93" s="6">
        <v>3</v>
      </c>
      <c r="J93" s="6">
        <v>1</v>
      </c>
      <c r="K93" s="6">
        <v>3</v>
      </c>
      <c r="L93" s="6">
        <v>0</v>
      </c>
      <c r="M93" s="6">
        <v>1</v>
      </c>
      <c r="N93" s="6">
        <v>0</v>
      </c>
      <c r="O93" s="6">
        <v>0</v>
      </c>
      <c r="P93" s="6">
        <v>3</v>
      </c>
      <c r="Q93" s="6">
        <v>1</v>
      </c>
      <c r="R93" s="6">
        <v>4</v>
      </c>
      <c r="S93" s="6">
        <v>5</v>
      </c>
      <c r="T93" s="6">
        <v>6</v>
      </c>
      <c r="U93" s="6">
        <v>2</v>
      </c>
      <c r="V93" s="6">
        <v>0</v>
      </c>
      <c r="W93" s="5">
        <f t="shared" ref="W93:W102" si="27">SUM(E93:V93)</f>
        <v>36</v>
      </c>
    </row>
    <row r="94" spans="1:23" x14ac:dyDescent="0.4">
      <c r="A94" s="11" t="s">
        <v>50</v>
      </c>
      <c r="B94" s="47"/>
      <c r="C94" s="24" t="s">
        <v>146</v>
      </c>
      <c r="D94" s="45"/>
      <c r="E94" s="6">
        <v>3</v>
      </c>
      <c r="F94" s="6">
        <v>2</v>
      </c>
      <c r="G94" s="6">
        <v>1</v>
      </c>
      <c r="H94" s="6">
        <v>1</v>
      </c>
      <c r="I94" s="6">
        <v>0</v>
      </c>
      <c r="J94" s="6">
        <v>1</v>
      </c>
      <c r="K94" s="6">
        <v>1</v>
      </c>
      <c r="L94" s="6">
        <v>2</v>
      </c>
      <c r="M94" s="6">
        <v>0</v>
      </c>
      <c r="N94" s="6">
        <v>1</v>
      </c>
      <c r="O94" s="6">
        <v>1</v>
      </c>
      <c r="P94" s="6">
        <v>1</v>
      </c>
      <c r="Q94" s="6">
        <v>2</v>
      </c>
      <c r="R94" s="6">
        <v>10</v>
      </c>
      <c r="S94" s="6">
        <v>2</v>
      </c>
      <c r="T94" s="6">
        <v>1</v>
      </c>
      <c r="U94" s="6">
        <v>0</v>
      </c>
      <c r="V94" s="6">
        <v>2</v>
      </c>
      <c r="W94" s="5">
        <f t="shared" si="27"/>
        <v>31</v>
      </c>
    </row>
    <row r="95" spans="1:23" x14ac:dyDescent="0.4">
      <c r="A95" s="7"/>
      <c r="B95" s="47"/>
      <c r="C95" s="24" t="s">
        <v>147</v>
      </c>
      <c r="D95" s="45"/>
      <c r="E95" s="6">
        <v>1</v>
      </c>
      <c r="F95" s="6">
        <v>1</v>
      </c>
      <c r="G95" s="6">
        <v>1</v>
      </c>
      <c r="H95" s="6">
        <v>0</v>
      </c>
      <c r="I95" s="6">
        <v>1</v>
      </c>
      <c r="J95" s="6">
        <v>0</v>
      </c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1</v>
      </c>
      <c r="Q95" s="6">
        <v>0</v>
      </c>
      <c r="R95" s="6">
        <v>2</v>
      </c>
      <c r="S95" s="6">
        <v>1</v>
      </c>
      <c r="T95" s="6">
        <v>4</v>
      </c>
      <c r="U95" s="6">
        <v>0</v>
      </c>
      <c r="V95" s="6">
        <v>1</v>
      </c>
      <c r="W95" s="5">
        <f t="shared" si="27"/>
        <v>14</v>
      </c>
    </row>
    <row r="96" spans="1:23" ht="13.15" customHeight="1" x14ac:dyDescent="0.4">
      <c r="A96" s="7"/>
      <c r="B96" s="47"/>
      <c r="C96" s="24" t="s">
        <v>148</v>
      </c>
      <c r="D96" s="45"/>
      <c r="E96" s="6">
        <v>1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1</v>
      </c>
      <c r="S96" s="6">
        <v>1</v>
      </c>
      <c r="T96" s="6">
        <v>0</v>
      </c>
      <c r="U96" s="6">
        <v>0</v>
      </c>
      <c r="V96" s="6">
        <v>0</v>
      </c>
      <c r="W96" s="5">
        <f t="shared" si="27"/>
        <v>6</v>
      </c>
    </row>
    <row r="97" spans="1:23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1</v>
      </c>
      <c r="H97" s="6">
        <v>0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2</v>
      </c>
      <c r="Q97" s="6">
        <v>0</v>
      </c>
      <c r="R97" s="6">
        <v>1</v>
      </c>
      <c r="S97" s="6">
        <v>0</v>
      </c>
      <c r="T97" s="6">
        <v>0</v>
      </c>
      <c r="U97" s="6">
        <v>0</v>
      </c>
      <c r="V97" s="6">
        <v>0</v>
      </c>
      <c r="W97" s="5">
        <f t="shared" si="27"/>
        <v>7</v>
      </c>
    </row>
    <row r="98" spans="1:23" x14ac:dyDescent="0.4">
      <c r="A98" s="7"/>
      <c r="B98" s="47"/>
      <c r="C98" s="24" t="s">
        <v>150</v>
      </c>
      <c r="D98" s="45"/>
      <c r="E98" s="6">
        <v>0</v>
      </c>
      <c r="F98" s="6">
        <v>1</v>
      </c>
      <c r="G98" s="6">
        <v>0</v>
      </c>
      <c r="H98" s="6">
        <v>0</v>
      </c>
      <c r="I98" s="6">
        <v>3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2</v>
      </c>
      <c r="V98" s="6">
        <v>0</v>
      </c>
      <c r="W98" s="5">
        <f t="shared" si="27"/>
        <v>7</v>
      </c>
    </row>
    <row r="99" spans="1:23" x14ac:dyDescent="0.4">
      <c r="A99" s="7"/>
      <c r="B99" s="47"/>
      <c r="C99" s="24" t="s">
        <v>151</v>
      </c>
      <c r="D99" s="45"/>
      <c r="E99" s="6">
        <v>2</v>
      </c>
      <c r="F99" s="6">
        <v>0</v>
      </c>
      <c r="G99" s="6">
        <v>1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4</v>
      </c>
      <c r="Q99" s="6">
        <v>1</v>
      </c>
      <c r="R99" s="6">
        <v>1</v>
      </c>
      <c r="S99" s="6">
        <v>1</v>
      </c>
      <c r="T99" s="6">
        <v>2</v>
      </c>
      <c r="U99" s="6">
        <v>2</v>
      </c>
      <c r="V99" s="6">
        <v>0</v>
      </c>
      <c r="W99" s="5">
        <f t="shared" si="27"/>
        <v>16</v>
      </c>
    </row>
    <row r="100" spans="1:23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1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5">
        <f t="shared" si="27"/>
        <v>2</v>
      </c>
    </row>
    <row r="101" spans="1:23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5">
        <f t="shared" si="27"/>
        <v>0</v>
      </c>
    </row>
    <row r="102" spans="1:23" x14ac:dyDescent="0.4">
      <c r="A102" s="7"/>
      <c r="B102" s="47"/>
      <c r="C102" s="24" t="s">
        <v>154</v>
      </c>
      <c r="D102" s="45"/>
      <c r="E102" s="6">
        <v>0</v>
      </c>
      <c r="F102" s="6">
        <v>1</v>
      </c>
      <c r="G102" s="6">
        <v>1</v>
      </c>
      <c r="H102" s="6">
        <v>0</v>
      </c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5">
        <f t="shared" si="27"/>
        <v>4</v>
      </c>
    </row>
    <row r="103" spans="1:23" x14ac:dyDescent="0.4">
      <c r="A103" s="6" t="s">
        <v>26</v>
      </c>
      <c r="B103" s="74" t="s">
        <v>51</v>
      </c>
      <c r="C103" s="54"/>
      <c r="D103" s="55"/>
      <c r="E103" s="6">
        <f t="shared" ref="E103:W103" si="28">SUM(E93:E102)</f>
        <v>8</v>
      </c>
      <c r="F103" s="6">
        <f t="shared" si="28"/>
        <v>9</v>
      </c>
      <c r="G103" s="6">
        <f t="shared" si="28"/>
        <v>7</v>
      </c>
      <c r="H103" s="6">
        <f t="shared" si="28"/>
        <v>4</v>
      </c>
      <c r="I103" s="6">
        <f t="shared" si="28"/>
        <v>8</v>
      </c>
      <c r="J103" s="6">
        <f t="shared" si="28"/>
        <v>4</v>
      </c>
      <c r="K103" s="6">
        <f t="shared" si="28"/>
        <v>4</v>
      </c>
      <c r="L103" s="6">
        <f t="shared" si="28"/>
        <v>2</v>
      </c>
      <c r="M103" s="6">
        <f t="shared" si="28"/>
        <v>1</v>
      </c>
      <c r="N103" s="6">
        <f t="shared" si="28"/>
        <v>3</v>
      </c>
      <c r="O103" s="6">
        <f t="shared" si="28"/>
        <v>2</v>
      </c>
      <c r="P103" s="6">
        <f t="shared" si="28"/>
        <v>12</v>
      </c>
      <c r="Q103" s="6">
        <f t="shared" si="28"/>
        <v>6</v>
      </c>
      <c r="R103" s="6">
        <f t="shared" si="28"/>
        <v>21</v>
      </c>
      <c r="S103" s="6">
        <f t="shared" si="28"/>
        <v>10</v>
      </c>
      <c r="T103" s="6">
        <f t="shared" si="28"/>
        <v>13</v>
      </c>
      <c r="U103" s="6">
        <f t="shared" si="28"/>
        <v>6</v>
      </c>
      <c r="V103" s="6">
        <f t="shared" si="28"/>
        <v>3</v>
      </c>
      <c r="W103" s="6">
        <f t="shared" si="28"/>
        <v>123</v>
      </c>
    </row>
    <row r="104" spans="1:23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x14ac:dyDescent="0.4">
      <c r="A105" s="11" t="s">
        <v>48</v>
      </c>
      <c r="B105" s="17" t="s">
        <v>57</v>
      </c>
      <c r="C105" s="83" t="s">
        <v>58</v>
      </c>
      <c r="D105" s="55"/>
      <c r="E105" s="6">
        <v>3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5</v>
      </c>
      <c r="Q105" s="6">
        <v>1</v>
      </c>
      <c r="R105" s="6">
        <v>0</v>
      </c>
      <c r="S105" s="6">
        <v>0</v>
      </c>
      <c r="T105" s="6">
        <v>0</v>
      </c>
      <c r="U105" s="6">
        <v>2</v>
      </c>
      <c r="V105" s="6">
        <v>0</v>
      </c>
      <c r="W105" s="5">
        <f>SUM(E105:V105)</f>
        <v>13</v>
      </c>
    </row>
    <row r="106" spans="1:23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1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1</v>
      </c>
      <c r="R106" s="6">
        <v>0</v>
      </c>
      <c r="S106" s="6">
        <v>0</v>
      </c>
      <c r="T106" s="6">
        <v>0</v>
      </c>
      <c r="U106" s="6">
        <v>1</v>
      </c>
      <c r="V106" s="6">
        <v>1</v>
      </c>
      <c r="W106" s="5">
        <f>SUM(E106:V106)</f>
        <v>6</v>
      </c>
    </row>
    <row r="107" spans="1:23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5">
        <f>SUM(E107:V107)</f>
        <v>1</v>
      </c>
    </row>
    <row r="108" spans="1:23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W108" si="29">SUM(E105:E107)</f>
        <v>3</v>
      </c>
      <c r="F108" s="6">
        <f t="shared" si="29"/>
        <v>1</v>
      </c>
      <c r="G108" s="6">
        <f t="shared" si="29"/>
        <v>1</v>
      </c>
      <c r="H108" s="6">
        <f t="shared" si="29"/>
        <v>1</v>
      </c>
      <c r="I108" s="6">
        <f t="shared" si="29"/>
        <v>0</v>
      </c>
      <c r="J108" s="6">
        <f t="shared" si="29"/>
        <v>1</v>
      </c>
      <c r="K108" s="6">
        <f t="shared" si="29"/>
        <v>0</v>
      </c>
      <c r="L108" s="6">
        <f t="shared" si="29"/>
        <v>0</v>
      </c>
      <c r="M108" s="6">
        <f t="shared" si="29"/>
        <v>0</v>
      </c>
      <c r="N108" s="6">
        <f t="shared" si="29"/>
        <v>0</v>
      </c>
      <c r="O108" s="6">
        <f t="shared" si="29"/>
        <v>2</v>
      </c>
      <c r="P108" s="6">
        <f t="shared" si="29"/>
        <v>5</v>
      </c>
      <c r="Q108" s="6">
        <f t="shared" si="29"/>
        <v>2</v>
      </c>
      <c r="R108" s="6">
        <f t="shared" si="29"/>
        <v>0</v>
      </c>
      <c r="S108" s="6">
        <f t="shared" si="29"/>
        <v>0</v>
      </c>
      <c r="T108" s="6">
        <f t="shared" si="29"/>
        <v>0</v>
      </c>
      <c r="U108" s="6">
        <f t="shared" si="29"/>
        <v>3</v>
      </c>
      <c r="V108" s="6">
        <f t="shared" si="29"/>
        <v>1</v>
      </c>
      <c r="W108" s="6">
        <f t="shared" si="29"/>
        <v>20</v>
      </c>
    </row>
    <row r="109" spans="1:23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5"/>
    </row>
    <row r="110" spans="1:23" x14ac:dyDescent="0.4">
      <c r="A110" s="11" t="s">
        <v>48</v>
      </c>
      <c r="B110" s="17" t="s">
        <v>59</v>
      </c>
      <c r="C110" s="83" t="s">
        <v>60</v>
      </c>
      <c r="D110" s="55"/>
      <c r="E110" s="6">
        <v>1</v>
      </c>
      <c r="F110" s="6">
        <v>2</v>
      </c>
      <c r="G110" s="6">
        <v>0</v>
      </c>
      <c r="H110" s="6">
        <v>1</v>
      </c>
      <c r="I110" s="6">
        <v>6</v>
      </c>
      <c r="J110" s="6">
        <v>3</v>
      </c>
      <c r="K110" s="6">
        <v>0</v>
      </c>
      <c r="L110" s="6">
        <v>1</v>
      </c>
      <c r="M110" s="6">
        <v>0</v>
      </c>
      <c r="N110" s="6">
        <v>2</v>
      </c>
      <c r="O110" s="6">
        <v>0</v>
      </c>
      <c r="P110" s="6">
        <v>0</v>
      </c>
      <c r="Q110" s="6">
        <v>0</v>
      </c>
      <c r="R110" s="6">
        <v>0</v>
      </c>
      <c r="S110" s="6">
        <v>2</v>
      </c>
      <c r="T110" s="6">
        <v>0</v>
      </c>
      <c r="U110" s="6">
        <v>0</v>
      </c>
      <c r="V110" s="6">
        <v>0</v>
      </c>
      <c r="W110" s="5">
        <f t="shared" ref="W110:W115" si="30">SUM(E110:V110)</f>
        <v>18</v>
      </c>
    </row>
    <row r="111" spans="1:23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2</v>
      </c>
      <c r="L111" s="6">
        <v>1</v>
      </c>
      <c r="M111" s="6">
        <v>0</v>
      </c>
      <c r="N111" s="6">
        <v>1</v>
      </c>
      <c r="O111" s="6">
        <v>1</v>
      </c>
      <c r="P111" s="6">
        <v>0</v>
      </c>
      <c r="Q111" s="6">
        <v>0</v>
      </c>
      <c r="R111" s="6">
        <v>0</v>
      </c>
      <c r="S111" s="6"/>
      <c r="T111" s="6">
        <v>3</v>
      </c>
      <c r="U111" s="6">
        <v>0</v>
      </c>
      <c r="V111" s="6">
        <v>1</v>
      </c>
      <c r="W111" s="5">
        <f t="shared" si="30"/>
        <v>9</v>
      </c>
    </row>
    <row r="112" spans="1:23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0</v>
      </c>
      <c r="I112" s="6">
        <v>1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1</v>
      </c>
      <c r="W112" s="5">
        <f t="shared" si="30"/>
        <v>3</v>
      </c>
    </row>
    <row r="113" spans="1:23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/>
      <c r="T113" s="6">
        <v>0</v>
      </c>
      <c r="U113" s="6">
        <v>0</v>
      </c>
      <c r="V113" s="6">
        <v>0</v>
      </c>
      <c r="W113" s="5">
        <f t="shared" si="30"/>
        <v>0</v>
      </c>
    </row>
    <row r="114" spans="1:23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1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/>
      <c r="T114" s="6">
        <v>0</v>
      </c>
      <c r="U114" s="6">
        <v>0</v>
      </c>
      <c r="V114" s="6">
        <v>0</v>
      </c>
      <c r="W114" s="5">
        <f t="shared" si="30"/>
        <v>1</v>
      </c>
    </row>
    <row r="115" spans="1:23" x14ac:dyDescent="0.4">
      <c r="A115" s="7"/>
      <c r="B115" s="47"/>
      <c r="C115" s="24" t="s">
        <v>161</v>
      </c>
      <c r="D115" s="45"/>
      <c r="E115" s="6">
        <v>1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/>
      <c r="T115" s="6">
        <v>0</v>
      </c>
      <c r="U115" s="6">
        <v>0</v>
      </c>
      <c r="V115" s="6">
        <v>1</v>
      </c>
      <c r="W115" s="5">
        <f t="shared" si="30"/>
        <v>4</v>
      </c>
    </row>
    <row r="116" spans="1:23" x14ac:dyDescent="0.4">
      <c r="A116" s="6" t="s">
        <v>26</v>
      </c>
      <c r="B116" s="74" t="s">
        <v>51</v>
      </c>
      <c r="C116" s="84"/>
      <c r="D116" s="85"/>
      <c r="E116" s="6">
        <f t="shared" ref="E116:W116" si="31">SUM(E110:E115)</f>
        <v>2</v>
      </c>
      <c r="F116" s="6">
        <f t="shared" si="31"/>
        <v>2</v>
      </c>
      <c r="G116" s="6">
        <f t="shared" si="31"/>
        <v>0</v>
      </c>
      <c r="H116" s="6">
        <f t="shared" si="31"/>
        <v>1</v>
      </c>
      <c r="I116" s="6">
        <f t="shared" si="31"/>
        <v>8</v>
      </c>
      <c r="J116" s="6">
        <f t="shared" si="31"/>
        <v>4</v>
      </c>
      <c r="K116" s="6">
        <f t="shared" si="31"/>
        <v>3</v>
      </c>
      <c r="L116" s="6">
        <f t="shared" si="31"/>
        <v>2</v>
      </c>
      <c r="M116" s="6">
        <f t="shared" si="31"/>
        <v>0</v>
      </c>
      <c r="N116" s="6">
        <f t="shared" si="31"/>
        <v>3</v>
      </c>
      <c r="O116" s="6">
        <f t="shared" si="31"/>
        <v>1</v>
      </c>
      <c r="P116" s="6">
        <f t="shared" si="31"/>
        <v>0</v>
      </c>
      <c r="Q116" s="6">
        <f t="shared" si="31"/>
        <v>0</v>
      </c>
      <c r="R116" s="6">
        <f t="shared" si="31"/>
        <v>0</v>
      </c>
      <c r="S116" s="6">
        <f t="shared" si="31"/>
        <v>3</v>
      </c>
      <c r="T116" s="6">
        <f t="shared" si="31"/>
        <v>3</v>
      </c>
      <c r="U116" s="6">
        <f t="shared" si="31"/>
        <v>0</v>
      </c>
      <c r="V116" s="6">
        <f t="shared" si="31"/>
        <v>3</v>
      </c>
      <c r="W116" s="6">
        <f t="shared" si="31"/>
        <v>35</v>
      </c>
    </row>
    <row r="117" spans="1:23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x14ac:dyDescent="0.4">
      <c r="A118" s="11" t="s">
        <v>48</v>
      </c>
      <c r="B118" s="17" t="s">
        <v>61</v>
      </c>
      <c r="C118" s="83" t="s">
        <v>62</v>
      </c>
      <c r="D118" s="55"/>
      <c r="E118" s="6">
        <v>2</v>
      </c>
      <c r="F118" s="6">
        <v>3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2</v>
      </c>
      <c r="N118" s="6">
        <v>7</v>
      </c>
      <c r="O118" s="6">
        <v>2</v>
      </c>
      <c r="P118" s="6">
        <v>2</v>
      </c>
      <c r="Q118" s="6">
        <v>2</v>
      </c>
      <c r="R118" s="6">
        <v>0</v>
      </c>
      <c r="S118" s="6">
        <v>0</v>
      </c>
      <c r="T118" s="6">
        <v>1</v>
      </c>
      <c r="U118" s="6">
        <v>2</v>
      </c>
      <c r="V118" s="6">
        <v>3</v>
      </c>
      <c r="W118" s="5">
        <f t="shared" ref="W118:W127" si="32">SUM(E118:V118)</f>
        <v>28</v>
      </c>
    </row>
    <row r="119" spans="1:23" ht="13.15" customHeight="1" x14ac:dyDescent="0.4">
      <c r="A119" s="11" t="s">
        <v>50</v>
      </c>
      <c r="B119" s="47"/>
      <c r="C119" s="24" t="s">
        <v>162</v>
      </c>
      <c r="D119" s="48"/>
      <c r="E119" s="6">
        <v>1</v>
      </c>
      <c r="F119" s="6">
        <v>2</v>
      </c>
      <c r="G119" s="6">
        <v>1</v>
      </c>
      <c r="H119" s="6">
        <v>1</v>
      </c>
      <c r="I119" s="6">
        <v>0</v>
      </c>
      <c r="J119" s="6">
        <v>1</v>
      </c>
      <c r="K119" s="6">
        <v>1</v>
      </c>
      <c r="L119" s="6">
        <v>0</v>
      </c>
      <c r="M119" s="6">
        <v>0</v>
      </c>
      <c r="N119" s="6">
        <v>1</v>
      </c>
      <c r="O119" s="6">
        <v>0</v>
      </c>
      <c r="P119" s="6">
        <v>4</v>
      </c>
      <c r="Q119" s="6">
        <v>1</v>
      </c>
      <c r="R119" s="6">
        <v>0</v>
      </c>
      <c r="S119" s="6">
        <v>0</v>
      </c>
      <c r="T119" s="6">
        <v>2</v>
      </c>
      <c r="U119" s="6">
        <v>2</v>
      </c>
      <c r="V119" s="6">
        <v>4</v>
      </c>
      <c r="W119" s="5">
        <f t="shared" si="32"/>
        <v>21</v>
      </c>
    </row>
    <row r="120" spans="1:23" x14ac:dyDescent="0.4">
      <c r="A120" s="7"/>
      <c r="B120" s="47"/>
      <c r="C120" s="24" t="s">
        <v>163</v>
      </c>
      <c r="D120" s="48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1</v>
      </c>
      <c r="W120" s="5">
        <f t="shared" si="32"/>
        <v>2</v>
      </c>
    </row>
    <row r="121" spans="1:23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6">
        <v>0</v>
      </c>
      <c r="W121" s="5">
        <f t="shared" si="32"/>
        <v>2</v>
      </c>
    </row>
    <row r="122" spans="1:23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1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5">
        <f t="shared" si="32"/>
        <v>3</v>
      </c>
    </row>
    <row r="123" spans="1:23" x14ac:dyDescent="0.4">
      <c r="A123" s="7"/>
      <c r="B123" s="47"/>
      <c r="C123" s="24" t="s">
        <v>166</v>
      </c>
      <c r="D123" s="48"/>
      <c r="E123" s="6">
        <v>2</v>
      </c>
      <c r="F123" s="6">
        <v>1</v>
      </c>
      <c r="G123" s="6">
        <v>0</v>
      </c>
      <c r="H123" s="6">
        <v>1</v>
      </c>
      <c r="I123" s="6">
        <v>0</v>
      </c>
      <c r="J123" s="6">
        <v>4</v>
      </c>
      <c r="K123" s="6">
        <v>0</v>
      </c>
      <c r="L123" s="6">
        <v>0</v>
      </c>
      <c r="M123" s="6">
        <v>4</v>
      </c>
      <c r="N123" s="6">
        <v>4</v>
      </c>
      <c r="O123" s="6">
        <v>2</v>
      </c>
      <c r="P123" s="6">
        <v>0</v>
      </c>
      <c r="Q123" s="6">
        <v>0</v>
      </c>
      <c r="R123" s="6">
        <v>1</v>
      </c>
      <c r="S123" s="6">
        <v>2</v>
      </c>
      <c r="T123" s="6">
        <v>0</v>
      </c>
      <c r="U123" s="6">
        <v>0</v>
      </c>
      <c r="V123" s="6">
        <v>3</v>
      </c>
      <c r="W123" s="5">
        <f t="shared" si="32"/>
        <v>24</v>
      </c>
    </row>
    <row r="124" spans="1:23" x14ac:dyDescent="0.4">
      <c r="A124" s="7"/>
      <c r="B124" s="47"/>
      <c r="C124" s="24" t="s">
        <v>167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1</v>
      </c>
      <c r="R124" s="6">
        <v>0</v>
      </c>
      <c r="S124" s="6">
        <v>0</v>
      </c>
      <c r="T124" s="6">
        <v>1</v>
      </c>
      <c r="U124" s="6">
        <v>0</v>
      </c>
      <c r="V124" s="6">
        <v>0</v>
      </c>
      <c r="W124" s="5">
        <f t="shared" si="32"/>
        <v>2</v>
      </c>
    </row>
    <row r="125" spans="1:23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5">
        <f t="shared" si="32"/>
        <v>0</v>
      </c>
    </row>
    <row r="126" spans="1:23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5">
        <f t="shared" si="32"/>
        <v>0</v>
      </c>
    </row>
    <row r="127" spans="1:23" x14ac:dyDescent="0.4">
      <c r="A127" s="7"/>
      <c r="B127" s="47"/>
      <c r="C127" s="24" t="s">
        <v>170</v>
      </c>
      <c r="D127" s="48"/>
      <c r="E127" s="6">
        <v>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1</v>
      </c>
      <c r="U127" s="6">
        <v>0</v>
      </c>
      <c r="V127" s="6">
        <v>0</v>
      </c>
      <c r="W127" s="5">
        <f t="shared" si="32"/>
        <v>2</v>
      </c>
    </row>
    <row r="128" spans="1:23" x14ac:dyDescent="0.4">
      <c r="A128" s="6" t="s">
        <v>26</v>
      </c>
      <c r="B128" s="74" t="s">
        <v>51</v>
      </c>
      <c r="C128" s="84"/>
      <c r="D128" s="85"/>
      <c r="E128" s="6">
        <f t="shared" ref="E128:W128" si="33">SUM(E118:E127)</f>
        <v>6</v>
      </c>
      <c r="F128" s="6">
        <f t="shared" si="33"/>
        <v>6</v>
      </c>
      <c r="G128" s="6">
        <f t="shared" si="33"/>
        <v>3</v>
      </c>
      <c r="H128" s="6">
        <f t="shared" si="33"/>
        <v>3</v>
      </c>
      <c r="I128" s="6">
        <f t="shared" si="33"/>
        <v>0</v>
      </c>
      <c r="J128" s="6">
        <f t="shared" si="33"/>
        <v>5</v>
      </c>
      <c r="K128" s="6">
        <f t="shared" si="33"/>
        <v>1</v>
      </c>
      <c r="L128" s="6">
        <f t="shared" si="33"/>
        <v>1</v>
      </c>
      <c r="M128" s="6">
        <f t="shared" si="33"/>
        <v>7</v>
      </c>
      <c r="N128" s="6">
        <f t="shared" si="33"/>
        <v>13</v>
      </c>
      <c r="O128" s="6">
        <f t="shared" si="33"/>
        <v>4</v>
      </c>
      <c r="P128" s="6">
        <f t="shared" si="33"/>
        <v>7</v>
      </c>
      <c r="Q128" s="6">
        <f t="shared" si="33"/>
        <v>4</v>
      </c>
      <c r="R128" s="6">
        <f t="shared" si="33"/>
        <v>1</v>
      </c>
      <c r="S128" s="6">
        <f t="shared" si="33"/>
        <v>2</v>
      </c>
      <c r="T128" s="6">
        <f t="shared" si="33"/>
        <v>6</v>
      </c>
      <c r="U128" s="6">
        <f t="shared" si="33"/>
        <v>4</v>
      </c>
      <c r="V128" s="6">
        <f t="shared" si="33"/>
        <v>11</v>
      </c>
      <c r="W128" s="6">
        <f t="shared" si="33"/>
        <v>84</v>
      </c>
    </row>
    <row r="129" spans="1:23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0</v>
      </c>
      <c r="M130" s="6">
        <v>2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5">
        <f>SUM(E130:V130)</f>
        <v>3</v>
      </c>
    </row>
    <row r="131" spans="1:23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5">
        <f>SUM(E131:V131)</f>
        <v>1</v>
      </c>
    </row>
    <row r="132" spans="1:23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5">
        <f>SUM(E132:V132)</f>
        <v>0</v>
      </c>
    </row>
    <row r="133" spans="1:23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>SUM(E133:V133)</f>
        <v>1</v>
      </c>
    </row>
    <row r="134" spans="1:23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W134" si="34">SUM(E130:E133)</f>
        <v>0</v>
      </c>
      <c r="F134" s="6">
        <f t="shared" si="34"/>
        <v>0</v>
      </c>
      <c r="G134" s="6">
        <f t="shared" si="34"/>
        <v>0</v>
      </c>
      <c r="H134" s="6">
        <f t="shared" si="34"/>
        <v>0</v>
      </c>
      <c r="I134" s="6">
        <f t="shared" si="34"/>
        <v>1</v>
      </c>
      <c r="J134" s="6">
        <f t="shared" si="34"/>
        <v>0</v>
      </c>
      <c r="K134" s="6">
        <f t="shared" si="34"/>
        <v>0</v>
      </c>
      <c r="L134" s="6">
        <f t="shared" si="34"/>
        <v>0</v>
      </c>
      <c r="M134" s="6">
        <f t="shared" si="34"/>
        <v>2</v>
      </c>
      <c r="N134" s="6">
        <f t="shared" si="34"/>
        <v>0</v>
      </c>
      <c r="O134" s="6">
        <f t="shared" si="34"/>
        <v>0</v>
      </c>
      <c r="P134" s="6">
        <f t="shared" si="34"/>
        <v>1</v>
      </c>
      <c r="Q134" s="6">
        <f t="shared" si="34"/>
        <v>0</v>
      </c>
      <c r="R134" s="6">
        <f t="shared" si="34"/>
        <v>0</v>
      </c>
      <c r="S134" s="6">
        <f t="shared" si="34"/>
        <v>0</v>
      </c>
      <c r="T134" s="6">
        <f t="shared" si="34"/>
        <v>0</v>
      </c>
      <c r="U134" s="6">
        <f t="shared" si="34"/>
        <v>1</v>
      </c>
      <c r="V134" s="6">
        <f t="shared" si="34"/>
        <v>0</v>
      </c>
      <c r="W134" s="6">
        <f t="shared" si="34"/>
        <v>5</v>
      </c>
    </row>
    <row r="135" spans="1:23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5"/>
    </row>
    <row r="136" spans="1:23" x14ac:dyDescent="0.4">
      <c r="A136" s="11" t="s">
        <v>48</v>
      </c>
      <c r="B136" s="44" t="s">
        <v>65</v>
      </c>
      <c r="C136" s="87" t="s">
        <v>66</v>
      </c>
      <c r="D136" s="63"/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1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5">
        <f t="shared" ref="W136:W143" si="35">SUM(E136:V136)</f>
        <v>3</v>
      </c>
    </row>
    <row r="137" spans="1:23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0</v>
      </c>
      <c r="G137" s="6">
        <v>1</v>
      </c>
      <c r="H137" s="6">
        <v>1</v>
      </c>
      <c r="I137" s="6">
        <v>0</v>
      </c>
      <c r="J137" s="6">
        <v>0</v>
      </c>
      <c r="K137" s="6">
        <v>1</v>
      </c>
      <c r="L137" s="6">
        <v>1</v>
      </c>
      <c r="M137" s="6">
        <v>6</v>
      </c>
      <c r="N137" s="6">
        <v>3</v>
      </c>
      <c r="O137" s="6">
        <v>0</v>
      </c>
      <c r="P137" s="6">
        <v>0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1</v>
      </c>
      <c r="W137" s="5">
        <f t="shared" si="35"/>
        <v>15</v>
      </c>
    </row>
    <row r="138" spans="1:23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6">
        <v>0</v>
      </c>
      <c r="U138" s="6">
        <v>2</v>
      </c>
      <c r="V138" s="6">
        <v>0</v>
      </c>
      <c r="W138" s="5">
        <f t="shared" si="35"/>
        <v>4</v>
      </c>
    </row>
    <row r="139" spans="1:23" x14ac:dyDescent="0.4">
      <c r="A139" s="7"/>
      <c r="B139" s="51"/>
      <c r="C139" s="24" t="s">
        <v>176</v>
      </c>
      <c r="D139" s="52"/>
      <c r="E139" s="50">
        <v>1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5">
        <f t="shared" si="35"/>
        <v>2</v>
      </c>
    </row>
    <row r="140" spans="1:23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5">
        <f t="shared" si="35"/>
        <v>1</v>
      </c>
    </row>
    <row r="141" spans="1:23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5">
        <f t="shared" si="35"/>
        <v>1</v>
      </c>
    </row>
    <row r="142" spans="1:23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6">
        <v>0</v>
      </c>
      <c r="W142" s="5">
        <f t="shared" si="35"/>
        <v>1</v>
      </c>
    </row>
    <row r="143" spans="1:23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1</v>
      </c>
      <c r="Q143" s="6">
        <v>0</v>
      </c>
      <c r="R143" s="6">
        <v>0</v>
      </c>
      <c r="S143" s="6">
        <v>1</v>
      </c>
      <c r="T143" s="6">
        <v>0</v>
      </c>
      <c r="U143" s="6">
        <v>0</v>
      </c>
      <c r="V143" s="6">
        <v>0</v>
      </c>
      <c r="W143" s="5">
        <f t="shared" si="35"/>
        <v>2</v>
      </c>
    </row>
    <row r="144" spans="1:23" x14ac:dyDescent="0.4">
      <c r="A144" s="6" t="s">
        <v>26</v>
      </c>
      <c r="B144" s="88" t="s">
        <v>51</v>
      </c>
      <c r="C144" s="89"/>
      <c r="D144" s="90"/>
      <c r="E144" s="6">
        <f t="shared" ref="E144:W144" si="36">SUM(E136:E143)</f>
        <v>2</v>
      </c>
      <c r="F144" s="6">
        <f t="shared" si="36"/>
        <v>0</v>
      </c>
      <c r="G144" s="6">
        <f t="shared" si="36"/>
        <v>1</v>
      </c>
      <c r="H144" s="6">
        <f t="shared" si="36"/>
        <v>2</v>
      </c>
      <c r="I144" s="6">
        <f t="shared" si="36"/>
        <v>0</v>
      </c>
      <c r="J144" s="6">
        <f t="shared" si="36"/>
        <v>1</v>
      </c>
      <c r="K144" s="6">
        <f t="shared" si="36"/>
        <v>1</v>
      </c>
      <c r="L144" s="6">
        <f t="shared" si="36"/>
        <v>2</v>
      </c>
      <c r="M144" s="6">
        <f t="shared" si="36"/>
        <v>9</v>
      </c>
      <c r="N144" s="6">
        <f t="shared" si="36"/>
        <v>3</v>
      </c>
      <c r="O144" s="6">
        <f t="shared" si="36"/>
        <v>0</v>
      </c>
      <c r="P144" s="6">
        <f t="shared" si="36"/>
        <v>1</v>
      </c>
      <c r="Q144" s="6">
        <f t="shared" si="36"/>
        <v>0</v>
      </c>
      <c r="R144" s="6">
        <f t="shared" si="36"/>
        <v>2</v>
      </c>
      <c r="S144" s="6">
        <f t="shared" si="36"/>
        <v>2</v>
      </c>
      <c r="T144" s="6">
        <f t="shared" si="36"/>
        <v>0</v>
      </c>
      <c r="U144" s="6">
        <f t="shared" si="36"/>
        <v>2</v>
      </c>
      <c r="V144" s="6">
        <f t="shared" si="36"/>
        <v>1</v>
      </c>
      <c r="W144" s="6">
        <f t="shared" si="36"/>
        <v>29</v>
      </c>
    </row>
    <row r="145" spans="1:23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spans="1:23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1</v>
      </c>
      <c r="F146" s="6">
        <v>1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0</v>
      </c>
      <c r="M146" s="6">
        <v>1</v>
      </c>
      <c r="N146" s="6">
        <v>0</v>
      </c>
      <c r="O146" s="6">
        <v>0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5">
        <f>SUM(E146:V146)</f>
        <v>5</v>
      </c>
    </row>
    <row r="147" spans="1:23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1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5">
        <f>SUM(E147:V147)</f>
        <v>1</v>
      </c>
    </row>
    <row r="148" spans="1:23" x14ac:dyDescent="0.4">
      <c r="A148" s="6" t="s">
        <v>26</v>
      </c>
      <c r="B148" s="74" t="s">
        <v>51</v>
      </c>
      <c r="C148" s="84"/>
      <c r="D148" s="85"/>
      <c r="E148" s="6">
        <f t="shared" ref="E148:W148" si="37">SUM(E146:E147)</f>
        <v>1</v>
      </c>
      <c r="F148" s="6">
        <f t="shared" si="37"/>
        <v>1</v>
      </c>
      <c r="G148" s="6">
        <f t="shared" si="37"/>
        <v>0</v>
      </c>
      <c r="H148" s="6">
        <f t="shared" si="37"/>
        <v>0</v>
      </c>
      <c r="I148" s="6">
        <f t="shared" si="37"/>
        <v>0</v>
      </c>
      <c r="J148" s="6">
        <f t="shared" si="37"/>
        <v>1</v>
      </c>
      <c r="K148" s="6">
        <f t="shared" si="37"/>
        <v>0</v>
      </c>
      <c r="L148" s="6">
        <f t="shared" si="37"/>
        <v>0</v>
      </c>
      <c r="M148" s="6">
        <f t="shared" si="37"/>
        <v>1</v>
      </c>
      <c r="N148" s="6">
        <f t="shared" si="37"/>
        <v>0</v>
      </c>
      <c r="O148" s="6">
        <f t="shared" si="37"/>
        <v>0</v>
      </c>
      <c r="P148" s="6">
        <f t="shared" si="37"/>
        <v>2</v>
      </c>
      <c r="Q148" s="6">
        <f t="shared" si="37"/>
        <v>0</v>
      </c>
      <c r="R148" s="6">
        <f t="shared" si="37"/>
        <v>0</v>
      </c>
      <c r="S148" s="6">
        <f t="shared" si="37"/>
        <v>0</v>
      </c>
      <c r="T148" s="6">
        <f t="shared" si="37"/>
        <v>0</v>
      </c>
      <c r="U148" s="6">
        <f t="shared" si="37"/>
        <v>0</v>
      </c>
      <c r="V148" s="6">
        <f t="shared" si="37"/>
        <v>0</v>
      </c>
      <c r="W148" s="6">
        <f t="shared" si="37"/>
        <v>6</v>
      </c>
    </row>
    <row r="149" spans="1:23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spans="1:23" x14ac:dyDescent="0.4">
      <c r="A150" s="11" t="s">
        <v>48</v>
      </c>
      <c r="B150" s="17" t="s">
        <v>69</v>
      </c>
      <c r="C150" s="83" t="s">
        <v>70</v>
      </c>
      <c r="D150" s="55"/>
      <c r="E150" s="6">
        <v>0</v>
      </c>
      <c r="F150" s="6">
        <v>0</v>
      </c>
      <c r="G150" s="6">
        <v>2</v>
      </c>
      <c r="H150" s="6">
        <v>1</v>
      </c>
      <c r="I150" s="6">
        <v>0</v>
      </c>
      <c r="J150" s="6">
        <v>1</v>
      </c>
      <c r="K150" s="6">
        <v>0</v>
      </c>
      <c r="L150" s="6">
        <v>0</v>
      </c>
      <c r="M150" s="6">
        <v>1</v>
      </c>
      <c r="N150" s="6">
        <v>1</v>
      </c>
      <c r="O150" s="6">
        <v>0</v>
      </c>
      <c r="P150" s="6">
        <v>0</v>
      </c>
      <c r="Q150" s="6">
        <v>0</v>
      </c>
      <c r="R150" s="6">
        <v>1</v>
      </c>
      <c r="S150" s="6">
        <v>2</v>
      </c>
      <c r="T150" s="6">
        <v>1</v>
      </c>
      <c r="U150" s="6">
        <v>0</v>
      </c>
      <c r="V150" s="6">
        <v>2</v>
      </c>
      <c r="W150" s="5">
        <f t="shared" ref="W150:W159" si="38">SUM(E150:V150)</f>
        <v>12</v>
      </c>
    </row>
    <row r="151" spans="1:23" x14ac:dyDescent="0.4">
      <c r="A151" s="11" t="s">
        <v>50</v>
      </c>
      <c r="B151" s="47"/>
      <c r="C151" s="24" t="s">
        <v>182</v>
      </c>
      <c r="D151" s="45"/>
      <c r="E151" s="6">
        <v>1</v>
      </c>
      <c r="F151" s="6">
        <v>3</v>
      </c>
      <c r="G151" s="6">
        <v>0</v>
      </c>
      <c r="H151" s="6">
        <v>1</v>
      </c>
      <c r="I151" s="6">
        <v>1</v>
      </c>
      <c r="J151" s="6">
        <v>0</v>
      </c>
      <c r="K151" s="6">
        <v>0</v>
      </c>
      <c r="L151" s="6">
        <v>0</v>
      </c>
      <c r="M151" s="6">
        <v>3</v>
      </c>
      <c r="N151" s="6">
        <v>7</v>
      </c>
      <c r="O151" s="6">
        <v>0</v>
      </c>
      <c r="P151" s="6">
        <v>1</v>
      </c>
      <c r="Q151" s="6">
        <v>1</v>
      </c>
      <c r="R151" s="6">
        <v>3</v>
      </c>
      <c r="S151" s="6">
        <v>3</v>
      </c>
      <c r="T151" s="6">
        <v>4</v>
      </c>
      <c r="U151" s="6">
        <v>2</v>
      </c>
      <c r="V151" s="6">
        <v>0</v>
      </c>
      <c r="W151" s="5">
        <f t="shared" si="38"/>
        <v>30</v>
      </c>
    </row>
    <row r="152" spans="1:23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1</v>
      </c>
      <c r="U152" s="6">
        <v>0</v>
      </c>
      <c r="V152" s="6">
        <v>0</v>
      </c>
      <c r="W152" s="5">
        <f t="shared" si="38"/>
        <v>2</v>
      </c>
    </row>
    <row r="153" spans="1:23" x14ac:dyDescent="0.4">
      <c r="A153" s="7"/>
      <c r="B153" s="47"/>
      <c r="C153" s="24" t="s">
        <v>184</v>
      </c>
      <c r="D153" s="45"/>
      <c r="E153" s="6">
        <v>0</v>
      </c>
      <c r="F153" s="6">
        <v>1</v>
      </c>
      <c r="G153" s="6">
        <v>0</v>
      </c>
      <c r="H153" s="6">
        <v>2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0</v>
      </c>
      <c r="U153" s="6">
        <v>0</v>
      </c>
      <c r="V153" s="6">
        <v>0</v>
      </c>
      <c r="W153" s="5">
        <f t="shared" si="38"/>
        <v>4</v>
      </c>
    </row>
    <row r="154" spans="1:23" x14ac:dyDescent="0.4">
      <c r="A154" s="7"/>
      <c r="B154" s="47"/>
      <c r="C154" s="24" t="s">
        <v>185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2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5">
        <f t="shared" si="38"/>
        <v>2</v>
      </c>
    </row>
    <row r="155" spans="1:23" x14ac:dyDescent="0.4">
      <c r="A155" s="7"/>
      <c r="B155" s="47"/>
      <c r="C155" s="24" t="s">
        <v>186</v>
      </c>
      <c r="D155" s="45"/>
      <c r="E155" s="6">
        <v>0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38"/>
        <v>1</v>
      </c>
    </row>
    <row r="156" spans="1:23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5">
        <f t="shared" si="38"/>
        <v>2</v>
      </c>
    </row>
    <row r="157" spans="1:23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5">
        <f t="shared" si="38"/>
        <v>0</v>
      </c>
    </row>
    <row r="158" spans="1:23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5">
        <f t="shared" si="38"/>
        <v>1</v>
      </c>
    </row>
    <row r="159" spans="1:23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">
        <f t="shared" si="38"/>
        <v>0</v>
      </c>
    </row>
    <row r="160" spans="1:23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" si="39">SUM(E150:E159)</f>
        <v>1</v>
      </c>
      <c r="F160" s="6">
        <f t="shared" ref="F160" si="40">SUM(F150:F159)</f>
        <v>5</v>
      </c>
      <c r="G160" s="6">
        <f t="shared" ref="G160" si="41">SUM(G150:G159)</f>
        <v>2</v>
      </c>
      <c r="H160" s="6">
        <f t="shared" ref="H160" si="42">SUM(H150:H159)</f>
        <v>4</v>
      </c>
      <c r="I160" s="6">
        <f t="shared" ref="I160" si="43">SUM(I150:I159)</f>
        <v>2</v>
      </c>
      <c r="J160" s="6">
        <f t="shared" ref="J160" si="44">SUM(J150:J159)</f>
        <v>2</v>
      </c>
      <c r="K160" s="6">
        <f t="shared" ref="K160" si="45">SUM(K150:K159)</f>
        <v>0</v>
      </c>
      <c r="L160" s="6">
        <f t="shared" ref="L160" si="46">SUM(L150:L159)</f>
        <v>0</v>
      </c>
      <c r="M160" s="6">
        <f t="shared" ref="M160" si="47">SUM(M150:M159)</f>
        <v>4</v>
      </c>
      <c r="N160" s="6">
        <f t="shared" ref="N160" si="48">SUM(N150:N159)</f>
        <v>9</v>
      </c>
      <c r="O160" s="6">
        <f t="shared" ref="O160" si="49">SUM(O150:O159)</f>
        <v>0</v>
      </c>
      <c r="P160" s="6">
        <f t="shared" ref="P160" si="50">SUM(P150:P159)</f>
        <v>4</v>
      </c>
      <c r="Q160" s="6">
        <f t="shared" ref="Q160" si="51">SUM(Q150:Q159)</f>
        <v>1</v>
      </c>
      <c r="R160" s="6">
        <f t="shared" ref="R160" si="52">SUM(R150:R159)</f>
        <v>4</v>
      </c>
      <c r="S160" s="6">
        <f t="shared" ref="S160" si="53">SUM(S150:S159)</f>
        <v>6</v>
      </c>
      <c r="T160" s="6">
        <f t="shared" ref="T160" si="54">SUM(T150:T159)</f>
        <v>6</v>
      </c>
      <c r="U160" s="6">
        <f t="shared" ref="U160" si="55">SUM(U150:U159)</f>
        <v>2</v>
      </c>
      <c r="V160" s="6">
        <f t="shared" ref="V160" si="56">SUM(V150:V159)</f>
        <v>2</v>
      </c>
      <c r="W160" s="6">
        <f t="shared" ref="W160" si="57">SUM(W150:W159)</f>
        <v>54</v>
      </c>
    </row>
    <row r="161" spans="1:23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R161" s="18"/>
      <c r="S161" s="18"/>
      <c r="T161" s="18"/>
      <c r="W161" s="5"/>
    </row>
    <row r="162" spans="1:23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1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5">
        <f t="shared" ref="W162:W171" si="58">SUM(E162:V162)</f>
        <v>1</v>
      </c>
    </row>
    <row r="163" spans="1:23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5">
        <f t="shared" si="58"/>
        <v>0</v>
      </c>
    </row>
    <row r="164" spans="1:23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5">
        <f t="shared" si="58"/>
        <v>0</v>
      </c>
    </row>
    <row r="165" spans="1:23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 t="shared" si="58"/>
        <v>0</v>
      </c>
    </row>
    <row r="166" spans="1:23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5">
        <f t="shared" si="58"/>
        <v>1</v>
      </c>
    </row>
    <row r="167" spans="1:23" x14ac:dyDescent="0.4">
      <c r="A167" s="7"/>
      <c r="B167" s="47"/>
      <c r="C167" s="24" t="s">
        <v>195</v>
      </c>
      <c r="D167" s="45"/>
      <c r="E167" s="6">
        <v>0</v>
      </c>
      <c r="F167" s="6">
        <v>1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5">
        <f t="shared" si="58"/>
        <v>1</v>
      </c>
    </row>
    <row r="168" spans="1:23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5">
        <f t="shared" si="58"/>
        <v>0</v>
      </c>
    </row>
    <row r="169" spans="1:23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5">
        <f t="shared" si="58"/>
        <v>0</v>
      </c>
    </row>
    <row r="170" spans="1:23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5">
        <f t="shared" si="58"/>
        <v>0</v>
      </c>
    </row>
    <row r="171" spans="1:23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5">
        <f t="shared" si="58"/>
        <v>1</v>
      </c>
    </row>
    <row r="172" spans="1:23" x14ac:dyDescent="0.4">
      <c r="A172" s="6" t="s">
        <v>26</v>
      </c>
      <c r="B172" s="74" t="s">
        <v>51</v>
      </c>
      <c r="C172" s="84"/>
      <c r="D172" s="85"/>
      <c r="E172" s="6">
        <f t="shared" ref="E172" si="59">SUM(E162:E171)</f>
        <v>0</v>
      </c>
      <c r="F172" s="6">
        <f t="shared" ref="F172" si="60">SUM(F162:F171)</f>
        <v>1</v>
      </c>
      <c r="G172" s="6">
        <f t="shared" ref="G172" si="61">SUM(G162:G171)</f>
        <v>0</v>
      </c>
      <c r="H172" s="6">
        <f t="shared" ref="H172" si="62">SUM(H162:H171)</f>
        <v>1</v>
      </c>
      <c r="I172" s="6">
        <f t="shared" ref="I172" si="63">SUM(I162:I171)</f>
        <v>0</v>
      </c>
      <c r="J172" s="6">
        <f t="shared" ref="J172" si="64">SUM(J162:J171)</f>
        <v>1</v>
      </c>
      <c r="K172" s="6">
        <f t="shared" ref="K172" si="65">SUM(K162:K171)</f>
        <v>0</v>
      </c>
      <c r="L172" s="6">
        <f t="shared" ref="L172" si="66">SUM(L162:L171)</f>
        <v>0</v>
      </c>
      <c r="M172" s="6">
        <f t="shared" ref="M172" si="67">SUM(M162:M171)</f>
        <v>0</v>
      </c>
      <c r="N172" s="6">
        <f t="shared" ref="N172" si="68">SUM(N162:N171)</f>
        <v>0</v>
      </c>
      <c r="O172" s="6">
        <f t="shared" ref="O172" si="69">SUM(O162:O171)</f>
        <v>1</v>
      </c>
      <c r="P172" s="6">
        <f t="shared" ref="P172" si="70">SUM(P162:P171)</f>
        <v>0</v>
      </c>
      <c r="Q172" s="6">
        <f t="shared" ref="Q172" si="71">SUM(Q162:Q171)</f>
        <v>0</v>
      </c>
      <c r="R172" s="6">
        <f t="shared" ref="R172" si="72">SUM(R162:R171)</f>
        <v>0</v>
      </c>
      <c r="S172" s="6">
        <f t="shared" ref="S172" si="73">SUM(S162:S171)</f>
        <v>0</v>
      </c>
      <c r="T172" s="6">
        <f t="shared" ref="T172" si="74">SUM(T162:T171)</f>
        <v>0</v>
      </c>
      <c r="U172" s="6">
        <f t="shared" ref="U172" si="75">SUM(U162:U171)</f>
        <v>0</v>
      </c>
      <c r="V172" s="6">
        <f t="shared" ref="V172" si="76">SUM(V162:V171)</f>
        <v>0</v>
      </c>
      <c r="W172" s="6">
        <f t="shared" ref="W172" si="77">SUM(W162:W171)</f>
        <v>4</v>
      </c>
    </row>
    <row r="173" spans="1:23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4">
      <c r="A174" s="11" t="s">
        <v>48</v>
      </c>
      <c r="B174" s="17" t="s">
        <v>73</v>
      </c>
      <c r="C174" s="83" t="s">
        <v>74</v>
      </c>
      <c r="D174" s="55"/>
      <c r="E174" s="6">
        <v>4</v>
      </c>
      <c r="F174" s="6">
        <v>3</v>
      </c>
      <c r="G174" s="6">
        <v>6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  <c r="M174" s="6">
        <v>4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4</v>
      </c>
      <c r="U174" s="6">
        <v>1</v>
      </c>
      <c r="V174" s="6">
        <v>0</v>
      </c>
      <c r="W174" s="5">
        <f t="shared" ref="W174:W183" si="78">SUM(E174:V174)</f>
        <v>26</v>
      </c>
    </row>
    <row r="175" spans="1:23" x14ac:dyDescent="0.4">
      <c r="A175" s="11" t="s">
        <v>50</v>
      </c>
      <c r="B175" s="47"/>
      <c r="C175" s="24" t="s">
        <v>200</v>
      </c>
      <c r="D175" s="45"/>
      <c r="E175" s="6">
        <v>0</v>
      </c>
      <c r="F175" s="6">
        <v>3</v>
      </c>
      <c r="G175" s="6">
        <v>2</v>
      </c>
      <c r="H175" s="6">
        <v>2</v>
      </c>
      <c r="I175" s="6">
        <v>1</v>
      </c>
      <c r="J175" s="6">
        <v>1</v>
      </c>
      <c r="K175" s="6">
        <v>2</v>
      </c>
      <c r="L175" s="6">
        <v>2</v>
      </c>
      <c r="M175" s="6">
        <v>6</v>
      </c>
      <c r="N175" s="6">
        <v>0</v>
      </c>
      <c r="O175" s="6">
        <v>0</v>
      </c>
      <c r="P175" s="6">
        <v>4</v>
      </c>
      <c r="Q175" s="6">
        <v>1</v>
      </c>
      <c r="R175" s="6">
        <v>3</v>
      </c>
      <c r="S175" s="6">
        <v>1</v>
      </c>
      <c r="T175" s="6">
        <v>14</v>
      </c>
      <c r="U175" s="6">
        <v>13</v>
      </c>
      <c r="V175" s="6">
        <v>3</v>
      </c>
      <c r="W175" s="5">
        <f t="shared" si="78"/>
        <v>58</v>
      </c>
    </row>
    <row r="176" spans="1:23" x14ac:dyDescent="0.4">
      <c r="A176" s="7"/>
      <c r="B176" s="47"/>
      <c r="C176" s="24" t="s">
        <v>201</v>
      </c>
      <c r="D176" s="45"/>
      <c r="E176" s="6">
        <v>2</v>
      </c>
      <c r="F176" s="6">
        <v>0</v>
      </c>
      <c r="G176" s="6">
        <v>1</v>
      </c>
      <c r="H176" s="6">
        <v>1</v>
      </c>
      <c r="I176" s="6">
        <v>1</v>
      </c>
      <c r="J176" s="6">
        <v>1</v>
      </c>
      <c r="K176" s="6">
        <v>0</v>
      </c>
      <c r="L176" s="6">
        <v>0</v>
      </c>
      <c r="M176" s="6">
        <v>1</v>
      </c>
      <c r="N176" s="6">
        <v>0</v>
      </c>
      <c r="O176" s="6">
        <v>0</v>
      </c>
      <c r="P176" s="6">
        <v>3</v>
      </c>
      <c r="Q176" s="6">
        <v>0</v>
      </c>
      <c r="R176" s="6">
        <v>4</v>
      </c>
      <c r="S176" s="6">
        <v>0</v>
      </c>
      <c r="T176" s="6">
        <v>4</v>
      </c>
      <c r="U176" s="6">
        <v>1</v>
      </c>
      <c r="V176" s="6">
        <v>1</v>
      </c>
      <c r="W176" s="5">
        <f t="shared" si="78"/>
        <v>20</v>
      </c>
    </row>
    <row r="177" spans="1:23" x14ac:dyDescent="0.4">
      <c r="A177" s="7"/>
      <c r="B177" s="47"/>
      <c r="C177" s="24" t="s">
        <v>202</v>
      </c>
      <c r="D177" s="45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1</v>
      </c>
      <c r="R177" s="6">
        <v>0</v>
      </c>
      <c r="S177" s="6">
        <v>0</v>
      </c>
      <c r="T177" s="6">
        <v>1</v>
      </c>
      <c r="U177" s="6">
        <v>0</v>
      </c>
      <c r="V177" s="6">
        <v>0</v>
      </c>
      <c r="W177" s="5">
        <f t="shared" si="78"/>
        <v>4</v>
      </c>
    </row>
    <row r="178" spans="1:23" x14ac:dyDescent="0.4">
      <c r="A178" s="7"/>
      <c r="B178" s="47"/>
      <c r="C178" s="24" t="s">
        <v>203</v>
      </c>
      <c r="D178" s="45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2</v>
      </c>
      <c r="R178" s="6">
        <v>0</v>
      </c>
      <c r="S178" s="6">
        <v>0</v>
      </c>
      <c r="T178" s="6">
        <v>1</v>
      </c>
      <c r="U178" s="6">
        <v>0</v>
      </c>
      <c r="V178" s="6">
        <v>0</v>
      </c>
      <c r="W178" s="5">
        <f t="shared" si="78"/>
        <v>5</v>
      </c>
    </row>
    <row r="179" spans="1:23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5">
        <f t="shared" si="78"/>
        <v>1</v>
      </c>
    </row>
    <row r="180" spans="1:23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1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1</v>
      </c>
      <c r="N180" s="6">
        <v>1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3</v>
      </c>
      <c r="V180" s="6">
        <v>1</v>
      </c>
      <c r="W180" s="5">
        <f t="shared" si="78"/>
        <v>9</v>
      </c>
    </row>
    <row r="181" spans="1:23" x14ac:dyDescent="0.4">
      <c r="A181" s="7"/>
      <c r="B181" s="47"/>
      <c r="C181" s="24" t="s">
        <v>206</v>
      </c>
      <c r="D181" s="45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1</v>
      </c>
      <c r="P181" s="6">
        <v>0</v>
      </c>
      <c r="Q181" s="6">
        <v>0</v>
      </c>
      <c r="R181" s="6">
        <v>0</v>
      </c>
      <c r="S181" s="6">
        <v>1</v>
      </c>
      <c r="T181" s="6">
        <v>2</v>
      </c>
      <c r="U181" s="6">
        <v>0</v>
      </c>
      <c r="V181" s="6">
        <v>1</v>
      </c>
      <c r="W181" s="5">
        <f t="shared" si="78"/>
        <v>5</v>
      </c>
    </row>
    <row r="182" spans="1:23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5">
        <f t="shared" si="78"/>
        <v>0</v>
      </c>
    </row>
    <row r="183" spans="1:23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5">
        <f t="shared" si="78"/>
        <v>0</v>
      </c>
    </row>
    <row r="184" spans="1:23" x14ac:dyDescent="0.4">
      <c r="A184" s="6" t="s">
        <v>26</v>
      </c>
      <c r="B184" s="74" t="s">
        <v>51</v>
      </c>
      <c r="C184" s="84"/>
      <c r="D184" s="85"/>
      <c r="E184" s="6">
        <f t="shared" ref="E184" si="79">SUM(E174:E183)</f>
        <v>6</v>
      </c>
      <c r="F184" s="6">
        <f t="shared" ref="F184" si="80">SUM(F174:F183)</f>
        <v>8</v>
      </c>
      <c r="G184" s="6">
        <f t="shared" ref="G184" si="81">SUM(G174:G183)</f>
        <v>10</v>
      </c>
      <c r="H184" s="6">
        <f t="shared" ref="H184" si="82">SUM(H174:H183)</f>
        <v>3</v>
      </c>
      <c r="I184" s="6">
        <f t="shared" ref="I184" si="83">SUM(I174:I183)</f>
        <v>3</v>
      </c>
      <c r="J184" s="6">
        <f t="shared" ref="J184" si="84">SUM(J174:J183)</f>
        <v>4</v>
      </c>
      <c r="K184" s="6">
        <f t="shared" ref="K184" si="85">SUM(K174:K183)</f>
        <v>2</v>
      </c>
      <c r="L184" s="6">
        <f t="shared" ref="L184" si="86">SUM(L174:L183)</f>
        <v>3</v>
      </c>
      <c r="M184" s="6">
        <f t="shared" ref="M184" si="87">SUM(M174:M183)</f>
        <v>12</v>
      </c>
      <c r="N184" s="6">
        <f t="shared" ref="N184" si="88">SUM(N174:N183)</f>
        <v>2</v>
      </c>
      <c r="O184" s="6">
        <f t="shared" ref="O184" si="89">SUM(O174:O183)</f>
        <v>1</v>
      </c>
      <c r="P184" s="6">
        <f t="shared" ref="P184" si="90">SUM(P174:P183)</f>
        <v>9</v>
      </c>
      <c r="Q184" s="6">
        <f t="shared" ref="Q184" si="91">SUM(Q174:Q183)</f>
        <v>4</v>
      </c>
      <c r="R184" s="6">
        <f t="shared" ref="R184" si="92">SUM(R174:R183)</f>
        <v>7</v>
      </c>
      <c r="S184" s="6">
        <f t="shared" ref="S184" si="93">SUM(S174:S183)</f>
        <v>4</v>
      </c>
      <c r="T184" s="6">
        <f t="shared" ref="T184" si="94">SUM(T174:T183)</f>
        <v>26</v>
      </c>
      <c r="U184" s="6">
        <f t="shared" ref="U184" si="95">SUM(U174:U183)</f>
        <v>18</v>
      </c>
      <c r="V184" s="6">
        <f t="shared" ref="V184" si="96">SUM(V174:V183)</f>
        <v>6</v>
      </c>
      <c r="W184" s="6">
        <f t="shared" ref="W184" si="97">SUM(W174:W183)</f>
        <v>128</v>
      </c>
    </row>
    <row r="185" spans="1:23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x14ac:dyDescent="0.4">
      <c r="A186" s="11" t="s">
        <v>48</v>
      </c>
      <c r="B186" s="17" t="s">
        <v>75</v>
      </c>
      <c r="C186" s="83" t="s">
        <v>76</v>
      </c>
      <c r="D186" s="55"/>
      <c r="E186" s="6">
        <v>2</v>
      </c>
      <c r="F186" s="6">
        <v>0</v>
      </c>
      <c r="G186" s="6">
        <v>1</v>
      </c>
      <c r="H186" s="6">
        <v>0</v>
      </c>
      <c r="I186" s="6">
        <v>4</v>
      </c>
      <c r="J186" s="6">
        <v>2</v>
      </c>
      <c r="K186" s="6">
        <v>0</v>
      </c>
      <c r="L186" s="6">
        <v>3</v>
      </c>
      <c r="M186" s="6">
        <v>1</v>
      </c>
      <c r="N186" s="6">
        <v>5</v>
      </c>
      <c r="O186" s="6">
        <v>0</v>
      </c>
      <c r="P186" s="6">
        <v>0</v>
      </c>
      <c r="Q186" s="6">
        <v>0</v>
      </c>
      <c r="R186" s="6">
        <v>1</v>
      </c>
      <c r="S186" s="6">
        <v>0</v>
      </c>
      <c r="T186" s="6">
        <v>1</v>
      </c>
      <c r="U186" s="6">
        <v>0</v>
      </c>
      <c r="V186" s="6">
        <v>0</v>
      </c>
      <c r="W186" s="5">
        <f>SUM(E186:V186)</f>
        <v>20</v>
      </c>
    </row>
    <row r="187" spans="1:23" x14ac:dyDescent="0.4">
      <c r="A187" s="11" t="s">
        <v>50</v>
      </c>
      <c r="B187" s="47"/>
      <c r="C187" s="24" t="s">
        <v>209</v>
      </c>
      <c r="D187" s="48"/>
      <c r="E187" s="6">
        <v>0</v>
      </c>
      <c r="F187" s="6">
        <v>2</v>
      </c>
      <c r="G187" s="6">
        <v>2</v>
      </c>
      <c r="H187" s="6">
        <v>0</v>
      </c>
      <c r="I187" s="6">
        <v>1</v>
      </c>
      <c r="J187" s="6">
        <v>0</v>
      </c>
      <c r="K187" s="6">
        <v>2</v>
      </c>
      <c r="L187" s="6">
        <v>1</v>
      </c>
      <c r="M187" s="6">
        <v>1</v>
      </c>
      <c r="N187" s="6">
        <v>1</v>
      </c>
      <c r="O187" s="6">
        <v>0</v>
      </c>
      <c r="P187" s="6">
        <v>0</v>
      </c>
      <c r="Q187" s="6">
        <v>1</v>
      </c>
      <c r="R187" s="6">
        <v>1</v>
      </c>
      <c r="S187" s="6">
        <v>3</v>
      </c>
      <c r="T187" s="6">
        <v>0</v>
      </c>
      <c r="U187" s="6">
        <v>0</v>
      </c>
      <c r="V187" s="6">
        <v>0</v>
      </c>
      <c r="W187" s="5">
        <f>SUM(E187:V187)</f>
        <v>15</v>
      </c>
    </row>
    <row r="188" spans="1:23" x14ac:dyDescent="0.4">
      <c r="A188" s="7"/>
      <c r="B188" s="47"/>
      <c r="C188" s="24" t="s">
        <v>210</v>
      </c>
      <c r="D188" s="48"/>
      <c r="E188" s="6">
        <v>0</v>
      </c>
      <c r="F188" s="6">
        <v>0</v>
      </c>
      <c r="G188" s="6">
        <v>1</v>
      </c>
      <c r="H188" s="6">
        <v>2</v>
      </c>
      <c r="I188" s="6">
        <v>1</v>
      </c>
      <c r="J188" s="6">
        <v>1</v>
      </c>
      <c r="K188" s="6">
        <v>1</v>
      </c>
      <c r="L188" s="6">
        <v>0</v>
      </c>
      <c r="M188" s="6">
        <v>0</v>
      </c>
      <c r="N188" s="6">
        <v>2</v>
      </c>
      <c r="O188" s="6">
        <v>0</v>
      </c>
      <c r="P188" s="6">
        <v>1</v>
      </c>
      <c r="Q188" s="6">
        <v>0</v>
      </c>
      <c r="R188" s="6">
        <v>2</v>
      </c>
      <c r="S188" s="6">
        <v>1</v>
      </c>
      <c r="T188" s="6">
        <v>0</v>
      </c>
      <c r="U188" s="6">
        <v>2</v>
      </c>
      <c r="V188" s="6">
        <v>0</v>
      </c>
      <c r="W188" s="5">
        <f>SUM(E188:V188)</f>
        <v>14</v>
      </c>
    </row>
    <row r="189" spans="1:23" x14ac:dyDescent="0.4">
      <c r="A189" s="7"/>
      <c r="B189" s="47"/>
      <c r="C189" s="24" t="s">
        <v>211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2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5">
        <f>SUM(E189:V189)</f>
        <v>4</v>
      </c>
    </row>
    <row r="190" spans="1:23" x14ac:dyDescent="0.4">
      <c r="A190" s="6" t="s">
        <v>26</v>
      </c>
      <c r="B190" s="74" t="s">
        <v>51</v>
      </c>
      <c r="C190" s="84"/>
      <c r="D190" s="85"/>
      <c r="E190" s="6">
        <f t="shared" ref="E190:W190" si="98">SUM(E186:E189)</f>
        <v>3</v>
      </c>
      <c r="F190" s="6">
        <f t="shared" si="98"/>
        <v>2</v>
      </c>
      <c r="G190" s="6">
        <f t="shared" si="98"/>
        <v>4</v>
      </c>
      <c r="H190" s="6">
        <f t="shared" si="98"/>
        <v>2</v>
      </c>
      <c r="I190" s="6">
        <f t="shared" si="98"/>
        <v>6</v>
      </c>
      <c r="J190" s="6">
        <f t="shared" si="98"/>
        <v>3</v>
      </c>
      <c r="K190" s="6">
        <f t="shared" si="98"/>
        <v>3</v>
      </c>
      <c r="L190" s="6">
        <f t="shared" si="98"/>
        <v>4</v>
      </c>
      <c r="M190" s="6">
        <f t="shared" si="98"/>
        <v>4</v>
      </c>
      <c r="N190" s="6">
        <f t="shared" si="98"/>
        <v>8</v>
      </c>
      <c r="O190" s="6">
        <f t="shared" si="98"/>
        <v>0</v>
      </c>
      <c r="P190" s="6">
        <f t="shared" si="98"/>
        <v>1</v>
      </c>
      <c r="Q190" s="6">
        <f t="shared" si="98"/>
        <v>1</v>
      </c>
      <c r="R190" s="6">
        <f t="shared" si="98"/>
        <v>5</v>
      </c>
      <c r="S190" s="6">
        <f t="shared" si="98"/>
        <v>4</v>
      </c>
      <c r="T190" s="6">
        <f t="shared" si="98"/>
        <v>1</v>
      </c>
      <c r="U190" s="6">
        <f t="shared" si="98"/>
        <v>2</v>
      </c>
      <c r="V190" s="6">
        <f t="shared" si="98"/>
        <v>0</v>
      </c>
      <c r="W190" s="6">
        <f t="shared" si="98"/>
        <v>53</v>
      </c>
    </row>
    <row r="191" spans="1:23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x14ac:dyDescent="0.4">
      <c r="A192" s="11" t="s">
        <v>48</v>
      </c>
      <c r="B192" s="17" t="s">
        <v>77</v>
      </c>
      <c r="C192" s="83" t="s">
        <v>78</v>
      </c>
      <c r="D192" s="55"/>
      <c r="E192" s="6">
        <v>1</v>
      </c>
      <c r="F192" s="6">
        <v>0</v>
      </c>
      <c r="G192" s="6">
        <v>0</v>
      </c>
      <c r="H192" s="6">
        <v>0</v>
      </c>
      <c r="I192" s="6">
        <v>1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5">
        <f>SUM(E192:V192)</f>
        <v>3</v>
      </c>
    </row>
    <row r="193" spans="1:23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2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5">
        <f>SUM(E193:V193)</f>
        <v>3</v>
      </c>
    </row>
    <row r="194" spans="1:23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5">
        <f>SUM(E194:V194)</f>
        <v>1</v>
      </c>
    </row>
    <row r="195" spans="1:23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5">
        <f>SUM(E195:V195)</f>
        <v>0</v>
      </c>
    </row>
    <row r="196" spans="1:23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5">
        <f>SUM(E196:V196)</f>
        <v>1</v>
      </c>
    </row>
    <row r="197" spans="1:23" x14ac:dyDescent="0.4">
      <c r="A197" s="6" t="s">
        <v>26</v>
      </c>
      <c r="B197" s="74" t="s">
        <v>51</v>
      </c>
      <c r="C197" s="84"/>
      <c r="D197" s="85"/>
      <c r="E197" s="6">
        <f t="shared" ref="E197:W197" si="99">SUM(E192:E196)</f>
        <v>1</v>
      </c>
      <c r="F197" s="6">
        <f t="shared" si="99"/>
        <v>0</v>
      </c>
      <c r="G197" s="6">
        <f t="shared" si="99"/>
        <v>0</v>
      </c>
      <c r="H197" s="6">
        <f t="shared" si="99"/>
        <v>0</v>
      </c>
      <c r="I197" s="6">
        <f t="shared" si="99"/>
        <v>1</v>
      </c>
      <c r="J197" s="6">
        <f t="shared" si="99"/>
        <v>4</v>
      </c>
      <c r="K197" s="6">
        <f t="shared" si="99"/>
        <v>0</v>
      </c>
      <c r="L197" s="6">
        <f t="shared" si="99"/>
        <v>0</v>
      </c>
      <c r="M197" s="6">
        <f t="shared" si="99"/>
        <v>0</v>
      </c>
      <c r="N197" s="6">
        <f t="shared" si="99"/>
        <v>0</v>
      </c>
      <c r="O197" s="6">
        <f t="shared" si="99"/>
        <v>0</v>
      </c>
      <c r="P197" s="6">
        <f t="shared" si="99"/>
        <v>0</v>
      </c>
      <c r="Q197" s="6">
        <f t="shared" si="99"/>
        <v>0</v>
      </c>
      <c r="R197" s="6">
        <f t="shared" si="99"/>
        <v>0</v>
      </c>
      <c r="S197" s="6">
        <f t="shared" si="99"/>
        <v>1</v>
      </c>
      <c r="T197" s="6">
        <f t="shared" si="99"/>
        <v>0</v>
      </c>
      <c r="U197" s="6">
        <f t="shared" si="99"/>
        <v>0</v>
      </c>
      <c r="V197" s="6">
        <f t="shared" si="99"/>
        <v>1</v>
      </c>
      <c r="W197" s="6">
        <f t="shared" si="99"/>
        <v>8</v>
      </c>
    </row>
    <row r="198" spans="1:23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x14ac:dyDescent="0.4">
      <c r="A199" s="11" t="s">
        <v>48</v>
      </c>
      <c r="B199" s="17" t="s">
        <v>79</v>
      </c>
      <c r="C199" s="83" t="s">
        <v>80</v>
      </c>
      <c r="D199" s="55"/>
      <c r="E199" s="6">
        <v>3</v>
      </c>
      <c r="F199" s="6">
        <v>3</v>
      </c>
      <c r="G199" s="6">
        <v>5</v>
      </c>
      <c r="H199" s="6">
        <v>4</v>
      </c>
      <c r="I199" s="6">
        <v>10</v>
      </c>
      <c r="J199" s="6">
        <v>10</v>
      </c>
      <c r="K199" s="6">
        <v>1</v>
      </c>
      <c r="L199" s="6">
        <v>2</v>
      </c>
      <c r="M199" s="6">
        <v>3</v>
      </c>
      <c r="N199" s="6">
        <v>2</v>
      </c>
      <c r="O199" s="6">
        <v>3</v>
      </c>
      <c r="P199" s="6">
        <v>1</v>
      </c>
      <c r="Q199" s="6">
        <v>1</v>
      </c>
      <c r="R199" s="6">
        <v>2</v>
      </c>
      <c r="S199" s="6">
        <v>0</v>
      </c>
      <c r="T199" s="6">
        <v>0</v>
      </c>
      <c r="U199" s="6">
        <v>4</v>
      </c>
      <c r="V199" s="6">
        <v>0</v>
      </c>
      <c r="W199" s="5">
        <f t="shared" ref="W199:W208" si="100">SUM(E199:V199)</f>
        <v>54</v>
      </c>
    </row>
    <row r="200" spans="1:23" x14ac:dyDescent="0.4">
      <c r="A200" s="11" t="s">
        <v>50</v>
      </c>
      <c r="B200" s="47"/>
      <c r="C200" s="24" t="s">
        <v>216</v>
      </c>
      <c r="D200" s="45"/>
      <c r="E200" s="6">
        <v>1</v>
      </c>
      <c r="F200" s="6">
        <v>2</v>
      </c>
      <c r="G200" s="6">
        <v>4</v>
      </c>
      <c r="H200" s="6">
        <v>3</v>
      </c>
      <c r="I200" s="6">
        <v>2</v>
      </c>
      <c r="J200" s="6">
        <v>7</v>
      </c>
      <c r="K200" s="6">
        <v>0</v>
      </c>
      <c r="L200" s="6">
        <v>1</v>
      </c>
      <c r="M200" s="6">
        <v>2</v>
      </c>
      <c r="N200" s="6">
        <v>4</v>
      </c>
      <c r="O200" s="6">
        <v>1</v>
      </c>
      <c r="P200" s="6">
        <v>0</v>
      </c>
      <c r="Q200" s="6">
        <v>4</v>
      </c>
      <c r="R200" s="6">
        <v>2</v>
      </c>
      <c r="S200" s="6">
        <v>3</v>
      </c>
      <c r="T200" s="6">
        <v>0</v>
      </c>
      <c r="U200" s="6">
        <v>1</v>
      </c>
      <c r="V200" s="6">
        <v>0</v>
      </c>
      <c r="W200" s="5">
        <f t="shared" si="100"/>
        <v>37</v>
      </c>
    </row>
    <row r="201" spans="1:23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1</v>
      </c>
      <c r="H201" s="6">
        <v>3</v>
      </c>
      <c r="I201" s="6">
        <v>0</v>
      </c>
      <c r="J201" s="6">
        <v>2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4</v>
      </c>
      <c r="R201" s="6">
        <v>0</v>
      </c>
      <c r="S201" s="6">
        <v>0</v>
      </c>
      <c r="T201" s="6">
        <v>0</v>
      </c>
      <c r="U201" s="6">
        <v>1</v>
      </c>
      <c r="V201" s="6">
        <v>0</v>
      </c>
      <c r="W201" s="5">
        <f t="shared" si="100"/>
        <v>11</v>
      </c>
    </row>
    <row r="202" spans="1:23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5">
        <f t="shared" si="100"/>
        <v>0</v>
      </c>
    </row>
    <row r="203" spans="1:23" x14ac:dyDescent="0.4">
      <c r="A203" s="7"/>
      <c r="B203" s="47"/>
      <c r="C203" s="24" t="s">
        <v>219</v>
      </c>
      <c r="D203" s="45"/>
      <c r="E203" s="6">
        <v>2</v>
      </c>
      <c r="F203" s="6">
        <v>2</v>
      </c>
      <c r="G203" s="6">
        <v>5</v>
      </c>
      <c r="H203" s="6">
        <v>0</v>
      </c>
      <c r="I203" s="6">
        <v>4</v>
      </c>
      <c r="J203" s="6">
        <v>2</v>
      </c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1</v>
      </c>
      <c r="R203" s="6">
        <v>0</v>
      </c>
      <c r="S203" s="6">
        <v>0</v>
      </c>
      <c r="T203" s="6">
        <v>0</v>
      </c>
      <c r="U203" s="6">
        <v>1</v>
      </c>
      <c r="V203" s="6">
        <v>0</v>
      </c>
      <c r="W203" s="5">
        <f t="shared" si="100"/>
        <v>18</v>
      </c>
    </row>
    <row r="204" spans="1:23" ht="12.75" customHeight="1" x14ac:dyDescent="0.4">
      <c r="A204" s="7"/>
      <c r="B204" s="47"/>
      <c r="C204" s="24" t="s">
        <v>220</v>
      </c>
      <c r="D204" s="45"/>
      <c r="E204" s="6">
        <v>1</v>
      </c>
      <c r="F204" s="6">
        <v>0</v>
      </c>
      <c r="G204" s="6">
        <v>1</v>
      </c>
      <c r="H204" s="6">
        <v>1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1</v>
      </c>
      <c r="R204" s="6">
        <v>1</v>
      </c>
      <c r="S204" s="6">
        <v>0</v>
      </c>
      <c r="T204" s="6">
        <v>1</v>
      </c>
      <c r="U204" s="6">
        <v>1</v>
      </c>
      <c r="V204" s="6">
        <v>0</v>
      </c>
      <c r="W204" s="5">
        <f t="shared" si="100"/>
        <v>9</v>
      </c>
    </row>
    <row r="205" spans="1:23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5">
        <f t="shared" si="100"/>
        <v>1</v>
      </c>
    </row>
    <row r="206" spans="1:23" x14ac:dyDescent="0.4">
      <c r="A206" s="7"/>
      <c r="B206" s="47"/>
      <c r="C206" s="24" t="s">
        <v>222</v>
      </c>
      <c r="D206" s="45"/>
      <c r="E206" s="6">
        <v>3</v>
      </c>
      <c r="F206" s="6">
        <v>2</v>
      </c>
      <c r="G206" s="6">
        <v>3</v>
      </c>
      <c r="H206" s="6">
        <v>1</v>
      </c>
      <c r="I206" s="6">
        <v>0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5">
        <f t="shared" si="100"/>
        <v>11</v>
      </c>
    </row>
    <row r="207" spans="1:23" x14ac:dyDescent="0.4">
      <c r="A207" s="7"/>
      <c r="B207" s="47"/>
      <c r="C207" s="24" t="s">
        <v>223</v>
      </c>
      <c r="D207" s="45"/>
      <c r="E207" s="6">
        <v>1</v>
      </c>
      <c r="F207" s="6">
        <v>0</v>
      </c>
      <c r="G207" s="6">
        <v>1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5">
        <f t="shared" si="100"/>
        <v>2</v>
      </c>
    </row>
    <row r="208" spans="1:23" x14ac:dyDescent="0.4">
      <c r="A208" s="7"/>
      <c r="B208" s="47"/>
      <c r="C208" s="24" t="s">
        <v>224</v>
      </c>
      <c r="D208" s="45"/>
      <c r="E208" s="6">
        <v>0</v>
      </c>
      <c r="F208" s="6">
        <v>1</v>
      </c>
      <c r="G208" s="6">
        <v>1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5">
        <f t="shared" si="100"/>
        <v>3</v>
      </c>
    </row>
    <row r="209" spans="1:23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" si="101">SUM(E199:E208)</f>
        <v>11</v>
      </c>
      <c r="F209" s="6">
        <f t="shared" ref="F209" si="102">SUM(F199:F208)</f>
        <v>10</v>
      </c>
      <c r="G209" s="6">
        <f t="shared" ref="G209" si="103">SUM(G199:G208)</f>
        <v>21</v>
      </c>
      <c r="H209" s="6">
        <f t="shared" ref="H209" si="104">SUM(H199:H208)</f>
        <v>12</v>
      </c>
      <c r="I209" s="6">
        <f t="shared" ref="I209" si="105">SUM(I199:I208)</f>
        <v>18</v>
      </c>
      <c r="J209" s="6">
        <f t="shared" ref="J209" si="106">SUM(J199:J208)</f>
        <v>21</v>
      </c>
      <c r="K209" s="6">
        <f t="shared" ref="K209" si="107">SUM(K199:K208)</f>
        <v>1</v>
      </c>
      <c r="L209" s="6">
        <f t="shared" ref="L209" si="108">SUM(L199:L208)</f>
        <v>5</v>
      </c>
      <c r="M209" s="6">
        <f t="shared" ref="M209" si="109">SUM(M199:M208)</f>
        <v>5</v>
      </c>
      <c r="N209" s="6">
        <f t="shared" ref="N209" si="110">SUM(N199:N208)</f>
        <v>8</v>
      </c>
      <c r="O209" s="6">
        <f t="shared" ref="O209" si="111">SUM(O199:O208)</f>
        <v>4</v>
      </c>
      <c r="P209" s="6">
        <f t="shared" ref="P209" si="112">SUM(P199:P208)</f>
        <v>1</v>
      </c>
      <c r="Q209" s="6">
        <f t="shared" ref="Q209" si="113">SUM(Q199:Q208)</f>
        <v>12</v>
      </c>
      <c r="R209" s="6">
        <f t="shared" ref="R209" si="114">SUM(R199:R208)</f>
        <v>5</v>
      </c>
      <c r="S209" s="6">
        <f t="shared" ref="S209" si="115">SUM(S199:S208)</f>
        <v>3</v>
      </c>
      <c r="T209" s="6">
        <f t="shared" ref="T209" si="116">SUM(T199:T208)</f>
        <v>1</v>
      </c>
      <c r="U209" s="6">
        <f t="shared" ref="U209" si="117">SUM(U199:U208)</f>
        <v>8</v>
      </c>
      <c r="V209" s="6">
        <f t="shared" ref="V209" si="118">SUM(V199:V208)</f>
        <v>0</v>
      </c>
      <c r="W209" s="6">
        <f t="shared" ref="W209" si="119">SUM(W199:W208)</f>
        <v>146</v>
      </c>
    </row>
    <row r="210" spans="1:23" x14ac:dyDescent="0.4">
      <c r="A210" s="53"/>
      <c r="B210" s="75"/>
      <c r="C210" s="75"/>
      <c r="D210" s="75"/>
      <c r="E210" s="86"/>
    </row>
    <row r="211" spans="1:23" x14ac:dyDescent="0.4">
      <c r="A211" s="11" t="s">
        <v>48</v>
      </c>
      <c r="B211" s="17" t="s">
        <v>81</v>
      </c>
      <c r="C211" s="83" t="s">
        <v>82</v>
      </c>
      <c r="D211" s="55"/>
      <c r="E211" s="6">
        <v>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1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5">
        <f>SUM(E211:V211)</f>
        <v>3</v>
      </c>
    </row>
    <row r="212" spans="1:23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2</v>
      </c>
      <c r="H212" s="6">
        <v>0</v>
      </c>
      <c r="I212" s="6">
        <v>0</v>
      </c>
      <c r="J212" s="6">
        <v>1</v>
      </c>
      <c r="K212" s="6">
        <v>0</v>
      </c>
      <c r="L212" s="6">
        <v>0</v>
      </c>
      <c r="M212" s="6">
        <v>1</v>
      </c>
      <c r="N212" s="6">
        <v>1</v>
      </c>
      <c r="O212" s="6">
        <v>5</v>
      </c>
      <c r="P212" s="6">
        <v>0</v>
      </c>
      <c r="Q212" s="6">
        <v>1</v>
      </c>
      <c r="R212" s="6">
        <v>0</v>
      </c>
      <c r="S212" s="6">
        <v>1</v>
      </c>
      <c r="T212" s="6">
        <v>0</v>
      </c>
      <c r="U212" s="6">
        <v>0</v>
      </c>
      <c r="V212" s="6">
        <v>0</v>
      </c>
      <c r="W212" s="5">
        <f>SUM(E212:V212)</f>
        <v>12</v>
      </c>
    </row>
    <row r="213" spans="1:23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5">
        <f>SUM(E213:V213)</f>
        <v>0</v>
      </c>
    </row>
    <row r="214" spans="1:23" x14ac:dyDescent="0.4">
      <c r="A214" s="7"/>
      <c r="B214" s="47"/>
      <c r="C214" s="24" t="s">
        <v>227</v>
      </c>
      <c r="D214" s="45"/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5">
        <f>SUM(E214:V214)</f>
        <v>1</v>
      </c>
    </row>
    <row r="215" spans="1:23" x14ac:dyDescent="0.4">
      <c r="A215" s="6" t="s">
        <v>26</v>
      </c>
      <c r="B215" s="74" t="s">
        <v>51</v>
      </c>
      <c r="C215" s="84"/>
      <c r="D215" s="85"/>
      <c r="E215" s="6">
        <f t="shared" ref="E215:W215" si="120">SUM(E211:E214)</f>
        <v>2</v>
      </c>
      <c r="F215" s="6">
        <f t="shared" si="120"/>
        <v>0</v>
      </c>
      <c r="G215" s="6">
        <f t="shared" si="120"/>
        <v>2</v>
      </c>
      <c r="H215" s="6">
        <f t="shared" si="120"/>
        <v>0</v>
      </c>
      <c r="I215" s="6">
        <f t="shared" si="120"/>
        <v>0</v>
      </c>
      <c r="J215" s="6">
        <f t="shared" si="120"/>
        <v>1</v>
      </c>
      <c r="K215" s="6">
        <f t="shared" si="120"/>
        <v>0</v>
      </c>
      <c r="L215" s="6">
        <f t="shared" si="120"/>
        <v>0</v>
      </c>
      <c r="M215" s="6">
        <f t="shared" si="120"/>
        <v>1</v>
      </c>
      <c r="N215" s="6">
        <f t="shared" si="120"/>
        <v>2</v>
      </c>
      <c r="O215" s="6">
        <f t="shared" si="120"/>
        <v>5</v>
      </c>
      <c r="P215" s="6">
        <f t="shared" si="120"/>
        <v>1</v>
      </c>
      <c r="Q215" s="6">
        <f t="shared" si="120"/>
        <v>1</v>
      </c>
      <c r="R215" s="6">
        <f t="shared" si="120"/>
        <v>0</v>
      </c>
      <c r="S215" s="6">
        <f t="shared" si="120"/>
        <v>1</v>
      </c>
      <c r="T215" s="6">
        <f t="shared" si="120"/>
        <v>0</v>
      </c>
      <c r="U215" s="6">
        <f t="shared" si="120"/>
        <v>0</v>
      </c>
      <c r="V215" s="6">
        <f t="shared" si="120"/>
        <v>0</v>
      </c>
      <c r="W215" s="6">
        <f t="shared" si="120"/>
        <v>16</v>
      </c>
    </row>
    <row r="217" spans="1:23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5"/>
      <c r="S217" s="5"/>
      <c r="T217" s="15"/>
      <c r="U217" s="15"/>
      <c r="V217" s="15"/>
      <c r="W217" s="5"/>
    </row>
    <row r="218" spans="1:23" x14ac:dyDescent="0.4">
      <c r="A218" s="16"/>
      <c r="B218" s="19" t="s">
        <v>85</v>
      </c>
      <c r="C218" s="91" t="s">
        <v>86</v>
      </c>
      <c r="D218" s="92"/>
      <c r="E218" s="6">
        <f t="shared" ref="E218:V218" si="121">E55+E67+E79+E91+E103+E108+E116+E128+E134+E144+E148+E160+E172+E184+E190+E197+E209+E215</f>
        <v>190</v>
      </c>
      <c r="F218" s="6">
        <f t="shared" si="121"/>
        <v>198</v>
      </c>
      <c r="G218" s="6">
        <f t="shared" si="121"/>
        <v>178</v>
      </c>
      <c r="H218" s="6">
        <f t="shared" si="121"/>
        <v>172</v>
      </c>
      <c r="I218" s="6">
        <f t="shared" si="121"/>
        <v>168</v>
      </c>
      <c r="J218" s="6">
        <f t="shared" si="121"/>
        <v>200</v>
      </c>
      <c r="K218" s="6">
        <f t="shared" si="121"/>
        <v>97</v>
      </c>
      <c r="L218" s="6">
        <f t="shared" si="121"/>
        <v>178</v>
      </c>
      <c r="M218" s="6">
        <f t="shared" si="121"/>
        <v>176</v>
      </c>
      <c r="N218" s="6">
        <f t="shared" si="121"/>
        <v>200</v>
      </c>
      <c r="O218" s="6">
        <f t="shared" si="121"/>
        <v>133</v>
      </c>
      <c r="P218" s="6">
        <f t="shared" si="121"/>
        <v>205</v>
      </c>
      <c r="Q218" s="6">
        <f t="shared" si="121"/>
        <v>189</v>
      </c>
      <c r="R218" s="6">
        <f t="shared" si="121"/>
        <v>194</v>
      </c>
      <c r="S218" s="6">
        <f t="shared" si="121"/>
        <v>207</v>
      </c>
      <c r="T218" s="6">
        <f t="shared" si="121"/>
        <v>183</v>
      </c>
      <c r="U218" s="6">
        <f t="shared" si="121"/>
        <v>189</v>
      </c>
      <c r="V218" s="6">
        <f t="shared" si="121"/>
        <v>170</v>
      </c>
      <c r="W218" s="5">
        <f>SUM(E218:V218)</f>
        <v>3227</v>
      </c>
    </row>
    <row r="219" spans="1:23" x14ac:dyDescent="0.4">
      <c r="A219" s="13"/>
      <c r="B219" s="19" t="s">
        <v>87</v>
      </c>
      <c r="C219" s="91" t="s">
        <v>88</v>
      </c>
      <c r="D219" s="92"/>
      <c r="E219" s="6">
        <v>38</v>
      </c>
      <c r="F219" s="6">
        <v>34</v>
      </c>
      <c r="G219" s="6">
        <v>29</v>
      </c>
      <c r="H219" s="6">
        <v>43</v>
      </c>
      <c r="I219" s="6">
        <v>40</v>
      </c>
      <c r="J219" s="6">
        <v>29</v>
      </c>
      <c r="K219" s="6">
        <v>33</v>
      </c>
      <c r="L219" s="6">
        <v>50</v>
      </c>
      <c r="M219" s="6">
        <v>17</v>
      </c>
      <c r="N219" s="6">
        <v>21</v>
      </c>
      <c r="O219" s="6">
        <v>7</v>
      </c>
      <c r="P219" s="6">
        <v>45</v>
      </c>
      <c r="Q219" s="6">
        <v>40</v>
      </c>
      <c r="R219" s="6">
        <v>34</v>
      </c>
      <c r="S219" s="6">
        <v>22</v>
      </c>
      <c r="T219" s="6">
        <v>41</v>
      </c>
      <c r="U219" s="6">
        <v>21</v>
      </c>
      <c r="V219" s="6">
        <v>18</v>
      </c>
      <c r="W219" s="5">
        <f>SUM(E219:V219)</f>
        <v>562</v>
      </c>
    </row>
    <row r="220" spans="1:23" x14ac:dyDescent="0.4">
      <c r="A220" s="14"/>
      <c r="B220" s="19" t="s">
        <v>89</v>
      </c>
      <c r="C220" s="91" t="s">
        <v>90</v>
      </c>
      <c r="D220" s="92"/>
      <c r="E220" s="5">
        <f>SUM(E218:E219)</f>
        <v>228</v>
      </c>
      <c r="F220" s="5">
        <f t="shared" ref="F220:V220" si="122">SUM(F218:F219)</f>
        <v>232</v>
      </c>
      <c r="G220" s="5">
        <f t="shared" si="122"/>
        <v>207</v>
      </c>
      <c r="H220" s="5">
        <f t="shared" si="122"/>
        <v>215</v>
      </c>
      <c r="I220" s="5">
        <f t="shared" si="122"/>
        <v>208</v>
      </c>
      <c r="J220" s="5">
        <f t="shared" si="122"/>
        <v>229</v>
      </c>
      <c r="K220" s="5">
        <f t="shared" si="122"/>
        <v>130</v>
      </c>
      <c r="L220" s="5">
        <f t="shared" ref="L220:Q220" si="123">SUM(L218:L219)</f>
        <v>228</v>
      </c>
      <c r="M220" s="5">
        <f t="shared" si="123"/>
        <v>193</v>
      </c>
      <c r="N220" s="5">
        <f t="shared" si="123"/>
        <v>221</v>
      </c>
      <c r="O220" s="5">
        <f t="shared" si="123"/>
        <v>140</v>
      </c>
      <c r="P220" s="5">
        <f t="shared" si="123"/>
        <v>250</v>
      </c>
      <c r="Q220" s="5">
        <f t="shared" si="123"/>
        <v>229</v>
      </c>
      <c r="R220" s="5">
        <f t="shared" si="122"/>
        <v>228</v>
      </c>
      <c r="S220" s="5">
        <f t="shared" si="122"/>
        <v>229</v>
      </c>
      <c r="T220" s="5">
        <f t="shared" si="122"/>
        <v>224</v>
      </c>
      <c r="U220" s="5">
        <f t="shared" si="122"/>
        <v>210</v>
      </c>
      <c r="V220" s="5">
        <f t="shared" si="122"/>
        <v>188</v>
      </c>
      <c r="W220" s="5">
        <f>SUM(E220:V220)</f>
        <v>3789</v>
      </c>
    </row>
  </sheetData>
  <mergeCells count="86">
    <mergeCell ref="C220:D220"/>
    <mergeCell ref="A210:E210"/>
    <mergeCell ref="C211:D211"/>
    <mergeCell ref="B215:D215"/>
    <mergeCell ref="B217:D217"/>
    <mergeCell ref="C218:D218"/>
    <mergeCell ref="C219:D219"/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V12"/>
    <mergeCell ref="W12:W13"/>
    <mergeCell ref="B13:D13"/>
    <mergeCell ref="B14:C16"/>
  </mergeCells>
  <phoneticPr fontId="8" type="noConversion"/>
  <conditionalFormatting sqref="E14:V15">
    <cfRule type="containsBlanks" dxfId="140" priority="20">
      <formula>LEN(TRIM(E14))=0</formula>
    </cfRule>
  </conditionalFormatting>
  <conditionalFormatting sqref="E19:V20">
    <cfRule type="containsBlanks" dxfId="139" priority="23">
      <formula>LEN(TRIM(E19))=0</formula>
    </cfRule>
  </conditionalFormatting>
  <conditionalFormatting sqref="E22:V23 E25:V26 E33:V33 E35:V35 E39:V40">
    <cfRule type="containsBlanks" dxfId="138" priority="24">
      <formula>LEN(TRIM(E22))=0</formula>
    </cfRule>
  </conditionalFormatting>
  <conditionalFormatting sqref="E30:V30">
    <cfRule type="expression" dxfId="137" priority="25">
      <formula>E30&lt;&gt;E47</formula>
    </cfRule>
    <cfRule type="expression" dxfId="136" priority="26">
      <formula>E30&lt;&gt;E34</formula>
    </cfRule>
  </conditionalFormatting>
  <conditionalFormatting sqref="E34:V34">
    <cfRule type="expression" dxfId="135" priority="21">
      <formula>E30&lt;&gt;E34</formula>
    </cfRule>
    <cfRule type="expression" dxfId="134" priority="22">
      <formula>E30=E34</formula>
    </cfRule>
    <cfRule type="expression" dxfId="133" priority="27">
      <formula>E34&lt;&gt;E30</formula>
    </cfRule>
    <cfRule type="expression" dxfId="132" priority="29">
      <formula>E34&lt;&gt;E64</formula>
    </cfRule>
  </conditionalFormatting>
  <conditionalFormatting sqref="E45:V54">
    <cfRule type="containsBlanks" dxfId="131" priority="19">
      <formula>LEN(TRIM(E45))=0</formula>
    </cfRule>
  </conditionalFormatting>
  <conditionalFormatting sqref="E57:V66">
    <cfRule type="containsBlanks" dxfId="130" priority="18">
      <formula>LEN(TRIM(E57))=0</formula>
    </cfRule>
  </conditionalFormatting>
  <conditionalFormatting sqref="E69:V78">
    <cfRule type="containsBlanks" dxfId="129" priority="17">
      <formula>LEN(TRIM(E69))=0</formula>
    </cfRule>
  </conditionalFormatting>
  <conditionalFormatting sqref="E81:V90">
    <cfRule type="containsBlanks" dxfId="128" priority="16">
      <formula>LEN(TRIM(E81))=0</formula>
    </cfRule>
  </conditionalFormatting>
  <conditionalFormatting sqref="E93:V102">
    <cfRule type="containsBlanks" dxfId="127" priority="15">
      <formula>LEN(TRIM(E93))=0</formula>
    </cfRule>
  </conditionalFormatting>
  <conditionalFormatting sqref="E105:V107">
    <cfRule type="containsBlanks" dxfId="126" priority="14">
      <formula>LEN(TRIM(E105))=0</formula>
    </cfRule>
  </conditionalFormatting>
  <conditionalFormatting sqref="E110:V115">
    <cfRule type="containsBlanks" dxfId="125" priority="1">
      <formula>LEN(TRIM(E110))=0</formula>
    </cfRule>
  </conditionalFormatting>
  <conditionalFormatting sqref="E118:V127">
    <cfRule type="containsBlanks" dxfId="124" priority="13">
      <formula>LEN(TRIM(E118))=0</formula>
    </cfRule>
  </conditionalFormatting>
  <conditionalFormatting sqref="E130:V133">
    <cfRule type="containsBlanks" dxfId="123" priority="12">
      <formula>LEN(TRIM(E130))=0</formula>
    </cfRule>
  </conditionalFormatting>
  <conditionalFormatting sqref="E136:V143">
    <cfRule type="containsBlanks" dxfId="122" priority="3">
      <formula>LEN(TRIM(E136))=0</formula>
    </cfRule>
  </conditionalFormatting>
  <conditionalFormatting sqref="E146:V147">
    <cfRule type="containsBlanks" dxfId="121" priority="11">
      <formula>LEN(TRIM(E146))=0</formula>
    </cfRule>
  </conditionalFormatting>
  <conditionalFormatting sqref="E150:V159">
    <cfRule type="containsBlanks" dxfId="120" priority="10">
      <formula>LEN(TRIM(E150))=0</formula>
    </cfRule>
  </conditionalFormatting>
  <conditionalFormatting sqref="E162:V171">
    <cfRule type="containsBlanks" dxfId="119" priority="9">
      <formula>LEN(TRIM(E162))=0</formula>
    </cfRule>
  </conditionalFormatting>
  <conditionalFormatting sqref="E174:V183">
    <cfRule type="containsBlanks" dxfId="118" priority="8">
      <formula>LEN(TRIM(E174))=0</formula>
    </cfRule>
  </conditionalFormatting>
  <conditionalFormatting sqref="E186:V189">
    <cfRule type="containsBlanks" dxfId="117" priority="7">
      <formula>LEN(TRIM(E186))=0</formula>
    </cfRule>
  </conditionalFormatting>
  <conditionalFormatting sqref="E192:V196">
    <cfRule type="containsBlanks" dxfId="116" priority="6">
      <formula>LEN(TRIM(E192))=0</formula>
    </cfRule>
  </conditionalFormatting>
  <conditionalFormatting sqref="E199:V208">
    <cfRule type="containsBlanks" dxfId="115" priority="5">
      <formula>LEN(TRIM(E199))=0</formula>
    </cfRule>
  </conditionalFormatting>
  <conditionalFormatting sqref="E211:V214">
    <cfRule type="containsBlanks" dxfId="114" priority="4">
      <formula>LEN(TRIM(E211))=0</formula>
    </cfRule>
  </conditionalFormatting>
  <conditionalFormatting sqref="E218:V219">
    <cfRule type="containsBlanks" dxfId="113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sheetPr>
    <tabColor rgb="FF92D050"/>
  </sheetPr>
  <dimension ref="A2:BE220"/>
  <sheetViews>
    <sheetView topLeftCell="AH13" zoomScale="85" zoomScaleNormal="85" workbookViewId="0">
      <pane ySplit="2" topLeftCell="A213" activePane="bottomLeft" state="frozen"/>
      <selection activeCell="E14" sqref="E14"/>
      <selection pane="bottomLeft" activeCell="BE219" sqref="BE219"/>
    </sheetView>
  </sheetViews>
  <sheetFormatPr defaultRowHeight="13.15" x14ac:dyDescent="0.4"/>
  <cols>
    <col min="3" max="3" width="67.140625" bestFit="1" customWidth="1"/>
    <col min="4" max="4" width="5.85546875" bestFit="1" customWidth="1"/>
    <col min="57" max="57" width="13.28515625" style="96" customWidth="1"/>
  </cols>
  <sheetData>
    <row r="2" spans="1:57" x14ac:dyDescent="0.4">
      <c r="C2" s="43" t="s">
        <v>104</v>
      </c>
      <c r="D2" s="43" t="s">
        <v>232</v>
      </c>
    </row>
    <row r="3" spans="1:57" x14ac:dyDescent="0.4">
      <c r="C3" s="43" t="s">
        <v>105</v>
      </c>
      <c r="D3" s="43" t="s">
        <v>106</v>
      </c>
    </row>
    <row r="4" spans="1:57" x14ac:dyDescent="0.4">
      <c r="C4" s="43" t="s">
        <v>107</v>
      </c>
      <c r="D4" s="43" t="s">
        <v>108</v>
      </c>
    </row>
    <row r="5" spans="1:57" x14ac:dyDescent="0.4">
      <c r="C5" s="43"/>
      <c r="D5" s="43"/>
    </row>
    <row r="6" spans="1:57" x14ac:dyDescent="0.4">
      <c r="C6" s="43"/>
      <c r="D6" s="43"/>
    </row>
    <row r="7" spans="1:57" x14ac:dyDescent="0.4">
      <c r="C7" s="43"/>
      <c r="D7" s="43"/>
    </row>
    <row r="8" spans="1:57" x14ac:dyDescent="0.4">
      <c r="C8" s="43"/>
      <c r="D8" s="43"/>
    </row>
    <row r="9" spans="1:57" x14ac:dyDescent="0.4">
      <c r="C9" s="43" t="s">
        <v>109</v>
      </c>
      <c r="D9" s="43" t="s">
        <v>242</v>
      </c>
    </row>
    <row r="11" spans="1:57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1"/>
      <c r="R11" s="1"/>
      <c r="S11" s="1"/>
      <c r="T11" s="1"/>
      <c r="U11" s="1"/>
      <c r="V11" s="1"/>
      <c r="W11" s="1"/>
      <c r="X11" s="1"/>
      <c r="Y11" s="3"/>
      <c r="AB11" s="1"/>
      <c r="AC11" s="1"/>
      <c r="AD11" s="1"/>
      <c r="AE11" s="1"/>
      <c r="AF11" s="1"/>
      <c r="AG11" s="1"/>
      <c r="AH11" s="1"/>
      <c r="AI11" s="1"/>
      <c r="AJ11" s="3"/>
      <c r="AM11" s="1"/>
      <c r="AN11" s="1"/>
      <c r="AO11" s="1"/>
      <c r="AP11" s="1"/>
      <c r="AQ11" s="1"/>
      <c r="AR11" s="1"/>
      <c r="AS11" s="1"/>
      <c r="AT11" s="1"/>
      <c r="AU11" s="3"/>
      <c r="AX11" s="1"/>
      <c r="AY11" s="1"/>
      <c r="AZ11" s="1"/>
      <c r="BA11" s="3"/>
    </row>
    <row r="12" spans="1:57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9" t="s">
        <v>103</v>
      </c>
    </row>
    <row r="13" spans="1:57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228</v>
      </c>
      <c r="AJ13" s="5" t="s">
        <v>229</v>
      </c>
      <c r="AK13" s="5" t="s">
        <v>230</v>
      </c>
      <c r="AL13" s="5" t="s">
        <v>231</v>
      </c>
      <c r="AM13" s="5" t="s">
        <v>236</v>
      </c>
      <c r="AN13" s="5" t="s">
        <v>237</v>
      </c>
      <c r="AO13" s="5" t="s">
        <v>238</v>
      </c>
      <c r="AP13" s="5" t="s">
        <v>239</v>
      </c>
      <c r="AQ13" s="5" t="s">
        <v>240</v>
      </c>
      <c r="AR13" s="5" t="s">
        <v>243</v>
      </c>
      <c r="AS13" s="5" t="s">
        <v>244</v>
      </c>
      <c r="AT13" s="5" t="s">
        <v>245</v>
      </c>
      <c r="AU13" s="5" t="s">
        <v>246</v>
      </c>
      <c r="AV13" s="5" t="s">
        <v>247</v>
      </c>
      <c r="AW13" s="5" t="s">
        <v>248</v>
      </c>
      <c r="AX13" s="5" t="s">
        <v>249</v>
      </c>
      <c r="AY13" s="5" t="s">
        <v>250</v>
      </c>
      <c r="AZ13" s="5" t="s">
        <v>251</v>
      </c>
      <c r="BA13" s="5" t="s">
        <v>252</v>
      </c>
      <c r="BB13" s="5" t="s">
        <v>253</v>
      </c>
      <c r="BC13" s="5" t="s">
        <v>254</v>
      </c>
      <c r="BD13" s="5" t="s">
        <v>255</v>
      </c>
      <c r="BE13" s="60"/>
    </row>
    <row r="14" spans="1:57" x14ac:dyDescent="0.4">
      <c r="A14" s="7"/>
      <c r="B14" s="62" t="s">
        <v>22</v>
      </c>
      <c r="C14" s="63"/>
      <c r="D14" s="6" t="s">
        <v>23</v>
      </c>
      <c r="E14" s="6">
        <v>138</v>
      </c>
      <c r="F14" s="6">
        <v>139</v>
      </c>
      <c r="G14" s="6">
        <v>141</v>
      </c>
      <c r="H14" s="6">
        <v>142</v>
      </c>
      <c r="I14" s="6">
        <v>141</v>
      </c>
      <c r="J14" s="6">
        <v>101</v>
      </c>
      <c r="K14" s="6">
        <v>124</v>
      </c>
      <c r="L14" s="6">
        <v>133</v>
      </c>
      <c r="M14" s="6">
        <v>108</v>
      </c>
      <c r="N14" s="6">
        <v>93</v>
      </c>
      <c r="O14" s="6">
        <v>138</v>
      </c>
      <c r="P14" s="6">
        <v>122</v>
      </c>
      <c r="Q14" s="6">
        <v>138</v>
      </c>
      <c r="R14" s="6">
        <v>144</v>
      </c>
      <c r="S14" s="6">
        <v>140</v>
      </c>
      <c r="T14" s="6">
        <v>125</v>
      </c>
      <c r="U14" s="6">
        <v>124</v>
      </c>
      <c r="V14" s="6">
        <v>128</v>
      </c>
      <c r="W14" s="6">
        <v>112</v>
      </c>
      <c r="X14" s="6">
        <v>95</v>
      </c>
      <c r="Y14" s="6">
        <v>140</v>
      </c>
      <c r="Z14" s="6">
        <v>128</v>
      </c>
      <c r="AA14" s="6">
        <v>139</v>
      </c>
      <c r="AB14" s="6">
        <v>146</v>
      </c>
      <c r="AC14" s="6">
        <v>149</v>
      </c>
      <c r="AD14" s="6">
        <v>140</v>
      </c>
      <c r="AE14" s="6">
        <v>107</v>
      </c>
      <c r="AF14" s="6">
        <v>142</v>
      </c>
      <c r="AG14" s="6">
        <v>142</v>
      </c>
      <c r="AH14" s="6">
        <v>141</v>
      </c>
      <c r="AI14" s="6">
        <v>133</v>
      </c>
      <c r="AJ14" s="6">
        <v>135</v>
      </c>
      <c r="AK14" s="6">
        <v>132</v>
      </c>
      <c r="AL14" s="6">
        <v>146</v>
      </c>
      <c r="AM14" s="6">
        <v>127</v>
      </c>
      <c r="AN14" s="6">
        <v>148</v>
      </c>
      <c r="AO14" s="6">
        <v>143</v>
      </c>
      <c r="AP14" s="6">
        <v>131</v>
      </c>
      <c r="AQ14" s="6">
        <v>98</v>
      </c>
      <c r="AR14" s="6">
        <v>143</v>
      </c>
      <c r="AS14" s="6">
        <v>135</v>
      </c>
      <c r="AT14" s="6">
        <v>136</v>
      </c>
      <c r="AU14" s="6">
        <v>137</v>
      </c>
      <c r="AV14" s="6">
        <v>139</v>
      </c>
      <c r="AW14" s="6">
        <v>123</v>
      </c>
      <c r="AX14" s="6">
        <v>125</v>
      </c>
      <c r="AY14" s="6">
        <v>91</v>
      </c>
      <c r="AZ14" s="6">
        <v>137</v>
      </c>
      <c r="BA14" s="6">
        <v>121</v>
      </c>
      <c r="BB14" s="6">
        <v>125</v>
      </c>
      <c r="BC14" s="6">
        <v>121</v>
      </c>
      <c r="BD14" s="6">
        <v>116</v>
      </c>
      <c r="BE14" s="5">
        <f>SUM(E14:BD14)</f>
        <v>6742</v>
      </c>
    </row>
    <row r="15" spans="1:57" x14ac:dyDescent="0.4">
      <c r="A15" s="7"/>
      <c r="B15" s="64"/>
      <c r="C15" s="65"/>
      <c r="D15" s="6" t="s">
        <v>24</v>
      </c>
      <c r="E15" s="6">
        <v>128</v>
      </c>
      <c r="F15" s="6">
        <v>132</v>
      </c>
      <c r="G15" s="6">
        <v>148</v>
      </c>
      <c r="H15" s="6">
        <v>139</v>
      </c>
      <c r="I15" s="6">
        <v>142</v>
      </c>
      <c r="J15" s="6">
        <v>125</v>
      </c>
      <c r="K15" s="6">
        <v>155</v>
      </c>
      <c r="L15" s="6">
        <v>131</v>
      </c>
      <c r="M15" s="6">
        <v>107</v>
      </c>
      <c r="N15" s="6">
        <v>94</v>
      </c>
      <c r="O15" s="6">
        <v>156</v>
      </c>
      <c r="P15" s="6">
        <v>129</v>
      </c>
      <c r="Q15" s="6">
        <v>148</v>
      </c>
      <c r="R15" s="6">
        <v>139</v>
      </c>
      <c r="S15" s="6">
        <v>136</v>
      </c>
      <c r="T15" s="6">
        <v>132</v>
      </c>
      <c r="U15" s="6">
        <v>139</v>
      </c>
      <c r="V15" s="6">
        <v>141</v>
      </c>
      <c r="W15" s="6">
        <v>123</v>
      </c>
      <c r="X15" s="6">
        <v>100</v>
      </c>
      <c r="Y15" s="6">
        <v>142</v>
      </c>
      <c r="Z15" s="6">
        <v>146</v>
      </c>
      <c r="AA15" s="6">
        <v>146</v>
      </c>
      <c r="AB15" s="6">
        <v>154</v>
      </c>
      <c r="AC15" s="6">
        <v>150</v>
      </c>
      <c r="AD15" s="6">
        <v>157</v>
      </c>
      <c r="AE15" s="6">
        <v>105</v>
      </c>
      <c r="AF15" s="6">
        <v>153</v>
      </c>
      <c r="AG15" s="6">
        <v>145</v>
      </c>
      <c r="AH15" s="6">
        <v>147</v>
      </c>
      <c r="AI15" s="6">
        <v>140</v>
      </c>
      <c r="AJ15" s="6">
        <v>155</v>
      </c>
      <c r="AK15" s="6">
        <v>124</v>
      </c>
      <c r="AL15" s="6">
        <v>150</v>
      </c>
      <c r="AM15" s="6">
        <v>142</v>
      </c>
      <c r="AN15" s="6">
        <v>148</v>
      </c>
      <c r="AO15" s="6">
        <v>154</v>
      </c>
      <c r="AP15" s="6">
        <v>135</v>
      </c>
      <c r="AQ15" s="6">
        <v>120</v>
      </c>
      <c r="AR15" s="6">
        <v>147</v>
      </c>
      <c r="AS15" s="6">
        <v>149</v>
      </c>
      <c r="AT15" s="6">
        <v>134</v>
      </c>
      <c r="AU15" s="6">
        <v>133</v>
      </c>
      <c r="AV15" s="6">
        <v>133</v>
      </c>
      <c r="AW15" s="6">
        <v>129</v>
      </c>
      <c r="AX15" s="6">
        <v>137</v>
      </c>
      <c r="AY15" s="6">
        <v>102</v>
      </c>
      <c r="AZ15" s="6">
        <v>147</v>
      </c>
      <c r="BA15" s="6">
        <v>126</v>
      </c>
      <c r="BB15" s="6">
        <v>126</v>
      </c>
      <c r="BC15" s="6">
        <v>134</v>
      </c>
      <c r="BD15" s="6">
        <v>104</v>
      </c>
      <c r="BE15" s="5">
        <f>SUM(E15:BD15)</f>
        <v>7058</v>
      </c>
    </row>
    <row r="16" spans="1:57" x14ac:dyDescent="0.4">
      <c r="A16" s="8"/>
      <c r="B16" s="66"/>
      <c r="C16" s="67"/>
      <c r="D16" s="5" t="s">
        <v>25</v>
      </c>
      <c r="E16" s="5">
        <f t="shared" ref="E16:BD16" si="0">SUM(E14:E15)</f>
        <v>266</v>
      </c>
      <c r="F16" s="5">
        <f t="shared" si="0"/>
        <v>271</v>
      </c>
      <c r="G16" s="5">
        <f t="shared" si="0"/>
        <v>289</v>
      </c>
      <c r="H16" s="5">
        <f t="shared" si="0"/>
        <v>281</v>
      </c>
      <c r="I16" s="5">
        <f t="shared" si="0"/>
        <v>283</v>
      </c>
      <c r="J16" s="5">
        <f t="shared" si="0"/>
        <v>226</v>
      </c>
      <c r="K16" s="5">
        <f t="shared" si="0"/>
        <v>279</v>
      </c>
      <c r="L16" s="5">
        <f t="shared" si="0"/>
        <v>264</v>
      </c>
      <c r="M16" s="5">
        <f t="shared" si="0"/>
        <v>215</v>
      </c>
      <c r="N16" s="5">
        <f t="shared" si="0"/>
        <v>187</v>
      </c>
      <c r="O16" s="5">
        <f t="shared" si="0"/>
        <v>294</v>
      </c>
      <c r="P16" s="5">
        <f t="shared" si="0"/>
        <v>251</v>
      </c>
      <c r="Q16" s="5">
        <f t="shared" ref="Q16:AA16" si="1">SUM(Q14:Q15)</f>
        <v>286</v>
      </c>
      <c r="R16" s="5">
        <f t="shared" si="1"/>
        <v>283</v>
      </c>
      <c r="S16" s="5">
        <f t="shared" si="1"/>
        <v>276</v>
      </c>
      <c r="T16" s="5">
        <f t="shared" si="1"/>
        <v>257</v>
      </c>
      <c r="U16" s="5">
        <f t="shared" si="1"/>
        <v>263</v>
      </c>
      <c r="V16" s="5">
        <f t="shared" si="1"/>
        <v>269</v>
      </c>
      <c r="W16" s="5">
        <f t="shared" si="1"/>
        <v>235</v>
      </c>
      <c r="X16" s="5">
        <f t="shared" si="1"/>
        <v>195</v>
      </c>
      <c r="Y16" s="5">
        <f t="shared" si="1"/>
        <v>282</v>
      </c>
      <c r="Z16" s="5">
        <f t="shared" si="1"/>
        <v>274</v>
      </c>
      <c r="AA16" s="5">
        <f t="shared" si="1"/>
        <v>285</v>
      </c>
      <c r="AB16" s="5">
        <f t="shared" ref="AB16:AL16" si="2">SUM(AB14:AB15)</f>
        <v>300</v>
      </c>
      <c r="AC16" s="5">
        <f t="shared" si="2"/>
        <v>299</v>
      </c>
      <c r="AD16" s="5">
        <f t="shared" si="2"/>
        <v>297</v>
      </c>
      <c r="AE16" s="5">
        <f t="shared" si="2"/>
        <v>212</v>
      </c>
      <c r="AF16" s="5">
        <f t="shared" si="2"/>
        <v>295</v>
      </c>
      <c r="AG16" s="5">
        <f t="shared" si="2"/>
        <v>287</v>
      </c>
      <c r="AH16" s="5">
        <f t="shared" si="2"/>
        <v>288</v>
      </c>
      <c r="AI16" s="5">
        <f t="shared" si="2"/>
        <v>273</v>
      </c>
      <c r="AJ16" s="5">
        <f t="shared" si="2"/>
        <v>290</v>
      </c>
      <c r="AK16" s="5">
        <f t="shared" si="2"/>
        <v>256</v>
      </c>
      <c r="AL16" s="5">
        <f t="shared" si="2"/>
        <v>296</v>
      </c>
      <c r="AM16" s="5">
        <f t="shared" si="0"/>
        <v>269</v>
      </c>
      <c r="AN16" s="5">
        <f t="shared" si="0"/>
        <v>296</v>
      </c>
      <c r="AO16" s="5">
        <f t="shared" si="0"/>
        <v>297</v>
      </c>
      <c r="AP16" s="5">
        <f t="shared" si="0"/>
        <v>266</v>
      </c>
      <c r="AQ16" s="5">
        <f t="shared" si="0"/>
        <v>218</v>
      </c>
      <c r="AR16" s="5">
        <f t="shared" ref="AR16:AW16" si="3">SUM(AR14:AR15)</f>
        <v>290</v>
      </c>
      <c r="AS16" s="5">
        <f t="shared" si="3"/>
        <v>284</v>
      </c>
      <c r="AT16" s="5">
        <f t="shared" si="3"/>
        <v>270</v>
      </c>
      <c r="AU16" s="5">
        <f t="shared" si="3"/>
        <v>270</v>
      </c>
      <c r="AV16" s="5">
        <f t="shared" si="3"/>
        <v>272</v>
      </c>
      <c r="AW16" s="5">
        <f t="shared" si="3"/>
        <v>252</v>
      </c>
      <c r="AX16" s="5">
        <f t="shared" si="0"/>
        <v>262</v>
      </c>
      <c r="AY16" s="5">
        <f t="shared" si="0"/>
        <v>193</v>
      </c>
      <c r="AZ16" s="5">
        <f t="shared" si="0"/>
        <v>284</v>
      </c>
      <c r="BA16" s="5">
        <f t="shared" si="0"/>
        <v>247</v>
      </c>
      <c r="BB16" s="5">
        <f t="shared" si="0"/>
        <v>251</v>
      </c>
      <c r="BC16" s="5">
        <f t="shared" si="0"/>
        <v>255</v>
      </c>
      <c r="BD16" s="5">
        <f t="shared" si="0"/>
        <v>220</v>
      </c>
      <c r="BE16" s="5">
        <f>SUM(E16:BD16)</f>
        <v>13800</v>
      </c>
    </row>
    <row r="17" spans="1:57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6"/>
      <c r="R17" s="6"/>
      <c r="S17" s="6"/>
      <c r="T17" s="6"/>
      <c r="U17" s="6"/>
      <c r="V17" s="6"/>
      <c r="W17" s="6"/>
      <c r="X17" s="6"/>
      <c r="Y17" s="10"/>
      <c r="Z17" s="10"/>
      <c r="AA17" s="10"/>
      <c r="AB17" s="6"/>
      <c r="AC17" s="6"/>
      <c r="AD17" s="6"/>
      <c r="AE17" s="6"/>
      <c r="AF17" s="6"/>
      <c r="AG17" s="6"/>
      <c r="AH17" s="6"/>
      <c r="AI17" s="6"/>
      <c r="AJ17" s="10"/>
      <c r="AK17" s="10"/>
      <c r="AL17" s="10"/>
      <c r="AM17" s="6"/>
      <c r="AN17" s="6"/>
      <c r="AO17" s="6"/>
      <c r="AP17" s="6"/>
      <c r="AQ17" s="6"/>
      <c r="AR17" s="6"/>
      <c r="AS17" s="6"/>
      <c r="AT17" s="6"/>
      <c r="AU17" s="10"/>
      <c r="AV17" s="10"/>
      <c r="AW17" s="10"/>
      <c r="AX17" s="6"/>
      <c r="AY17" s="6"/>
      <c r="AZ17" s="6"/>
      <c r="BA17" s="10"/>
      <c r="BB17" s="10"/>
      <c r="BC17" s="10"/>
      <c r="BD17" s="10"/>
      <c r="BE17" s="97"/>
    </row>
    <row r="18" spans="1:57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6"/>
      <c r="R18" s="6"/>
      <c r="S18" s="6"/>
      <c r="T18" s="6"/>
      <c r="U18" s="6"/>
      <c r="V18" s="6"/>
      <c r="W18" s="6"/>
      <c r="X18" s="6"/>
      <c r="Y18" s="10"/>
      <c r="Z18" s="10"/>
      <c r="AA18" s="10"/>
      <c r="AB18" s="6"/>
      <c r="AC18" s="6"/>
      <c r="AD18" s="6"/>
      <c r="AE18" s="6"/>
      <c r="AF18" s="6"/>
      <c r="AG18" s="6"/>
      <c r="AH18" s="6"/>
      <c r="AI18" s="6"/>
      <c r="AJ18" s="10"/>
      <c r="AK18" s="10"/>
      <c r="AL18" s="10"/>
      <c r="AM18" s="6"/>
      <c r="AN18" s="6"/>
      <c r="AO18" s="6"/>
      <c r="AP18" s="6"/>
      <c r="AQ18" s="6"/>
      <c r="AR18" s="6"/>
      <c r="AS18" s="6"/>
      <c r="AT18" s="6"/>
      <c r="AU18" s="10"/>
      <c r="AV18" s="10"/>
      <c r="AW18" s="10"/>
      <c r="AX18" s="6"/>
      <c r="AY18" s="6"/>
      <c r="AZ18" s="6"/>
      <c r="BA18" s="10"/>
      <c r="BB18" s="10"/>
      <c r="BC18" s="10"/>
      <c r="BD18" s="10"/>
      <c r="BE18" s="97"/>
    </row>
    <row r="19" spans="1:57" x14ac:dyDescent="0.4">
      <c r="A19" s="11"/>
      <c r="B19" s="68" t="s">
        <v>28</v>
      </c>
      <c r="C19" s="69" t="s">
        <v>29</v>
      </c>
      <c r="D19" s="6" t="s">
        <v>23</v>
      </c>
      <c r="E19" s="6">
        <v>98</v>
      </c>
      <c r="F19" s="6">
        <v>98</v>
      </c>
      <c r="G19" s="6">
        <v>96</v>
      </c>
      <c r="H19" s="6">
        <v>100</v>
      </c>
      <c r="I19" s="6">
        <v>100</v>
      </c>
      <c r="J19" s="6">
        <v>70</v>
      </c>
      <c r="K19" s="6">
        <v>81</v>
      </c>
      <c r="L19" s="6">
        <v>85</v>
      </c>
      <c r="M19" s="6">
        <v>75</v>
      </c>
      <c r="N19" s="6">
        <v>71</v>
      </c>
      <c r="O19" s="6">
        <v>77</v>
      </c>
      <c r="P19" s="6">
        <v>74</v>
      </c>
      <c r="Q19" s="6">
        <v>94</v>
      </c>
      <c r="R19" s="6">
        <v>97</v>
      </c>
      <c r="S19" s="6">
        <v>83</v>
      </c>
      <c r="T19" s="6">
        <v>91</v>
      </c>
      <c r="U19" s="6">
        <v>72</v>
      </c>
      <c r="V19" s="6">
        <v>92</v>
      </c>
      <c r="W19" s="6">
        <v>68</v>
      </c>
      <c r="X19" s="6">
        <v>78</v>
      </c>
      <c r="Y19" s="6">
        <v>104</v>
      </c>
      <c r="Z19" s="6">
        <v>99</v>
      </c>
      <c r="AA19" s="6">
        <v>129</v>
      </c>
      <c r="AB19" s="6">
        <v>116</v>
      </c>
      <c r="AC19" s="6">
        <v>114</v>
      </c>
      <c r="AD19" s="6">
        <v>110</v>
      </c>
      <c r="AE19" s="6">
        <v>90</v>
      </c>
      <c r="AF19" s="6">
        <v>118</v>
      </c>
      <c r="AG19" s="6">
        <v>102</v>
      </c>
      <c r="AH19" s="6">
        <v>120</v>
      </c>
      <c r="AI19" s="6">
        <v>105</v>
      </c>
      <c r="AJ19" s="6">
        <v>100</v>
      </c>
      <c r="AK19" s="6">
        <v>97</v>
      </c>
      <c r="AL19" s="6">
        <v>96</v>
      </c>
      <c r="AM19" s="6">
        <v>90</v>
      </c>
      <c r="AN19" s="6">
        <v>101</v>
      </c>
      <c r="AO19" s="6">
        <v>97</v>
      </c>
      <c r="AP19" s="6">
        <v>96</v>
      </c>
      <c r="AQ19" s="6">
        <v>67</v>
      </c>
      <c r="AR19" s="6">
        <v>97</v>
      </c>
      <c r="AS19" s="6">
        <v>95</v>
      </c>
      <c r="AT19" s="6">
        <v>100</v>
      </c>
      <c r="AU19" s="6">
        <v>103</v>
      </c>
      <c r="AV19" s="6">
        <v>110</v>
      </c>
      <c r="AW19" s="6">
        <v>104</v>
      </c>
      <c r="AX19" s="6">
        <v>83</v>
      </c>
      <c r="AY19" s="6">
        <v>65</v>
      </c>
      <c r="AZ19" s="6">
        <v>103</v>
      </c>
      <c r="BA19" s="6">
        <v>94</v>
      </c>
      <c r="BB19" s="6">
        <v>92</v>
      </c>
      <c r="BC19" s="6">
        <v>94</v>
      </c>
      <c r="BD19" s="6">
        <v>77</v>
      </c>
      <c r="BE19" s="5">
        <f t="shared" ref="BE19:BE30" si="4">SUM(E19:BD19)</f>
        <v>4868</v>
      </c>
    </row>
    <row r="20" spans="1:57" x14ac:dyDescent="0.4">
      <c r="A20" s="12"/>
      <c r="B20" s="65"/>
      <c r="C20" s="70"/>
      <c r="D20" s="6" t="s">
        <v>24</v>
      </c>
      <c r="E20" s="6">
        <v>100</v>
      </c>
      <c r="F20" s="6">
        <v>97</v>
      </c>
      <c r="G20" s="6">
        <v>117</v>
      </c>
      <c r="H20" s="6">
        <v>112</v>
      </c>
      <c r="I20" s="6">
        <v>118</v>
      </c>
      <c r="J20" s="6">
        <v>97</v>
      </c>
      <c r="K20" s="6">
        <v>115</v>
      </c>
      <c r="L20" s="6">
        <v>106</v>
      </c>
      <c r="M20" s="6">
        <v>84</v>
      </c>
      <c r="N20" s="6">
        <v>76</v>
      </c>
      <c r="O20" s="6">
        <v>98</v>
      </c>
      <c r="P20" s="6">
        <v>92</v>
      </c>
      <c r="Q20" s="6">
        <v>117</v>
      </c>
      <c r="R20" s="6">
        <v>108</v>
      </c>
      <c r="S20" s="6">
        <v>107</v>
      </c>
      <c r="T20" s="6">
        <v>106</v>
      </c>
      <c r="U20" s="6">
        <v>100</v>
      </c>
      <c r="V20" s="6">
        <v>110</v>
      </c>
      <c r="W20" s="6">
        <v>90</v>
      </c>
      <c r="X20" s="6">
        <v>88</v>
      </c>
      <c r="Y20" s="6">
        <v>113</v>
      </c>
      <c r="Z20" s="6">
        <v>119</v>
      </c>
      <c r="AA20" s="6">
        <v>137</v>
      </c>
      <c r="AB20" s="6">
        <v>127</v>
      </c>
      <c r="AC20" s="6">
        <v>151</v>
      </c>
      <c r="AD20" s="6">
        <v>152</v>
      </c>
      <c r="AE20" s="6">
        <v>97</v>
      </c>
      <c r="AF20" s="6">
        <v>118</v>
      </c>
      <c r="AG20" s="6">
        <v>121</v>
      </c>
      <c r="AH20" s="6">
        <v>127</v>
      </c>
      <c r="AI20" s="6">
        <v>114</v>
      </c>
      <c r="AJ20" s="6">
        <v>120</v>
      </c>
      <c r="AK20" s="6">
        <v>104</v>
      </c>
      <c r="AL20" s="6">
        <v>117</v>
      </c>
      <c r="AM20" s="6">
        <v>105</v>
      </c>
      <c r="AN20" s="6">
        <v>118</v>
      </c>
      <c r="AO20" s="6">
        <v>118</v>
      </c>
      <c r="AP20" s="6">
        <v>104</v>
      </c>
      <c r="AQ20" s="6">
        <v>94</v>
      </c>
      <c r="AR20" s="6">
        <v>114</v>
      </c>
      <c r="AS20" s="6">
        <v>122</v>
      </c>
      <c r="AT20" s="6">
        <v>104</v>
      </c>
      <c r="AU20" s="6">
        <v>101</v>
      </c>
      <c r="AV20" s="6">
        <v>110</v>
      </c>
      <c r="AW20" s="6">
        <v>106</v>
      </c>
      <c r="AX20" s="6">
        <v>116</v>
      </c>
      <c r="AY20" s="6">
        <v>84</v>
      </c>
      <c r="AZ20" s="6">
        <v>114</v>
      </c>
      <c r="BA20" s="6">
        <v>97</v>
      </c>
      <c r="BB20" s="6">
        <v>83</v>
      </c>
      <c r="BC20" s="6">
        <v>102</v>
      </c>
      <c r="BD20" s="6">
        <v>83</v>
      </c>
      <c r="BE20" s="5">
        <f t="shared" si="4"/>
        <v>5630</v>
      </c>
    </row>
    <row r="21" spans="1:57" x14ac:dyDescent="0.4">
      <c r="A21" s="13"/>
      <c r="B21" s="67"/>
      <c r="C21" s="71"/>
      <c r="D21" s="5" t="s">
        <v>25</v>
      </c>
      <c r="E21" s="5">
        <f t="shared" ref="E21:BD21" si="5">SUM(E19:E20)</f>
        <v>198</v>
      </c>
      <c r="F21" s="5">
        <f t="shared" si="5"/>
        <v>195</v>
      </c>
      <c r="G21" s="5">
        <f t="shared" si="5"/>
        <v>213</v>
      </c>
      <c r="H21" s="5">
        <f t="shared" si="5"/>
        <v>212</v>
      </c>
      <c r="I21" s="5">
        <f t="shared" si="5"/>
        <v>218</v>
      </c>
      <c r="J21" s="5">
        <f t="shared" si="5"/>
        <v>167</v>
      </c>
      <c r="K21" s="5">
        <f t="shared" si="5"/>
        <v>196</v>
      </c>
      <c r="L21" s="5">
        <f t="shared" si="5"/>
        <v>191</v>
      </c>
      <c r="M21" s="5">
        <f t="shared" si="5"/>
        <v>159</v>
      </c>
      <c r="N21" s="5">
        <f t="shared" si="5"/>
        <v>147</v>
      </c>
      <c r="O21" s="5">
        <f t="shared" si="5"/>
        <v>175</v>
      </c>
      <c r="P21" s="5">
        <f t="shared" si="5"/>
        <v>166</v>
      </c>
      <c r="Q21" s="5">
        <f t="shared" ref="Q21:AA21" si="6">SUM(Q19:Q20)</f>
        <v>211</v>
      </c>
      <c r="R21" s="5">
        <f t="shared" si="6"/>
        <v>205</v>
      </c>
      <c r="S21" s="5">
        <f t="shared" si="6"/>
        <v>190</v>
      </c>
      <c r="T21" s="5">
        <f t="shared" si="6"/>
        <v>197</v>
      </c>
      <c r="U21" s="5">
        <f t="shared" si="6"/>
        <v>172</v>
      </c>
      <c r="V21" s="5">
        <f t="shared" si="6"/>
        <v>202</v>
      </c>
      <c r="W21" s="5">
        <f t="shared" si="6"/>
        <v>158</v>
      </c>
      <c r="X21" s="5">
        <f t="shared" si="6"/>
        <v>166</v>
      </c>
      <c r="Y21" s="5">
        <f t="shared" si="6"/>
        <v>217</v>
      </c>
      <c r="Z21" s="5">
        <f t="shared" si="6"/>
        <v>218</v>
      </c>
      <c r="AA21" s="5">
        <f t="shared" si="6"/>
        <v>266</v>
      </c>
      <c r="AB21" s="5">
        <f t="shared" ref="AB21:AL21" si="7">SUM(AB19:AB20)</f>
        <v>243</v>
      </c>
      <c r="AC21" s="5">
        <f t="shared" si="7"/>
        <v>265</v>
      </c>
      <c r="AD21" s="5">
        <f t="shared" si="7"/>
        <v>262</v>
      </c>
      <c r="AE21" s="5">
        <f t="shared" si="7"/>
        <v>187</v>
      </c>
      <c r="AF21" s="5">
        <f t="shared" si="7"/>
        <v>236</v>
      </c>
      <c r="AG21" s="5">
        <f t="shared" si="7"/>
        <v>223</v>
      </c>
      <c r="AH21" s="5">
        <f t="shared" si="7"/>
        <v>247</v>
      </c>
      <c r="AI21" s="5">
        <f t="shared" si="7"/>
        <v>219</v>
      </c>
      <c r="AJ21" s="5">
        <f t="shared" si="7"/>
        <v>220</v>
      </c>
      <c r="AK21" s="5">
        <f t="shared" si="7"/>
        <v>201</v>
      </c>
      <c r="AL21" s="5">
        <f t="shared" si="7"/>
        <v>213</v>
      </c>
      <c r="AM21" s="5">
        <f t="shared" si="5"/>
        <v>195</v>
      </c>
      <c r="AN21" s="5">
        <f t="shared" si="5"/>
        <v>219</v>
      </c>
      <c r="AO21" s="5">
        <f t="shared" si="5"/>
        <v>215</v>
      </c>
      <c r="AP21" s="5">
        <f t="shared" si="5"/>
        <v>200</v>
      </c>
      <c r="AQ21" s="5">
        <f t="shared" si="5"/>
        <v>161</v>
      </c>
      <c r="AR21" s="5">
        <f t="shared" ref="AR21:AW21" si="8">SUM(AR19:AR20)</f>
        <v>211</v>
      </c>
      <c r="AS21" s="5">
        <f t="shared" si="8"/>
        <v>217</v>
      </c>
      <c r="AT21" s="5">
        <f t="shared" si="8"/>
        <v>204</v>
      </c>
      <c r="AU21" s="5">
        <f t="shared" si="8"/>
        <v>204</v>
      </c>
      <c r="AV21" s="5">
        <f t="shared" si="8"/>
        <v>220</v>
      </c>
      <c r="AW21" s="5">
        <f t="shared" si="8"/>
        <v>210</v>
      </c>
      <c r="AX21" s="5">
        <f t="shared" si="5"/>
        <v>199</v>
      </c>
      <c r="AY21" s="5">
        <f t="shared" si="5"/>
        <v>149</v>
      </c>
      <c r="AZ21" s="5">
        <f t="shared" si="5"/>
        <v>217</v>
      </c>
      <c r="BA21" s="5">
        <f t="shared" si="5"/>
        <v>191</v>
      </c>
      <c r="BB21" s="5">
        <f t="shared" si="5"/>
        <v>175</v>
      </c>
      <c r="BC21" s="5">
        <f t="shared" si="5"/>
        <v>196</v>
      </c>
      <c r="BD21" s="5">
        <f t="shared" si="5"/>
        <v>160</v>
      </c>
      <c r="BE21" s="5">
        <f t="shared" si="4"/>
        <v>10498</v>
      </c>
    </row>
    <row r="22" spans="1:57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1</v>
      </c>
      <c r="G22" s="6">
        <v>1</v>
      </c>
      <c r="H22" s="6">
        <v>0</v>
      </c>
      <c r="I22" s="6">
        <v>0</v>
      </c>
      <c r="J22" s="6">
        <v>0</v>
      </c>
      <c r="K22" s="6">
        <v>1</v>
      </c>
      <c r="L22" s="6">
        <v>2</v>
      </c>
      <c r="M22" s="6">
        <v>0</v>
      </c>
      <c r="N22" s="6">
        <v>2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1</v>
      </c>
      <c r="U22" s="6">
        <v>1</v>
      </c>
      <c r="V22" s="6">
        <v>0</v>
      </c>
      <c r="W22" s="6">
        <v>1</v>
      </c>
      <c r="X22" s="6">
        <v>1</v>
      </c>
      <c r="Y22" s="6">
        <v>0</v>
      </c>
      <c r="Z22" s="6">
        <v>0</v>
      </c>
      <c r="AA22" s="6">
        <v>1</v>
      </c>
      <c r="AB22" s="6">
        <v>2</v>
      </c>
      <c r="AC22" s="6">
        <v>1</v>
      </c>
      <c r="AD22" s="6">
        <v>1</v>
      </c>
      <c r="AE22" s="6">
        <v>0</v>
      </c>
      <c r="AF22" s="6">
        <v>0</v>
      </c>
      <c r="AG22" s="6">
        <v>0</v>
      </c>
      <c r="AH22" s="6">
        <v>0</v>
      </c>
      <c r="AI22" s="6">
        <v>1</v>
      </c>
      <c r="AJ22" s="6">
        <v>0</v>
      </c>
      <c r="AK22" s="6">
        <v>0</v>
      </c>
      <c r="AL22" s="6">
        <v>0</v>
      </c>
      <c r="AM22" s="6">
        <v>1</v>
      </c>
      <c r="AN22" s="6">
        <v>0</v>
      </c>
      <c r="AO22" s="6">
        <v>0</v>
      </c>
      <c r="AP22" s="6">
        <v>1</v>
      </c>
      <c r="AQ22" s="6">
        <v>0</v>
      </c>
      <c r="AR22" s="6">
        <v>0</v>
      </c>
      <c r="AS22" s="6">
        <v>1</v>
      </c>
      <c r="AT22" s="6">
        <v>1</v>
      </c>
      <c r="AU22" s="6">
        <v>1</v>
      </c>
      <c r="AV22" s="6">
        <v>0</v>
      </c>
      <c r="AW22" s="6">
        <v>1</v>
      </c>
      <c r="AX22" s="6">
        <v>0</v>
      </c>
      <c r="AY22" s="6">
        <v>1</v>
      </c>
      <c r="AZ22" s="6">
        <v>1</v>
      </c>
      <c r="BA22" s="6">
        <v>2</v>
      </c>
      <c r="BB22" s="6">
        <v>0</v>
      </c>
      <c r="BC22" s="6">
        <v>1</v>
      </c>
      <c r="BD22" s="6">
        <v>0</v>
      </c>
      <c r="BE22" s="5">
        <f t="shared" si="4"/>
        <v>29</v>
      </c>
    </row>
    <row r="23" spans="1:57" x14ac:dyDescent="0.4">
      <c r="A23" s="12"/>
      <c r="B23" s="65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1</v>
      </c>
      <c r="I23" s="6">
        <v>1</v>
      </c>
      <c r="J23" s="6">
        <v>1</v>
      </c>
      <c r="K23" s="6">
        <v>0</v>
      </c>
      <c r="L23" s="6">
        <v>0</v>
      </c>
      <c r="M23" s="6">
        <v>1</v>
      </c>
      <c r="N23" s="6">
        <v>1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1</v>
      </c>
      <c r="W23" s="6">
        <v>2</v>
      </c>
      <c r="X23" s="6">
        <v>0</v>
      </c>
      <c r="Y23" s="6">
        <v>1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1</v>
      </c>
      <c r="AI23" s="6">
        <v>0</v>
      </c>
      <c r="AJ23" s="6">
        <v>1</v>
      </c>
      <c r="AK23" s="6">
        <v>2</v>
      </c>
      <c r="AL23" s="6">
        <v>0</v>
      </c>
      <c r="AM23" s="6">
        <v>0</v>
      </c>
      <c r="AN23" s="6">
        <v>0</v>
      </c>
      <c r="AO23" s="6">
        <v>1</v>
      </c>
      <c r="AP23" s="6">
        <v>0</v>
      </c>
      <c r="AQ23" s="6">
        <v>0</v>
      </c>
      <c r="AR23" s="6">
        <v>1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5">
        <f t="shared" si="4"/>
        <v>17</v>
      </c>
    </row>
    <row r="24" spans="1:57" x14ac:dyDescent="0.4">
      <c r="A24" s="13"/>
      <c r="B24" s="67"/>
      <c r="C24" s="71"/>
      <c r="D24" s="5" t="s">
        <v>25</v>
      </c>
      <c r="E24" s="5">
        <f t="shared" ref="E24:BD24" si="9">SUM(E22:E23)</f>
        <v>0</v>
      </c>
      <c r="F24" s="5">
        <f t="shared" si="9"/>
        <v>1</v>
      </c>
      <c r="G24" s="5">
        <f t="shared" si="9"/>
        <v>1</v>
      </c>
      <c r="H24" s="5">
        <f t="shared" si="9"/>
        <v>1</v>
      </c>
      <c r="I24" s="5">
        <f t="shared" si="9"/>
        <v>1</v>
      </c>
      <c r="J24" s="5">
        <f t="shared" si="9"/>
        <v>1</v>
      </c>
      <c r="K24" s="5">
        <f t="shared" si="9"/>
        <v>1</v>
      </c>
      <c r="L24" s="5">
        <f t="shared" si="9"/>
        <v>2</v>
      </c>
      <c r="M24" s="5">
        <f t="shared" si="9"/>
        <v>1</v>
      </c>
      <c r="N24" s="5">
        <f t="shared" si="9"/>
        <v>3</v>
      </c>
      <c r="O24" s="5">
        <f t="shared" si="9"/>
        <v>0</v>
      </c>
      <c r="P24" s="5">
        <f t="shared" si="9"/>
        <v>0</v>
      </c>
      <c r="Q24" s="5">
        <f t="shared" ref="Q24:AA24" si="10">SUM(Q22:Q23)</f>
        <v>1</v>
      </c>
      <c r="R24" s="5">
        <f t="shared" si="10"/>
        <v>1</v>
      </c>
      <c r="S24" s="5">
        <f t="shared" si="10"/>
        <v>0</v>
      </c>
      <c r="T24" s="5">
        <f t="shared" si="10"/>
        <v>1</v>
      </c>
      <c r="U24" s="5">
        <f t="shared" si="10"/>
        <v>1</v>
      </c>
      <c r="V24" s="5">
        <f t="shared" si="10"/>
        <v>1</v>
      </c>
      <c r="W24" s="5">
        <f t="shared" si="10"/>
        <v>3</v>
      </c>
      <c r="X24" s="5">
        <f t="shared" si="10"/>
        <v>1</v>
      </c>
      <c r="Y24" s="5">
        <f t="shared" si="10"/>
        <v>1</v>
      </c>
      <c r="Z24" s="5">
        <f t="shared" si="10"/>
        <v>0</v>
      </c>
      <c r="AA24" s="5">
        <f t="shared" si="10"/>
        <v>1</v>
      </c>
      <c r="AB24" s="5">
        <f t="shared" ref="AB24:AL24" si="11">SUM(AB22:AB23)</f>
        <v>2</v>
      </c>
      <c r="AC24" s="5">
        <f t="shared" si="11"/>
        <v>1</v>
      </c>
      <c r="AD24" s="5">
        <f t="shared" si="11"/>
        <v>1</v>
      </c>
      <c r="AE24" s="5">
        <f t="shared" si="11"/>
        <v>1</v>
      </c>
      <c r="AF24" s="5">
        <f t="shared" si="11"/>
        <v>0</v>
      </c>
      <c r="AG24" s="5">
        <f t="shared" si="11"/>
        <v>0</v>
      </c>
      <c r="AH24" s="5">
        <f t="shared" si="11"/>
        <v>1</v>
      </c>
      <c r="AI24" s="5">
        <f t="shared" si="11"/>
        <v>1</v>
      </c>
      <c r="AJ24" s="5">
        <f t="shared" si="11"/>
        <v>1</v>
      </c>
      <c r="AK24" s="5">
        <f t="shared" si="11"/>
        <v>2</v>
      </c>
      <c r="AL24" s="5">
        <f t="shared" si="11"/>
        <v>0</v>
      </c>
      <c r="AM24" s="5">
        <f t="shared" si="9"/>
        <v>1</v>
      </c>
      <c r="AN24" s="5">
        <f t="shared" si="9"/>
        <v>0</v>
      </c>
      <c r="AO24" s="5">
        <f t="shared" si="9"/>
        <v>1</v>
      </c>
      <c r="AP24" s="5">
        <f t="shared" si="9"/>
        <v>1</v>
      </c>
      <c r="AQ24" s="5">
        <f t="shared" si="9"/>
        <v>0</v>
      </c>
      <c r="AR24" s="5">
        <f t="shared" ref="AR24:AW24" si="12">SUM(AR22:AR23)</f>
        <v>1</v>
      </c>
      <c r="AS24" s="5">
        <f t="shared" si="12"/>
        <v>1</v>
      </c>
      <c r="AT24" s="5">
        <f t="shared" si="12"/>
        <v>1</v>
      </c>
      <c r="AU24" s="5">
        <f t="shared" si="12"/>
        <v>1</v>
      </c>
      <c r="AV24" s="5">
        <f t="shared" si="12"/>
        <v>0</v>
      </c>
      <c r="AW24" s="5">
        <f t="shared" si="12"/>
        <v>1</v>
      </c>
      <c r="AX24" s="5">
        <f t="shared" si="9"/>
        <v>0</v>
      </c>
      <c r="AY24" s="5">
        <f t="shared" si="9"/>
        <v>1</v>
      </c>
      <c r="AZ24" s="5">
        <f t="shared" si="9"/>
        <v>1</v>
      </c>
      <c r="BA24" s="5">
        <f t="shared" si="9"/>
        <v>2</v>
      </c>
      <c r="BB24" s="5">
        <f t="shared" si="9"/>
        <v>0</v>
      </c>
      <c r="BC24" s="5">
        <f t="shared" si="9"/>
        <v>1</v>
      </c>
      <c r="BD24" s="5">
        <f t="shared" si="9"/>
        <v>0</v>
      </c>
      <c r="BE24" s="5">
        <f t="shared" si="4"/>
        <v>46</v>
      </c>
    </row>
    <row r="25" spans="1:57" x14ac:dyDescent="0.4">
      <c r="A25" s="12"/>
      <c r="B25" s="68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4</v>
      </c>
      <c r="Q25" s="6">
        <v>7</v>
      </c>
      <c r="R25" s="6">
        <v>2</v>
      </c>
      <c r="S25" s="6">
        <v>1</v>
      </c>
      <c r="T25" s="6">
        <v>0</v>
      </c>
      <c r="U25" s="6">
        <v>2</v>
      </c>
      <c r="V25" s="6">
        <v>1</v>
      </c>
      <c r="W25" s="6">
        <v>3</v>
      </c>
      <c r="X25" s="6">
        <v>2</v>
      </c>
      <c r="Y25" s="6">
        <v>1</v>
      </c>
      <c r="Z25" s="6">
        <v>2</v>
      </c>
      <c r="AA25" s="6">
        <v>0</v>
      </c>
      <c r="AB25" s="6">
        <v>3</v>
      </c>
      <c r="AC25" s="6">
        <v>1</v>
      </c>
      <c r="AD25" s="6">
        <v>7</v>
      </c>
      <c r="AE25" s="6">
        <v>2</v>
      </c>
      <c r="AF25" s="6">
        <v>0</v>
      </c>
      <c r="AG25" s="6">
        <v>0</v>
      </c>
      <c r="AH25" s="6">
        <v>1</v>
      </c>
      <c r="AI25" s="6">
        <v>1</v>
      </c>
      <c r="AJ25" s="6">
        <v>3</v>
      </c>
      <c r="AK25" s="6">
        <v>0</v>
      </c>
      <c r="AL25" s="6">
        <v>2</v>
      </c>
      <c r="AM25" s="6">
        <v>0</v>
      </c>
      <c r="AN25" s="6">
        <v>0</v>
      </c>
      <c r="AO25" s="6">
        <v>2</v>
      </c>
      <c r="AP25" s="6">
        <v>1</v>
      </c>
      <c r="AQ25" s="6">
        <v>1</v>
      </c>
      <c r="AR25" s="6">
        <v>2</v>
      </c>
      <c r="AS25" s="6">
        <v>0</v>
      </c>
      <c r="AT25" s="6">
        <v>0</v>
      </c>
      <c r="AU25" s="6">
        <v>0</v>
      </c>
      <c r="AV25" s="6">
        <v>1</v>
      </c>
      <c r="AW25" s="6">
        <v>0</v>
      </c>
      <c r="AX25" s="6">
        <v>1</v>
      </c>
      <c r="AY25" s="6">
        <v>1</v>
      </c>
      <c r="AZ25" s="6">
        <v>1</v>
      </c>
      <c r="BA25" s="6">
        <v>1</v>
      </c>
      <c r="BB25" s="6">
        <v>0</v>
      </c>
      <c r="BC25" s="6">
        <v>1</v>
      </c>
      <c r="BD25" s="6">
        <v>1</v>
      </c>
      <c r="BE25" s="5">
        <f t="shared" si="4"/>
        <v>61</v>
      </c>
    </row>
    <row r="26" spans="1:57" x14ac:dyDescent="0.4">
      <c r="A26" s="12"/>
      <c r="B26" s="65"/>
      <c r="C26" s="70"/>
      <c r="D26" s="6" t="s">
        <v>24</v>
      </c>
      <c r="E26" s="6">
        <v>2</v>
      </c>
      <c r="F26" s="6">
        <v>0</v>
      </c>
      <c r="G26" s="6">
        <v>2</v>
      </c>
      <c r="H26" s="6">
        <v>0</v>
      </c>
      <c r="I26" s="6">
        <v>0</v>
      </c>
      <c r="J26" s="6">
        <v>2</v>
      </c>
      <c r="K26" s="6">
        <v>2</v>
      </c>
      <c r="L26" s="6">
        <v>0</v>
      </c>
      <c r="M26" s="6">
        <v>0</v>
      </c>
      <c r="N26" s="6">
        <v>2</v>
      </c>
      <c r="O26" s="6">
        <v>2</v>
      </c>
      <c r="P26" s="6">
        <v>3</v>
      </c>
      <c r="Q26" s="6">
        <v>3</v>
      </c>
      <c r="R26" s="6">
        <v>2</v>
      </c>
      <c r="S26" s="6">
        <v>1</v>
      </c>
      <c r="T26" s="6">
        <v>0</v>
      </c>
      <c r="U26" s="6">
        <v>0</v>
      </c>
      <c r="V26" s="6">
        <v>2</v>
      </c>
      <c r="W26" s="6">
        <v>1</v>
      </c>
      <c r="X26" s="6">
        <v>4</v>
      </c>
      <c r="Y26" s="6">
        <v>2</v>
      </c>
      <c r="Z26" s="6">
        <v>0</v>
      </c>
      <c r="AA26" s="6">
        <v>1</v>
      </c>
      <c r="AB26" s="6">
        <v>2</v>
      </c>
      <c r="AC26" s="6">
        <v>2</v>
      </c>
      <c r="AD26" s="6">
        <v>6</v>
      </c>
      <c r="AE26" s="6">
        <v>0</v>
      </c>
      <c r="AF26" s="6">
        <v>0</v>
      </c>
      <c r="AG26" s="6">
        <v>0</v>
      </c>
      <c r="AH26" s="6">
        <v>4</v>
      </c>
      <c r="AI26" s="6">
        <v>7</v>
      </c>
      <c r="AJ26" s="6">
        <v>1</v>
      </c>
      <c r="AK26" s="6">
        <v>1</v>
      </c>
      <c r="AL26" s="6">
        <v>3</v>
      </c>
      <c r="AM26" s="6">
        <v>0</v>
      </c>
      <c r="AN26" s="6">
        <v>0</v>
      </c>
      <c r="AO26" s="6">
        <v>4</v>
      </c>
      <c r="AP26" s="6">
        <v>0</v>
      </c>
      <c r="AQ26" s="6">
        <v>1</v>
      </c>
      <c r="AR26" s="6">
        <v>5</v>
      </c>
      <c r="AS26" s="6">
        <v>1</v>
      </c>
      <c r="AT26" s="6">
        <v>0</v>
      </c>
      <c r="AU26" s="6">
        <v>0</v>
      </c>
      <c r="AV26" s="6">
        <v>4</v>
      </c>
      <c r="AW26" s="6">
        <v>0</v>
      </c>
      <c r="AX26" s="6">
        <v>1</v>
      </c>
      <c r="AY26" s="6">
        <v>0</v>
      </c>
      <c r="AZ26" s="6">
        <v>0</v>
      </c>
      <c r="BA26" s="6">
        <v>1</v>
      </c>
      <c r="BB26" s="6">
        <v>0</v>
      </c>
      <c r="BC26" s="6">
        <v>2</v>
      </c>
      <c r="BD26" s="6">
        <v>1</v>
      </c>
      <c r="BE26" s="5">
        <f t="shared" si="4"/>
        <v>77</v>
      </c>
    </row>
    <row r="27" spans="1:57" x14ac:dyDescent="0.4">
      <c r="A27" s="13"/>
      <c r="B27" s="67"/>
      <c r="C27" s="71"/>
      <c r="D27" s="5" t="s">
        <v>25</v>
      </c>
      <c r="E27" s="5">
        <f t="shared" ref="E27:BD27" si="13">SUM(E25:E26)</f>
        <v>3</v>
      </c>
      <c r="F27" s="5">
        <f t="shared" si="13"/>
        <v>0</v>
      </c>
      <c r="G27" s="5">
        <f t="shared" si="13"/>
        <v>2</v>
      </c>
      <c r="H27" s="5">
        <f t="shared" si="13"/>
        <v>0</v>
      </c>
      <c r="I27" s="5">
        <f t="shared" si="13"/>
        <v>0</v>
      </c>
      <c r="J27" s="5">
        <f t="shared" si="13"/>
        <v>3</v>
      </c>
      <c r="K27" s="5">
        <f t="shared" si="13"/>
        <v>3</v>
      </c>
      <c r="L27" s="5">
        <f t="shared" si="13"/>
        <v>0</v>
      </c>
      <c r="M27" s="5">
        <f t="shared" si="13"/>
        <v>0</v>
      </c>
      <c r="N27" s="5">
        <f t="shared" si="13"/>
        <v>2</v>
      </c>
      <c r="O27" s="5">
        <f t="shared" si="13"/>
        <v>2</v>
      </c>
      <c r="P27" s="5">
        <f t="shared" si="13"/>
        <v>7</v>
      </c>
      <c r="Q27" s="5">
        <f t="shared" ref="Q27:AA27" si="14">SUM(Q25:Q26)</f>
        <v>10</v>
      </c>
      <c r="R27" s="5">
        <f t="shared" si="14"/>
        <v>4</v>
      </c>
      <c r="S27" s="5">
        <f t="shared" si="14"/>
        <v>2</v>
      </c>
      <c r="T27" s="5">
        <f t="shared" si="14"/>
        <v>0</v>
      </c>
      <c r="U27" s="5">
        <f t="shared" si="14"/>
        <v>2</v>
      </c>
      <c r="V27" s="5">
        <f t="shared" si="14"/>
        <v>3</v>
      </c>
      <c r="W27" s="5">
        <f t="shared" si="14"/>
        <v>4</v>
      </c>
      <c r="X27" s="5">
        <f t="shared" si="14"/>
        <v>6</v>
      </c>
      <c r="Y27" s="5">
        <f t="shared" si="14"/>
        <v>3</v>
      </c>
      <c r="Z27" s="5">
        <f t="shared" si="14"/>
        <v>2</v>
      </c>
      <c r="AA27" s="5">
        <f t="shared" si="14"/>
        <v>1</v>
      </c>
      <c r="AB27" s="5">
        <f t="shared" ref="AB27:AL27" si="15">SUM(AB25:AB26)</f>
        <v>5</v>
      </c>
      <c r="AC27" s="5">
        <f t="shared" si="15"/>
        <v>3</v>
      </c>
      <c r="AD27" s="5">
        <f t="shared" si="15"/>
        <v>13</v>
      </c>
      <c r="AE27" s="5">
        <f t="shared" si="15"/>
        <v>2</v>
      </c>
      <c r="AF27" s="5">
        <f t="shared" si="15"/>
        <v>0</v>
      </c>
      <c r="AG27" s="5">
        <f t="shared" si="15"/>
        <v>0</v>
      </c>
      <c r="AH27" s="5">
        <f t="shared" si="15"/>
        <v>5</v>
      </c>
      <c r="AI27" s="5">
        <f t="shared" si="15"/>
        <v>8</v>
      </c>
      <c r="AJ27" s="5">
        <f t="shared" si="15"/>
        <v>4</v>
      </c>
      <c r="AK27" s="5">
        <f t="shared" si="15"/>
        <v>1</v>
      </c>
      <c r="AL27" s="5">
        <f t="shared" si="15"/>
        <v>5</v>
      </c>
      <c r="AM27" s="5">
        <f t="shared" si="13"/>
        <v>0</v>
      </c>
      <c r="AN27" s="5">
        <f t="shared" si="13"/>
        <v>0</v>
      </c>
      <c r="AO27" s="5">
        <f t="shared" si="13"/>
        <v>6</v>
      </c>
      <c r="AP27" s="5">
        <f t="shared" si="13"/>
        <v>1</v>
      </c>
      <c r="AQ27" s="5">
        <f t="shared" si="13"/>
        <v>2</v>
      </c>
      <c r="AR27" s="5">
        <f t="shared" ref="AR27:AW27" si="16">SUM(AR25:AR26)</f>
        <v>7</v>
      </c>
      <c r="AS27" s="5">
        <f t="shared" si="16"/>
        <v>1</v>
      </c>
      <c r="AT27" s="5">
        <f t="shared" si="16"/>
        <v>0</v>
      </c>
      <c r="AU27" s="5">
        <f t="shared" si="16"/>
        <v>0</v>
      </c>
      <c r="AV27" s="5">
        <f t="shared" si="16"/>
        <v>5</v>
      </c>
      <c r="AW27" s="5">
        <f t="shared" si="16"/>
        <v>0</v>
      </c>
      <c r="AX27" s="5">
        <f t="shared" si="13"/>
        <v>2</v>
      </c>
      <c r="AY27" s="5">
        <f t="shared" si="13"/>
        <v>1</v>
      </c>
      <c r="AZ27" s="5">
        <f t="shared" si="13"/>
        <v>1</v>
      </c>
      <c r="BA27" s="5">
        <f t="shared" si="13"/>
        <v>2</v>
      </c>
      <c r="BB27" s="5">
        <f t="shared" si="13"/>
        <v>0</v>
      </c>
      <c r="BC27" s="5">
        <f t="shared" si="13"/>
        <v>3</v>
      </c>
      <c r="BD27" s="5">
        <f t="shared" si="13"/>
        <v>2</v>
      </c>
      <c r="BE27" s="5">
        <f t="shared" si="4"/>
        <v>138</v>
      </c>
    </row>
    <row r="28" spans="1:57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99</v>
      </c>
      <c r="F28" s="5">
        <f t="shared" ref="F28:AA28" si="17">SUM(F19,F22,F25)</f>
        <v>99</v>
      </c>
      <c r="G28" s="5">
        <f t="shared" si="17"/>
        <v>97</v>
      </c>
      <c r="H28" s="5">
        <f t="shared" si="17"/>
        <v>100</v>
      </c>
      <c r="I28" s="5">
        <f t="shared" si="17"/>
        <v>100</v>
      </c>
      <c r="J28" s="5">
        <f t="shared" si="17"/>
        <v>71</v>
      </c>
      <c r="K28" s="5">
        <f t="shared" si="17"/>
        <v>83</v>
      </c>
      <c r="L28" s="5">
        <f t="shared" si="17"/>
        <v>87</v>
      </c>
      <c r="M28" s="5">
        <f t="shared" si="17"/>
        <v>75</v>
      </c>
      <c r="N28" s="5">
        <f t="shared" si="17"/>
        <v>73</v>
      </c>
      <c r="O28" s="5">
        <f t="shared" si="17"/>
        <v>77</v>
      </c>
      <c r="P28" s="5">
        <f t="shared" si="17"/>
        <v>78</v>
      </c>
      <c r="Q28" s="5">
        <f t="shared" si="17"/>
        <v>102</v>
      </c>
      <c r="R28" s="5">
        <f t="shared" si="17"/>
        <v>99</v>
      </c>
      <c r="S28" s="5">
        <f t="shared" si="17"/>
        <v>84</v>
      </c>
      <c r="T28" s="5">
        <f t="shared" si="17"/>
        <v>92</v>
      </c>
      <c r="U28" s="5">
        <f t="shared" si="17"/>
        <v>75</v>
      </c>
      <c r="V28" s="5">
        <f t="shared" si="17"/>
        <v>93</v>
      </c>
      <c r="W28" s="5">
        <f t="shared" si="17"/>
        <v>72</v>
      </c>
      <c r="X28" s="5">
        <f t="shared" si="17"/>
        <v>81</v>
      </c>
      <c r="Y28" s="5">
        <f t="shared" si="17"/>
        <v>105</v>
      </c>
      <c r="Z28" s="5">
        <f t="shared" si="17"/>
        <v>101</v>
      </c>
      <c r="AA28" s="5">
        <f t="shared" si="17"/>
        <v>130</v>
      </c>
      <c r="AB28" s="5">
        <f t="shared" ref="AB28:AL28" si="18">SUM(AB19,AB22,AB25)</f>
        <v>121</v>
      </c>
      <c r="AC28" s="5">
        <f t="shared" si="18"/>
        <v>116</v>
      </c>
      <c r="AD28" s="5">
        <f t="shared" si="18"/>
        <v>118</v>
      </c>
      <c r="AE28" s="5">
        <f t="shared" si="18"/>
        <v>92</v>
      </c>
      <c r="AF28" s="5">
        <f t="shared" si="18"/>
        <v>118</v>
      </c>
      <c r="AG28" s="5">
        <f t="shared" si="18"/>
        <v>102</v>
      </c>
      <c r="AH28" s="5">
        <f t="shared" si="18"/>
        <v>121</v>
      </c>
      <c r="AI28" s="5">
        <f t="shared" si="18"/>
        <v>107</v>
      </c>
      <c r="AJ28" s="5">
        <f t="shared" si="18"/>
        <v>103</v>
      </c>
      <c r="AK28" s="5">
        <f t="shared" si="18"/>
        <v>97</v>
      </c>
      <c r="AL28" s="5">
        <f t="shared" si="18"/>
        <v>98</v>
      </c>
      <c r="AM28" s="5">
        <f t="shared" ref="AM28:BD29" si="19">SUM(AM19,AM22,AM25)</f>
        <v>91</v>
      </c>
      <c r="AN28" s="5">
        <f t="shared" si="19"/>
        <v>101</v>
      </c>
      <c r="AO28" s="5">
        <f t="shared" si="19"/>
        <v>99</v>
      </c>
      <c r="AP28" s="5">
        <f t="shared" si="19"/>
        <v>98</v>
      </c>
      <c r="AQ28" s="5">
        <f t="shared" si="19"/>
        <v>68</v>
      </c>
      <c r="AR28" s="5">
        <f t="shared" ref="AR28:AW28" si="20">SUM(AR19,AR22,AR25)</f>
        <v>99</v>
      </c>
      <c r="AS28" s="5">
        <f t="shared" si="20"/>
        <v>96</v>
      </c>
      <c r="AT28" s="5">
        <f t="shared" si="20"/>
        <v>101</v>
      </c>
      <c r="AU28" s="5">
        <f t="shared" si="20"/>
        <v>104</v>
      </c>
      <c r="AV28" s="5">
        <f t="shared" si="20"/>
        <v>111</v>
      </c>
      <c r="AW28" s="5">
        <f t="shared" si="20"/>
        <v>105</v>
      </c>
      <c r="AX28" s="5">
        <f t="shared" si="19"/>
        <v>84</v>
      </c>
      <c r="AY28" s="5">
        <f t="shared" si="19"/>
        <v>67</v>
      </c>
      <c r="AZ28" s="5">
        <f t="shared" si="19"/>
        <v>105</v>
      </c>
      <c r="BA28" s="5">
        <f t="shared" si="19"/>
        <v>97</v>
      </c>
      <c r="BB28" s="5">
        <f t="shared" si="19"/>
        <v>92</v>
      </c>
      <c r="BC28" s="5">
        <f t="shared" si="19"/>
        <v>96</v>
      </c>
      <c r="BD28" s="5">
        <f t="shared" si="19"/>
        <v>78</v>
      </c>
      <c r="BE28" s="5">
        <f t="shared" si="4"/>
        <v>4958</v>
      </c>
    </row>
    <row r="29" spans="1:57" x14ac:dyDescent="0.4">
      <c r="A29" s="13"/>
      <c r="B29" s="65"/>
      <c r="C29" s="70"/>
      <c r="D29" s="5" t="s">
        <v>24</v>
      </c>
      <c r="E29" s="5">
        <f>SUM(E20,E23,E26)</f>
        <v>102</v>
      </c>
      <c r="F29" s="5">
        <f t="shared" ref="F29:AA29" si="21">SUM(F20,F23,F26)</f>
        <v>97</v>
      </c>
      <c r="G29" s="5">
        <f t="shared" si="21"/>
        <v>119</v>
      </c>
      <c r="H29" s="5">
        <f t="shared" si="21"/>
        <v>113</v>
      </c>
      <c r="I29" s="5">
        <f t="shared" si="21"/>
        <v>119</v>
      </c>
      <c r="J29" s="5">
        <f t="shared" si="21"/>
        <v>100</v>
      </c>
      <c r="K29" s="5">
        <f t="shared" si="21"/>
        <v>117</v>
      </c>
      <c r="L29" s="5">
        <f t="shared" si="21"/>
        <v>106</v>
      </c>
      <c r="M29" s="5">
        <f t="shared" si="21"/>
        <v>85</v>
      </c>
      <c r="N29" s="5">
        <f t="shared" si="21"/>
        <v>79</v>
      </c>
      <c r="O29" s="5">
        <f t="shared" si="21"/>
        <v>100</v>
      </c>
      <c r="P29" s="5">
        <f t="shared" si="21"/>
        <v>95</v>
      </c>
      <c r="Q29" s="5">
        <f t="shared" si="21"/>
        <v>120</v>
      </c>
      <c r="R29" s="5">
        <f t="shared" si="21"/>
        <v>111</v>
      </c>
      <c r="S29" s="5">
        <f t="shared" si="21"/>
        <v>108</v>
      </c>
      <c r="T29" s="5">
        <f t="shared" si="21"/>
        <v>106</v>
      </c>
      <c r="U29" s="5">
        <f t="shared" si="21"/>
        <v>100</v>
      </c>
      <c r="V29" s="5">
        <f t="shared" si="21"/>
        <v>113</v>
      </c>
      <c r="W29" s="5">
        <f t="shared" si="21"/>
        <v>93</v>
      </c>
      <c r="X29" s="5">
        <f t="shared" si="21"/>
        <v>92</v>
      </c>
      <c r="Y29" s="5">
        <f t="shared" si="21"/>
        <v>116</v>
      </c>
      <c r="Z29" s="5">
        <f t="shared" si="21"/>
        <v>119</v>
      </c>
      <c r="AA29" s="5">
        <f t="shared" si="21"/>
        <v>138</v>
      </c>
      <c r="AB29" s="5">
        <f t="shared" ref="AB29:AL29" si="22">SUM(AB20,AB23,AB26)</f>
        <v>129</v>
      </c>
      <c r="AC29" s="5">
        <f t="shared" si="22"/>
        <v>153</v>
      </c>
      <c r="AD29" s="5">
        <f t="shared" si="22"/>
        <v>158</v>
      </c>
      <c r="AE29" s="5">
        <f t="shared" si="22"/>
        <v>98</v>
      </c>
      <c r="AF29" s="5">
        <f t="shared" si="22"/>
        <v>118</v>
      </c>
      <c r="AG29" s="5">
        <f t="shared" si="22"/>
        <v>121</v>
      </c>
      <c r="AH29" s="5">
        <f t="shared" si="22"/>
        <v>132</v>
      </c>
      <c r="AI29" s="5">
        <f t="shared" si="22"/>
        <v>121</v>
      </c>
      <c r="AJ29" s="5">
        <f t="shared" si="22"/>
        <v>122</v>
      </c>
      <c r="AK29" s="5">
        <f t="shared" si="22"/>
        <v>107</v>
      </c>
      <c r="AL29" s="5">
        <f t="shared" si="22"/>
        <v>120</v>
      </c>
      <c r="AM29" s="5">
        <f t="shared" si="19"/>
        <v>105</v>
      </c>
      <c r="AN29" s="5">
        <f t="shared" si="19"/>
        <v>118</v>
      </c>
      <c r="AO29" s="5">
        <f t="shared" si="19"/>
        <v>123</v>
      </c>
      <c r="AP29" s="5">
        <f t="shared" si="19"/>
        <v>104</v>
      </c>
      <c r="AQ29" s="5">
        <f t="shared" si="19"/>
        <v>95</v>
      </c>
      <c r="AR29" s="5">
        <f t="shared" ref="AR29:AW29" si="23">SUM(AR20,AR23,AR26)</f>
        <v>120</v>
      </c>
      <c r="AS29" s="5">
        <f t="shared" si="23"/>
        <v>123</v>
      </c>
      <c r="AT29" s="5">
        <f t="shared" si="23"/>
        <v>104</v>
      </c>
      <c r="AU29" s="5">
        <f t="shared" si="23"/>
        <v>101</v>
      </c>
      <c r="AV29" s="5">
        <f t="shared" si="23"/>
        <v>114</v>
      </c>
      <c r="AW29" s="5">
        <f t="shared" si="23"/>
        <v>106</v>
      </c>
      <c r="AX29" s="5">
        <f t="shared" si="19"/>
        <v>117</v>
      </c>
      <c r="AY29" s="5">
        <f t="shared" si="19"/>
        <v>84</v>
      </c>
      <c r="AZ29" s="5">
        <f t="shared" si="19"/>
        <v>114</v>
      </c>
      <c r="BA29" s="5">
        <f t="shared" si="19"/>
        <v>98</v>
      </c>
      <c r="BB29" s="5">
        <f t="shared" si="19"/>
        <v>83</v>
      </c>
      <c r="BC29" s="5">
        <f t="shared" si="19"/>
        <v>104</v>
      </c>
      <c r="BD29" s="5">
        <f t="shared" si="19"/>
        <v>84</v>
      </c>
      <c r="BE29" s="5">
        <f t="shared" si="4"/>
        <v>5724</v>
      </c>
    </row>
    <row r="30" spans="1:57" x14ac:dyDescent="0.4">
      <c r="A30" s="13"/>
      <c r="B30" s="67"/>
      <c r="C30" s="71"/>
      <c r="D30" s="5" t="s">
        <v>25</v>
      </c>
      <c r="E30" s="5">
        <f t="shared" ref="E30:AL30" si="24">SUM(E28:E29)</f>
        <v>201</v>
      </c>
      <c r="F30" s="5">
        <f t="shared" ref="F30:AA30" si="25">SUM(F28:F29)</f>
        <v>196</v>
      </c>
      <c r="G30" s="5">
        <f t="shared" si="25"/>
        <v>216</v>
      </c>
      <c r="H30" s="5">
        <f t="shared" si="25"/>
        <v>213</v>
      </c>
      <c r="I30" s="5">
        <f t="shared" si="25"/>
        <v>219</v>
      </c>
      <c r="J30" s="5">
        <f t="shared" si="25"/>
        <v>171</v>
      </c>
      <c r="K30" s="5">
        <f t="shared" si="25"/>
        <v>200</v>
      </c>
      <c r="L30" s="5">
        <f t="shared" si="25"/>
        <v>193</v>
      </c>
      <c r="M30" s="5">
        <f t="shared" si="25"/>
        <v>160</v>
      </c>
      <c r="N30" s="5">
        <f t="shared" si="25"/>
        <v>152</v>
      </c>
      <c r="O30" s="5">
        <f t="shared" si="25"/>
        <v>177</v>
      </c>
      <c r="P30" s="5">
        <f t="shared" si="25"/>
        <v>173</v>
      </c>
      <c r="Q30" s="5">
        <f t="shared" si="25"/>
        <v>222</v>
      </c>
      <c r="R30" s="5">
        <f t="shared" si="25"/>
        <v>210</v>
      </c>
      <c r="S30" s="5">
        <f t="shared" si="25"/>
        <v>192</v>
      </c>
      <c r="T30" s="5">
        <f t="shared" si="25"/>
        <v>198</v>
      </c>
      <c r="U30" s="5">
        <f t="shared" si="25"/>
        <v>175</v>
      </c>
      <c r="V30" s="5">
        <f t="shared" si="25"/>
        <v>206</v>
      </c>
      <c r="W30" s="5">
        <f t="shared" si="25"/>
        <v>165</v>
      </c>
      <c r="X30" s="5">
        <f t="shared" si="25"/>
        <v>173</v>
      </c>
      <c r="Y30" s="5">
        <f t="shared" si="25"/>
        <v>221</v>
      </c>
      <c r="Z30" s="5">
        <f t="shared" si="25"/>
        <v>220</v>
      </c>
      <c r="AA30" s="5">
        <f t="shared" si="25"/>
        <v>268</v>
      </c>
      <c r="AB30" s="5">
        <f t="shared" si="24"/>
        <v>250</v>
      </c>
      <c r="AC30" s="5">
        <f t="shared" si="24"/>
        <v>269</v>
      </c>
      <c r="AD30" s="5">
        <f t="shared" si="24"/>
        <v>276</v>
      </c>
      <c r="AE30" s="5">
        <f t="shared" si="24"/>
        <v>190</v>
      </c>
      <c r="AF30" s="5">
        <f t="shared" si="24"/>
        <v>236</v>
      </c>
      <c r="AG30" s="5">
        <f t="shared" si="24"/>
        <v>223</v>
      </c>
      <c r="AH30" s="5">
        <f t="shared" si="24"/>
        <v>253</v>
      </c>
      <c r="AI30" s="5">
        <f t="shared" si="24"/>
        <v>228</v>
      </c>
      <c r="AJ30" s="5">
        <f t="shared" si="24"/>
        <v>225</v>
      </c>
      <c r="AK30" s="5">
        <f t="shared" si="24"/>
        <v>204</v>
      </c>
      <c r="AL30" s="5">
        <f t="shared" si="24"/>
        <v>218</v>
      </c>
      <c r="AM30" s="5">
        <f t="shared" ref="AM30:BD30" si="26">SUM(AM28:AM29)</f>
        <v>196</v>
      </c>
      <c r="AN30" s="5">
        <f t="shared" si="26"/>
        <v>219</v>
      </c>
      <c r="AO30" s="5">
        <f t="shared" si="26"/>
        <v>222</v>
      </c>
      <c r="AP30" s="5">
        <f t="shared" si="26"/>
        <v>202</v>
      </c>
      <c r="AQ30" s="5">
        <f t="shared" si="26"/>
        <v>163</v>
      </c>
      <c r="AR30" s="5">
        <f t="shared" ref="AR30:AW30" si="27">SUM(AR28:AR29)</f>
        <v>219</v>
      </c>
      <c r="AS30" s="5">
        <f t="shared" si="27"/>
        <v>219</v>
      </c>
      <c r="AT30" s="5">
        <f t="shared" si="27"/>
        <v>205</v>
      </c>
      <c r="AU30" s="5">
        <f t="shared" si="27"/>
        <v>205</v>
      </c>
      <c r="AV30" s="5">
        <f t="shared" si="27"/>
        <v>225</v>
      </c>
      <c r="AW30" s="5">
        <f t="shared" si="27"/>
        <v>211</v>
      </c>
      <c r="AX30" s="5">
        <f t="shared" si="26"/>
        <v>201</v>
      </c>
      <c r="AY30" s="5">
        <f t="shared" si="26"/>
        <v>151</v>
      </c>
      <c r="AZ30" s="5">
        <f t="shared" si="26"/>
        <v>219</v>
      </c>
      <c r="BA30" s="5">
        <f t="shared" si="26"/>
        <v>195</v>
      </c>
      <c r="BB30" s="5">
        <f t="shared" si="26"/>
        <v>175</v>
      </c>
      <c r="BC30" s="5">
        <f t="shared" si="26"/>
        <v>200</v>
      </c>
      <c r="BD30" s="5">
        <f t="shared" si="26"/>
        <v>162</v>
      </c>
      <c r="BE30" s="5">
        <f t="shared" si="4"/>
        <v>10682</v>
      </c>
    </row>
    <row r="31" spans="1:57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6"/>
      <c r="R31" s="6"/>
      <c r="S31" s="6"/>
      <c r="T31" s="6"/>
      <c r="U31" s="6"/>
      <c r="V31" s="6"/>
      <c r="W31" s="6"/>
      <c r="X31" s="6"/>
      <c r="Y31" s="10"/>
      <c r="Z31" s="10"/>
      <c r="AA31" s="10"/>
      <c r="AB31" s="6"/>
      <c r="AC31" s="6"/>
      <c r="AD31" s="6"/>
      <c r="AE31" s="6"/>
      <c r="AF31" s="6"/>
      <c r="AG31" s="6"/>
      <c r="AH31" s="6"/>
      <c r="AI31" s="6"/>
      <c r="AJ31" s="10"/>
      <c r="AK31" s="10"/>
      <c r="AL31" s="10"/>
      <c r="AM31" s="6"/>
      <c r="AN31" s="6"/>
      <c r="AO31" s="6"/>
      <c r="AP31" s="6"/>
      <c r="AQ31" s="6"/>
      <c r="AR31" s="6"/>
      <c r="AS31" s="6"/>
      <c r="AT31" s="6"/>
      <c r="AU31" s="10"/>
      <c r="AV31" s="10"/>
      <c r="AW31" s="10"/>
      <c r="AX31" s="6"/>
      <c r="AY31" s="6"/>
      <c r="AZ31" s="6"/>
      <c r="BA31" s="10"/>
      <c r="BB31" s="10"/>
      <c r="BC31" s="10"/>
      <c r="BD31" s="10"/>
      <c r="BE31" s="97"/>
    </row>
    <row r="32" spans="1:57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5"/>
      <c r="R32" s="5"/>
      <c r="S32" s="5"/>
      <c r="T32" s="5"/>
      <c r="U32" s="5"/>
      <c r="V32" s="5"/>
      <c r="W32" s="5"/>
      <c r="X32" s="5"/>
      <c r="Y32" s="15"/>
      <c r="Z32" s="15"/>
      <c r="AA32" s="15"/>
      <c r="AB32" s="5"/>
      <c r="AC32" s="5"/>
      <c r="AD32" s="5"/>
      <c r="AE32" s="5"/>
      <c r="AF32" s="5"/>
      <c r="AG32" s="5"/>
      <c r="AH32" s="5"/>
      <c r="AI32" s="5"/>
      <c r="AJ32" s="15"/>
      <c r="AK32" s="15"/>
      <c r="AL32" s="15"/>
      <c r="AM32" s="5"/>
      <c r="AN32" s="5"/>
      <c r="AO32" s="5"/>
      <c r="AP32" s="5"/>
      <c r="AQ32" s="5"/>
      <c r="AR32" s="5"/>
      <c r="AS32" s="5"/>
      <c r="AT32" s="5"/>
      <c r="AU32" s="15"/>
      <c r="AV32" s="15"/>
      <c r="AW32" s="15"/>
      <c r="AX32" s="5"/>
      <c r="AY32" s="5"/>
      <c r="AZ32" s="5"/>
      <c r="BA32" s="15"/>
      <c r="BB32" s="15"/>
      <c r="BC32" s="15"/>
      <c r="BD32" s="15"/>
      <c r="BE32" s="97"/>
    </row>
    <row r="33" spans="1:57" x14ac:dyDescent="0.4">
      <c r="A33" s="6">
        <v>1</v>
      </c>
      <c r="B33" s="61" t="s">
        <v>38</v>
      </c>
      <c r="C33" s="54"/>
      <c r="D33" s="55"/>
      <c r="E33" s="6">
        <v>262</v>
      </c>
      <c r="F33" s="6">
        <v>275</v>
      </c>
      <c r="G33" s="6">
        <v>292</v>
      </c>
      <c r="H33" s="6">
        <v>285</v>
      </c>
      <c r="I33" s="6">
        <v>286</v>
      </c>
      <c r="J33" s="6">
        <v>217</v>
      </c>
      <c r="K33" s="6">
        <v>263</v>
      </c>
      <c r="L33" s="6">
        <v>267</v>
      </c>
      <c r="M33" s="6">
        <v>217</v>
      </c>
      <c r="N33" s="6">
        <v>188</v>
      </c>
      <c r="O33" s="6">
        <v>296</v>
      </c>
      <c r="P33" s="6">
        <v>255</v>
      </c>
      <c r="Q33" s="6">
        <v>289</v>
      </c>
      <c r="R33" s="6">
        <v>286</v>
      </c>
      <c r="S33" s="6">
        <v>279</v>
      </c>
      <c r="T33" s="6">
        <v>262</v>
      </c>
      <c r="U33" s="6">
        <v>266</v>
      </c>
      <c r="V33" s="6">
        <v>273</v>
      </c>
      <c r="W33" s="6">
        <v>227</v>
      </c>
      <c r="X33" s="6">
        <v>196</v>
      </c>
      <c r="Y33" s="6">
        <v>285</v>
      </c>
      <c r="Z33" s="6">
        <v>280</v>
      </c>
      <c r="AA33" s="6">
        <v>290</v>
      </c>
      <c r="AB33" s="6">
        <v>303</v>
      </c>
      <c r="AC33" s="6">
        <v>305</v>
      </c>
      <c r="AD33" s="6">
        <v>297</v>
      </c>
      <c r="AE33" s="6">
        <v>215</v>
      </c>
      <c r="AF33" s="6">
        <v>298</v>
      </c>
      <c r="AG33" s="6">
        <v>289</v>
      </c>
      <c r="AH33" s="6">
        <v>291</v>
      </c>
      <c r="AI33" s="6">
        <v>275</v>
      </c>
      <c r="AJ33" s="6">
        <v>295</v>
      </c>
      <c r="AK33" s="6">
        <v>262</v>
      </c>
      <c r="AL33" s="6">
        <v>299</v>
      </c>
      <c r="AM33" s="6">
        <v>275</v>
      </c>
      <c r="AN33" s="6">
        <v>297</v>
      </c>
      <c r="AO33" s="6">
        <v>301</v>
      </c>
      <c r="AP33" s="6">
        <v>269</v>
      </c>
      <c r="AQ33" s="6">
        <v>221</v>
      </c>
      <c r="AR33" s="6">
        <v>293</v>
      </c>
      <c r="AS33" s="6">
        <v>287</v>
      </c>
      <c r="AT33" s="6">
        <v>273</v>
      </c>
      <c r="AU33" s="6">
        <v>273</v>
      </c>
      <c r="AV33" s="6">
        <v>273</v>
      </c>
      <c r="AW33" s="6">
        <v>255</v>
      </c>
      <c r="AX33" s="6">
        <v>268</v>
      </c>
      <c r="AY33" s="6">
        <v>197</v>
      </c>
      <c r="AZ33" s="6">
        <v>287</v>
      </c>
      <c r="BA33" s="6">
        <v>249</v>
      </c>
      <c r="BB33" s="6">
        <v>253</v>
      </c>
      <c r="BC33" s="6">
        <v>259</v>
      </c>
      <c r="BD33" s="6">
        <v>222</v>
      </c>
      <c r="BE33" s="5">
        <f>SUM(E33:BD33)</f>
        <v>13917</v>
      </c>
    </row>
    <row r="34" spans="1:57" x14ac:dyDescent="0.4">
      <c r="A34" s="6">
        <v>2</v>
      </c>
      <c r="B34" s="61" t="s">
        <v>39</v>
      </c>
      <c r="C34" s="54"/>
      <c r="D34" s="55"/>
      <c r="E34" s="5">
        <v>201</v>
      </c>
      <c r="F34" s="5">
        <v>196</v>
      </c>
      <c r="G34" s="5">
        <v>216</v>
      </c>
      <c r="H34" s="5">
        <v>213</v>
      </c>
      <c r="I34" s="5">
        <v>219</v>
      </c>
      <c r="J34" s="5">
        <v>171</v>
      </c>
      <c r="K34" s="5">
        <v>200</v>
      </c>
      <c r="L34" s="5">
        <v>193</v>
      </c>
      <c r="M34" s="5">
        <v>160</v>
      </c>
      <c r="N34" s="5">
        <v>152</v>
      </c>
      <c r="O34" s="5">
        <v>177</v>
      </c>
      <c r="P34" s="5">
        <v>173</v>
      </c>
      <c r="Q34" s="5">
        <v>222</v>
      </c>
      <c r="R34" s="5">
        <v>210</v>
      </c>
      <c r="S34" s="5">
        <v>192</v>
      </c>
      <c r="T34" s="5">
        <v>198</v>
      </c>
      <c r="U34" s="5">
        <v>175</v>
      </c>
      <c r="V34" s="5">
        <v>206</v>
      </c>
      <c r="W34" s="5">
        <v>165</v>
      </c>
      <c r="X34" s="5">
        <v>173</v>
      </c>
      <c r="Y34" s="5">
        <v>221</v>
      </c>
      <c r="Z34" s="5">
        <v>220</v>
      </c>
      <c r="AA34" s="5">
        <v>268</v>
      </c>
      <c r="AB34" s="5">
        <v>250</v>
      </c>
      <c r="AC34" s="5">
        <v>269</v>
      </c>
      <c r="AD34" s="5">
        <v>276</v>
      </c>
      <c r="AE34" s="5">
        <v>190</v>
      </c>
      <c r="AF34" s="5">
        <v>236</v>
      </c>
      <c r="AG34" s="5">
        <v>223</v>
      </c>
      <c r="AH34" s="5">
        <v>253</v>
      </c>
      <c r="AI34" s="5">
        <v>228</v>
      </c>
      <c r="AJ34" s="5">
        <v>225</v>
      </c>
      <c r="AK34" s="5">
        <v>204</v>
      </c>
      <c r="AL34" s="5">
        <v>218</v>
      </c>
      <c r="AM34" s="5">
        <v>196</v>
      </c>
      <c r="AN34" s="5">
        <v>219</v>
      </c>
      <c r="AO34" s="5">
        <v>222</v>
      </c>
      <c r="AP34" s="5">
        <v>202</v>
      </c>
      <c r="AQ34" s="5">
        <v>163</v>
      </c>
      <c r="AR34" s="5">
        <v>219</v>
      </c>
      <c r="AS34" s="5">
        <v>219</v>
      </c>
      <c r="AT34" s="5">
        <v>205</v>
      </c>
      <c r="AU34" s="5">
        <v>205</v>
      </c>
      <c r="AV34" s="5">
        <v>225</v>
      </c>
      <c r="AW34" s="5">
        <v>211</v>
      </c>
      <c r="AX34" s="5">
        <v>201</v>
      </c>
      <c r="AY34" s="5">
        <v>151</v>
      </c>
      <c r="AZ34" s="5">
        <v>219</v>
      </c>
      <c r="BA34" s="5">
        <v>195</v>
      </c>
      <c r="BB34" s="5">
        <v>175</v>
      </c>
      <c r="BC34" s="5">
        <v>200</v>
      </c>
      <c r="BD34" s="5">
        <v>162</v>
      </c>
      <c r="BE34" s="5">
        <f>SUM(E34:BD34)</f>
        <v>10682</v>
      </c>
    </row>
    <row r="35" spans="1:57" x14ac:dyDescent="0.4">
      <c r="A35" s="6">
        <v>3</v>
      </c>
      <c r="B35" s="61" t="s">
        <v>40</v>
      </c>
      <c r="C35" s="54"/>
      <c r="D35" s="55"/>
      <c r="E35" s="6"/>
      <c r="F35" s="6"/>
      <c r="G35" s="6"/>
      <c r="H35" s="6">
        <v>1</v>
      </c>
      <c r="I35" s="6"/>
      <c r="J35" s="6">
        <v>1</v>
      </c>
      <c r="K35" s="6">
        <v>1</v>
      </c>
      <c r="L35" s="6">
        <v>1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</v>
      </c>
      <c r="AF35" s="6"/>
      <c r="AG35" s="6"/>
      <c r="AH35" s="6"/>
      <c r="AI35" s="6">
        <v>2</v>
      </c>
      <c r="AJ35" s="6"/>
      <c r="AK35" s="6"/>
      <c r="AL35" s="6"/>
      <c r="AM35" s="6">
        <v>1</v>
      </c>
      <c r="AN35" s="6"/>
      <c r="AO35" s="6"/>
      <c r="AP35" s="6"/>
      <c r="AQ35" s="6"/>
      <c r="AR35" s="6"/>
      <c r="AS35" s="6"/>
      <c r="AT35" s="6"/>
      <c r="AU35" s="6"/>
      <c r="AV35" s="6"/>
      <c r="AW35" s="6">
        <v>1</v>
      </c>
      <c r="AX35" s="6"/>
      <c r="AY35" s="6"/>
      <c r="AZ35" s="6"/>
      <c r="BA35" s="6"/>
      <c r="BB35" s="6">
        <v>1</v>
      </c>
      <c r="BC35" s="6"/>
      <c r="BD35" s="6">
        <v>2</v>
      </c>
      <c r="BE35" s="5">
        <f>SUM(E35:BD35)</f>
        <v>12</v>
      </c>
    </row>
    <row r="36" spans="1:57" x14ac:dyDescent="0.4">
      <c r="A36" s="6">
        <v>4</v>
      </c>
      <c r="B36" s="61" t="s">
        <v>41</v>
      </c>
      <c r="C36" s="54"/>
      <c r="D36" s="55"/>
      <c r="E36" s="5">
        <f t="shared" ref="E36:BD36" si="28">E33-(E34+E35)</f>
        <v>61</v>
      </c>
      <c r="F36" s="5">
        <f t="shared" si="28"/>
        <v>79</v>
      </c>
      <c r="G36" s="5">
        <f t="shared" si="28"/>
        <v>76</v>
      </c>
      <c r="H36" s="5">
        <f t="shared" si="28"/>
        <v>71</v>
      </c>
      <c r="I36" s="5">
        <f t="shared" si="28"/>
        <v>67</v>
      </c>
      <c r="J36" s="5">
        <f t="shared" si="28"/>
        <v>45</v>
      </c>
      <c r="K36" s="5">
        <f t="shared" si="28"/>
        <v>62</v>
      </c>
      <c r="L36" s="5">
        <f t="shared" si="28"/>
        <v>73</v>
      </c>
      <c r="M36" s="5">
        <f t="shared" si="28"/>
        <v>57</v>
      </c>
      <c r="N36" s="5">
        <f t="shared" si="28"/>
        <v>36</v>
      </c>
      <c r="O36" s="5">
        <f t="shared" si="28"/>
        <v>119</v>
      </c>
      <c r="P36" s="5">
        <f t="shared" si="28"/>
        <v>82</v>
      </c>
      <c r="Q36" s="5">
        <f t="shared" ref="Q36:AA36" si="29">Q33-(Q34+Q35)</f>
        <v>67</v>
      </c>
      <c r="R36" s="5">
        <f t="shared" si="29"/>
        <v>76</v>
      </c>
      <c r="S36" s="5">
        <f t="shared" si="29"/>
        <v>87</v>
      </c>
      <c r="T36" s="5">
        <f t="shared" si="29"/>
        <v>64</v>
      </c>
      <c r="U36" s="5">
        <f t="shared" si="29"/>
        <v>91</v>
      </c>
      <c r="V36" s="5">
        <f t="shared" si="29"/>
        <v>67</v>
      </c>
      <c r="W36" s="5">
        <f t="shared" si="29"/>
        <v>62</v>
      </c>
      <c r="X36" s="5">
        <f t="shared" si="29"/>
        <v>23</v>
      </c>
      <c r="Y36" s="5">
        <f t="shared" si="29"/>
        <v>64</v>
      </c>
      <c r="Z36" s="5">
        <f t="shared" si="29"/>
        <v>60</v>
      </c>
      <c r="AA36" s="5">
        <f t="shared" si="29"/>
        <v>22</v>
      </c>
      <c r="AB36" s="5">
        <f t="shared" ref="AB36:AL36" si="30">AB33-(AB34+AB35)</f>
        <v>53</v>
      </c>
      <c r="AC36" s="5">
        <f t="shared" si="30"/>
        <v>36</v>
      </c>
      <c r="AD36" s="5">
        <f t="shared" si="30"/>
        <v>21</v>
      </c>
      <c r="AE36" s="5">
        <f t="shared" si="30"/>
        <v>24</v>
      </c>
      <c r="AF36" s="5">
        <f t="shared" si="30"/>
        <v>62</v>
      </c>
      <c r="AG36" s="5">
        <f t="shared" si="30"/>
        <v>66</v>
      </c>
      <c r="AH36" s="5">
        <f t="shared" si="30"/>
        <v>38</v>
      </c>
      <c r="AI36" s="5">
        <f t="shared" si="30"/>
        <v>45</v>
      </c>
      <c r="AJ36" s="5">
        <f t="shared" si="30"/>
        <v>70</v>
      </c>
      <c r="AK36" s="5">
        <f t="shared" si="30"/>
        <v>58</v>
      </c>
      <c r="AL36" s="5">
        <f t="shared" si="30"/>
        <v>81</v>
      </c>
      <c r="AM36" s="5">
        <f t="shared" si="28"/>
        <v>78</v>
      </c>
      <c r="AN36" s="5">
        <f t="shared" si="28"/>
        <v>78</v>
      </c>
      <c r="AO36" s="5">
        <f t="shared" si="28"/>
        <v>79</v>
      </c>
      <c r="AP36" s="5">
        <f t="shared" si="28"/>
        <v>67</v>
      </c>
      <c r="AQ36" s="5">
        <f t="shared" si="28"/>
        <v>58</v>
      </c>
      <c r="AR36" s="5">
        <f t="shared" ref="AR36:AW36" si="31">AR33-(AR34+AR35)</f>
        <v>74</v>
      </c>
      <c r="AS36" s="5">
        <f t="shared" si="31"/>
        <v>68</v>
      </c>
      <c r="AT36" s="5">
        <f t="shared" si="31"/>
        <v>68</v>
      </c>
      <c r="AU36" s="5">
        <f t="shared" si="31"/>
        <v>68</v>
      </c>
      <c r="AV36" s="5">
        <f t="shared" si="31"/>
        <v>48</v>
      </c>
      <c r="AW36" s="5">
        <f t="shared" si="31"/>
        <v>43</v>
      </c>
      <c r="AX36" s="5">
        <f t="shared" si="28"/>
        <v>67</v>
      </c>
      <c r="AY36" s="5">
        <f t="shared" si="28"/>
        <v>46</v>
      </c>
      <c r="AZ36" s="5">
        <f t="shared" si="28"/>
        <v>68</v>
      </c>
      <c r="BA36" s="5">
        <f t="shared" si="28"/>
        <v>54</v>
      </c>
      <c r="BB36" s="5">
        <f t="shared" si="28"/>
        <v>77</v>
      </c>
      <c r="BC36" s="5">
        <f t="shared" si="28"/>
        <v>59</v>
      </c>
      <c r="BD36" s="5">
        <f t="shared" si="28"/>
        <v>58</v>
      </c>
      <c r="BE36" s="5">
        <f>SUM(E36:BD36)</f>
        <v>3223</v>
      </c>
    </row>
    <row r="37" spans="1:57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6"/>
      <c r="AN37" s="76"/>
      <c r="AO37" s="76"/>
      <c r="AP37" s="77"/>
      <c r="AQ37" s="6"/>
      <c r="AR37" s="6"/>
      <c r="AS37" s="6"/>
      <c r="AT37" s="6"/>
      <c r="AU37" s="10"/>
      <c r="AV37" s="26"/>
      <c r="AW37" s="26"/>
      <c r="AX37" s="6"/>
      <c r="AY37" s="6"/>
      <c r="AZ37" s="6"/>
      <c r="BA37" s="10"/>
      <c r="BB37" s="26"/>
      <c r="BC37" s="26"/>
      <c r="BD37" s="26"/>
      <c r="BE37" s="97"/>
    </row>
    <row r="38" spans="1:57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5"/>
      <c r="R38" s="5"/>
      <c r="S38" s="5"/>
      <c r="T38" s="5"/>
      <c r="U38" s="5"/>
      <c r="V38" s="5"/>
      <c r="W38" s="5"/>
      <c r="X38" s="5"/>
      <c r="Y38" s="15"/>
      <c r="Z38" s="15"/>
      <c r="AA38" s="15"/>
      <c r="AB38" s="5"/>
      <c r="AC38" s="5"/>
      <c r="AD38" s="5"/>
      <c r="AE38" s="5"/>
      <c r="AF38" s="5"/>
      <c r="AG38" s="5"/>
      <c r="AH38" s="5"/>
      <c r="AI38" s="5"/>
      <c r="AJ38" s="15"/>
      <c r="AK38" s="15"/>
      <c r="AL38" s="15"/>
      <c r="AM38" s="5"/>
      <c r="AN38" s="5"/>
      <c r="AO38" s="5"/>
      <c r="AP38" s="5"/>
      <c r="AQ38" s="5"/>
      <c r="AR38" s="5"/>
      <c r="AS38" s="5"/>
      <c r="AT38" s="5"/>
      <c r="AU38" s="15"/>
      <c r="AV38" s="15"/>
      <c r="AW38" s="15"/>
      <c r="AX38" s="5"/>
      <c r="AY38" s="5"/>
      <c r="AZ38" s="5"/>
      <c r="BA38" s="15"/>
      <c r="BB38" s="15"/>
      <c r="BC38" s="15"/>
      <c r="BD38" s="15"/>
      <c r="BE38" s="97"/>
    </row>
    <row r="39" spans="1:57" x14ac:dyDescent="0.4">
      <c r="A39" s="11"/>
      <c r="B39" s="78" t="s">
        <v>44</v>
      </c>
      <c r="C39" s="63"/>
      <c r="D39" s="6" t="s">
        <v>23</v>
      </c>
      <c r="E39" s="6">
        <v>0</v>
      </c>
      <c r="F39" s="6">
        <v>0</v>
      </c>
      <c r="G39" s="6">
        <v>1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1</v>
      </c>
      <c r="AC39" s="6">
        <v>1</v>
      </c>
      <c r="AD39" s="6">
        <v>2</v>
      </c>
      <c r="AE39" s="6">
        <v>1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1</v>
      </c>
      <c r="AL39" s="6">
        <v>0</v>
      </c>
      <c r="AM39" s="6">
        <v>0</v>
      </c>
      <c r="AN39" s="6">
        <v>3</v>
      </c>
      <c r="AO39" s="6">
        <v>0</v>
      </c>
      <c r="AP39" s="6">
        <v>0</v>
      </c>
      <c r="AQ39" s="6">
        <v>2</v>
      </c>
      <c r="AR39" s="6">
        <v>1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1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5">
        <f>SUM(E39:BD39)</f>
        <v>17</v>
      </c>
    </row>
    <row r="40" spans="1:57" x14ac:dyDescent="0.4">
      <c r="A40" s="12"/>
      <c r="B40" s="79"/>
      <c r="C40" s="65"/>
      <c r="D40" s="6" t="s">
        <v>24</v>
      </c>
      <c r="E40" s="6">
        <v>0</v>
      </c>
      <c r="F40" s="6">
        <v>1</v>
      </c>
      <c r="G40" s="6">
        <v>4</v>
      </c>
      <c r="H40" s="6">
        <v>1</v>
      </c>
      <c r="I40" s="6">
        <v>1</v>
      </c>
      <c r="J40" s="6">
        <v>0</v>
      </c>
      <c r="K40" s="6">
        <v>1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5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4</v>
      </c>
      <c r="AC40" s="6">
        <v>5</v>
      </c>
      <c r="AD40" s="6">
        <v>5</v>
      </c>
      <c r="AE40" s="6">
        <v>2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4</v>
      </c>
      <c r="AL40" s="6">
        <v>0</v>
      </c>
      <c r="AM40" s="6">
        <v>0</v>
      </c>
      <c r="AN40" s="6">
        <v>5</v>
      </c>
      <c r="AO40" s="6">
        <v>0</v>
      </c>
      <c r="AP40" s="6">
        <v>1</v>
      </c>
      <c r="AQ40" s="6">
        <v>1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5">
        <f>SUM(E40:BD40)</f>
        <v>42</v>
      </c>
    </row>
    <row r="41" spans="1:57" x14ac:dyDescent="0.4">
      <c r="A41" s="14"/>
      <c r="B41" s="80"/>
      <c r="C41" s="67"/>
      <c r="D41" s="5" t="s">
        <v>25</v>
      </c>
      <c r="E41" s="5">
        <f t="shared" ref="E41:BD41" si="32">SUM(E39:E40)</f>
        <v>0</v>
      </c>
      <c r="F41" s="5">
        <f t="shared" si="32"/>
        <v>1</v>
      </c>
      <c r="G41" s="5">
        <f t="shared" si="32"/>
        <v>5</v>
      </c>
      <c r="H41" s="5">
        <f t="shared" si="32"/>
        <v>2</v>
      </c>
      <c r="I41" s="5">
        <f t="shared" si="32"/>
        <v>1</v>
      </c>
      <c r="J41" s="5">
        <f t="shared" si="32"/>
        <v>0</v>
      </c>
      <c r="K41" s="5">
        <f t="shared" si="32"/>
        <v>1</v>
      </c>
      <c r="L41" s="5">
        <f t="shared" si="32"/>
        <v>0</v>
      </c>
      <c r="M41" s="5">
        <f t="shared" si="32"/>
        <v>0</v>
      </c>
      <c r="N41" s="5">
        <f t="shared" si="32"/>
        <v>2</v>
      </c>
      <c r="O41" s="5">
        <f t="shared" si="32"/>
        <v>0</v>
      </c>
      <c r="P41" s="5">
        <f t="shared" si="32"/>
        <v>0</v>
      </c>
      <c r="Q41" s="5">
        <f t="shared" ref="Q41:AA41" si="33">SUM(Q39:Q40)</f>
        <v>0</v>
      </c>
      <c r="R41" s="5">
        <f t="shared" si="33"/>
        <v>0</v>
      </c>
      <c r="S41" s="5">
        <f t="shared" si="33"/>
        <v>6</v>
      </c>
      <c r="T41" s="5">
        <f t="shared" si="33"/>
        <v>0</v>
      </c>
      <c r="U41" s="5">
        <f t="shared" si="33"/>
        <v>0</v>
      </c>
      <c r="V41" s="5">
        <f t="shared" si="33"/>
        <v>0</v>
      </c>
      <c r="W41" s="5">
        <f t="shared" si="33"/>
        <v>0</v>
      </c>
      <c r="X41" s="5">
        <f t="shared" si="33"/>
        <v>0</v>
      </c>
      <c r="Y41" s="5">
        <f t="shared" si="33"/>
        <v>0</v>
      </c>
      <c r="Z41" s="5">
        <f t="shared" si="33"/>
        <v>0</v>
      </c>
      <c r="AA41" s="5">
        <f t="shared" si="33"/>
        <v>0</v>
      </c>
      <c r="AB41" s="5">
        <f t="shared" ref="AB41:AL41" si="34">SUM(AB39:AB40)</f>
        <v>5</v>
      </c>
      <c r="AC41" s="5">
        <f t="shared" si="34"/>
        <v>6</v>
      </c>
      <c r="AD41" s="5">
        <f t="shared" si="34"/>
        <v>7</v>
      </c>
      <c r="AE41" s="5">
        <f t="shared" si="34"/>
        <v>3</v>
      </c>
      <c r="AF41" s="5">
        <f t="shared" si="34"/>
        <v>0</v>
      </c>
      <c r="AG41" s="5">
        <f t="shared" si="34"/>
        <v>0</v>
      </c>
      <c r="AH41" s="5">
        <f t="shared" si="34"/>
        <v>0</v>
      </c>
      <c r="AI41" s="5">
        <f t="shared" si="34"/>
        <v>0</v>
      </c>
      <c r="AJ41" s="5">
        <f t="shared" si="34"/>
        <v>0</v>
      </c>
      <c r="AK41" s="5">
        <f t="shared" si="34"/>
        <v>5</v>
      </c>
      <c r="AL41" s="5">
        <f t="shared" si="34"/>
        <v>0</v>
      </c>
      <c r="AM41" s="5">
        <f t="shared" si="32"/>
        <v>0</v>
      </c>
      <c r="AN41" s="5">
        <f t="shared" si="32"/>
        <v>8</v>
      </c>
      <c r="AO41" s="5">
        <f t="shared" si="32"/>
        <v>0</v>
      </c>
      <c r="AP41" s="5">
        <f t="shared" si="32"/>
        <v>1</v>
      </c>
      <c r="AQ41" s="5">
        <f t="shared" si="32"/>
        <v>3</v>
      </c>
      <c r="AR41" s="5">
        <f t="shared" ref="AR41:AW41" si="35">SUM(AR39:AR40)</f>
        <v>1</v>
      </c>
      <c r="AS41" s="5">
        <f t="shared" si="35"/>
        <v>0</v>
      </c>
      <c r="AT41" s="5">
        <f t="shared" si="35"/>
        <v>0</v>
      </c>
      <c r="AU41" s="5">
        <f t="shared" si="35"/>
        <v>0</v>
      </c>
      <c r="AV41" s="5">
        <f t="shared" si="35"/>
        <v>0</v>
      </c>
      <c r="AW41" s="5">
        <f t="shared" si="35"/>
        <v>0</v>
      </c>
      <c r="AX41" s="5">
        <f t="shared" si="32"/>
        <v>2</v>
      </c>
      <c r="AY41" s="5">
        <f t="shared" si="32"/>
        <v>0</v>
      </c>
      <c r="AZ41" s="5">
        <f t="shared" si="32"/>
        <v>0</v>
      </c>
      <c r="BA41" s="5">
        <f t="shared" si="32"/>
        <v>0</v>
      </c>
      <c r="BB41" s="5">
        <f t="shared" si="32"/>
        <v>0</v>
      </c>
      <c r="BC41" s="5">
        <f t="shared" si="32"/>
        <v>0</v>
      </c>
      <c r="BD41" s="5">
        <f t="shared" si="32"/>
        <v>0</v>
      </c>
      <c r="BE41" s="5">
        <f>SUM(E41:BD41)</f>
        <v>59</v>
      </c>
    </row>
    <row r="42" spans="1:57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54"/>
      <c r="AN42" s="54"/>
      <c r="AO42" s="54"/>
      <c r="AP42" s="55"/>
      <c r="AQ42" s="6"/>
      <c r="AR42" s="6"/>
      <c r="AS42" s="6"/>
      <c r="AT42" s="6"/>
      <c r="AU42" s="10"/>
      <c r="AV42" s="6"/>
      <c r="AW42" s="10"/>
      <c r="AX42" s="6"/>
      <c r="AY42" s="6"/>
      <c r="AZ42" s="6"/>
      <c r="BA42" s="10"/>
      <c r="BB42" s="6"/>
      <c r="BC42" s="10"/>
      <c r="BD42" s="6"/>
      <c r="BE42" s="5"/>
    </row>
    <row r="43" spans="1:57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15"/>
      <c r="Z43" s="5"/>
      <c r="AA43" s="15"/>
      <c r="AB43" s="5"/>
      <c r="AC43" s="5"/>
      <c r="AD43" s="5"/>
      <c r="AE43" s="5"/>
      <c r="AF43" s="5"/>
      <c r="AG43" s="5"/>
      <c r="AH43" s="5"/>
      <c r="AI43" s="5"/>
      <c r="AJ43" s="15"/>
      <c r="AK43" s="5"/>
      <c r="AL43" s="15"/>
      <c r="AM43" s="5"/>
      <c r="AN43" s="5"/>
      <c r="AO43" s="5"/>
      <c r="AP43" s="5"/>
      <c r="AQ43" s="5"/>
      <c r="AR43" s="5"/>
      <c r="AS43" s="5"/>
      <c r="AT43" s="5"/>
      <c r="AU43" s="15"/>
      <c r="AV43" s="5"/>
      <c r="AW43" s="15"/>
      <c r="AX43" s="5"/>
      <c r="AY43" s="5"/>
      <c r="AZ43" s="5"/>
      <c r="BA43" s="15"/>
      <c r="BB43" s="5"/>
      <c r="BC43" s="15"/>
      <c r="BD43" s="5"/>
      <c r="BE43" s="5"/>
    </row>
    <row r="44" spans="1:57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10"/>
      <c r="Z44" s="6"/>
      <c r="AA44" s="10"/>
      <c r="AB44" s="6"/>
      <c r="AC44" s="6"/>
      <c r="AD44" s="6"/>
      <c r="AE44" s="6"/>
      <c r="AF44" s="6"/>
      <c r="AG44" s="6"/>
      <c r="AH44" s="6"/>
      <c r="AI44" s="6"/>
      <c r="AJ44" s="10"/>
      <c r="AK44" s="6"/>
      <c r="AL44" s="10"/>
      <c r="AM44" s="6"/>
      <c r="AN44" s="6"/>
      <c r="AO44" s="6"/>
      <c r="AP44" s="6"/>
      <c r="AQ44" s="6"/>
      <c r="AR44" s="6"/>
      <c r="AS44" s="6"/>
      <c r="AT44" s="6"/>
      <c r="AU44" s="10"/>
      <c r="AV44" s="6"/>
      <c r="AW44" s="10"/>
      <c r="AX44" s="6"/>
      <c r="AY44" s="6"/>
      <c r="AZ44" s="6"/>
      <c r="BA44" s="10"/>
      <c r="BB44" s="6"/>
      <c r="BC44" s="10"/>
      <c r="BD44" s="6"/>
      <c r="BE44" s="5"/>
    </row>
    <row r="45" spans="1:57" x14ac:dyDescent="0.4">
      <c r="A45" s="11" t="s">
        <v>48</v>
      </c>
      <c r="B45" s="17" t="s">
        <v>28</v>
      </c>
      <c r="C45" s="83" t="s">
        <v>49</v>
      </c>
      <c r="D45" s="55"/>
      <c r="E45" s="6">
        <v>3</v>
      </c>
      <c r="F45" s="6">
        <v>1</v>
      </c>
      <c r="G45" s="6">
        <v>4</v>
      </c>
      <c r="H45" s="6">
        <v>7</v>
      </c>
      <c r="I45" s="6">
        <v>3</v>
      </c>
      <c r="J45" s="6">
        <v>2</v>
      </c>
      <c r="K45" s="6">
        <v>10</v>
      </c>
      <c r="L45" s="6">
        <v>6</v>
      </c>
      <c r="M45" s="6">
        <v>3</v>
      </c>
      <c r="N45" s="6">
        <v>6</v>
      </c>
      <c r="O45" s="6">
        <v>5</v>
      </c>
      <c r="P45" s="6">
        <v>6</v>
      </c>
      <c r="Q45" s="6">
        <v>2</v>
      </c>
      <c r="R45" s="6">
        <v>6</v>
      </c>
      <c r="S45" s="6">
        <v>7</v>
      </c>
      <c r="T45" s="6">
        <v>7</v>
      </c>
      <c r="U45" s="6">
        <v>6</v>
      </c>
      <c r="V45" s="6">
        <v>13</v>
      </c>
      <c r="W45" s="6">
        <v>6</v>
      </c>
      <c r="X45" s="6">
        <v>23</v>
      </c>
      <c r="Y45" s="6">
        <v>16</v>
      </c>
      <c r="Z45" s="6">
        <v>12</v>
      </c>
      <c r="AA45" s="6">
        <v>3</v>
      </c>
      <c r="AB45" s="6">
        <v>21</v>
      </c>
      <c r="AC45" s="6">
        <v>18</v>
      </c>
      <c r="AD45" s="6">
        <v>11</v>
      </c>
      <c r="AE45" s="6">
        <v>3</v>
      </c>
      <c r="AF45" s="6">
        <v>11</v>
      </c>
      <c r="AG45" s="6">
        <v>17</v>
      </c>
      <c r="AH45" s="6">
        <v>12</v>
      </c>
      <c r="AI45" s="6">
        <v>19</v>
      </c>
      <c r="AJ45" s="6">
        <v>3</v>
      </c>
      <c r="AK45" s="6">
        <v>11</v>
      </c>
      <c r="AL45" s="6">
        <v>3</v>
      </c>
      <c r="AM45" s="6">
        <v>5</v>
      </c>
      <c r="AN45" s="6">
        <v>4</v>
      </c>
      <c r="AO45" s="6">
        <v>9</v>
      </c>
      <c r="AP45" s="6">
        <v>6</v>
      </c>
      <c r="AQ45" s="6">
        <v>2</v>
      </c>
      <c r="AR45" s="6">
        <v>15</v>
      </c>
      <c r="AS45" s="6">
        <v>12</v>
      </c>
      <c r="AT45" s="6">
        <v>15</v>
      </c>
      <c r="AU45" s="6">
        <v>9</v>
      </c>
      <c r="AV45" s="6">
        <v>14</v>
      </c>
      <c r="AW45" s="6">
        <v>25</v>
      </c>
      <c r="AX45" s="6">
        <v>10</v>
      </c>
      <c r="AY45" s="6">
        <v>7</v>
      </c>
      <c r="AZ45" s="6">
        <v>15</v>
      </c>
      <c r="BA45" s="6">
        <v>10</v>
      </c>
      <c r="BB45" s="6">
        <v>8</v>
      </c>
      <c r="BC45" s="6">
        <v>7</v>
      </c>
      <c r="BD45" s="6">
        <v>8</v>
      </c>
      <c r="BE45" s="5">
        <f t="shared" ref="BE45:BE54" si="36">SUM(E45:BD45)</f>
        <v>467</v>
      </c>
    </row>
    <row r="46" spans="1:57" x14ac:dyDescent="0.4">
      <c r="A46" s="11" t="s">
        <v>50</v>
      </c>
      <c r="B46" s="46"/>
      <c r="C46" s="24" t="s">
        <v>110</v>
      </c>
      <c r="D46" s="24"/>
      <c r="E46" s="6">
        <v>9</v>
      </c>
      <c r="F46" s="6">
        <v>9</v>
      </c>
      <c r="G46" s="6">
        <v>13</v>
      </c>
      <c r="H46" s="6">
        <v>11</v>
      </c>
      <c r="I46" s="6">
        <v>12</v>
      </c>
      <c r="J46" s="6">
        <v>5</v>
      </c>
      <c r="K46" s="6">
        <v>24</v>
      </c>
      <c r="L46" s="6">
        <v>9</v>
      </c>
      <c r="M46" s="6">
        <v>4</v>
      </c>
      <c r="N46" s="6">
        <v>6</v>
      </c>
      <c r="O46" s="6">
        <v>11</v>
      </c>
      <c r="P46" s="6">
        <v>28</v>
      </c>
      <c r="Q46" s="6">
        <v>13</v>
      </c>
      <c r="R46" s="6">
        <v>13</v>
      </c>
      <c r="S46" s="6">
        <v>15</v>
      </c>
      <c r="T46" s="6">
        <v>14</v>
      </c>
      <c r="U46" s="6">
        <v>6</v>
      </c>
      <c r="V46" s="6">
        <v>12</v>
      </c>
      <c r="W46" s="6">
        <v>7</v>
      </c>
      <c r="X46" s="6">
        <v>35</v>
      </c>
      <c r="Y46" s="6">
        <v>27</v>
      </c>
      <c r="Z46" s="6">
        <v>11</v>
      </c>
      <c r="AA46" s="6">
        <v>18</v>
      </c>
      <c r="AB46" s="6">
        <v>10</v>
      </c>
      <c r="AC46" s="6">
        <v>46</v>
      </c>
      <c r="AD46" s="6">
        <v>39</v>
      </c>
      <c r="AE46" s="6">
        <v>5</v>
      </c>
      <c r="AF46" s="6">
        <v>10</v>
      </c>
      <c r="AG46" s="6">
        <v>8</v>
      </c>
      <c r="AH46" s="6">
        <v>10</v>
      </c>
      <c r="AI46" s="6">
        <v>17</v>
      </c>
      <c r="AJ46" s="6">
        <v>6</v>
      </c>
      <c r="AK46" s="6">
        <v>5</v>
      </c>
      <c r="AL46" s="6">
        <v>4</v>
      </c>
      <c r="AM46" s="6">
        <v>9</v>
      </c>
      <c r="AN46" s="6">
        <v>6</v>
      </c>
      <c r="AO46" s="6">
        <v>14</v>
      </c>
      <c r="AP46" s="6">
        <v>13</v>
      </c>
      <c r="AQ46" s="6">
        <v>5</v>
      </c>
      <c r="AR46" s="6">
        <v>17</v>
      </c>
      <c r="AS46" s="6">
        <v>39</v>
      </c>
      <c r="AT46" s="6">
        <v>13</v>
      </c>
      <c r="AU46" s="6">
        <v>12</v>
      </c>
      <c r="AV46" s="6">
        <v>14</v>
      </c>
      <c r="AW46" s="6">
        <v>10</v>
      </c>
      <c r="AX46" s="6">
        <v>11</v>
      </c>
      <c r="AY46" s="6">
        <v>14</v>
      </c>
      <c r="AZ46" s="6">
        <v>31</v>
      </c>
      <c r="BA46" s="6">
        <v>17</v>
      </c>
      <c r="BB46" s="6">
        <v>8</v>
      </c>
      <c r="BC46" s="6">
        <v>3</v>
      </c>
      <c r="BD46" s="6">
        <v>4</v>
      </c>
      <c r="BE46" s="5">
        <f t="shared" si="36"/>
        <v>712</v>
      </c>
    </row>
    <row r="47" spans="1:57" x14ac:dyDescent="0.4">
      <c r="A47" s="7"/>
      <c r="B47" s="47"/>
      <c r="C47" s="24" t="s">
        <v>111</v>
      </c>
      <c r="D47" s="24"/>
      <c r="E47" s="6">
        <v>2</v>
      </c>
      <c r="F47" s="6">
        <v>0</v>
      </c>
      <c r="G47" s="6">
        <v>3</v>
      </c>
      <c r="H47" s="6">
        <v>1</v>
      </c>
      <c r="I47" s="6">
        <v>1</v>
      </c>
      <c r="J47" s="6">
        <v>0</v>
      </c>
      <c r="K47" s="6">
        <v>7</v>
      </c>
      <c r="L47" s="6">
        <v>3</v>
      </c>
      <c r="M47" s="6">
        <v>0</v>
      </c>
      <c r="N47" s="6">
        <v>1</v>
      </c>
      <c r="O47" s="6">
        <v>0</v>
      </c>
      <c r="P47" s="6">
        <v>2</v>
      </c>
      <c r="Q47" s="6">
        <v>1</v>
      </c>
      <c r="R47" s="6">
        <v>1</v>
      </c>
      <c r="S47" s="6">
        <v>0</v>
      </c>
      <c r="T47" s="6">
        <v>1</v>
      </c>
      <c r="U47" s="6">
        <v>2</v>
      </c>
      <c r="V47" s="6">
        <v>3</v>
      </c>
      <c r="W47" s="6">
        <v>1</v>
      </c>
      <c r="X47" s="6">
        <v>11</v>
      </c>
      <c r="Y47" s="6">
        <v>6</v>
      </c>
      <c r="Z47" s="6">
        <v>28</v>
      </c>
      <c r="AA47" s="6">
        <v>4</v>
      </c>
      <c r="AB47" s="6">
        <v>1</v>
      </c>
      <c r="AC47" s="6">
        <v>6</v>
      </c>
      <c r="AD47" s="6">
        <v>14</v>
      </c>
      <c r="AE47" s="6">
        <v>2</v>
      </c>
      <c r="AF47" s="6">
        <v>1</v>
      </c>
      <c r="AG47" s="6">
        <v>5</v>
      </c>
      <c r="AH47" s="6">
        <v>14</v>
      </c>
      <c r="AI47" s="6">
        <v>13</v>
      </c>
      <c r="AJ47" s="6">
        <v>0</v>
      </c>
      <c r="AK47" s="6">
        <v>0</v>
      </c>
      <c r="AL47" s="6">
        <v>5</v>
      </c>
      <c r="AM47" s="6">
        <v>5</v>
      </c>
      <c r="AN47" s="6">
        <v>2</v>
      </c>
      <c r="AO47" s="6">
        <v>0</v>
      </c>
      <c r="AP47" s="6">
        <v>13</v>
      </c>
      <c r="AQ47" s="6">
        <v>2</v>
      </c>
      <c r="AR47" s="6">
        <v>0</v>
      </c>
      <c r="AS47" s="6">
        <v>9</v>
      </c>
      <c r="AT47" s="6">
        <v>7</v>
      </c>
      <c r="AU47" s="6">
        <v>4</v>
      </c>
      <c r="AV47" s="6">
        <v>5</v>
      </c>
      <c r="AW47" s="6">
        <v>14</v>
      </c>
      <c r="AX47" s="6">
        <v>4</v>
      </c>
      <c r="AY47" s="6">
        <v>2</v>
      </c>
      <c r="AZ47" s="6">
        <v>6</v>
      </c>
      <c r="BA47" s="6">
        <v>3</v>
      </c>
      <c r="BB47" s="6">
        <v>3</v>
      </c>
      <c r="BC47" s="6">
        <v>1</v>
      </c>
      <c r="BD47" s="6">
        <v>2</v>
      </c>
      <c r="BE47" s="5">
        <f t="shared" si="36"/>
        <v>221</v>
      </c>
    </row>
    <row r="48" spans="1:57" x14ac:dyDescent="0.4">
      <c r="A48" s="7"/>
      <c r="B48" s="47"/>
      <c r="C48" s="24" t="s">
        <v>112</v>
      </c>
      <c r="D48" s="24"/>
      <c r="E48" s="6">
        <v>3</v>
      </c>
      <c r="F48" s="6">
        <v>2</v>
      </c>
      <c r="G48" s="6">
        <v>0</v>
      </c>
      <c r="H48" s="6">
        <v>0</v>
      </c>
      <c r="I48" s="6">
        <v>2</v>
      </c>
      <c r="J48" s="6">
        <v>0</v>
      </c>
      <c r="K48" s="6">
        <v>1</v>
      </c>
      <c r="L48" s="6">
        <v>1</v>
      </c>
      <c r="M48" s="6">
        <v>0</v>
      </c>
      <c r="N48" s="6">
        <v>0</v>
      </c>
      <c r="O48" s="6">
        <v>3</v>
      </c>
      <c r="P48" s="6">
        <v>1</v>
      </c>
      <c r="Q48" s="6">
        <v>0</v>
      </c>
      <c r="R48" s="6">
        <v>2</v>
      </c>
      <c r="S48" s="6">
        <v>0</v>
      </c>
      <c r="T48" s="6">
        <v>0</v>
      </c>
      <c r="U48" s="6">
        <v>0</v>
      </c>
      <c r="V48" s="6">
        <v>5</v>
      </c>
      <c r="W48" s="6">
        <v>0</v>
      </c>
      <c r="X48" s="6">
        <v>10</v>
      </c>
      <c r="Y48" s="6">
        <v>8</v>
      </c>
      <c r="Z48" s="6">
        <v>3</v>
      </c>
      <c r="AA48" s="6">
        <v>3</v>
      </c>
      <c r="AB48" s="6">
        <v>4</v>
      </c>
      <c r="AC48" s="6">
        <v>4</v>
      </c>
      <c r="AD48" s="6">
        <v>2</v>
      </c>
      <c r="AE48" s="6">
        <v>0</v>
      </c>
      <c r="AF48" s="6">
        <v>2</v>
      </c>
      <c r="AG48" s="6">
        <v>4</v>
      </c>
      <c r="AH48" s="6">
        <v>4</v>
      </c>
      <c r="AI48" s="6">
        <v>27</v>
      </c>
      <c r="AJ48" s="6">
        <v>2</v>
      </c>
      <c r="AK48" s="6">
        <v>1</v>
      </c>
      <c r="AL48" s="6">
        <v>1</v>
      </c>
      <c r="AM48" s="6">
        <v>3</v>
      </c>
      <c r="AN48" s="6">
        <v>0</v>
      </c>
      <c r="AO48" s="6">
        <v>2</v>
      </c>
      <c r="AP48" s="6">
        <v>3</v>
      </c>
      <c r="AQ48" s="6">
        <v>0</v>
      </c>
      <c r="AR48" s="6">
        <v>1</v>
      </c>
      <c r="AS48" s="6">
        <v>3</v>
      </c>
      <c r="AT48" s="6">
        <v>1</v>
      </c>
      <c r="AU48" s="6">
        <v>1</v>
      </c>
      <c r="AV48" s="6">
        <v>1</v>
      </c>
      <c r="AW48" s="6">
        <v>9</v>
      </c>
      <c r="AX48" s="6">
        <v>8</v>
      </c>
      <c r="AY48" s="6">
        <v>1</v>
      </c>
      <c r="AZ48" s="6">
        <v>3</v>
      </c>
      <c r="BA48" s="6">
        <v>5</v>
      </c>
      <c r="BB48" s="6">
        <v>2</v>
      </c>
      <c r="BC48" s="6">
        <v>4</v>
      </c>
      <c r="BD48" s="6">
        <v>5</v>
      </c>
      <c r="BE48" s="5">
        <f t="shared" si="36"/>
        <v>147</v>
      </c>
    </row>
    <row r="49" spans="1:57" x14ac:dyDescent="0.4">
      <c r="A49" s="7"/>
      <c r="B49" s="47"/>
      <c r="C49" s="24" t="s">
        <v>113</v>
      </c>
      <c r="D49" s="24"/>
      <c r="E49" s="6">
        <v>0</v>
      </c>
      <c r="F49" s="6">
        <v>0</v>
      </c>
      <c r="G49" s="6">
        <v>1</v>
      </c>
      <c r="H49" s="6">
        <v>1</v>
      </c>
      <c r="I49" s="6">
        <v>2</v>
      </c>
      <c r="J49" s="6">
        <v>0</v>
      </c>
      <c r="K49" s="6">
        <v>2</v>
      </c>
      <c r="L49" s="6">
        <v>1</v>
      </c>
      <c r="M49" s="6">
        <v>0</v>
      </c>
      <c r="N49" s="6">
        <v>1</v>
      </c>
      <c r="O49" s="6">
        <v>0</v>
      </c>
      <c r="P49" s="6">
        <v>1</v>
      </c>
      <c r="Q49" s="6">
        <v>7</v>
      </c>
      <c r="R49" s="6">
        <v>2</v>
      </c>
      <c r="S49" s="6">
        <v>0</v>
      </c>
      <c r="T49" s="6">
        <v>0</v>
      </c>
      <c r="U49" s="6">
        <v>0</v>
      </c>
      <c r="V49" s="6">
        <v>5</v>
      </c>
      <c r="W49" s="6">
        <v>2</v>
      </c>
      <c r="X49" s="6">
        <v>2</v>
      </c>
      <c r="Y49" s="6">
        <v>2</v>
      </c>
      <c r="Z49" s="6">
        <v>1</v>
      </c>
      <c r="AA49" s="6">
        <v>1</v>
      </c>
      <c r="AB49" s="6">
        <v>0</v>
      </c>
      <c r="AC49" s="6">
        <v>1</v>
      </c>
      <c r="AD49" s="6">
        <v>0</v>
      </c>
      <c r="AE49" s="6">
        <v>0</v>
      </c>
      <c r="AF49" s="6">
        <v>1</v>
      </c>
      <c r="AG49" s="6">
        <v>4</v>
      </c>
      <c r="AH49" s="6">
        <v>4</v>
      </c>
      <c r="AI49" s="6">
        <v>5</v>
      </c>
      <c r="AJ49" s="6">
        <v>1</v>
      </c>
      <c r="AK49" s="6">
        <v>0</v>
      </c>
      <c r="AL49" s="6">
        <v>5</v>
      </c>
      <c r="AM49" s="6">
        <v>1</v>
      </c>
      <c r="AN49" s="6">
        <v>1</v>
      </c>
      <c r="AO49" s="6">
        <v>0</v>
      </c>
      <c r="AP49" s="6">
        <v>2</v>
      </c>
      <c r="AQ49" s="6">
        <v>0</v>
      </c>
      <c r="AR49" s="6">
        <v>1</v>
      </c>
      <c r="AS49" s="6">
        <v>1</v>
      </c>
      <c r="AT49" s="6">
        <v>3</v>
      </c>
      <c r="AU49" s="6">
        <v>2</v>
      </c>
      <c r="AV49" s="6">
        <v>2</v>
      </c>
      <c r="AW49" s="6">
        <v>1</v>
      </c>
      <c r="AX49" s="6">
        <v>2</v>
      </c>
      <c r="AY49" s="6">
        <v>1</v>
      </c>
      <c r="AZ49" s="6">
        <v>4</v>
      </c>
      <c r="BA49" s="6">
        <v>2</v>
      </c>
      <c r="BB49" s="6">
        <v>1</v>
      </c>
      <c r="BC49" s="6">
        <v>0</v>
      </c>
      <c r="BD49" s="6">
        <v>1</v>
      </c>
      <c r="BE49" s="5">
        <f t="shared" si="36"/>
        <v>77</v>
      </c>
    </row>
    <row r="50" spans="1:57" x14ac:dyDescent="0.4">
      <c r="A50" s="7"/>
      <c r="B50" s="47"/>
      <c r="C50" s="24" t="s">
        <v>114</v>
      </c>
      <c r="D50" s="24"/>
      <c r="E50" s="6">
        <v>1</v>
      </c>
      <c r="F50" s="6">
        <v>1</v>
      </c>
      <c r="G50" s="6">
        <v>2</v>
      </c>
      <c r="H50" s="6">
        <v>0</v>
      </c>
      <c r="I50" s="6">
        <v>0</v>
      </c>
      <c r="J50" s="6">
        <v>1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6">
        <v>1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1</v>
      </c>
      <c r="AH50" s="6">
        <v>0</v>
      </c>
      <c r="AI50" s="6">
        <v>0</v>
      </c>
      <c r="AJ50" s="6">
        <v>1</v>
      </c>
      <c r="AK50" s="6">
        <v>1</v>
      </c>
      <c r="AL50" s="6">
        <v>0</v>
      </c>
      <c r="AM50" s="6">
        <v>1</v>
      </c>
      <c r="AN50" s="6">
        <v>1</v>
      </c>
      <c r="AO50" s="6">
        <v>0</v>
      </c>
      <c r="AP50" s="6">
        <v>1</v>
      </c>
      <c r="AQ50" s="6">
        <v>0</v>
      </c>
      <c r="AR50" s="6">
        <v>1</v>
      </c>
      <c r="AS50" s="6">
        <v>2</v>
      </c>
      <c r="AT50" s="6">
        <v>1</v>
      </c>
      <c r="AU50" s="6">
        <v>0</v>
      </c>
      <c r="AV50" s="6">
        <v>1</v>
      </c>
      <c r="AW50" s="6">
        <v>0</v>
      </c>
      <c r="AX50" s="6">
        <v>1</v>
      </c>
      <c r="AY50" s="6">
        <v>0</v>
      </c>
      <c r="AZ50" s="6">
        <v>0</v>
      </c>
      <c r="BA50" s="6">
        <v>0</v>
      </c>
      <c r="BB50" s="6">
        <v>0</v>
      </c>
      <c r="BC50" s="6">
        <v>2</v>
      </c>
      <c r="BD50" s="6">
        <v>0</v>
      </c>
      <c r="BE50" s="5">
        <f t="shared" si="36"/>
        <v>22</v>
      </c>
    </row>
    <row r="51" spans="1:57" x14ac:dyDescent="0.4">
      <c r="A51" s="7"/>
      <c r="B51" s="47"/>
      <c r="C51" s="24" t="s">
        <v>115</v>
      </c>
      <c r="D51" s="24"/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2</v>
      </c>
      <c r="W51" s="6">
        <v>0</v>
      </c>
      <c r="X51" s="6">
        <v>1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2</v>
      </c>
      <c r="AE51" s="6">
        <v>0</v>
      </c>
      <c r="AF51" s="6">
        <v>1</v>
      </c>
      <c r="AG51" s="6">
        <v>1</v>
      </c>
      <c r="AH51" s="6">
        <v>1</v>
      </c>
      <c r="AI51" s="6">
        <v>0</v>
      </c>
      <c r="AJ51" s="6">
        <v>0</v>
      </c>
      <c r="AK51" s="6">
        <v>3</v>
      </c>
      <c r="AL51" s="6">
        <v>1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3</v>
      </c>
      <c r="AU51" s="6">
        <v>0</v>
      </c>
      <c r="AV51" s="6">
        <v>1</v>
      </c>
      <c r="AW51" s="6">
        <v>2</v>
      </c>
      <c r="AX51" s="6">
        <v>0</v>
      </c>
      <c r="AY51" s="6">
        <v>1</v>
      </c>
      <c r="AZ51" s="6">
        <v>2</v>
      </c>
      <c r="BA51" s="6">
        <v>0</v>
      </c>
      <c r="BB51" s="6">
        <v>0</v>
      </c>
      <c r="BC51" s="6">
        <v>0</v>
      </c>
      <c r="BD51" s="6">
        <v>1</v>
      </c>
      <c r="BE51" s="5">
        <f t="shared" si="36"/>
        <v>26</v>
      </c>
    </row>
    <row r="52" spans="1:57" ht="13.15" customHeight="1" x14ac:dyDescent="0.4">
      <c r="A52" s="7"/>
      <c r="B52" s="47"/>
      <c r="C52" s="24" t="s">
        <v>116</v>
      </c>
      <c r="D52" s="24"/>
      <c r="E52" s="6">
        <v>1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1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1</v>
      </c>
      <c r="V52" s="6">
        <v>0</v>
      </c>
      <c r="W52" s="6">
        <v>0</v>
      </c>
      <c r="X52" s="6">
        <v>0</v>
      </c>
      <c r="Y52" s="6">
        <v>1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2</v>
      </c>
      <c r="AF52" s="6">
        <v>0</v>
      </c>
      <c r="AG52" s="6">
        <v>0</v>
      </c>
      <c r="AH52" s="6">
        <v>0</v>
      </c>
      <c r="AI52" s="6">
        <v>4</v>
      </c>
      <c r="AJ52" s="6">
        <v>0</v>
      </c>
      <c r="AK52" s="6">
        <v>1</v>
      </c>
      <c r="AL52" s="6">
        <v>2</v>
      </c>
      <c r="AM52" s="6">
        <v>2</v>
      </c>
      <c r="AN52" s="6">
        <v>1</v>
      </c>
      <c r="AO52" s="6">
        <v>1</v>
      </c>
      <c r="AP52" s="6">
        <v>0</v>
      </c>
      <c r="AQ52" s="6">
        <v>0</v>
      </c>
      <c r="AR52" s="6">
        <v>1</v>
      </c>
      <c r="AS52" s="6">
        <v>1</v>
      </c>
      <c r="AT52" s="6">
        <v>1</v>
      </c>
      <c r="AU52" s="6">
        <v>0</v>
      </c>
      <c r="AV52" s="6">
        <v>0</v>
      </c>
      <c r="AW52" s="6">
        <v>1</v>
      </c>
      <c r="AX52" s="6">
        <v>0</v>
      </c>
      <c r="AY52" s="6">
        <v>0</v>
      </c>
      <c r="AZ52" s="6">
        <v>0</v>
      </c>
      <c r="BA52" s="6">
        <v>3</v>
      </c>
      <c r="BB52" s="6">
        <v>0</v>
      </c>
      <c r="BC52" s="6">
        <v>0</v>
      </c>
      <c r="BD52" s="6">
        <v>0</v>
      </c>
      <c r="BE52" s="5">
        <f t="shared" si="36"/>
        <v>27</v>
      </c>
    </row>
    <row r="53" spans="1:57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1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1</v>
      </c>
      <c r="AH53" s="6">
        <v>0</v>
      </c>
      <c r="AI53" s="6">
        <v>0</v>
      </c>
      <c r="AJ53" s="6">
        <v>1</v>
      </c>
      <c r="AK53" s="6">
        <v>0</v>
      </c>
      <c r="AL53" s="6">
        <v>0</v>
      </c>
      <c r="AM53" s="6">
        <v>1</v>
      </c>
      <c r="AN53" s="6">
        <v>1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1</v>
      </c>
      <c r="AZ53" s="6">
        <v>0</v>
      </c>
      <c r="BA53" s="6">
        <v>1</v>
      </c>
      <c r="BB53" s="6">
        <v>1</v>
      </c>
      <c r="BC53" s="6">
        <v>1</v>
      </c>
      <c r="BD53" s="6">
        <v>1</v>
      </c>
      <c r="BE53" s="5">
        <f t="shared" si="36"/>
        <v>14</v>
      </c>
    </row>
    <row r="54" spans="1:57" ht="13.15" customHeight="1" x14ac:dyDescent="0.4">
      <c r="A54" s="7"/>
      <c r="B54" s="47"/>
      <c r="C54" s="24" t="s">
        <v>118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3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</v>
      </c>
      <c r="AG54" s="6">
        <v>1</v>
      </c>
      <c r="AH54" s="6">
        <v>0</v>
      </c>
      <c r="AI54" s="6">
        <v>1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1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3</v>
      </c>
      <c r="BB54" s="6">
        <v>0</v>
      </c>
      <c r="BC54" s="6">
        <v>0</v>
      </c>
      <c r="BD54" s="6">
        <v>2</v>
      </c>
      <c r="BE54" s="5">
        <f t="shared" si="36"/>
        <v>15</v>
      </c>
    </row>
    <row r="55" spans="1:57" x14ac:dyDescent="0.4">
      <c r="A55" s="6" t="s">
        <v>26</v>
      </c>
      <c r="B55" s="74" t="s">
        <v>51</v>
      </c>
      <c r="C55" s="54"/>
      <c r="D55" s="55"/>
      <c r="E55" s="6">
        <f>SUM(E45:E54)</f>
        <v>20</v>
      </c>
      <c r="F55" s="6">
        <f t="shared" ref="F55:AA55" si="37">SUM(F45:F54)</f>
        <v>14</v>
      </c>
      <c r="G55" s="6">
        <f t="shared" si="37"/>
        <v>25</v>
      </c>
      <c r="H55" s="6">
        <f t="shared" si="37"/>
        <v>20</v>
      </c>
      <c r="I55" s="6">
        <f t="shared" si="37"/>
        <v>21</v>
      </c>
      <c r="J55" s="6">
        <f t="shared" si="37"/>
        <v>8</v>
      </c>
      <c r="K55" s="6">
        <f t="shared" si="37"/>
        <v>45</v>
      </c>
      <c r="L55" s="6">
        <f t="shared" si="37"/>
        <v>21</v>
      </c>
      <c r="M55" s="6">
        <f t="shared" si="37"/>
        <v>8</v>
      </c>
      <c r="N55" s="6">
        <f t="shared" si="37"/>
        <v>17</v>
      </c>
      <c r="O55" s="6">
        <f t="shared" si="37"/>
        <v>19</v>
      </c>
      <c r="P55" s="6">
        <f t="shared" si="37"/>
        <v>38</v>
      </c>
      <c r="Q55" s="6">
        <f t="shared" si="37"/>
        <v>24</v>
      </c>
      <c r="R55" s="6">
        <f t="shared" si="37"/>
        <v>28</v>
      </c>
      <c r="S55" s="6">
        <f t="shared" si="37"/>
        <v>22</v>
      </c>
      <c r="T55" s="6">
        <f t="shared" si="37"/>
        <v>23</v>
      </c>
      <c r="U55" s="6">
        <f t="shared" si="37"/>
        <v>16</v>
      </c>
      <c r="V55" s="6">
        <f t="shared" si="37"/>
        <v>40</v>
      </c>
      <c r="W55" s="6">
        <f t="shared" si="37"/>
        <v>16</v>
      </c>
      <c r="X55" s="6">
        <f t="shared" si="37"/>
        <v>83</v>
      </c>
      <c r="Y55" s="6">
        <f t="shared" si="37"/>
        <v>62</v>
      </c>
      <c r="Z55" s="6">
        <f t="shared" si="37"/>
        <v>56</v>
      </c>
      <c r="AA55" s="6">
        <f t="shared" si="37"/>
        <v>29</v>
      </c>
      <c r="AB55" s="6">
        <f t="shared" ref="AB55:AL55" si="38">SUM(AB45:AB54)</f>
        <v>36</v>
      </c>
      <c r="AC55" s="6">
        <f t="shared" si="38"/>
        <v>75</v>
      </c>
      <c r="AD55" s="6">
        <f t="shared" si="38"/>
        <v>68</v>
      </c>
      <c r="AE55" s="6">
        <f t="shared" si="38"/>
        <v>12</v>
      </c>
      <c r="AF55" s="6">
        <f t="shared" si="38"/>
        <v>27</v>
      </c>
      <c r="AG55" s="6">
        <f t="shared" si="38"/>
        <v>42</v>
      </c>
      <c r="AH55" s="6">
        <f t="shared" si="38"/>
        <v>45</v>
      </c>
      <c r="AI55" s="6">
        <f t="shared" si="38"/>
        <v>86</v>
      </c>
      <c r="AJ55" s="6">
        <f t="shared" si="38"/>
        <v>14</v>
      </c>
      <c r="AK55" s="6">
        <f t="shared" si="38"/>
        <v>22</v>
      </c>
      <c r="AL55" s="6">
        <f t="shared" si="38"/>
        <v>21</v>
      </c>
      <c r="AM55" s="6">
        <f t="shared" ref="AM55:BE55" si="39">SUM(AM45:AM54)</f>
        <v>27</v>
      </c>
      <c r="AN55" s="6">
        <f t="shared" si="39"/>
        <v>16</v>
      </c>
      <c r="AO55" s="6">
        <f t="shared" si="39"/>
        <v>26</v>
      </c>
      <c r="AP55" s="6">
        <f t="shared" si="39"/>
        <v>39</v>
      </c>
      <c r="AQ55" s="6">
        <f t="shared" si="39"/>
        <v>9</v>
      </c>
      <c r="AR55" s="6">
        <f t="shared" ref="AR55:AW55" si="40">SUM(AR45:AR54)</f>
        <v>36</v>
      </c>
      <c r="AS55" s="6">
        <f t="shared" si="40"/>
        <v>67</v>
      </c>
      <c r="AT55" s="6">
        <f t="shared" si="40"/>
        <v>44</v>
      </c>
      <c r="AU55" s="6">
        <f t="shared" si="40"/>
        <v>28</v>
      </c>
      <c r="AV55" s="6">
        <f t="shared" si="40"/>
        <v>38</v>
      </c>
      <c r="AW55" s="6">
        <f t="shared" si="40"/>
        <v>62</v>
      </c>
      <c r="AX55" s="6">
        <f t="shared" si="39"/>
        <v>36</v>
      </c>
      <c r="AY55" s="6">
        <f t="shared" si="39"/>
        <v>27</v>
      </c>
      <c r="AZ55" s="6">
        <f t="shared" si="39"/>
        <v>61</v>
      </c>
      <c r="BA55" s="6">
        <f t="shared" si="39"/>
        <v>44</v>
      </c>
      <c r="BB55" s="6">
        <f t="shared" si="39"/>
        <v>23</v>
      </c>
      <c r="BC55" s="6">
        <f t="shared" si="39"/>
        <v>18</v>
      </c>
      <c r="BD55" s="6">
        <f t="shared" si="39"/>
        <v>24</v>
      </c>
      <c r="BE55" s="5">
        <f t="shared" si="39"/>
        <v>1728</v>
      </c>
    </row>
    <row r="56" spans="1:57" x14ac:dyDescent="0.4">
      <c r="A56" s="81"/>
      <c r="B56" s="80"/>
      <c r="C56" s="80"/>
      <c r="D56" s="80"/>
      <c r="E56" s="80"/>
      <c r="BE56" s="5"/>
    </row>
    <row r="57" spans="1:57" x14ac:dyDescent="0.4">
      <c r="A57" s="11" t="s">
        <v>48</v>
      </c>
      <c r="B57" s="17" t="s">
        <v>30</v>
      </c>
      <c r="C57" s="83" t="s">
        <v>52</v>
      </c>
      <c r="D57" s="55"/>
      <c r="E57" s="6">
        <v>13</v>
      </c>
      <c r="F57" s="6">
        <v>8</v>
      </c>
      <c r="G57" s="6">
        <v>7</v>
      </c>
      <c r="H57" s="6">
        <v>15</v>
      </c>
      <c r="I57" s="6">
        <v>11</v>
      </c>
      <c r="J57" s="6">
        <v>5</v>
      </c>
      <c r="K57" s="6">
        <v>11</v>
      </c>
      <c r="L57" s="6">
        <v>16</v>
      </c>
      <c r="M57" s="6">
        <v>14</v>
      </c>
      <c r="N57" s="6">
        <v>11</v>
      </c>
      <c r="O57" s="6">
        <v>10</v>
      </c>
      <c r="P57" s="6">
        <v>2</v>
      </c>
      <c r="Q57" s="6">
        <v>8</v>
      </c>
      <c r="R57" s="6">
        <v>8</v>
      </c>
      <c r="S57" s="6">
        <v>12</v>
      </c>
      <c r="T57" s="6">
        <v>11</v>
      </c>
      <c r="U57" s="6">
        <v>17</v>
      </c>
      <c r="V57" s="6">
        <v>11</v>
      </c>
      <c r="W57" s="6">
        <v>20</v>
      </c>
      <c r="X57" s="6">
        <v>8</v>
      </c>
      <c r="Y57" s="6">
        <v>5</v>
      </c>
      <c r="Z57" s="6">
        <v>8</v>
      </c>
      <c r="AA57" s="6">
        <v>6</v>
      </c>
      <c r="AB57" s="6">
        <v>8</v>
      </c>
      <c r="AC57" s="6">
        <v>3</v>
      </c>
      <c r="AD57" s="6">
        <v>0</v>
      </c>
      <c r="AE57" s="6">
        <v>6</v>
      </c>
      <c r="AF57" s="6">
        <v>12</v>
      </c>
      <c r="AG57" s="6">
        <v>9</v>
      </c>
      <c r="AH57" s="6">
        <v>7</v>
      </c>
      <c r="AI57" s="6">
        <v>10</v>
      </c>
      <c r="AJ57" s="6">
        <v>18</v>
      </c>
      <c r="AK57" s="6">
        <v>13</v>
      </c>
      <c r="AL57" s="6">
        <v>13</v>
      </c>
      <c r="AM57" s="6">
        <v>7</v>
      </c>
      <c r="AN57" s="6">
        <v>9</v>
      </c>
      <c r="AO57" s="6">
        <v>11</v>
      </c>
      <c r="AP57" s="6">
        <v>2</v>
      </c>
      <c r="AQ57" s="6">
        <v>9</v>
      </c>
      <c r="AR57" s="6">
        <v>15</v>
      </c>
      <c r="AS57" s="6">
        <v>9</v>
      </c>
      <c r="AT57" s="6">
        <v>16</v>
      </c>
      <c r="AU57" s="6">
        <v>16</v>
      </c>
      <c r="AV57" s="6">
        <v>25</v>
      </c>
      <c r="AW57" s="6">
        <v>26</v>
      </c>
      <c r="AX57" s="6">
        <v>18</v>
      </c>
      <c r="AY57" s="6">
        <v>14</v>
      </c>
      <c r="AZ57" s="6">
        <v>11</v>
      </c>
      <c r="BA57" s="6">
        <v>11</v>
      </c>
      <c r="BB57" s="6">
        <v>8</v>
      </c>
      <c r="BC57" s="6">
        <v>10</v>
      </c>
      <c r="BD57" s="6">
        <v>13</v>
      </c>
      <c r="BE57" s="5">
        <f t="shared" ref="BE57:BE66" si="41">SUM(E57:BD57)</f>
        <v>566</v>
      </c>
    </row>
    <row r="58" spans="1:57" x14ac:dyDescent="0.4">
      <c r="A58" s="11" t="s">
        <v>50</v>
      </c>
      <c r="B58" s="47"/>
      <c r="C58" s="24" t="s">
        <v>119</v>
      </c>
      <c r="D58" s="48"/>
      <c r="E58" s="6">
        <v>5</v>
      </c>
      <c r="F58" s="6">
        <v>2</v>
      </c>
      <c r="G58" s="6">
        <v>6</v>
      </c>
      <c r="H58" s="6">
        <v>10</v>
      </c>
      <c r="I58" s="6">
        <v>2</v>
      </c>
      <c r="J58" s="6">
        <v>5</v>
      </c>
      <c r="K58" s="6">
        <v>4</v>
      </c>
      <c r="L58" s="6">
        <v>7</v>
      </c>
      <c r="M58" s="6">
        <v>5</v>
      </c>
      <c r="N58" s="6">
        <v>3</v>
      </c>
      <c r="O58" s="6">
        <v>8</v>
      </c>
      <c r="P58" s="6">
        <v>6</v>
      </c>
      <c r="Q58" s="6">
        <v>7</v>
      </c>
      <c r="R58" s="6">
        <v>7</v>
      </c>
      <c r="S58" s="6">
        <v>3</v>
      </c>
      <c r="T58" s="6">
        <v>7</v>
      </c>
      <c r="U58" s="6">
        <v>9</v>
      </c>
      <c r="V58" s="6">
        <v>8</v>
      </c>
      <c r="W58" s="6">
        <v>9</v>
      </c>
      <c r="X58" s="6">
        <v>3</v>
      </c>
      <c r="Y58" s="6">
        <v>6</v>
      </c>
      <c r="Z58" s="6">
        <v>1</v>
      </c>
      <c r="AA58" s="6">
        <v>0</v>
      </c>
      <c r="AB58" s="6">
        <v>6</v>
      </c>
      <c r="AC58" s="6">
        <v>4</v>
      </c>
      <c r="AD58" s="6">
        <v>2</v>
      </c>
      <c r="AE58" s="6">
        <v>0</v>
      </c>
      <c r="AF58" s="6">
        <v>7</v>
      </c>
      <c r="AG58" s="6">
        <v>2</v>
      </c>
      <c r="AH58" s="6">
        <v>5</v>
      </c>
      <c r="AI58" s="6">
        <v>5</v>
      </c>
      <c r="AJ58" s="6">
        <v>5</v>
      </c>
      <c r="AK58" s="6">
        <v>3</v>
      </c>
      <c r="AL58" s="6">
        <v>7</v>
      </c>
      <c r="AM58" s="6">
        <v>6</v>
      </c>
      <c r="AN58" s="6">
        <v>8</v>
      </c>
      <c r="AO58" s="6">
        <v>4</v>
      </c>
      <c r="AP58" s="6">
        <v>3</v>
      </c>
      <c r="AQ58" s="6">
        <v>4</v>
      </c>
      <c r="AR58" s="6">
        <v>13</v>
      </c>
      <c r="AS58" s="6">
        <v>11</v>
      </c>
      <c r="AT58" s="6">
        <v>7</v>
      </c>
      <c r="AU58" s="6">
        <v>12</v>
      </c>
      <c r="AV58" s="6">
        <v>11</v>
      </c>
      <c r="AW58" s="6">
        <v>10</v>
      </c>
      <c r="AX58" s="6">
        <v>15</v>
      </c>
      <c r="AY58" s="6">
        <v>6</v>
      </c>
      <c r="AZ58" s="6">
        <v>8</v>
      </c>
      <c r="BA58" s="6">
        <v>8</v>
      </c>
      <c r="BB58" s="6">
        <v>4</v>
      </c>
      <c r="BC58" s="6">
        <v>6</v>
      </c>
      <c r="BD58" s="6">
        <v>5</v>
      </c>
      <c r="BE58" s="5">
        <f t="shared" si="41"/>
        <v>310</v>
      </c>
    </row>
    <row r="59" spans="1:57" x14ac:dyDescent="0.4">
      <c r="A59" s="7"/>
      <c r="B59" s="47"/>
      <c r="C59" s="24" t="s">
        <v>120</v>
      </c>
      <c r="D59" s="48"/>
      <c r="E59" s="6">
        <v>10</v>
      </c>
      <c r="F59" s="6">
        <v>4</v>
      </c>
      <c r="G59" s="6">
        <v>9</v>
      </c>
      <c r="H59" s="6">
        <v>11</v>
      </c>
      <c r="I59" s="6">
        <v>10</v>
      </c>
      <c r="J59" s="6">
        <v>3</v>
      </c>
      <c r="K59" s="6">
        <v>5</v>
      </c>
      <c r="L59" s="6">
        <v>4</v>
      </c>
      <c r="M59" s="6">
        <v>3</v>
      </c>
      <c r="N59" s="6">
        <v>1</v>
      </c>
      <c r="O59" s="6">
        <v>5</v>
      </c>
      <c r="P59" s="6">
        <v>5</v>
      </c>
      <c r="Q59" s="6">
        <v>8</v>
      </c>
      <c r="R59" s="6">
        <v>6</v>
      </c>
      <c r="S59" s="6">
        <v>9</v>
      </c>
      <c r="T59" s="6">
        <v>6</v>
      </c>
      <c r="U59" s="6">
        <v>6</v>
      </c>
      <c r="V59" s="6">
        <v>5</v>
      </c>
      <c r="W59" s="6">
        <v>3</v>
      </c>
      <c r="X59" s="6">
        <v>7</v>
      </c>
      <c r="Y59" s="6">
        <v>8</v>
      </c>
      <c r="Z59" s="6">
        <v>13</v>
      </c>
      <c r="AA59" s="6">
        <v>30</v>
      </c>
      <c r="AB59" s="6">
        <v>9</v>
      </c>
      <c r="AC59" s="6">
        <v>3</v>
      </c>
      <c r="AD59" s="6">
        <v>0</v>
      </c>
      <c r="AE59" s="6">
        <v>1</v>
      </c>
      <c r="AF59" s="6">
        <v>7</v>
      </c>
      <c r="AG59" s="6">
        <v>2</v>
      </c>
      <c r="AH59" s="6">
        <v>7</v>
      </c>
      <c r="AI59" s="6">
        <v>8</v>
      </c>
      <c r="AJ59" s="6">
        <v>5</v>
      </c>
      <c r="AK59" s="6">
        <v>8</v>
      </c>
      <c r="AL59" s="6">
        <v>5</v>
      </c>
      <c r="AM59" s="6">
        <v>5</v>
      </c>
      <c r="AN59" s="6">
        <v>9</v>
      </c>
      <c r="AO59" s="6">
        <v>5</v>
      </c>
      <c r="AP59" s="6">
        <v>6</v>
      </c>
      <c r="AQ59" s="6">
        <v>4</v>
      </c>
      <c r="AR59" s="6">
        <v>45</v>
      </c>
      <c r="AS59" s="6">
        <v>24</v>
      </c>
      <c r="AT59" s="6">
        <v>14</v>
      </c>
      <c r="AU59" s="6">
        <v>18</v>
      </c>
      <c r="AV59" s="6">
        <v>22</v>
      </c>
      <c r="AW59" s="6">
        <v>23</v>
      </c>
      <c r="AX59" s="6">
        <v>20</v>
      </c>
      <c r="AY59" s="6">
        <v>19</v>
      </c>
      <c r="AZ59" s="6">
        <v>7</v>
      </c>
      <c r="BA59" s="6">
        <v>9</v>
      </c>
      <c r="BB59" s="6">
        <v>11</v>
      </c>
      <c r="BC59" s="6">
        <v>10</v>
      </c>
      <c r="BD59" s="6">
        <v>5</v>
      </c>
      <c r="BE59" s="5">
        <f t="shared" si="41"/>
        <v>482</v>
      </c>
    </row>
    <row r="60" spans="1:57" x14ac:dyDescent="0.4">
      <c r="A60" s="7"/>
      <c r="B60" s="47"/>
      <c r="C60" s="24" t="s">
        <v>121</v>
      </c>
      <c r="D60" s="48"/>
      <c r="E60" s="6">
        <v>2</v>
      </c>
      <c r="F60" s="6">
        <v>0</v>
      </c>
      <c r="G60" s="6">
        <v>3</v>
      </c>
      <c r="H60" s="6">
        <v>0</v>
      </c>
      <c r="I60" s="6">
        <v>3</v>
      </c>
      <c r="J60" s="6">
        <v>0</v>
      </c>
      <c r="K60" s="6">
        <v>3</v>
      </c>
      <c r="L60" s="6">
        <v>0</v>
      </c>
      <c r="M60" s="6">
        <v>7</v>
      </c>
      <c r="N60" s="6">
        <v>4</v>
      </c>
      <c r="O60" s="6">
        <v>2</v>
      </c>
      <c r="P60" s="6">
        <v>1</v>
      </c>
      <c r="Q60" s="6">
        <v>2</v>
      </c>
      <c r="R60" s="6">
        <v>1</v>
      </c>
      <c r="S60" s="6">
        <v>3</v>
      </c>
      <c r="T60" s="6">
        <v>0</v>
      </c>
      <c r="U60" s="6">
        <v>3</v>
      </c>
      <c r="V60" s="6">
        <v>3</v>
      </c>
      <c r="W60" s="6">
        <v>4</v>
      </c>
      <c r="X60" s="6">
        <v>1</v>
      </c>
      <c r="Y60" s="6">
        <v>4</v>
      </c>
      <c r="Z60" s="6">
        <v>1</v>
      </c>
      <c r="AA60" s="6">
        <v>0</v>
      </c>
      <c r="AB60" s="6">
        <v>0</v>
      </c>
      <c r="AC60" s="6">
        <v>2</v>
      </c>
      <c r="AD60" s="6">
        <v>0</v>
      </c>
      <c r="AE60" s="6">
        <v>0</v>
      </c>
      <c r="AF60" s="6">
        <v>2</v>
      </c>
      <c r="AG60" s="6">
        <v>0</v>
      </c>
      <c r="AH60" s="6">
        <v>2</v>
      </c>
      <c r="AI60" s="6">
        <v>2</v>
      </c>
      <c r="AJ60" s="6">
        <v>1</v>
      </c>
      <c r="AK60" s="6">
        <v>1</v>
      </c>
      <c r="AL60" s="6">
        <v>2</v>
      </c>
      <c r="AM60" s="6">
        <v>3</v>
      </c>
      <c r="AN60" s="6">
        <v>2</v>
      </c>
      <c r="AO60" s="6">
        <v>1</v>
      </c>
      <c r="AP60" s="6">
        <v>0</v>
      </c>
      <c r="AQ60" s="6">
        <v>0</v>
      </c>
      <c r="AR60" s="6">
        <v>2</v>
      </c>
      <c r="AS60" s="6">
        <v>2</v>
      </c>
      <c r="AT60" s="6">
        <v>6</v>
      </c>
      <c r="AU60" s="6">
        <v>7</v>
      </c>
      <c r="AV60" s="6">
        <v>3</v>
      </c>
      <c r="AW60" s="6">
        <v>0</v>
      </c>
      <c r="AX60" s="6">
        <v>5</v>
      </c>
      <c r="AY60" s="6">
        <v>2</v>
      </c>
      <c r="AZ60" s="6">
        <v>1</v>
      </c>
      <c r="BA60" s="6">
        <v>0</v>
      </c>
      <c r="BB60" s="6">
        <v>3</v>
      </c>
      <c r="BC60" s="6">
        <v>2</v>
      </c>
      <c r="BD60" s="6">
        <v>1</v>
      </c>
      <c r="BE60" s="5">
        <f t="shared" si="41"/>
        <v>99</v>
      </c>
    </row>
    <row r="61" spans="1:57" x14ac:dyDescent="0.4">
      <c r="A61" s="7"/>
      <c r="B61" s="47"/>
      <c r="C61" s="24" t="s">
        <v>122</v>
      </c>
      <c r="D61" s="48"/>
      <c r="E61" s="6">
        <v>1</v>
      </c>
      <c r="F61" s="6">
        <v>5</v>
      </c>
      <c r="G61" s="6">
        <v>0</v>
      </c>
      <c r="H61" s="6">
        <v>10</v>
      </c>
      <c r="I61" s="6">
        <v>10</v>
      </c>
      <c r="J61" s="6">
        <v>0</v>
      </c>
      <c r="K61" s="6">
        <v>1</v>
      </c>
      <c r="L61" s="6">
        <v>2</v>
      </c>
      <c r="M61" s="6">
        <v>4</v>
      </c>
      <c r="N61" s="6">
        <v>2</v>
      </c>
      <c r="O61" s="6">
        <v>2</v>
      </c>
      <c r="P61" s="6">
        <v>4</v>
      </c>
      <c r="Q61" s="6">
        <v>8</v>
      </c>
      <c r="R61" s="6">
        <v>5</v>
      </c>
      <c r="S61" s="6">
        <v>16</v>
      </c>
      <c r="T61" s="6">
        <v>1</v>
      </c>
      <c r="U61" s="6">
        <v>3</v>
      </c>
      <c r="V61" s="6">
        <v>2</v>
      </c>
      <c r="W61" s="6">
        <v>1</v>
      </c>
      <c r="X61" s="6">
        <v>1</v>
      </c>
      <c r="Y61" s="6">
        <v>4</v>
      </c>
      <c r="Z61" s="6">
        <v>4</v>
      </c>
      <c r="AA61" s="6">
        <v>1</v>
      </c>
      <c r="AB61" s="6">
        <v>1</v>
      </c>
      <c r="AC61" s="6">
        <v>2</v>
      </c>
      <c r="AD61" s="6">
        <v>0</v>
      </c>
      <c r="AE61" s="6">
        <v>0</v>
      </c>
      <c r="AF61" s="6">
        <v>2</v>
      </c>
      <c r="AG61" s="6">
        <v>0</v>
      </c>
      <c r="AH61" s="6">
        <v>6</v>
      </c>
      <c r="AI61" s="6">
        <v>2</v>
      </c>
      <c r="AJ61" s="6">
        <v>4</v>
      </c>
      <c r="AK61" s="6">
        <v>2</v>
      </c>
      <c r="AL61" s="6">
        <v>4</v>
      </c>
      <c r="AM61" s="6">
        <v>0</v>
      </c>
      <c r="AN61" s="6">
        <v>5</v>
      </c>
      <c r="AO61" s="6">
        <v>0</v>
      </c>
      <c r="AP61" s="6">
        <v>0</v>
      </c>
      <c r="AQ61" s="6">
        <v>3</v>
      </c>
      <c r="AR61" s="6">
        <v>6</v>
      </c>
      <c r="AS61" s="6">
        <v>2</v>
      </c>
      <c r="AT61" s="6">
        <v>2</v>
      </c>
      <c r="AU61" s="6">
        <v>2</v>
      </c>
      <c r="AV61" s="6">
        <v>9</v>
      </c>
      <c r="AW61" s="6">
        <v>1</v>
      </c>
      <c r="AX61" s="6">
        <v>6</v>
      </c>
      <c r="AY61" s="6">
        <v>1</v>
      </c>
      <c r="AZ61" s="6">
        <v>2</v>
      </c>
      <c r="BA61" s="6">
        <v>0</v>
      </c>
      <c r="BB61" s="6">
        <v>2</v>
      </c>
      <c r="BC61" s="6">
        <v>1</v>
      </c>
      <c r="BD61" s="6">
        <v>1</v>
      </c>
      <c r="BE61" s="5">
        <f t="shared" si="41"/>
        <v>153</v>
      </c>
    </row>
    <row r="62" spans="1:57" x14ac:dyDescent="0.4">
      <c r="A62" s="7"/>
      <c r="B62" s="47"/>
      <c r="C62" s="24" t="s">
        <v>123</v>
      </c>
      <c r="D62" s="48"/>
      <c r="E62" s="6">
        <v>0</v>
      </c>
      <c r="F62" s="6">
        <v>1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2</v>
      </c>
      <c r="R62" s="6">
        <v>3</v>
      </c>
      <c r="S62" s="6">
        <v>4</v>
      </c>
      <c r="T62" s="6">
        <v>0</v>
      </c>
      <c r="U62" s="6">
        <v>0</v>
      </c>
      <c r="V62" s="6">
        <v>2</v>
      </c>
      <c r="W62" s="6">
        <v>4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1</v>
      </c>
      <c r="AD62" s="6">
        <v>0</v>
      </c>
      <c r="AE62" s="6">
        <v>0</v>
      </c>
      <c r="AF62" s="6">
        <v>3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1</v>
      </c>
      <c r="AM62" s="6">
        <v>1</v>
      </c>
      <c r="AN62" s="6">
        <v>1</v>
      </c>
      <c r="AO62" s="6">
        <v>0</v>
      </c>
      <c r="AP62" s="6">
        <v>2</v>
      </c>
      <c r="AQ62" s="6">
        <v>1</v>
      </c>
      <c r="AR62" s="6">
        <v>1</v>
      </c>
      <c r="AS62" s="6">
        <v>2</v>
      </c>
      <c r="AT62" s="6">
        <v>2</v>
      </c>
      <c r="AU62" s="6">
        <v>0</v>
      </c>
      <c r="AV62" s="6">
        <v>0</v>
      </c>
      <c r="AW62" s="6">
        <v>1</v>
      </c>
      <c r="AX62" s="6">
        <v>2</v>
      </c>
      <c r="AY62" s="6">
        <v>1</v>
      </c>
      <c r="AZ62" s="6">
        <v>1</v>
      </c>
      <c r="BA62" s="6">
        <v>1</v>
      </c>
      <c r="BB62" s="6">
        <v>1</v>
      </c>
      <c r="BC62" s="6">
        <v>2</v>
      </c>
      <c r="BD62" s="6">
        <v>1</v>
      </c>
      <c r="BE62" s="5">
        <f t="shared" si="41"/>
        <v>44</v>
      </c>
    </row>
    <row r="63" spans="1:57" ht="13.15" customHeight="1" x14ac:dyDescent="0.4">
      <c r="A63" s="7"/>
      <c r="B63" s="47"/>
      <c r="C63" s="24" t="s">
        <v>124</v>
      </c>
      <c r="D63" s="45"/>
      <c r="E63" s="6">
        <v>1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1</v>
      </c>
      <c r="L63" s="6">
        <v>3</v>
      </c>
      <c r="M63" s="6">
        <v>0</v>
      </c>
      <c r="N63" s="6">
        <v>0</v>
      </c>
      <c r="O63" s="6">
        <v>1</v>
      </c>
      <c r="P63" s="6">
        <v>0</v>
      </c>
      <c r="Q63" s="6">
        <v>1</v>
      </c>
      <c r="R63" s="6">
        <v>3</v>
      </c>
      <c r="S63" s="6">
        <v>0</v>
      </c>
      <c r="T63" s="6">
        <v>0</v>
      </c>
      <c r="U63" s="6">
        <v>0</v>
      </c>
      <c r="V63" s="6">
        <v>0</v>
      </c>
      <c r="W63" s="6">
        <v>4</v>
      </c>
      <c r="X63" s="6">
        <v>0</v>
      </c>
      <c r="Y63" s="6">
        <v>1</v>
      </c>
      <c r="Z63" s="6">
        <v>0</v>
      </c>
      <c r="AA63" s="6">
        <v>1</v>
      </c>
      <c r="AB63" s="6">
        <v>0</v>
      </c>
      <c r="AC63" s="6">
        <v>0</v>
      </c>
      <c r="AD63" s="6">
        <v>1</v>
      </c>
      <c r="AE63" s="6">
        <v>0</v>
      </c>
      <c r="AF63" s="6">
        <v>1</v>
      </c>
      <c r="AG63" s="6">
        <v>1</v>
      </c>
      <c r="AH63" s="6">
        <v>0</v>
      </c>
      <c r="AI63" s="6">
        <v>1</v>
      </c>
      <c r="AJ63" s="6">
        <v>1</v>
      </c>
      <c r="AK63" s="6">
        <v>0</v>
      </c>
      <c r="AL63" s="6">
        <v>2</v>
      </c>
      <c r="AM63" s="6">
        <v>1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2</v>
      </c>
      <c r="AT63" s="6">
        <v>2</v>
      </c>
      <c r="AU63" s="6">
        <v>1</v>
      </c>
      <c r="AV63" s="6">
        <v>0</v>
      </c>
      <c r="AW63" s="6">
        <v>0</v>
      </c>
      <c r="AX63" s="6">
        <v>1</v>
      </c>
      <c r="AY63" s="6">
        <v>0</v>
      </c>
      <c r="AZ63" s="6">
        <v>5</v>
      </c>
      <c r="BA63" s="6">
        <v>0</v>
      </c>
      <c r="BB63" s="6">
        <v>1</v>
      </c>
      <c r="BC63" s="6">
        <v>0</v>
      </c>
      <c r="BD63" s="6">
        <v>1</v>
      </c>
      <c r="BE63" s="5">
        <f t="shared" si="41"/>
        <v>39</v>
      </c>
    </row>
    <row r="64" spans="1:57" x14ac:dyDescent="0.4">
      <c r="A64" s="7"/>
      <c r="B64" s="47"/>
      <c r="C64" s="24" t="s">
        <v>125</v>
      </c>
      <c r="D64" s="48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1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1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1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1</v>
      </c>
      <c r="AT64" s="6">
        <v>0</v>
      </c>
      <c r="AU64" s="6">
        <v>0</v>
      </c>
      <c r="AV64" s="6">
        <v>1</v>
      </c>
      <c r="AW64" s="6">
        <v>0</v>
      </c>
      <c r="AX64" s="6">
        <v>0</v>
      </c>
      <c r="AY64" s="6">
        <v>1</v>
      </c>
      <c r="AZ64" s="6">
        <v>0</v>
      </c>
      <c r="BA64" s="6">
        <v>2</v>
      </c>
      <c r="BB64" s="6">
        <v>0</v>
      </c>
      <c r="BC64" s="6">
        <v>0</v>
      </c>
      <c r="BD64" s="6">
        <v>0</v>
      </c>
      <c r="BE64" s="5">
        <f t="shared" si="41"/>
        <v>11</v>
      </c>
    </row>
    <row r="65" spans="1:57" x14ac:dyDescent="0.4">
      <c r="A65" s="7"/>
      <c r="B65" s="47"/>
      <c r="C65" s="24" t="s">
        <v>126</v>
      </c>
      <c r="D65" s="48"/>
      <c r="E65" s="6">
        <v>0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0</v>
      </c>
      <c r="S65" s="6">
        <v>0</v>
      </c>
      <c r="T65" s="6">
        <v>1</v>
      </c>
      <c r="U65" s="6">
        <v>0</v>
      </c>
      <c r="V65" s="6">
        <v>0</v>
      </c>
      <c r="W65" s="6">
        <v>1</v>
      </c>
      <c r="X65" s="6">
        <v>0</v>
      </c>
      <c r="Y65" s="6">
        <v>0</v>
      </c>
      <c r="Z65" s="6">
        <v>1</v>
      </c>
      <c r="AA65" s="6">
        <v>0</v>
      </c>
      <c r="AB65" s="6">
        <v>0</v>
      </c>
      <c r="AC65" s="6">
        <v>1</v>
      </c>
      <c r="AD65" s="6">
        <v>0</v>
      </c>
      <c r="AE65" s="6">
        <v>0</v>
      </c>
      <c r="AF65" s="6">
        <v>1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1</v>
      </c>
      <c r="AW65" s="6">
        <v>1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5">
        <f t="shared" si="41"/>
        <v>9</v>
      </c>
    </row>
    <row r="66" spans="1:57" x14ac:dyDescent="0.4">
      <c r="A66" s="7"/>
      <c r="B66" s="47"/>
      <c r="C66" s="24" t="s">
        <v>127</v>
      </c>
      <c r="D66" s="48"/>
      <c r="E66" s="6">
        <v>1</v>
      </c>
      <c r="F66" s="6">
        <v>0</v>
      </c>
      <c r="G66" s="6">
        <v>1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3</v>
      </c>
      <c r="T66" s="6">
        <v>0</v>
      </c>
      <c r="U66" s="6">
        <v>1</v>
      </c>
      <c r="V66" s="6">
        <v>2</v>
      </c>
      <c r="W66" s="6">
        <v>0</v>
      </c>
      <c r="X66" s="6">
        <v>1</v>
      </c>
      <c r="Y66" s="6">
        <v>0</v>
      </c>
      <c r="Z66" s="6">
        <v>0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  <c r="AF66" s="6">
        <v>1</v>
      </c>
      <c r="AG66" s="6">
        <v>1</v>
      </c>
      <c r="AH66" s="6">
        <v>0</v>
      </c>
      <c r="AI66" s="6">
        <v>0</v>
      </c>
      <c r="AJ66" s="6">
        <v>2</v>
      </c>
      <c r="AK66" s="6">
        <v>3</v>
      </c>
      <c r="AL66" s="6">
        <v>1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2</v>
      </c>
      <c r="AS66" s="6">
        <v>0</v>
      </c>
      <c r="AT66" s="6">
        <v>1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1</v>
      </c>
      <c r="BC66" s="6">
        <v>0</v>
      </c>
      <c r="BD66" s="6">
        <v>0</v>
      </c>
      <c r="BE66" s="5">
        <f t="shared" si="41"/>
        <v>25</v>
      </c>
    </row>
    <row r="67" spans="1:57" x14ac:dyDescent="0.4">
      <c r="A67" s="6" t="s">
        <v>26</v>
      </c>
      <c r="B67" s="74" t="s">
        <v>51</v>
      </c>
      <c r="C67" s="54"/>
      <c r="D67" s="55"/>
      <c r="E67" s="6">
        <f t="shared" ref="E67:BE67" si="42">SUM(E57:E66)</f>
        <v>33</v>
      </c>
      <c r="F67" s="6">
        <f t="shared" si="42"/>
        <v>21</v>
      </c>
      <c r="G67" s="6">
        <f t="shared" si="42"/>
        <v>27</v>
      </c>
      <c r="H67" s="6">
        <f t="shared" si="42"/>
        <v>48</v>
      </c>
      <c r="I67" s="6">
        <f t="shared" si="42"/>
        <v>38</v>
      </c>
      <c r="J67" s="6">
        <f t="shared" si="42"/>
        <v>13</v>
      </c>
      <c r="K67" s="6">
        <f t="shared" si="42"/>
        <v>25</v>
      </c>
      <c r="L67" s="6">
        <f t="shared" si="42"/>
        <v>33</v>
      </c>
      <c r="M67" s="6">
        <f t="shared" si="42"/>
        <v>35</v>
      </c>
      <c r="N67" s="6">
        <f t="shared" si="42"/>
        <v>21</v>
      </c>
      <c r="O67" s="6">
        <f t="shared" si="42"/>
        <v>29</v>
      </c>
      <c r="P67" s="6">
        <f t="shared" si="42"/>
        <v>20</v>
      </c>
      <c r="Q67" s="6">
        <f t="shared" ref="Q67:AA67" si="43">SUM(Q57:Q66)</f>
        <v>36</v>
      </c>
      <c r="R67" s="6">
        <f t="shared" si="43"/>
        <v>34</v>
      </c>
      <c r="S67" s="6">
        <f t="shared" si="43"/>
        <v>50</v>
      </c>
      <c r="T67" s="6">
        <f t="shared" si="43"/>
        <v>26</v>
      </c>
      <c r="U67" s="6">
        <f t="shared" si="43"/>
        <v>39</v>
      </c>
      <c r="V67" s="6">
        <f t="shared" si="43"/>
        <v>33</v>
      </c>
      <c r="W67" s="6">
        <f t="shared" si="43"/>
        <v>46</v>
      </c>
      <c r="X67" s="6">
        <f t="shared" si="43"/>
        <v>21</v>
      </c>
      <c r="Y67" s="6">
        <f t="shared" si="43"/>
        <v>28</v>
      </c>
      <c r="Z67" s="6">
        <f t="shared" si="43"/>
        <v>29</v>
      </c>
      <c r="AA67" s="6">
        <f t="shared" si="43"/>
        <v>38</v>
      </c>
      <c r="AB67" s="6">
        <f t="shared" ref="AB67:AL67" si="44">SUM(AB57:AB66)</f>
        <v>25</v>
      </c>
      <c r="AC67" s="6">
        <f t="shared" si="44"/>
        <v>16</v>
      </c>
      <c r="AD67" s="6">
        <f t="shared" si="44"/>
        <v>3</v>
      </c>
      <c r="AE67" s="6">
        <f t="shared" si="44"/>
        <v>8</v>
      </c>
      <c r="AF67" s="6">
        <f t="shared" si="44"/>
        <v>36</v>
      </c>
      <c r="AG67" s="6">
        <f t="shared" si="44"/>
        <v>15</v>
      </c>
      <c r="AH67" s="6">
        <f t="shared" si="44"/>
        <v>27</v>
      </c>
      <c r="AI67" s="6">
        <f t="shared" si="44"/>
        <v>28</v>
      </c>
      <c r="AJ67" s="6">
        <f t="shared" si="44"/>
        <v>36</v>
      </c>
      <c r="AK67" s="6">
        <f t="shared" si="44"/>
        <v>31</v>
      </c>
      <c r="AL67" s="6">
        <f t="shared" si="44"/>
        <v>35</v>
      </c>
      <c r="AM67" s="6">
        <f t="shared" si="42"/>
        <v>23</v>
      </c>
      <c r="AN67" s="6">
        <f t="shared" si="42"/>
        <v>34</v>
      </c>
      <c r="AO67" s="6">
        <f t="shared" si="42"/>
        <v>21</v>
      </c>
      <c r="AP67" s="6">
        <f t="shared" si="42"/>
        <v>13</v>
      </c>
      <c r="AQ67" s="6">
        <f t="shared" si="42"/>
        <v>21</v>
      </c>
      <c r="AR67" s="6">
        <f t="shared" ref="AR67:AW67" si="45">SUM(AR57:AR66)</f>
        <v>84</v>
      </c>
      <c r="AS67" s="6">
        <f t="shared" si="45"/>
        <v>53</v>
      </c>
      <c r="AT67" s="6">
        <f t="shared" si="45"/>
        <v>50</v>
      </c>
      <c r="AU67" s="6">
        <f t="shared" si="45"/>
        <v>56</v>
      </c>
      <c r="AV67" s="6">
        <f t="shared" si="45"/>
        <v>72</v>
      </c>
      <c r="AW67" s="6">
        <f t="shared" si="45"/>
        <v>62</v>
      </c>
      <c r="AX67" s="6">
        <f t="shared" si="42"/>
        <v>67</v>
      </c>
      <c r="AY67" s="6">
        <f t="shared" si="42"/>
        <v>44</v>
      </c>
      <c r="AZ67" s="6">
        <f t="shared" si="42"/>
        <v>35</v>
      </c>
      <c r="BA67" s="6">
        <f t="shared" si="42"/>
        <v>31</v>
      </c>
      <c r="BB67" s="6">
        <f t="shared" si="42"/>
        <v>31</v>
      </c>
      <c r="BC67" s="6">
        <f t="shared" si="42"/>
        <v>31</v>
      </c>
      <c r="BD67" s="6">
        <f t="shared" si="42"/>
        <v>27</v>
      </c>
      <c r="BE67" s="5">
        <f t="shared" si="42"/>
        <v>1738</v>
      </c>
    </row>
    <row r="68" spans="1:57" x14ac:dyDescent="0.4">
      <c r="A68" s="81"/>
      <c r="B68" s="80"/>
      <c r="C68" s="80"/>
      <c r="D68" s="80"/>
      <c r="E68" s="80"/>
    </row>
    <row r="69" spans="1:57" x14ac:dyDescent="0.4">
      <c r="A69" s="11" t="s">
        <v>48</v>
      </c>
      <c r="B69" s="17" t="s">
        <v>32</v>
      </c>
      <c r="C69" s="83" t="s">
        <v>53</v>
      </c>
      <c r="D69" s="55"/>
      <c r="E69" s="6">
        <v>13</v>
      </c>
      <c r="F69" s="6">
        <v>25</v>
      </c>
      <c r="G69" s="6">
        <v>7</v>
      </c>
      <c r="H69" s="6">
        <v>10</v>
      </c>
      <c r="I69" s="6">
        <v>13</v>
      </c>
      <c r="J69" s="6">
        <v>15</v>
      </c>
      <c r="K69" s="6">
        <v>14</v>
      </c>
      <c r="L69" s="6">
        <v>15</v>
      </c>
      <c r="M69" s="6">
        <v>17</v>
      </c>
      <c r="N69" s="6">
        <v>23</v>
      </c>
      <c r="O69" s="6">
        <v>11</v>
      </c>
      <c r="P69" s="6">
        <v>10</v>
      </c>
      <c r="Q69" s="6">
        <v>17</v>
      </c>
      <c r="R69" s="6">
        <v>15</v>
      </c>
      <c r="S69" s="6">
        <v>9</v>
      </c>
      <c r="T69" s="6">
        <v>9</v>
      </c>
      <c r="U69" s="6">
        <v>18</v>
      </c>
      <c r="V69" s="6">
        <v>20</v>
      </c>
      <c r="W69" s="6">
        <v>11</v>
      </c>
      <c r="X69" s="6">
        <v>8</v>
      </c>
      <c r="Y69" s="6">
        <v>8</v>
      </c>
      <c r="Z69" s="6">
        <v>13</v>
      </c>
      <c r="AA69" s="6">
        <v>9</v>
      </c>
      <c r="AB69" s="6">
        <v>23</v>
      </c>
      <c r="AC69" s="6">
        <v>18</v>
      </c>
      <c r="AD69" s="6">
        <v>6</v>
      </c>
      <c r="AE69" s="6">
        <v>12</v>
      </c>
      <c r="AF69" s="6">
        <v>15</v>
      </c>
      <c r="AG69" s="6">
        <v>3</v>
      </c>
      <c r="AH69" s="6">
        <v>9</v>
      </c>
      <c r="AI69" s="6">
        <v>9</v>
      </c>
      <c r="AJ69" s="6">
        <v>16</v>
      </c>
      <c r="AK69" s="6">
        <v>16</v>
      </c>
      <c r="AL69" s="6">
        <v>7</v>
      </c>
      <c r="AM69" s="6">
        <v>6</v>
      </c>
      <c r="AN69" s="6">
        <v>9</v>
      </c>
      <c r="AO69" s="6">
        <v>6</v>
      </c>
      <c r="AP69" s="6">
        <v>5</v>
      </c>
      <c r="AQ69" s="6">
        <v>14</v>
      </c>
      <c r="AR69" s="6">
        <v>6</v>
      </c>
      <c r="AS69" s="6">
        <v>4</v>
      </c>
      <c r="AT69" s="6">
        <v>7</v>
      </c>
      <c r="AU69" s="6">
        <v>6</v>
      </c>
      <c r="AV69" s="6">
        <v>2</v>
      </c>
      <c r="AW69" s="6">
        <v>11</v>
      </c>
      <c r="AX69" s="6">
        <v>5</v>
      </c>
      <c r="AY69" s="6">
        <v>6</v>
      </c>
      <c r="AZ69" s="6">
        <v>6</v>
      </c>
      <c r="BA69" s="6">
        <v>5</v>
      </c>
      <c r="BB69" s="6">
        <v>12</v>
      </c>
      <c r="BC69" s="6">
        <v>10</v>
      </c>
      <c r="BD69" s="6">
        <v>15</v>
      </c>
      <c r="BE69" s="5">
        <f t="shared" ref="BE69:BE78" si="46">SUM(E69:BD69)</f>
        <v>579</v>
      </c>
    </row>
    <row r="70" spans="1:57" x14ac:dyDescent="0.4">
      <c r="A70" s="11" t="s">
        <v>50</v>
      </c>
      <c r="B70" s="47"/>
      <c r="C70" s="24" t="s">
        <v>128</v>
      </c>
      <c r="D70" s="45"/>
      <c r="E70" s="6">
        <v>5</v>
      </c>
      <c r="F70" s="6">
        <v>5</v>
      </c>
      <c r="G70" s="6">
        <v>4</v>
      </c>
      <c r="H70" s="6">
        <v>8</v>
      </c>
      <c r="I70" s="6">
        <v>5</v>
      </c>
      <c r="J70" s="6">
        <v>6</v>
      </c>
      <c r="K70" s="6">
        <v>7</v>
      </c>
      <c r="L70" s="6">
        <v>11</v>
      </c>
      <c r="M70" s="6">
        <v>8</v>
      </c>
      <c r="N70" s="6">
        <v>11</v>
      </c>
      <c r="O70" s="6">
        <v>2</v>
      </c>
      <c r="P70" s="6">
        <v>6</v>
      </c>
      <c r="Q70" s="6">
        <v>5</v>
      </c>
      <c r="R70" s="6">
        <v>2</v>
      </c>
      <c r="S70" s="6">
        <v>2</v>
      </c>
      <c r="T70" s="6">
        <v>0</v>
      </c>
      <c r="U70" s="6">
        <v>9</v>
      </c>
      <c r="V70" s="6">
        <v>6</v>
      </c>
      <c r="W70" s="6">
        <v>1</v>
      </c>
      <c r="X70" s="6">
        <v>4</v>
      </c>
      <c r="Y70" s="6">
        <v>11</v>
      </c>
      <c r="Z70" s="6">
        <v>16</v>
      </c>
      <c r="AA70" s="6">
        <v>8</v>
      </c>
      <c r="AB70" s="6">
        <v>18</v>
      </c>
      <c r="AC70" s="6">
        <v>25</v>
      </c>
      <c r="AD70" s="6">
        <v>6</v>
      </c>
      <c r="AE70" s="6">
        <v>3</v>
      </c>
      <c r="AF70" s="6">
        <v>2</v>
      </c>
      <c r="AG70" s="6">
        <v>2</v>
      </c>
      <c r="AH70" s="6">
        <v>2</v>
      </c>
      <c r="AI70" s="6">
        <v>2</v>
      </c>
      <c r="AJ70" s="6">
        <v>6</v>
      </c>
      <c r="AK70" s="6">
        <v>5</v>
      </c>
      <c r="AL70" s="6">
        <v>9</v>
      </c>
      <c r="AM70" s="6">
        <v>2</v>
      </c>
      <c r="AN70" s="6">
        <v>1</v>
      </c>
      <c r="AO70" s="6">
        <v>1</v>
      </c>
      <c r="AP70" s="6">
        <v>4</v>
      </c>
      <c r="AQ70" s="6">
        <v>4</v>
      </c>
      <c r="AR70" s="6">
        <v>3</v>
      </c>
      <c r="AS70" s="6">
        <v>6</v>
      </c>
      <c r="AT70" s="6">
        <v>6</v>
      </c>
      <c r="AU70" s="6">
        <v>2</v>
      </c>
      <c r="AV70" s="6">
        <v>4</v>
      </c>
      <c r="AW70" s="6">
        <v>3</v>
      </c>
      <c r="AX70" s="6">
        <v>2</v>
      </c>
      <c r="AY70" s="6">
        <v>0</v>
      </c>
      <c r="AZ70" s="6">
        <v>7</v>
      </c>
      <c r="BA70" s="6">
        <v>0</v>
      </c>
      <c r="BB70" s="6">
        <v>7</v>
      </c>
      <c r="BC70" s="6">
        <v>3</v>
      </c>
      <c r="BD70" s="6">
        <v>6</v>
      </c>
      <c r="BE70" s="5">
        <f t="shared" si="46"/>
        <v>283</v>
      </c>
    </row>
    <row r="71" spans="1:57" x14ac:dyDescent="0.4">
      <c r="A71" s="7"/>
      <c r="B71" s="47"/>
      <c r="C71" s="24" t="s">
        <v>129</v>
      </c>
      <c r="D71" s="45"/>
      <c r="E71" s="6">
        <v>22</v>
      </c>
      <c r="F71" s="6">
        <v>40</v>
      </c>
      <c r="G71" s="6">
        <v>6</v>
      </c>
      <c r="H71" s="6">
        <v>13</v>
      </c>
      <c r="I71" s="6">
        <v>25</v>
      </c>
      <c r="J71" s="6">
        <v>44</v>
      </c>
      <c r="K71" s="6">
        <v>9</v>
      </c>
      <c r="L71" s="6">
        <v>19</v>
      </c>
      <c r="M71" s="6">
        <v>16</v>
      </c>
      <c r="N71" s="6">
        <v>16</v>
      </c>
      <c r="O71" s="6">
        <v>16</v>
      </c>
      <c r="P71" s="6">
        <v>16</v>
      </c>
      <c r="Q71" s="6">
        <v>19</v>
      </c>
      <c r="R71" s="6">
        <v>13</v>
      </c>
      <c r="S71" s="6">
        <v>7</v>
      </c>
      <c r="T71" s="6">
        <v>22</v>
      </c>
      <c r="U71" s="6">
        <v>7</v>
      </c>
      <c r="V71" s="6">
        <v>9</v>
      </c>
      <c r="W71" s="6">
        <v>12</v>
      </c>
      <c r="X71" s="6">
        <v>4</v>
      </c>
      <c r="Y71" s="6">
        <v>10</v>
      </c>
      <c r="Z71" s="6">
        <v>3</v>
      </c>
      <c r="AA71" s="6">
        <v>6</v>
      </c>
      <c r="AB71" s="6">
        <v>9</v>
      </c>
      <c r="AC71" s="6">
        <v>26</v>
      </c>
      <c r="AD71" s="6">
        <v>4</v>
      </c>
      <c r="AE71" s="6">
        <v>91</v>
      </c>
      <c r="AF71" s="6">
        <v>40</v>
      </c>
      <c r="AG71" s="6">
        <v>14</v>
      </c>
      <c r="AH71" s="6">
        <v>9</v>
      </c>
      <c r="AI71" s="6">
        <v>1</v>
      </c>
      <c r="AJ71" s="6">
        <v>20</v>
      </c>
      <c r="AK71" s="6">
        <v>8</v>
      </c>
      <c r="AL71" s="6">
        <v>12</v>
      </c>
      <c r="AM71" s="6">
        <v>17</v>
      </c>
      <c r="AN71" s="6">
        <v>7</v>
      </c>
      <c r="AO71" s="6">
        <v>5</v>
      </c>
      <c r="AP71" s="6">
        <v>15</v>
      </c>
      <c r="AQ71" s="6">
        <v>9</v>
      </c>
      <c r="AR71" s="6">
        <v>10</v>
      </c>
      <c r="AS71" s="6">
        <v>4</v>
      </c>
      <c r="AT71" s="6">
        <v>7</v>
      </c>
      <c r="AU71" s="6">
        <v>3</v>
      </c>
      <c r="AV71" s="6">
        <v>5</v>
      </c>
      <c r="AW71" s="6">
        <v>6</v>
      </c>
      <c r="AX71" s="6">
        <v>8</v>
      </c>
      <c r="AY71" s="6">
        <v>2</v>
      </c>
      <c r="AZ71" s="6">
        <v>8</v>
      </c>
      <c r="BA71" s="6">
        <v>6</v>
      </c>
      <c r="BB71" s="6">
        <v>11</v>
      </c>
      <c r="BC71" s="6">
        <v>16</v>
      </c>
      <c r="BD71" s="6">
        <v>15</v>
      </c>
      <c r="BE71" s="5">
        <f t="shared" si="46"/>
        <v>742</v>
      </c>
    </row>
    <row r="72" spans="1:57" x14ac:dyDescent="0.4">
      <c r="A72" s="7"/>
      <c r="B72" s="47"/>
      <c r="C72" s="24" t="s">
        <v>130</v>
      </c>
      <c r="D72" s="45"/>
      <c r="E72" s="6">
        <v>1</v>
      </c>
      <c r="F72" s="6">
        <v>6</v>
      </c>
      <c r="G72" s="6">
        <v>7</v>
      </c>
      <c r="H72" s="6">
        <v>3</v>
      </c>
      <c r="I72" s="6">
        <v>3</v>
      </c>
      <c r="J72" s="6">
        <v>4</v>
      </c>
      <c r="K72" s="6">
        <v>3</v>
      </c>
      <c r="L72" s="6">
        <v>3</v>
      </c>
      <c r="M72" s="6">
        <v>9</v>
      </c>
      <c r="N72" s="6">
        <v>4</v>
      </c>
      <c r="O72" s="6">
        <v>3</v>
      </c>
      <c r="P72" s="6">
        <v>1</v>
      </c>
      <c r="Q72" s="6">
        <v>4</v>
      </c>
      <c r="R72" s="6">
        <v>4</v>
      </c>
      <c r="S72" s="6">
        <v>3</v>
      </c>
      <c r="T72" s="6">
        <v>0</v>
      </c>
      <c r="U72" s="6">
        <v>6</v>
      </c>
      <c r="V72" s="6">
        <v>4</v>
      </c>
      <c r="W72" s="6">
        <v>1</v>
      </c>
      <c r="X72" s="6">
        <v>2</v>
      </c>
      <c r="Y72" s="6">
        <v>1</v>
      </c>
      <c r="Z72" s="6">
        <v>2</v>
      </c>
      <c r="AA72" s="6">
        <v>3</v>
      </c>
      <c r="AB72" s="6">
        <v>3</v>
      </c>
      <c r="AC72" s="6">
        <v>6</v>
      </c>
      <c r="AD72" s="6">
        <v>0</v>
      </c>
      <c r="AE72" s="6">
        <v>3</v>
      </c>
      <c r="AF72" s="6">
        <v>1</v>
      </c>
      <c r="AG72" s="6">
        <v>2</v>
      </c>
      <c r="AH72" s="6">
        <v>7</v>
      </c>
      <c r="AI72" s="6">
        <v>0</v>
      </c>
      <c r="AJ72" s="6">
        <v>6</v>
      </c>
      <c r="AK72" s="6">
        <v>4</v>
      </c>
      <c r="AL72" s="6">
        <v>4</v>
      </c>
      <c r="AM72" s="6">
        <v>1</v>
      </c>
      <c r="AN72" s="6">
        <v>4</v>
      </c>
      <c r="AO72" s="6">
        <v>2</v>
      </c>
      <c r="AP72" s="6">
        <v>4</v>
      </c>
      <c r="AQ72" s="6">
        <v>4</v>
      </c>
      <c r="AR72" s="6">
        <v>1</v>
      </c>
      <c r="AS72" s="6">
        <v>0</v>
      </c>
      <c r="AT72" s="6">
        <v>1</v>
      </c>
      <c r="AU72" s="6">
        <v>4</v>
      </c>
      <c r="AV72" s="6">
        <v>2</v>
      </c>
      <c r="AW72" s="6">
        <v>1</v>
      </c>
      <c r="AX72" s="6">
        <v>4</v>
      </c>
      <c r="AY72" s="6">
        <v>2</v>
      </c>
      <c r="AZ72" s="6">
        <v>5</v>
      </c>
      <c r="BA72" s="6">
        <v>3</v>
      </c>
      <c r="BB72" s="6">
        <v>3</v>
      </c>
      <c r="BC72" s="6">
        <v>2</v>
      </c>
      <c r="BD72" s="6">
        <v>5</v>
      </c>
      <c r="BE72" s="5">
        <f t="shared" si="46"/>
        <v>161</v>
      </c>
    </row>
    <row r="73" spans="1:57" x14ac:dyDescent="0.4">
      <c r="A73" s="7"/>
      <c r="B73" s="47"/>
      <c r="C73" s="24" t="s">
        <v>131</v>
      </c>
      <c r="D73" s="45"/>
      <c r="E73" s="6">
        <v>31</v>
      </c>
      <c r="F73" s="6">
        <v>26</v>
      </c>
      <c r="G73" s="6">
        <v>5</v>
      </c>
      <c r="H73" s="6">
        <v>17</v>
      </c>
      <c r="I73" s="6">
        <v>26</v>
      </c>
      <c r="J73" s="6">
        <v>38</v>
      </c>
      <c r="K73" s="6">
        <v>34</v>
      </c>
      <c r="L73" s="6">
        <v>13</v>
      </c>
      <c r="M73" s="6">
        <v>21</v>
      </c>
      <c r="N73" s="6">
        <v>16</v>
      </c>
      <c r="O73" s="6">
        <v>18</v>
      </c>
      <c r="P73" s="6">
        <v>19</v>
      </c>
      <c r="Q73" s="6">
        <v>18</v>
      </c>
      <c r="R73" s="6">
        <v>19</v>
      </c>
      <c r="S73" s="6">
        <v>16</v>
      </c>
      <c r="T73" s="6">
        <v>55</v>
      </c>
      <c r="U73" s="6">
        <v>15</v>
      </c>
      <c r="V73" s="6">
        <v>12</v>
      </c>
      <c r="W73" s="6">
        <v>5</v>
      </c>
      <c r="X73" s="6">
        <v>1</v>
      </c>
      <c r="Y73" s="6">
        <v>5</v>
      </c>
      <c r="Z73" s="6">
        <v>7</v>
      </c>
      <c r="AA73" s="6">
        <v>107</v>
      </c>
      <c r="AB73" s="6">
        <v>30</v>
      </c>
      <c r="AC73" s="6">
        <v>21</v>
      </c>
      <c r="AD73" s="6">
        <v>4</v>
      </c>
      <c r="AE73" s="6">
        <v>2</v>
      </c>
      <c r="AF73" s="6">
        <v>7</v>
      </c>
      <c r="AG73" s="6">
        <v>7</v>
      </c>
      <c r="AH73" s="6">
        <v>1</v>
      </c>
      <c r="AI73" s="6">
        <v>6</v>
      </c>
      <c r="AJ73" s="6">
        <v>12</v>
      </c>
      <c r="AK73" s="6">
        <v>25</v>
      </c>
      <c r="AL73" s="6">
        <v>11</v>
      </c>
      <c r="AM73" s="6">
        <v>2</v>
      </c>
      <c r="AN73" s="6">
        <v>6</v>
      </c>
      <c r="AO73" s="6">
        <v>4</v>
      </c>
      <c r="AP73" s="6">
        <v>7</v>
      </c>
      <c r="AQ73" s="6">
        <v>12</v>
      </c>
      <c r="AR73" s="6">
        <v>3</v>
      </c>
      <c r="AS73" s="6">
        <v>10</v>
      </c>
      <c r="AT73" s="6">
        <v>6</v>
      </c>
      <c r="AU73" s="6">
        <v>5</v>
      </c>
      <c r="AV73" s="6">
        <v>3</v>
      </c>
      <c r="AW73" s="6">
        <v>0</v>
      </c>
      <c r="AX73" s="6">
        <v>1</v>
      </c>
      <c r="AY73" s="6">
        <v>1</v>
      </c>
      <c r="AZ73" s="6">
        <v>1</v>
      </c>
      <c r="BA73" s="6">
        <v>4</v>
      </c>
      <c r="BB73" s="6">
        <v>3</v>
      </c>
      <c r="BC73" s="6">
        <v>1</v>
      </c>
      <c r="BD73" s="6">
        <v>13</v>
      </c>
      <c r="BE73" s="5">
        <f t="shared" si="46"/>
        <v>732</v>
      </c>
    </row>
    <row r="74" spans="1:57" ht="13.15" customHeight="1" x14ac:dyDescent="0.4">
      <c r="A74" s="7"/>
      <c r="B74" s="47"/>
      <c r="C74" s="24" t="s">
        <v>132</v>
      </c>
      <c r="D74" s="45"/>
      <c r="E74" s="6">
        <v>2</v>
      </c>
      <c r="F74" s="6">
        <v>1</v>
      </c>
      <c r="G74" s="6">
        <v>1</v>
      </c>
      <c r="H74" s="6">
        <v>2</v>
      </c>
      <c r="I74" s="6">
        <v>2</v>
      </c>
      <c r="J74" s="6">
        <v>0</v>
      </c>
      <c r="K74" s="6">
        <v>0</v>
      </c>
      <c r="L74" s="6">
        <v>2</v>
      </c>
      <c r="M74" s="6">
        <v>4</v>
      </c>
      <c r="N74" s="6">
        <v>1</v>
      </c>
      <c r="O74" s="6">
        <v>1</v>
      </c>
      <c r="P74" s="6">
        <v>1</v>
      </c>
      <c r="Q74" s="6">
        <v>1</v>
      </c>
      <c r="R74" s="6">
        <v>3</v>
      </c>
      <c r="S74" s="6">
        <v>2</v>
      </c>
      <c r="T74" s="6">
        <v>0</v>
      </c>
      <c r="U74" s="6">
        <v>1</v>
      </c>
      <c r="V74" s="6">
        <v>6</v>
      </c>
      <c r="W74" s="6">
        <v>1</v>
      </c>
      <c r="X74" s="6">
        <v>0</v>
      </c>
      <c r="Y74" s="6">
        <v>0</v>
      </c>
      <c r="Z74" s="6">
        <v>1</v>
      </c>
      <c r="AA74" s="6">
        <v>0</v>
      </c>
      <c r="AB74" s="6">
        <v>1</v>
      </c>
      <c r="AC74" s="6">
        <v>2</v>
      </c>
      <c r="AD74" s="6">
        <v>0</v>
      </c>
      <c r="AE74" s="6">
        <v>0</v>
      </c>
      <c r="AF74" s="6">
        <v>0</v>
      </c>
      <c r="AG74" s="6">
        <v>0</v>
      </c>
      <c r="AH74" s="6">
        <v>1</v>
      </c>
      <c r="AI74" s="6">
        <v>0</v>
      </c>
      <c r="AJ74" s="6">
        <v>0</v>
      </c>
      <c r="AK74" s="6">
        <v>4</v>
      </c>
      <c r="AL74" s="6">
        <v>1</v>
      </c>
      <c r="AM74" s="6">
        <v>1</v>
      </c>
      <c r="AN74" s="6">
        <v>1</v>
      </c>
      <c r="AO74" s="6">
        <v>2</v>
      </c>
      <c r="AP74" s="6">
        <v>0</v>
      </c>
      <c r="AQ74" s="6">
        <v>2</v>
      </c>
      <c r="AR74" s="6">
        <v>1</v>
      </c>
      <c r="AS74" s="6">
        <v>1</v>
      </c>
      <c r="AT74" s="6">
        <v>1</v>
      </c>
      <c r="AU74" s="6">
        <v>0</v>
      </c>
      <c r="AV74" s="6">
        <v>1</v>
      </c>
      <c r="AW74" s="6">
        <v>0</v>
      </c>
      <c r="AX74" s="6">
        <v>1</v>
      </c>
      <c r="AY74" s="6">
        <v>2</v>
      </c>
      <c r="AZ74" s="6">
        <v>3</v>
      </c>
      <c r="BA74" s="6">
        <v>0</v>
      </c>
      <c r="BB74" s="6">
        <v>0</v>
      </c>
      <c r="BC74" s="6">
        <v>0</v>
      </c>
      <c r="BD74" s="6">
        <v>0</v>
      </c>
      <c r="BE74" s="5">
        <f t="shared" si="46"/>
        <v>57</v>
      </c>
    </row>
    <row r="75" spans="1:57" x14ac:dyDescent="0.4">
      <c r="A75" s="7"/>
      <c r="B75" s="47"/>
      <c r="C75" s="24" t="s">
        <v>133</v>
      </c>
      <c r="D75" s="45"/>
      <c r="E75" s="6">
        <v>1</v>
      </c>
      <c r="F75" s="6">
        <v>2</v>
      </c>
      <c r="G75" s="6">
        <v>2</v>
      </c>
      <c r="H75" s="6">
        <v>0</v>
      </c>
      <c r="I75" s="6">
        <v>2</v>
      </c>
      <c r="J75" s="6">
        <v>0</v>
      </c>
      <c r="K75" s="6">
        <v>0</v>
      </c>
      <c r="L75" s="6">
        <v>2</v>
      </c>
      <c r="M75" s="6">
        <v>2</v>
      </c>
      <c r="N75" s="6">
        <v>1</v>
      </c>
      <c r="O75" s="6">
        <v>3</v>
      </c>
      <c r="P75" s="6">
        <v>1</v>
      </c>
      <c r="Q75" s="6">
        <v>2</v>
      </c>
      <c r="R75" s="6">
        <v>2</v>
      </c>
      <c r="S75" s="6">
        <v>1</v>
      </c>
      <c r="T75" s="6">
        <v>0</v>
      </c>
      <c r="U75" s="6">
        <v>2</v>
      </c>
      <c r="V75" s="6">
        <v>1</v>
      </c>
      <c r="W75" s="6">
        <v>0</v>
      </c>
      <c r="X75" s="6">
        <v>0</v>
      </c>
      <c r="Y75" s="6">
        <v>1</v>
      </c>
      <c r="Z75" s="6">
        <v>0</v>
      </c>
      <c r="AA75" s="6">
        <v>0</v>
      </c>
      <c r="AB75" s="6">
        <v>0</v>
      </c>
      <c r="AC75" s="6">
        <v>1</v>
      </c>
      <c r="AD75" s="6">
        <v>0</v>
      </c>
      <c r="AE75" s="6">
        <v>0</v>
      </c>
      <c r="AF75" s="6">
        <v>0</v>
      </c>
      <c r="AG75" s="6">
        <v>1</v>
      </c>
      <c r="AH75" s="6">
        <v>0</v>
      </c>
      <c r="AI75" s="6">
        <v>2</v>
      </c>
      <c r="AJ75" s="6">
        <v>0</v>
      </c>
      <c r="AK75" s="6">
        <v>0</v>
      </c>
      <c r="AL75" s="6">
        <v>2</v>
      </c>
      <c r="AM75" s="6">
        <v>0</v>
      </c>
      <c r="AN75" s="6">
        <v>2</v>
      </c>
      <c r="AO75" s="6">
        <v>1</v>
      </c>
      <c r="AP75" s="6">
        <v>1</v>
      </c>
      <c r="AQ75" s="6">
        <v>0</v>
      </c>
      <c r="AR75" s="6">
        <v>0</v>
      </c>
      <c r="AS75" s="6">
        <v>1</v>
      </c>
      <c r="AT75" s="6">
        <v>0</v>
      </c>
      <c r="AU75" s="6">
        <v>1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1</v>
      </c>
      <c r="BB75" s="6">
        <v>3</v>
      </c>
      <c r="BC75" s="6">
        <v>0</v>
      </c>
      <c r="BD75" s="6">
        <v>0</v>
      </c>
      <c r="BE75" s="5">
        <f t="shared" si="46"/>
        <v>41</v>
      </c>
    </row>
    <row r="76" spans="1:57" x14ac:dyDescent="0.4">
      <c r="A76" s="7"/>
      <c r="B76" s="47"/>
      <c r="C76" s="24" t="s">
        <v>134</v>
      </c>
      <c r="D76" s="45"/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3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3</v>
      </c>
      <c r="S76" s="6">
        <v>0</v>
      </c>
      <c r="T76" s="6">
        <v>0</v>
      </c>
      <c r="U76" s="6">
        <v>1</v>
      </c>
      <c r="V76" s="6">
        <v>2</v>
      </c>
      <c r="W76" s="6">
        <v>0</v>
      </c>
      <c r="X76" s="6">
        <v>2</v>
      </c>
      <c r="Y76" s="6">
        <v>1</v>
      </c>
      <c r="Z76" s="6">
        <v>1</v>
      </c>
      <c r="AA76" s="6">
        <v>0</v>
      </c>
      <c r="AB76" s="6">
        <v>3</v>
      </c>
      <c r="AC76" s="6">
        <v>1</v>
      </c>
      <c r="AD76" s="6">
        <v>1</v>
      </c>
      <c r="AE76" s="6">
        <v>0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4</v>
      </c>
      <c r="AL76" s="6">
        <v>4</v>
      </c>
      <c r="AM76" s="6">
        <v>2</v>
      </c>
      <c r="AN76" s="6">
        <v>3</v>
      </c>
      <c r="AO76" s="6">
        <v>1</v>
      </c>
      <c r="AP76" s="6">
        <v>1</v>
      </c>
      <c r="AQ76" s="6">
        <v>4</v>
      </c>
      <c r="AR76" s="6">
        <v>1</v>
      </c>
      <c r="AS76" s="6">
        <v>0</v>
      </c>
      <c r="AT76" s="6">
        <v>0</v>
      </c>
      <c r="AU76" s="6">
        <v>0</v>
      </c>
      <c r="AV76" s="6">
        <v>0</v>
      </c>
      <c r="AW76" s="6">
        <v>1</v>
      </c>
      <c r="AX76" s="6">
        <v>1</v>
      </c>
      <c r="AY76" s="6">
        <v>1</v>
      </c>
      <c r="AZ76" s="6">
        <v>1</v>
      </c>
      <c r="BA76" s="6">
        <v>0</v>
      </c>
      <c r="BB76" s="6">
        <v>1</v>
      </c>
      <c r="BC76" s="6">
        <v>2</v>
      </c>
      <c r="BD76" s="6">
        <v>2</v>
      </c>
      <c r="BE76" s="5">
        <f t="shared" si="46"/>
        <v>54</v>
      </c>
    </row>
    <row r="77" spans="1:57" x14ac:dyDescent="0.4">
      <c r="A77" s="7"/>
      <c r="B77" s="47"/>
      <c r="C77" s="24" t="s">
        <v>135</v>
      </c>
      <c r="D77" s="45"/>
      <c r="E77" s="6">
        <v>1</v>
      </c>
      <c r="F77" s="6">
        <v>1</v>
      </c>
      <c r="G77" s="6">
        <v>0</v>
      </c>
      <c r="H77" s="6">
        <v>1</v>
      </c>
      <c r="I77" s="6">
        <v>1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2</v>
      </c>
      <c r="S77" s="6">
        <v>2</v>
      </c>
      <c r="T77" s="6">
        <v>0</v>
      </c>
      <c r="U77" s="6">
        <v>0</v>
      </c>
      <c r="V77" s="6">
        <v>0</v>
      </c>
      <c r="W77" s="6">
        <v>1</v>
      </c>
      <c r="X77" s="6">
        <v>0</v>
      </c>
      <c r="Y77" s="6">
        <v>0</v>
      </c>
      <c r="Z77" s="6">
        <v>1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6">
        <v>3</v>
      </c>
      <c r="AN77" s="6">
        <v>0</v>
      </c>
      <c r="AO77" s="6">
        <v>1</v>
      </c>
      <c r="AP77" s="6">
        <v>0</v>
      </c>
      <c r="AQ77" s="6">
        <v>0</v>
      </c>
      <c r="AR77" s="6">
        <v>1</v>
      </c>
      <c r="AS77" s="6">
        <v>1</v>
      </c>
      <c r="AT77" s="6">
        <v>1</v>
      </c>
      <c r="AU77" s="6">
        <v>1</v>
      </c>
      <c r="AV77" s="6">
        <v>0</v>
      </c>
      <c r="AW77" s="6">
        <v>0</v>
      </c>
      <c r="AX77" s="6">
        <v>0</v>
      </c>
      <c r="AY77" s="6">
        <v>1</v>
      </c>
      <c r="AZ77" s="6">
        <v>2</v>
      </c>
      <c r="BA77" s="6">
        <v>0</v>
      </c>
      <c r="BB77" s="6">
        <v>0</v>
      </c>
      <c r="BC77" s="6">
        <v>1</v>
      </c>
      <c r="BD77" s="6">
        <v>1</v>
      </c>
      <c r="BE77" s="5">
        <f t="shared" si="46"/>
        <v>28</v>
      </c>
    </row>
    <row r="78" spans="1:57" x14ac:dyDescent="0.4">
      <c r="A78" s="7"/>
      <c r="B78" s="47"/>
      <c r="C78" s="24" t="s">
        <v>136</v>
      </c>
      <c r="D78" s="45"/>
      <c r="E78" s="6">
        <v>2</v>
      </c>
      <c r="F78" s="6">
        <v>1</v>
      </c>
      <c r="G78" s="6">
        <v>1</v>
      </c>
      <c r="H78" s="6">
        <v>0</v>
      </c>
      <c r="I78" s="6">
        <v>0</v>
      </c>
      <c r="J78" s="6">
        <v>1</v>
      </c>
      <c r="K78" s="6">
        <v>0</v>
      </c>
      <c r="L78" s="6">
        <v>3</v>
      </c>
      <c r="M78" s="6">
        <v>2</v>
      </c>
      <c r="N78" s="6">
        <v>1</v>
      </c>
      <c r="O78" s="6">
        <v>2</v>
      </c>
      <c r="P78" s="6">
        <v>0</v>
      </c>
      <c r="Q78" s="6">
        <v>0</v>
      </c>
      <c r="R78" s="6">
        <v>2</v>
      </c>
      <c r="S78" s="6">
        <v>1</v>
      </c>
      <c r="T78" s="6">
        <v>2</v>
      </c>
      <c r="U78" s="6">
        <v>1</v>
      </c>
      <c r="V78" s="6">
        <v>2</v>
      </c>
      <c r="W78" s="6">
        <v>1</v>
      </c>
      <c r="X78" s="6">
        <v>0</v>
      </c>
      <c r="Y78" s="6">
        <v>0</v>
      </c>
      <c r="Z78" s="6">
        <v>0</v>
      </c>
      <c r="AA78" s="6">
        <v>0</v>
      </c>
      <c r="AB78" s="6">
        <v>2</v>
      </c>
      <c r="AC78" s="6">
        <v>1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1</v>
      </c>
      <c r="AJ78" s="6">
        <v>1</v>
      </c>
      <c r="AK78" s="6">
        <v>4</v>
      </c>
      <c r="AL78" s="6">
        <v>2</v>
      </c>
      <c r="AM78" s="6">
        <v>0</v>
      </c>
      <c r="AN78" s="6">
        <v>2</v>
      </c>
      <c r="AO78" s="6">
        <v>1</v>
      </c>
      <c r="AP78" s="6">
        <v>1</v>
      </c>
      <c r="AQ78" s="6">
        <v>2</v>
      </c>
      <c r="AR78" s="6">
        <v>0</v>
      </c>
      <c r="AS78" s="6">
        <v>0</v>
      </c>
      <c r="AT78" s="6">
        <v>0</v>
      </c>
      <c r="AU78" s="6">
        <v>1</v>
      </c>
      <c r="AV78" s="6">
        <v>1</v>
      </c>
      <c r="AW78" s="6">
        <v>1</v>
      </c>
      <c r="AX78" s="6">
        <v>1</v>
      </c>
      <c r="AY78" s="6">
        <v>1</v>
      </c>
      <c r="AZ78" s="6">
        <v>1</v>
      </c>
      <c r="BA78" s="6">
        <v>0</v>
      </c>
      <c r="BB78" s="6">
        <v>0</v>
      </c>
      <c r="BC78" s="6">
        <v>0</v>
      </c>
      <c r="BD78" s="6">
        <v>2</v>
      </c>
      <c r="BE78" s="5">
        <f t="shared" si="46"/>
        <v>47</v>
      </c>
    </row>
    <row r="79" spans="1:57" x14ac:dyDescent="0.4">
      <c r="A79" s="6" t="s">
        <v>26</v>
      </c>
      <c r="B79" s="74" t="s">
        <v>51</v>
      </c>
      <c r="C79" s="54"/>
      <c r="D79" s="55"/>
      <c r="E79" s="6">
        <f t="shared" ref="E79:BE79" si="47">SUM(E69:E78)</f>
        <v>79</v>
      </c>
      <c r="F79" s="6">
        <f t="shared" si="47"/>
        <v>108</v>
      </c>
      <c r="G79" s="6">
        <f t="shared" si="47"/>
        <v>34</v>
      </c>
      <c r="H79" s="6">
        <f t="shared" si="47"/>
        <v>55</v>
      </c>
      <c r="I79" s="6">
        <f t="shared" si="47"/>
        <v>78</v>
      </c>
      <c r="J79" s="6">
        <f t="shared" si="47"/>
        <v>111</v>
      </c>
      <c r="K79" s="6">
        <f t="shared" si="47"/>
        <v>67</v>
      </c>
      <c r="L79" s="6">
        <f t="shared" si="47"/>
        <v>69</v>
      </c>
      <c r="M79" s="6">
        <f t="shared" si="47"/>
        <v>79</v>
      </c>
      <c r="N79" s="6">
        <f t="shared" si="47"/>
        <v>74</v>
      </c>
      <c r="O79" s="6">
        <f t="shared" si="47"/>
        <v>56</v>
      </c>
      <c r="P79" s="6">
        <f t="shared" si="47"/>
        <v>54</v>
      </c>
      <c r="Q79" s="6">
        <f t="shared" ref="Q79:AA79" si="48">SUM(Q69:Q78)</f>
        <v>67</v>
      </c>
      <c r="R79" s="6">
        <f t="shared" si="48"/>
        <v>65</v>
      </c>
      <c r="S79" s="6">
        <f t="shared" si="48"/>
        <v>43</v>
      </c>
      <c r="T79" s="6">
        <f t="shared" si="48"/>
        <v>88</v>
      </c>
      <c r="U79" s="6">
        <f t="shared" si="48"/>
        <v>60</v>
      </c>
      <c r="V79" s="6">
        <f t="shared" si="48"/>
        <v>62</v>
      </c>
      <c r="W79" s="6">
        <f t="shared" si="48"/>
        <v>33</v>
      </c>
      <c r="X79" s="6">
        <f t="shared" si="48"/>
        <v>21</v>
      </c>
      <c r="Y79" s="6">
        <f t="shared" si="48"/>
        <v>37</v>
      </c>
      <c r="Z79" s="6">
        <f t="shared" si="48"/>
        <v>44</v>
      </c>
      <c r="AA79" s="6">
        <f t="shared" si="48"/>
        <v>133</v>
      </c>
      <c r="AB79" s="6">
        <f t="shared" ref="AB79:AL79" si="49">SUM(AB69:AB78)</f>
        <v>89</v>
      </c>
      <c r="AC79" s="6">
        <f t="shared" si="49"/>
        <v>102</v>
      </c>
      <c r="AD79" s="6">
        <f t="shared" si="49"/>
        <v>21</v>
      </c>
      <c r="AE79" s="6">
        <f t="shared" si="49"/>
        <v>111</v>
      </c>
      <c r="AF79" s="6">
        <f t="shared" si="49"/>
        <v>66</v>
      </c>
      <c r="AG79" s="6">
        <f t="shared" si="49"/>
        <v>29</v>
      </c>
      <c r="AH79" s="6">
        <f t="shared" si="49"/>
        <v>29</v>
      </c>
      <c r="AI79" s="6">
        <f t="shared" si="49"/>
        <v>22</v>
      </c>
      <c r="AJ79" s="6">
        <f t="shared" si="49"/>
        <v>61</v>
      </c>
      <c r="AK79" s="6">
        <f t="shared" si="49"/>
        <v>71</v>
      </c>
      <c r="AL79" s="6">
        <f t="shared" si="49"/>
        <v>52</v>
      </c>
      <c r="AM79" s="6">
        <f t="shared" si="47"/>
        <v>34</v>
      </c>
      <c r="AN79" s="6">
        <f t="shared" si="47"/>
        <v>35</v>
      </c>
      <c r="AO79" s="6">
        <f t="shared" si="47"/>
        <v>24</v>
      </c>
      <c r="AP79" s="6">
        <f t="shared" si="47"/>
        <v>38</v>
      </c>
      <c r="AQ79" s="6">
        <f t="shared" si="47"/>
        <v>51</v>
      </c>
      <c r="AR79" s="6">
        <f t="shared" ref="AR79:AW79" si="50">SUM(AR69:AR78)</f>
        <v>26</v>
      </c>
      <c r="AS79" s="6">
        <f t="shared" si="50"/>
        <v>27</v>
      </c>
      <c r="AT79" s="6">
        <f t="shared" si="50"/>
        <v>29</v>
      </c>
      <c r="AU79" s="6">
        <f t="shared" si="50"/>
        <v>23</v>
      </c>
      <c r="AV79" s="6">
        <f t="shared" si="50"/>
        <v>18</v>
      </c>
      <c r="AW79" s="6">
        <f t="shared" si="50"/>
        <v>23</v>
      </c>
      <c r="AX79" s="6">
        <f t="shared" si="47"/>
        <v>23</v>
      </c>
      <c r="AY79" s="6">
        <f t="shared" si="47"/>
        <v>16</v>
      </c>
      <c r="AZ79" s="6">
        <f t="shared" si="47"/>
        <v>34</v>
      </c>
      <c r="BA79" s="6">
        <f t="shared" si="47"/>
        <v>19</v>
      </c>
      <c r="BB79" s="6">
        <f t="shared" si="47"/>
        <v>40</v>
      </c>
      <c r="BC79" s="6">
        <f t="shared" si="47"/>
        <v>35</v>
      </c>
      <c r="BD79" s="6">
        <f t="shared" si="47"/>
        <v>59</v>
      </c>
      <c r="BE79" s="5">
        <f t="shared" si="47"/>
        <v>2724</v>
      </c>
    </row>
    <row r="80" spans="1:57" x14ac:dyDescent="0.4">
      <c r="A80" s="81"/>
      <c r="B80" s="80"/>
      <c r="C80" s="80"/>
      <c r="D80" s="80"/>
      <c r="E80" s="80"/>
    </row>
    <row r="81" spans="1:57" x14ac:dyDescent="0.4">
      <c r="A81" s="11" t="s">
        <v>48</v>
      </c>
      <c r="B81" s="17" t="s">
        <v>34</v>
      </c>
      <c r="C81" s="83" t="s">
        <v>54</v>
      </c>
      <c r="D81" s="55"/>
      <c r="E81" s="6">
        <v>3</v>
      </c>
      <c r="F81" s="6">
        <v>5</v>
      </c>
      <c r="G81" s="6">
        <v>15</v>
      </c>
      <c r="H81" s="6">
        <v>9</v>
      </c>
      <c r="I81" s="6">
        <v>7</v>
      </c>
      <c r="J81" s="6">
        <v>0</v>
      </c>
      <c r="K81" s="6">
        <v>1</v>
      </c>
      <c r="L81" s="6">
        <v>2</v>
      </c>
      <c r="M81" s="6">
        <v>1</v>
      </c>
      <c r="N81" s="6">
        <v>2</v>
      </c>
      <c r="O81" s="6">
        <v>8</v>
      </c>
      <c r="P81" s="6">
        <v>2</v>
      </c>
      <c r="Q81" s="6">
        <v>4</v>
      </c>
      <c r="R81" s="6">
        <v>3</v>
      </c>
      <c r="S81" s="6">
        <v>4</v>
      </c>
      <c r="T81" s="6">
        <v>2</v>
      </c>
      <c r="U81" s="6">
        <v>6</v>
      </c>
      <c r="V81" s="6">
        <v>4</v>
      </c>
      <c r="W81" s="6">
        <v>1</v>
      </c>
      <c r="X81" s="6">
        <v>5</v>
      </c>
      <c r="Y81" s="6">
        <v>9</v>
      </c>
      <c r="Z81" s="6">
        <v>10</v>
      </c>
      <c r="AA81" s="6">
        <v>8</v>
      </c>
      <c r="AB81" s="6">
        <v>5</v>
      </c>
      <c r="AC81" s="6">
        <v>2</v>
      </c>
      <c r="AD81" s="6">
        <v>11</v>
      </c>
      <c r="AE81" s="6">
        <v>5</v>
      </c>
      <c r="AF81" s="6">
        <v>12</v>
      </c>
      <c r="AG81" s="6">
        <v>5</v>
      </c>
      <c r="AH81" s="6">
        <v>9</v>
      </c>
      <c r="AI81" s="6">
        <v>1</v>
      </c>
      <c r="AJ81" s="6">
        <v>2</v>
      </c>
      <c r="AK81" s="6">
        <v>4</v>
      </c>
      <c r="AL81" s="6">
        <v>6</v>
      </c>
      <c r="AM81" s="6">
        <v>2</v>
      </c>
      <c r="AN81" s="6">
        <v>6</v>
      </c>
      <c r="AO81" s="6">
        <v>9</v>
      </c>
      <c r="AP81" s="6">
        <v>5</v>
      </c>
      <c r="AQ81" s="6">
        <v>6</v>
      </c>
      <c r="AR81" s="6">
        <v>3</v>
      </c>
      <c r="AS81" s="6">
        <v>0</v>
      </c>
      <c r="AT81" s="6">
        <v>1</v>
      </c>
      <c r="AU81" s="6">
        <v>5</v>
      </c>
      <c r="AV81" s="6">
        <v>4</v>
      </c>
      <c r="AW81" s="6">
        <v>1</v>
      </c>
      <c r="AX81" s="6">
        <v>3</v>
      </c>
      <c r="AY81" s="6">
        <v>5</v>
      </c>
      <c r="AZ81" s="6">
        <v>5</v>
      </c>
      <c r="BA81" s="6">
        <v>1</v>
      </c>
      <c r="BB81" s="6">
        <v>7</v>
      </c>
      <c r="BC81" s="6">
        <v>14</v>
      </c>
      <c r="BD81" s="6">
        <v>5</v>
      </c>
      <c r="BE81" s="5">
        <f t="shared" ref="BE81:BE90" si="51">SUM(E81:BD81)</f>
        <v>255</v>
      </c>
    </row>
    <row r="82" spans="1:57" x14ac:dyDescent="0.4">
      <c r="A82" s="11" t="s">
        <v>50</v>
      </c>
      <c r="B82" s="47"/>
      <c r="C82" s="24" t="s">
        <v>137</v>
      </c>
      <c r="D82" s="45"/>
      <c r="E82" s="6">
        <v>1</v>
      </c>
      <c r="F82" s="6">
        <v>1</v>
      </c>
      <c r="G82" s="6">
        <v>7</v>
      </c>
      <c r="H82" s="6">
        <v>9</v>
      </c>
      <c r="I82" s="6">
        <v>1</v>
      </c>
      <c r="J82" s="6">
        <v>0</v>
      </c>
      <c r="K82" s="6">
        <v>3</v>
      </c>
      <c r="L82" s="6">
        <v>2</v>
      </c>
      <c r="M82" s="6">
        <v>1</v>
      </c>
      <c r="N82" s="6">
        <v>0</v>
      </c>
      <c r="O82" s="6">
        <v>2</v>
      </c>
      <c r="P82" s="6">
        <v>1</v>
      </c>
      <c r="Q82" s="6">
        <v>4</v>
      </c>
      <c r="R82" s="6">
        <v>0</v>
      </c>
      <c r="S82" s="6">
        <v>1</v>
      </c>
      <c r="T82" s="6">
        <v>3</v>
      </c>
      <c r="U82" s="6">
        <v>1</v>
      </c>
      <c r="V82" s="6">
        <v>0</v>
      </c>
      <c r="W82" s="6">
        <v>5</v>
      </c>
      <c r="X82" s="6">
        <v>3</v>
      </c>
      <c r="Y82" s="6">
        <v>6</v>
      </c>
      <c r="Z82" s="6">
        <v>15</v>
      </c>
      <c r="AA82" s="6">
        <v>8</v>
      </c>
      <c r="AB82" s="6">
        <v>9</v>
      </c>
      <c r="AC82" s="6">
        <v>4</v>
      </c>
      <c r="AD82" s="6">
        <v>13</v>
      </c>
      <c r="AE82" s="6">
        <v>8</v>
      </c>
      <c r="AF82" s="6">
        <v>3</v>
      </c>
      <c r="AG82" s="6">
        <v>3</v>
      </c>
      <c r="AH82" s="6">
        <v>9</v>
      </c>
      <c r="AI82" s="6">
        <v>0</v>
      </c>
      <c r="AJ82" s="6">
        <v>0</v>
      </c>
      <c r="AK82" s="6">
        <v>3</v>
      </c>
      <c r="AL82" s="6">
        <v>3</v>
      </c>
      <c r="AM82" s="6">
        <v>0</v>
      </c>
      <c r="AN82" s="6">
        <v>7</v>
      </c>
      <c r="AO82" s="6">
        <v>2</v>
      </c>
      <c r="AP82" s="6">
        <v>12</v>
      </c>
      <c r="AQ82" s="6">
        <v>2</v>
      </c>
      <c r="AR82" s="6">
        <v>2</v>
      </c>
      <c r="AS82" s="6">
        <v>4</v>
      </c>
      <c r="AT82" s="6">
        <v>4</v>
      </c>
      <c r="AU82" s="6">
        <v>5</v>
      </c>
      <c r="AV82" s="6">
        <v>1</v>
      </c>
      <c r="AW82" s="6">
        <v>0</v>
      </c>
      <c r="AX82" s="6">
        <v>2</v>
      </c>
      <c r="AY82" s="6">
        <v>1</v>
      </c>
      <c r="AZ82" s="6">
        <v>5</v>
      </c>
      <c r="BA82" s="6">
        <v>0</v>
      </c>
      <c r="BB82" s="6">
        <v>9</v>
      </c>
      <c r="BC82" s="6">
        <v>28</v>
      </c>
      <c r="BD82" s="6">
        <v>1</v>
      </c>
      <c r="BE82" s="5">
        <f t="shared" si="51"/>
        <v>214</v>
      </c>
    </row>
    <row r="83" spans="1:57" x14ac:dyDescent="0.4">
      <c r="A83" s="7"/>
      <c r="B83" s="47"/>
      <c r="C83" s="24" t="s">
        <v>138</v>
      </c>
      <c r="D83" s="45"/>
      <c r="E83" s="6">
        <v>0</v>
      </c>
      <c r="F83" s="6">
        <v>1</v>
      </c>
      <c r="G83" s="6">
        <v>8</v>
      </c>
      <c r="H83" s="6">
        <v>9</v>
      </c>
      <c r="I83" s="6">
        <v>2</v>
      </c>
      <c r="J83" s="6">
        <v>1</v>
      </c>
      <c r="K83" s="6">
        <v>0</v>
      </c>
      <c r="L83" s="6">
        <v>1</v>
      </c>
      <c r="M83" s="6">
        <v>2</v>
      </c>
      <c r="N83" s="6">
        <v>0</v>
      </c>
      <c r="O83" s="6">
        <v>5</v>
      </c>
      <c r="P83" s="6">
        <v>0</v>
      </c>
      <c r="Q83" s="6">
        <v>7</v>
      </c>
      <c r="R83" s="6">
        <v>1</v>
      </c>
      <c r="S83" s="6">
        <v>5</v>
      </c>
      <c r="T83" s="6">
        <v>0</v>
      </c>
      <c r="U83" s="6">
        <v>1</v>
      </c>
      <c r="V83" s="6">
        <v>0</v>
      </c>
      <c r="W83" s="6">
        <v>2</v>
      </c>
      <c r="X83" s="6">
        <v>2</v>
      </c>
      <c r="Y83" s="6">
        <v>4</v>
      </c>
      <c r="Z83" s="6">
        <v>1</v>
      </c>
      <c r="AA83" s="6">
        <v>8</v>
      </c>
      <c r="AB83" s="6">
        <v>3</v>
      </c>
      <c r="AC83" s="6">
        <v>2</v>
      </c>
      <c r="AD83" s="6">
        <v>4</v>
      </c>
      <c r="AE83" s="6">
        <v>5</v>
      </c>
      <c r="AF83" s="6">
        <v>5</v>
      </c>
      <c r="AG83" s="6">
        <v>2</v>
      </c>
      <c r="AH83" s="6">
        <v>2</v>
      </c>
      <c r="AI83" s="6">
        <v>1</v>
      </c>
      <c r="AJ83" s="6">
        <v>2</v>
      </c>
      <c r="AK83" s="6">
        <v>0</v>
      </c>
      <c r="AL83" s="6">
        <v>5</v>
      </c>
      <c r="AM83" s="6">
        <v>7</v>
      </c>
      <c r="AN83" s="6">
        <v>6</v>
      </c>
      <c r="AO83" s="6">
        <v>8</v>
      </c>
      <c r="AP83" s="6">
        <v>8</v>
      </c>
      <c r="AQ83" s="6">
        <v>2</v>
      </c>
      <c r="AR83" s="6">
        <v>2</v>
      </c>
      <c r="AS83" s="6">
        <v>1</v>
      </c>
      <c r="AT83" s="6">
        <v>2</v>
      </c>
      <c r="AU83" s="6">
        <v>3</v>
      </c>
      <c r="AV83" s="6">
        <v>2</v>
      </c>
      <c r="AW83" s="6">
        <v>5</v>
      </c>
      <c r="AX83" s="6">
        <v>7</v>
      </c>
      <c r="AY83" s="6">
        <v>10</v>
      </c>
      <c r="AZ83" s="6">
        <v>0</v>
      </c>
      <c r="BA83" s="6">
        <v>2</v>
      </c>
      <c r="BB83" s="6">
        <v>7</v>
      </c>
      <c r="BC83" s="6">
        <v>4</v>
      </c>
      <c r="BD83" s="6">
        <v>2</v>
      </c>
      <c r="BE83" s="5">
        <f t="shared" si="51"/>
        <v>169</v>
      </c>
    </row>
    <row r="84" spans="1:57" x14ac:dyDescent="0.4">
      <c r="A84" s="7"/>
      <c r="B84" s="47"/>
      <c r="C84" s="24" t="s">
        <v>139</v>
      </c>
      <c r="D84" s="45"/>
      <c r="E84" s="6">
        <v>0</v>
      </c>
      <c r="F84" s="6">
        <v>0</v>
      </c>
      <c r="G84" s="6">
        <v>5</v>
      </c>
      <c r="H84" s="6">
        <v>4</v>
      </c>
      <c r="I84" s="6">
        <v>2</v>
      </c>
      <c r="J84" s="6">
        <v>1</v>
      </c>
      <c r="K84" s="6">
        <v>1</v>
      </c>
      <c r="L84" s="6">
        <v>0</v>
      </c>
      <c r="M84" s="6">
        <v>2</v>
      </c>
      <c r="N84" s="6">
        <v>3</v>
      </c>
      <c r="O84" s="6">
        <v>2</v>
      </c>
      <c r="P84" s="6">
        <v>3</v>
      </c>
      <c r="Q84" s="6">
        <v>4</v>
      </c>
      <c r="R84" s="6">
        <v>3</v>
      </c>
      <c r="S84" s="6">
        <v>2</v>
      </c>
      <c r="T84" s="6">
        <v>0</v>
      </c>
      <c r="U84" s="6">
        <v>1</v>
      </c>
      <c r="V84" s="6">
        <v>0</v>
      </c>
      <c r="W84" s="6">
        <v>0</v>
      </c>
      <c r="X84" s="6">
        <v>2</v>
      </c>
      <c r="Y84" s="6">
        <v>1</v>
      </c>
      <c r="Z84" s="6">
        <v>1</v>
      </c>
      <c r="AA84" s="6">
        <v>2</v>
      </c>
      <c r="AB84" s="6">
        <v>1</v>
      </c>
      <c r="AC84" s="6">
        <v>0</v>
      </c>
      <c r="AD84" s="6">
        <v>0</v>
      </c>
      <c r="AE84" s="6">
        <v>1</v>
      </c>
      <c r="AF84" s="6">
        <v>3</v>
      </c>
      <c r="AG84" s="6">
        <v>2</v>
      </c>
      <c r="AH84" s="6">
        <v>3</v>
      </c>
      <c r="AI84" s="6">
        <v>0</v>
      </c>
      <c r="AJ84" s="6">
        <v>0</v>
      </c>
      <c r="AK84" s="6">
        <v>0</v>
      </c>
      <c r="AL84" s="6">
        <v>4</v>
      </c>
      <c r="AM84" s="6">
        <v>4</v>
      </c>
      <c r="AN84" s="6">
        <v>1</v>
      </c>
      <c r="AO84" s="6">
        <v>1</v>
      </c>
      <c r="AP84" s="6">
        <v>3</v>
      </c>
      <c r="AQ84" s="6">
        <v>0</v>
      </c>
      <c r="AR84" s="6">
        <v>1</v>
      </c>
      <c r="AS84" s="6">
        <v>0</v>
      </c>
      <c r="AT84" s="6">
        <v>0</v>
      </c>
      <c r="AU84" s="6">
        <v>0</v>
      </c>
      <c r="AV84" s="6">
        <v>1</v>
      </c>
      <c r="AW84" s="6">
        <v>1</v>
      </c>
      <c r="AX84" s="6">
        <v>0</v>
      </c>
      <c r="AY84" s="6">
        <v>3</v>
      </c>
      <c r="AZ84" s="6">
        <v>0</v>
      </c>
      <c r="BA84" s="6">
        <v>1</v>
      </c>
      <c r="BB84" s="6">
        <v>1</v>
      </c>
      <c r="BC84" s="6">
        <v>1</v>
      </c>
      <c r="BD84" s="6">
        <v>0</v>
      </c>
      <c r="BE84" s="5">
        <f t="shared" si="51"/>
        <v>71</v>
      </c>
    </row>
    <row r="85" spans="1:57" ht="13.15" customHeight="1" x14ac:dyDescent="0.4">
      <c r="A85" s="7"/>
      <c r="B85" s="47"/>
      <c r="C85" s="24" t="s">
        <v>140</v>
      </c>
      <c r="D85" s="45"/>
      <c r="E85" s="6">
        <v>1</v>
      </c>
      <c r="F85" s="6">
        <v>1</v>
      </c>
      <c r="G85" s="6">
        <v>3</v>
      </c>
      <c r="H85" s="6">
        <v>2</v>
      </c>
      <c r="I85" s="6">
        <v>2</v>
      </c>
      <c r="J85" s="6">
        <v>0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10</v>
      </c>
      <c r="R85" s="6">
        <v>3</v>
      </c>
      <c r="S85" s="6">
        <v>5</v>
      </c>
      <c r="T85" s="6">
        <v>1</v>
      </c>
      <c r="U85" s="6">
        <v>0</v>
      </c>
      <c r="V85" s="6">
        <v>1</v>
      </c>
      <c r="W85" s="6">
        <v>3</v>
      </c>
      <c r="X85" s="6">
        <v>0</v>
      </c>
      <c r="Y85" s="6">
        <v>3</v>
      </c>
      <c r="Z85" s="6">
        <v>1</v>
      </c>
      <c r="AA85" s="6">
        <v>1</v>
      </c>
      <c r="AB85" s="6">
        <v>4</v>
      </c>
      <c r="AC85" s="6">
        <v>0</v>
      </c>
      <c r="AD85" s="6">
        <v>2</v>
      </c>
      <c r="AE85" s="6">
        <v>1</v>
      </c>
      <c r="AF85" s="6">
        <v>3</v>
      </c>
      <c r="AG85" s="6">
        <v>2</v>
      </c>
      <c r="AH85" s="6">
        <v>2</v>
      </c>
      <c r="AI85" s="6">
        <v>1</v>
      </c>
      <c r="AJ85" s="6">
        <v>0</v>
      </c>
      <c r="AK85" s="6">
        <v>1</v>
      </c>
      <c r="AL85" s="6">
        <v>1</v>
      </c>
      <c r="AM85" s="6">
        <v>1</v>
      </c>
      <c r="AN85" s="6">
        <v>3</v>
      </c>
      <c r="AO85" s="6">
        <v>0</v>
      </c>
      <c r="AP85" s="6">
        <v>5</v>
      </c>
      <c r="AQ85" s="6">
        <v>1</v>
      </c>
      <c r="AR85" s="6">
        <v>0</v>
      </c>
      <c r="AS85" s="6">
        <v>1</v>
      </c>
      <c r="AT85" s="6">
        <v>1</v>
      </c>
      <c r="AU85" s="6">
        <v>4</v>
      </c>
      <c r="AV85" s="6">
        <v>0</v>
      </c>
      <c r="AW85" s="6">
        <v>1</v>
      </c>
      <c r="AX85" s="6">
        <v>4</v>
      </c>
      <c r="AY85" s="6">
        <v>2</v>
      </c>
      <c r="AZ85" s="6">
        <v>0</v>
      </c>
      <c r="BA85" s="6">
        <v>3</v>
      </c>
      <c r="BB85" s="6">
        <v>1</v>
      </c>
      <c r="BC85" s="6">
        <v>2</v>
      </c>
      <c r="BD85" s="6">
        <v>2</v>
      </c>
      <c r="BE85" s="5">
        <f t="shared" si="51"/>
        <v>91</v>
      </c>
    </row>
    <row r="86" spans="1:57" x14ac:dyDescent="0.4">
      <c r="A86" s="7"/>
      <c r="B86" s="47"/>
      <c r="C86" s="24" t="s">
        <v>141</v>
      </c>
      <c r="D86" s="45"/>
      <c r="E86" s="6">
        <v>0</v>
      </c>
      <c r="F86" s="6">
        <v>0</v>
      </c>
      <c r="G86" s="6">
        <v>14</v>
      </c>
      <c r="H86" s="6">
        <v>7</v>
      </c>
      <c r="I86" s="6">
        <v>2</v>
      </c>
      <c r="J86" s="6">
        <v>0</v>
      </c>
      <c r="K86" s="6">
        <v>0</v>
      </c>
      <c r="L86" s="6">
        <v>3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4</v>
      </c>
      <c r="U86" s="6">
        <v>0</v>
      </c>
      <c r="V86" s="6">
        <v>0</v>
      </c>
      <c r="W86" s="6">
        <v>0</v>
      </c>
      <c r="X86" s="6">
        <v>0</v>
      </c>
      <c r="Y86" s="6">
        <v>6</v>
      </c>
      <c r="Z86" s="6">
        <v>3</v>
      </c>
      <c r="AA86" s="6">
        <v>5</v>
      </c>
      <c r="AB86" s="6">
        <v>11</v>
      </c>
      <c r="AC86" s="6">
        <v>0</v>
      </c>
      <c r="AD86" s="6">
        <v>0</v>
      </c>
      <c r="AE86" s="6">
        <v>1</v>
      </c>
      <c r="AF86" s="6">
        <v>3</v>
      </c>
      <c r="AG86" s="6">
        <v>2</v>
      </c>
      <c r="AH86" s="6">
        <v>3</v>
      </c>
      <c r="AI86" s="6">
        <v>1</v>
      </c>
      <c r="AJ86" s="6">
        <v>2</v>
      </c>
      <c r="AK86" s="6">
        <v>3</v>
      </c>
      <c r="AL86" s="6">
        <v>9</v>
      </c>
      <c r="AM86" s="6">
        <v>3</v>
      </c>
      <c r="AN86" s="6">
        <v>15</v>
      </c>
      <c r="AO86" s="6">
        <v>3</v>
      </c>
      <c r="AP86" s="6">
        <v>6</v>
      </c>
      <c r="AQ86" s="6">
        <v>1</v>
      </c>
      <c r="AR86" s="6">
        <v>1</v>
      </c>
      <c r="AS86" s="6">
        <v>0</v>
      </c>
      <c r="AT86" s="6">
        <v>0</v>
      </c>
      <c r="AU86" s="6">
        <v>5</v>
      </c>
      <c r="AV86" s="6">
        <v>21</v>
      </c>
      <c r="AW86" s="6">
        <v>0</v>
      </c>
      <c r="AX86" s="6">
        <v>2</v>
      </c>
      <c r="AY86" s="6">
        <v>1</v>
      </c>
      <c r="AZ86" s="6">
        <v>0</v>
      </c>
      <c r="BA86" s="6">
        <v>2</v>
      </c>
      <c r="BB86" s="6">
        <v>1</v>
      </c>
      <c r="BC86" s="6">
        <v>16</v>
      </c>
      <c r="BD86" s="6">
        <v>2</v>
      </c>
      <c r="BE86" s="5">
        <f t="shared" si="51"/>
        <v>159</v>
      </c>
    </row>
    <row r="87" spans="1:57" x14ac:dyDescent="0.4">
      <c r="A87" s="7"/>
      <c r="B87" s="47"/>
      <c r="C87" s="24" t="s">
        <v>142</v>
      </c>
      <c r="D87" s="45"/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1</v>
      </c>
      <c r="Q87" s="6">
        <v>2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1</v>
      </c>
      <c r="AL87" s="6">
        <v>1</v>
      </c>
      <c r="AM87" s="6">
        <v>0</v>
      </c>
      <c r="AN87" s="6">
        <v>1</v>
      </c>
      <c r="AO87" s="6">
        <v>0</v>
      </c>
      <c r="AP87" s="6">
        <v>0</v>
      </c>
      <c r="AQ87" s="6">
        <v>1</v>
      </c>
      <c r="AR87" s="6">
        <v>0</v>
      </c>
      <c r="AS87" s="6">
        <v>0</v>
      </c>
      <c r="AT87" s="6">
        <v>0</v>
      </c>
      <c r="AU87" s="6">
        <v>1</v>
      </c>
      <c r="AV87" s="6">
        <v>1</v>
      </c>
      <c r="AW87" s="6">
        <v>0</v>
      </c>
      <c r="AX87" s="6">
        <v>0</v>
      </c>
      <c r="AY87" s="6">
        <v>0</v>
      </c>
      <c r="AZ87" s="6">
        <v>1</v>
      </c>
      <c r="BA87" s="6">
        <v>1</v>
      </c>
      <c r="BB87" s="6">
        <v>0</v>
      </c>
      <c r="BC87" s="6">
        <v>1</v>
      </c>
      <c r="BD87" s="6">
        <v>0</v>
      </c>
      <c r="BE87" s="5">
        <f t="shared" si="51"/>
        <v>16</v>
      </c>
    </row>
    <row r="88" spans="1:57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1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6">
        <v>1</v>
      </c>
      <c r="Y88" s="6">
        <v>2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6">
        <v>0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2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1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5">
        <f t="shared" si="51"/>
        <v>11</v>
      </c>
    </row>
    <row r="89" spans="1:57" x14ac:dyDescent="0.4">
      <c r="A89" s="7"/>
      <c r="B89" s="47"/>
      <c r="C89" s="24" t="s">
        <v>144</v>
      </c>
      <c r="D89" s="45"/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1</v>
      </c>
      <c r="R89" s="6">
        <v>0</v>
      </c>
      <c r="S89" s="6">
        <v>1</v>
      </c>
      <c r="T89" s="6">
        <v>1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1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1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1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5">
        <f t="shared" si="51"/>
        <v>7</v>
      </c>
    </row>
    <row r="90" spans="1:57" x14ac:dyDescent="0.4">
      <c r="A90" s="7"/>
      <c r="B90" s="47"/>
      <c r="C90" s="24" t="s">
        <v>145</v>
      </c>
      <c r="D90" s="45"/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</v>
      </c>
      <c r="T90" s="6">
        <v>0</v>
      </c>
      <c r="U90" s="6">
        <v>0</v>
      </c>
      <c r="V90" s="6">
        <v>0</v>
      </c>
      <c r="W90" s="6">
        <v>2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1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5">
        <f t="shared" si="51"/>
        <v>6</v>
      </c>
    </row>
    <row r="91" spans="1:57" x14ac:dyDescent="0.4">
      <c r="A91" s="6" t="s">
        <v>26</v>
      </c>
      <c r="B91" s="74" t="s">
        <v>51</v>
      </c>
      <c r="C91" s="54"/>
      <c r="D91" s="55"/>
      <c r="E91" s="6">
        <f t="shared" ref="E91:BE91" si="52">SUM(E81:E90)</f>
        <v>5</v>
      </c>
      <c r="F91" s="6">
        <f t="shared" si="52"/>
        <v>10</v>
      </c>
      <c r="G91" s="6">
        <f t="shared" si="52"/>
        <v>53</v>
      </c>
      <c r="H91" s="6">
        <f t="shared" si="52"/>
        <v>40</v>
      </c>
      <c r="I91" s="6">
        <f t="shared" si="52"/>
        <v>16</v>
      </c>
      <c r="J91" s="6">
        <f t="shared" si="52"/>
        <v>2</v>
      </c>
      <c r="K91" s="6">
        <f t="shared" si="52"/>
        <v>6</v>
      </c>
      <c r="L91" s="6">
        <f t="shared" si="52"/>
        <v>9</v>
      </c>
      <c r="M91" s="6">
        <f t="shared" si="52"/>
        <v>7</v>
      </c>
      <c r="N91" s="6">
        <f t="shared" si="52"/>
        <v>7</v>
      </c>
      <c r="O91" s="6">
        <f t="shared" si="52"/>
        <v>18</v>
      </c>
      <c r="P91" s="6">
        <f t="shared" si="52"/>
        <v>8</v>
      </c>
      <c r="Q91" s="6">
        <f t="shared" ref="Q91:AA91" si="53">SUM(Q81:Q90)</f>
        <v>33</v>
      </c>
      <c r="R91" s="6">
        <f t="shared" si="53"/>
        <v>11</v>
      </c>
      <c r="S91" s="6">
        <f t="shared" si="53"/>
        <v>19</v>
      </c>
      <c r="T91" s="6">
        <f t="shared" si="53"/>
        <v>11</v>
      </c>
      <c r="U91" s="6">
        <f t="shared" si="53"/>
        <v>10</v>
      </c>
      <c r="V91" s="6">
        <f t="shared" si="53"/>
        <v>5</v>
      </c>
      <c r="W91" s="6">
        <f t="shared" si="53"/>
        <v>13</v>
      </c>
      <c r="X91" s="6">
        <f t="shared" si="53"/>
        <v>13</v>
      </c>
      <c r="Y91" s="6">
        <f t="shared" si="53"/>
        <v>31</v>
      </c>
      <c r="Z91" s="6">
        <f t="shared" si="53"/>
        <v>31</v>
      </c>
      <c r="AA91" s="6">
        <f t="shared" si="53"/>
        <v>32</v>
      </c>
      <c r="AB91" s="6">
        <f t="shared" ref="AB91:AL91" si="54">SUM(AB81:AB90)</f>
        <v>34</v>
      </c>
      <c r="AC91" s="6">
        <f t="shared" si="54"/>
        <v>9</v>
      </c>
      <c r="AD91" s="6">
        <f t="shared" si="54"/>
        <v>31</v>
      </c>
      <c r="AE91" s="6">
        <f t="shared" si="54"/>
        <v>22</v>
      </c>
      <c r="AF91" s="6">
        <f t="shared" si="54"/>
        <v>30</v>
      </c>
      <c r="AG91" s="6">
        <f t="shared" si="54"/>
        <v>17</v>
      </c>
      <c r="AH91" s="6">
        <f t="shared" si="54"/>
        <v>28</v>
      </c>
      <c r="AI91" s="6">
        <f t="shared" si="54"/>
        <v>5</v>
      </c>
      <c r="AJ91" s="6">
        <f t="shared" si="54"/>
        <v>6</v>
      </c>
      <c r="AK91" s="6">
        <f t="shared" si="54"/>
        <v>12</v>
      </c>
      <c r="AL91" s="6">
        <f t="shared" si="54"/>
        <v>31</v>
      </c>
      <c r="AM91" s="6">
        <f t="shared" si="52"/>
        <v>17</v>
      </c>
      <c r="AN91" s="6">
        <f t="shared" si="52"/>
        <v>40</v>
      </c>
      <c r="AO91" s="6">
        <f t="shared" si="52"/>
        <v>23</v>
      </c>
      <c r="AP91" s="6">
        <f t="shared" si="52"/>
        <v>39</v>
      </c>
      <c r="AQ91" s="6">
        <f t="shared" si="52"/>
        <v>13</v>
      </c>
      <c r="AR91" s="6">
        <f t="shared" ref="AR91:AW91" si="55">SUM(AR81:AR90)</f>
        <v>10</v>
      </c>
      <c r="AS91" s="6">
        <f t="shared" si="55"/>
        <v>6</v>
      </c>
      <c r="AT91" s="6">
        <f t="shared" si="55"/>
        <v>8</v>
      </c>
      <c r="AU91" s="6">
        <f t="shared" si="55"/>
        <v>23</v>
      </c>
      <c r="AV91" s="6">
        <f t="shared" si="55"/>
        <v>30</v>
      </c>
      <c r="AW91" s="6">
        <f t="shared" si="55"/>
        <v>9</v>
      </c>
      <c r="AX91" s="6">
        <f t="shared" si="52"/>
        <v>18</v>
      </c>
      <c r="AY91" s="6">
        <f t="shared" si="52"/>
        <v>23</v>
      </c>
      <c r="AZ91" s="6">
        <f t="shared" si="52"/>
        <v>11</v>
      </c>
      <c r="BA91" s="6">
        <f t="shared" si="52"/>
        <v>10</v>
      </c>
      <c r="BB91" s="6">
        <f t="shared" si="52"/>
        <v>26</v>
      </c>
      <c r="BC91" s="6">
        <f t="shared" si="52"/>
        <v>66</v>
      </c>
      <c r="BD91" s="6">
        <f t="shared" si="52"/>
        <v>12</v>
      </c>
      <c r="BE91" s="5">
        <f t="shared" si="52"/>
        <v>999</v>
      </c>
    </row>
    <row r="92" spans="1:57" x14ac:dyDescent="0.4">
      <c r="A92" s="81"/>
      <c r="B92" s="80"/>
      <c r="C92" s="80"/>
      <c r="D92" s="80"/>
      <c r="E92" s="80"/>
    </row>
    <row r="93" spans="1:57" x14ac:dyDescent="0.4">
      <c r="A93" s="11" t="s">
        <v>48</v>
      </c>
      <c r="B93" s="17" t="s">
        <v>55</v>
      </c>
      <c r="C93" s="83" t="s">
        <v>56</v>
      </c>
      <c r="D93" s="55"/>
      <c r="E93" s="6">
        <v>4</v>
      </c>
      <c r="F93" s="6">
        <v>3</v>
      </c>
      <c r="G93" s="6">
        <v>1</v>
      </c>
      <c r="H93" s="6">
        <v>1</v>
      </c>
      <c r="I93" s="6">
        <v>1</v>
      </c>
      <c r="J93" s="6">
        <v>1</v>
      </c>
      <c r="K93" s="6">
        <v>1</v>
      </c>
      <c r="L93" s="6">
        <v>1</v>
      </c>
      <c r="M93" s="6">
        <v>0</v>
      </c>
      <c r="N93" s="6">
        <v>0</v>
      </c>
      <c r="O93" s="6">
        <v>1</v>
      </c>
      <c r="P93" s="6">
        <v>1</v>
      </c>
      <c r="Q93" s="6">
        <v>2</v>
      </c>
      <c r="R93" s="6">
        <v>1</v>
      </c>
      <c r="S93" s="6">
        <v>2</v>
      </c>
      <c r="T93" s="6">
        <v>1</v>
      </c>
      <c r="U93" s="6">
        <v>2</v>
      </c>
      <c r="V93" s="6">
        <v>1</v>
      </c>
      <c r="W93" s="6">
        <v>3</v>
      </c>
      <c r="X93" s="6">
        <v>1</v>
      </c>
      <c r="Y93" s="6">
        <v>6</v>
      </c>
      <c r="Z93" s="6">
        <v>8</v>
      </c>
      <c r="AA93" s="6"/>
      <c r="AB93" s="6">
        <v>2</v>
      </c>
      <c r="AC93" s="6">
        <v>1</v>
      </c>
      <c r="AD93" s="6"/>
      <c r="AE93" s="6">
        <v>2</v>
      </c>
      <c r="AF93" s="6">
        <v>4</v>
      </c>
      <c r="AG93" s="6">
        <v>3</v>
      </c>
      <c r="AH93" s="6">
        <v>2</v>
      </c>
      <c r="AI93" s="6">
        <v>3</v>
      </c>
      <c r="AJ93" s="6">
        <v>1</v>
      </c>
      <c r="AK93" s="6">
        <v>1</v>
      </c>
      <c r="AL93" s="6">
        <v>2</v>
      </c>
      <c r="AM93" s="6">
        <v>2</v>
      </c>
      <c r="AN93" s="6"/>
      <c r="AO93" s="6">
        <v>2</v>
      </c>
      <c r="AP93" s="6">
        <v>5</v>
      </c>
      <c r="AQ93" s="6"/>
      <c r="AR93" s="6">
        <v>4</v>
      </c>
      <c r="AS93" s="6"/>
      <c r="AT93" s="6">
        <v>6</v>
      </c>
      <c r="AU93" s="6">
        <v>5</v>
      </c>
      <c r="AV93" s="6"/>
      <c r="AW93" s="6">
        <v>2</v>
      </c>
      <c r="AX93" s="6">
        <v>1</v>
      </c>
      <c r="AY93" s="6">
        <v>0</v>
      </c>
      <c r="AZ93" s="6">
        <v>3</v>
      </c>
      <c r="BA93" s="6">
        <v>3</v>
      </c>
      <c r="BB93" s="6">
        <v>2</v>
      </c>
      <c r="BC93" s="6">
        <v>2</v>
      </c>
      <c r="BD93" s="6">
        <v>4</v>
      </c>
      <c r="BE93" s="5">
        <f t="shared" ref="BE93:BE102" si="56">SUM(E93:BD93)</f>
        <v>104</v>
      </c>
    </row>
    <row r="94" spans="1:57" x14ac:dyDescent="0.4">
      <c r="A94" s="11" t="s">
        <v>50</v>
      </c>
      <c r="B94" s="47"/>
      <c r="C94" s="24" t="s">
        <v>146</v>
      </c>
      <c r="D94" s="45"/>
      <c r="E94" s="6">
        <v>2</v>
      </c>
      <c r="F94" s="6">
        <v>0</v>
      </c>
      <c r="G94" s="6">
        <v>1</v>
      </c>
      <c r="H94" s="6">
        <v>4</v>
      </c>
      <c r="I94" s="6">
        <v>4</v>
      </c>
      <c r="J94" s="6">
        <v>0</v>
      </c>
      <c r="K94" s="6">
        <v>1</v>
      </c>
      <c r="L94" s="6">
        <v>1</v>
      </c>
      <c r="M94" s="6">
        <v>1</v>
      </c>
      <c r="N94" s="6">
        <v>0</v>
      </c>
      <c r="O94" s="6">
        <v>3</v>
      </c>
      <c r="P94" s="6">
        <v>0</v>
      </c>
      <c r="Q94" s="6">
        <v>2</v>
      </c>
      <c r="R94" s="6">
        <v>0</v>
      </c>
      <c r="S94" s="6">
        <v>0</v>
      </c>
      <c r="T94" s="6"/>
      <c r="U94" s="6">
        <v>1</v>
      </c>
      <c r="V94" s="6">
        <v>1</v>
      </c>
      <c r="W94" s="6"/>
      <c r="X94" s="6">
        <v>3</v>
      </c>
      <c r="Y94" s="6">
        <v>3</v>
      </c>
      <c r="Z94" s="6"/>
      <c r="AA94" s="6">
        <v>1</v>
      </c>
      <c r="AB94" s="6"/>
      <c r="AC94" s="6">
        <v>2</v>
      </c>
      <c r="AD94" s="6">
        <v>1</v>
      </c>
      <c r="AE94" s="6"/>
      <c r="AF94" s="6">
        <v>4</v>
      </c>
      <c r="AG94" s="6">
        <v>7</v>
      </c>
      <c r="AH94" s="6">
        <v>2</v>
      </c>
      <c r="AI94" s="6">
        <v>2</v>
      </c>
      <c r="AJ94" s="6">
        <v>1</v>
      </c>
      <c r="AK94" s="6">
        <v>2</v>
      </c>
      <c r="AL94" s="6">
        <v>5</v>
      </c>
      <c r="AM94" s="6">
        <v>3</v>
      </c>
      <c r="AN94" s="6">
        <v>5</v>
      </c>
      <c r="AO94" s="6">
        <v>1</v>
      </c>
      <c r="AP94" s="6">
        <v>4</v>
      </c>
      <c r="AQ94" s="6">
        <v>2</v>
      </c>
      <c r="AR94" s="6">
        <v>2</v>
      </c>
      <c r="AS94" s="6">
        <v>1</v>
      </c>
      <c r="AT94" s="6">
        <v>5</v>
      </c>
      <c r="AU94" s="6">
        <v>4</v>
      </c>
      <c r="AV94" s="6">
        <v>2</v>
      </c>
      <c r="AW94" s="6"/>
      <c r="AX94" s="6">
        <v>0</v>
      </c>
      <c r="AY94" s="6">
        <v>1</v>
      </c>
      <c r="AZ94" s="6">
        <v>1</v>
      </c>
      <c r="BA94" s="6">
        <v>23</v>
      </c>
      <c r="BB94" s="6">
        <v>1</v>
      </c>
      <c r="BC94" s="6">
        <v>3</v>
      </c>
      <c r="BD94" s="6">
        <v>5</v>
      </c>
      <c r="BE94" s="5">
        <f t="shared" si="56"/>
        <v>117</v>
      </c>
    </row>
    <row r="95" spans="1:57" x14ac:dyDescent="0.4">
      <c r="A95" s="7"/>
      <c r="B95" s="47"/>
      <c r="C95" s="24" t="s">
        <v>147</v>
      </c>
      <c r="D95" s="45"/>
      <c r="E95" s="6">
        <v>1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6">
        <v>1</v>
      </c>
      <c r="V95" s="6"/>
      <c r="W95" s="6">
        <v>1</v>
      </c>
      <c r="X95" s="6">
        <v>1</v>
      </c>
      <c r="Y95" s="6">
        <v>1</v>
      </c>
      <c r="Z95" s="6">
        <v>2</v>
      </c>
      <c r="AA95" s="6"/>
      <c r="AB95" s="6"/>
      <c r="AC95" s="6"/>
      <c r="AD95" s="6"/>
      <c r="AE95" s="6"/>
      <c r="AF95" s="6"/>
      <c r="AG95" s="6">
        <v>1</v>
      </c>
      <c r="AH95" s="6"/>
      <c r="AI95" s="6">
        <v>1</v>
      </c>
      <c r="AJ95" s="6">
        <v>1</v>
      </c>
      <c r="AK95" s="6"/>
      <c r="AL95" s="6">
        <v>1</v>
      </c>
      <c r="AM95" s="6"/>
      <c r="AN95" s="6"/>
      <c r="AO95" s="6"/>
      <c r="AP95" s="6"/>
      <c r="AQ95" s="6"/>
      <c r="AR95" s="6"/>
      <c r="AS95" s="6"/>
      <c r="AT95" s="6">
        <v>1</v>
      </c>
      <c r="AU95" s="6">
        <v>1</v>
      </c>
      <c r="AV95" s="6">
        <v>2</v>
      </c>
      <c r="AW95" s="6"/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5">
        <f t="shared" si="56"/>
        <v>16</v>
      </c>
    </row>
    <row r="96" spans="1:57" ht="13.15" customHeight="1" x14ac:dyDescent="0.4">
      <c r="A96" s="7"/>
      <c r="B96" s="47"/>
      <c r="C96" s="24" t="s">
        <v>148</v>
      </c>
      <c r="D96" s="45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1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/>
      <c r="U96" s="6">
        <v>1</v>
      </c>
      <c r="V96" s="6"/>
      <c r="W96" s="6"/>
      <c r="X96" s="6"/>
      <c r="Y96" s="6">
        <v>1</v>
      </c>
      <c r="Z96" s="6"/>
      <c r="AA96" s="6">
        <v>1</v>
      </c>
      <c r="AB96" s="6"/>
      <c r="AC96" s="6"/>
      <c r="AD96" s="6"/>
      <c r="AE96" s="6"/>
      <c r="AF96" s="6"/>
      <c r="AG96" s="6">
        <v>1</v>
      </c>
      <c r="AH96" s="6"/>
      <c r="AI96" s="6">
        <v>1</v>
      </c>
      <c r="AJ96" s="6"/>
      <c r="AK96" s="6"/>
      <c r="AL96" s="6"/>
      <c r="AM96" s="6"/>
      <c r="AN96" s="6"/>
      <c r="AO96" s="6">
        <v>1</v>
      </c>
      <c r="AP96" s="6">
        <v>1</v>
      </c>
      <c r="AQ96" s="6">
        <v>1</v>
      </c>
      <c r="AR96" s="6"/>
      <c r="AS96" s="6">
        <v>1</v>
      </c>
      <c r="AT96" s="6">
        <v>1</v>
      </c>
      <c r="AU96" s="6"/>
      <c r="AV96" s="6"/>
      <c r="AW96" s="6"/>
      <c r="AX96" s="6">
        <v>1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5">
        <f t="shared" si="56"/>
        <v>14</v>
      </c>
    </row>
    <row r="97" spans="1:57" x14ac:dyDescent="0.4">
      <c r="A97" s="7"/>
      <c r="B97" s="47"/>
      <c r="C97" s="24" t="s">
        <v>149</v>
      </c>
      <c r="D97" s="45"/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>
        <v>1</v>
      </c>
      <c r="V97" s="6"/>
      <c r="W97" s="6">
        <v>1</v>
      </c>
      <c r="X97" s="6"/>
      <c r="Y97" s="6">
        <v>1</v>
      </c>
      <c r="Z97" s="6"/>
      <c r="AA97" s="6"/>
      <c r="AB97" s="6"/>
      <c r="AC97" s="6"/>
      <c r="AD97" s="6"/>
      <c r="AE97" s="6">
        <v>1</v>
      </c>
      <c r="AF97" s="6"/>
      <c r="AG97" s="6">
        <v>2</v>
      </c>
      <c r="AH97" s="6"/>
      <c r="AI97" s="6"/>
      <c r="AJ97" s="6"/>
      <c r="AK97" s="6"/>
      <c r="AL97" s="6"/>
      <c r="AM97" s="6"/>
      <c r="AN97" s="6"/>
      <c r="AO97" s="6">
        <v>1</v>
      </c>
      <c r="AP97" s="6">
        <v>1</v>
      </c>
      <c r="AQ97" s="6">
        <v>1</v>
      </c>
      <c r="AR97" s="6"/>
      <c r="AS97" s="6"/>
      <c r="AT97" s="6"/>
      <c r="AU97" s="6"/>
      <c r="AV97" s="6"/>
      <c r="AW97" s="6">
        <v>1</v>
      </c>
      <c r="AX97" s="6">
        <v>0</v>
      </c>
      <c r="AY97" s="6">
        <v>0</v>
      </c>
      <c r="AZ97" s="6">
        <v>0</v>
      </c>
      <c r="BA97" s="6">
        <v>1</v>
      </c>
      <c r="BB97" s="6">
        <v>0</v>
      </c>
      <c r="BC97" s="6">
        <v>2</v>
      </c>
      <c r="BD97" s="6">
        <v>1</v>
      </c>
      <c r="BE97" s="5">
        <f t="shared" si="56"/>
        <v>16</v>
      </c>
    </row>
    <row r="98" spans="1:57" x14ac:dyDescent="0.4">
      <c r="A98" s="7"/>
      <c r="B98" s="47"/>
      <c r="C98" s="24" t="s">
        <v>150</v>
      </c>
      <c r="D98" s="45"/>
      <c r="E98" s="6">
        <v>0</v>
      </c>
      <c r="F98" s="6">
        <v>0</v>
      </c>
      <c r="G98" s="6">
        <v>0</v>
      </c>
      <c r="H98" s="6">
        <v>1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/>
      <c r="U98" s="6"/>
      <c r="V98" s="6"/>
      <c r="W98" s="6">
        <v>2</v>
      </c>
      <c r="X98" s="6"/>
      <c r="Y98" s="6"/>
      <c r="Z98" s="6">
        <v>1</v>
      </c>
      <c r="AA98" s="6"/>
      <c r="AB98" s="6"/>
      <c r="AC98" s="6"/>
      <c r="AD98" s="6"/>
      <c r="AE98" s="6"/>
      <c r="AF98" s="6"/>
      <c r="AG98" s="6">
        <v>1</v>
      </c>
      <c r="AH98" s="6">
        <v>1</v>
      </c>
      <c r="AI98" s="6">
        <v>2</v>
      </c>
      <c r="AJ98" s="6"/>
      <c r="AK98" s="6">
        <v>1</v>
      </c>
      <c r="AL98" s="6"/>
      <c r="AM98" s="6"/>
      <c r="AN98" s="6"/>
      <c r="AO98" s="6">
        <v>1</v>
      </c>
      <c r="AP98" s="6">
        <v>4</v>
      </c>
      <c r="AQ98" s="6"/>
      <c r="AR98" s="6">
        <v>2</v>
      </c>
      <c r="AS98" s="6"/>
      <c r="AT98" s="6">
        <v>2</v>
      </c>
      <c r="AU98" s="6"/>
      <c r="AV98" s="6"/>
      <c r="AW98" s="6"/>
      <c r="AX98" s="6">
        <v>0</v>
      </c>
      <c r="AY98" s="6">
        <v>0</v>
      </c>
      <c r="AZ98" s="6">
        <v>1</v>
      </c>
      <c r="BA98" s="6">
        <v>1</v>
      </c>
      <c r="BB98" s="6">
        <v>3</v>
      </c>
      <c r="BC98" s="6">
        <v>10</v>
      </c>
      <c r="BD98" s="6">
        <v>1</v>
      </c>
      <c r="BE98" s="5">
        <f t="shared" si="56"/>
        <v>36</v>
      </c>
    </row>
    <row r="99" spans="1:57" x14ac:dyDescent="0.4">
      <c r="A99" s="7"/>
      <c r="B99" s="47"/>
      <c r="C99" s="24" t="s">
        <v>151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>
        <v>3</v>
      </c>
      <c r="AH99" s="6"/>
      <c r="AI99" s="6"/>
      <c r="AJ99" s="6"/>
      <c r="AK99" s="6"/>
      <c r="AL99" s="6">
        <v>1</v>
      </c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>
        <v>0</v>
      </c>
      <c r="AY99" s="6">
        <v>0</v>
      </c>
      <c r="AZ99" s="6">
        <v>0</v>
      </c>
      <c r="BA99" s="6">
        <v>1</v>
      </c>
      <c r="BB99" s="6">
        <v>0</v>
      </c>
      <c r="BC99" s="6">
        <v>1</v>
      </c>
      <c r="BD99" s="6">
        <v>0</v>
      </c>
      <c r="BE99" s="5">
        <f t="shared" si="56"/>
        <v>6</v>
      </c>
    </row>
    <row r="100" spans="1:57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5">
        <f t="shared" si="56"/>
        <v>0</v>
      </c>
    </row>
    <row r="101" spans="1:57" x14ac:dyDescent="0.4">
      <c r="A101" s="7"/>
      <c r="B101" s="47"/>
      <c r="C101" s="24" t="s">
        <v>153</v>
      </c>
      <c r="D101" s="45"/>
      <c r="E101" s="6">
        <v>0</v>
      </c>
      <c r="F101" s="6">
        <v>1</v>
      </c>
      <c r="G101" s="6">
        <v>0</v>
      </c>
      <c r="H101" s="6">
        <v>2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>
        <v>1</v>
      </c>
      <c r="AH101" s="6"/>
      <c r="AI101" s="6"/>
      <c r="AJ101" s="6"/>
      <c r="AK101" s="6"/>
      <c r="AL101" s="6"/>
      <c r="AM101" s="6"/>
      <c r="AN101" s="6">
        <v>2</v>
      </c>
      <c r="AO101" s="6"/>
      <c r="AP101" s="6"/>
      <c r="AQ101" s="6">
        <v>1</v>
      </c>
      <c r="AR101" s="6"/>
      <c r="AS101" s="6"/>
      <c r="AT101" s="6"/>
      <c r="AU101" s="6"/>
      <c r="AV101" s="6"/>
      <c r="AW101" s="6"/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5">
        <f t="shared" si="56"/>
        <v>8</v>
      </c>
    </row>
    <row r="102" spans="1:57" x14ac:dyDescent="0.4">
      <c r="A102" s="7"/>
      <c r="B102" s="47"/>
      <c r="C102" s="24" t="s">
        <v>154</v>
      </c>
      <c r="D102" s="45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>
        <v>0</v>
      </c>
      <c r="AY102" s="6">
        <v>0</v>
      </c>
      <c r="AZ102" s="6">
        <v>0</v>
      </c>
      <c r="BA102" s="6">
        <v>1</v>
      </c>
      <c r="BB102" s="6">
        <v>0</v>
      </c>
      <c r="BC102" s="6">
        <v>0</v>
      </c>
      <c r="BD102" s="6">
        <v>0</v>
      </c>
      <c r="BE102" s="5">
        <f t="shared" si="56"/>
        <v>1</v>
      </c>
    </row>
    <row r="103" spans="1:57" x14ac:dyDescent="0.4">
      <c r="A103" s="6" t="s">
        <v>26</v>
      </c>
      <c r="B103" s="74" t="s">
        <v>51</v>
      </c>
      <c r="C103" s="54"/>
      <c r="D103" s="55"/>
      <c r="E103" s="6">
        <f t="shared" ref="E103:BE103" si="57">SUM(E93:E102)</f>
        <v>8</v>
      </c>
      <c r="F103" s="6">
        <f t="shared" si="57"/>
        <v>5</v>
      </c>
      <c r="G103" s="6">
        <f t="shared" si="57"/>
        <v>2</v>
      </c>
      <c r="H103" s="6">
        <f t="shared" si="57"/>
        <v>8</v>
      </c>
      <c r="I103" s="6">
        <f t="shared" si="57"/>
        <v>7</v>
      </c>
      <c r="J103" s="6">
        <f t="shared" si="57"/>
        <v>1</v>
      </c>
      <c r="K103" s="6">
        <f t="shared" si="57"/>
        <v>2</v>
      </c>
      <c r="L103" s="6">
        <f t="shared" si="57"/>
        <v>3</v>
      </c>
      <c r="M103" s="6">
        <f t="shared" si="57"/>
        <v>3</v>
      </c>
      <c r="N103" s="6">
        <f t="shared" si="57"/>
        <v>0</v>
      </c>
      <c r="O103" s="6">
        <f t="shared" si="57"/>
        <v>5</v>
      </c>
      <c r="P103" s="6">
        <f t="shared" si="57"/>
        <v>1</v>
      </c>
      <c r="Q103" s="6">
        <f t="shared" ref="Q103:AA103" si="58">SUM(Q93:Q102)</f>
        <v>5</v>
      </c>
      <c r="R103" s="6">
        <f t="shared" si="58"/>
        <v>1</v>
      </c>
      <c r="S103" s="6">
        <f t="shared" si="58"/>
        <v>2</v>
      </c>
      <c r="T103" s="6">
        <f t="shared" si="58"/>
        <v>1</v>
      </c>
      <c r="U103" s="6">
        <f t="shared" si="58"/>
        <v>6</v>
      </c>
      <c r="V103" s="6">
        <f t="shared" si="58"/>
        <v>2</v>
      </c>
      <c r="W103" s="6">
        <f t="shared" si="58"/>
        <v>7</v>
      </c>
      <c r="X103" s="6">
        <f t="shared" si="58"/>
        <v>5</v>
      </c>
      <c r="Y103" s="6">
        <f t="shared" si="58"/>
        <v>12</v>
      </c>
      <c r="Z103" s="6">
        <f t="shared" si="58"/>
        <v>11</v>
      </c>
      <c r="AA103" s="6">
        <f t="shared" si="58"/>
        <v>2</v>
      </c>
      <c r="AB103" s="6">
        <f t="shared" ref="AB103:AL103" si="59">SUM(AB93:AB102)</f>
        <v>2</v>
      </c>
      <c r="AC103" s="6">
        <f t="shared" si="59"/>
        <v>3</v>
      </c>
      <c r="AD103" s="6">
        <f t="shared" si="59"/>
        <v>1</v>
      </c>
      <c r="AE103" s="6">
        <f t="shared" si="59"/>
        <v>3</v>
      </c>
      <c r="AF103" s="6">
        <f t="shared" si="59"/>
        <v>8</v>
      </c>
      <c r="AG103" s="6">
        <f t="shared" si="59"/>
        <v>19</v>
      </c>
      <c r="AH103" s="6">
        <f t="shared" si="59"/>
        <v>5</v>
      </c>
      <c r="AI103" s="6">
        <f t="shared" si="59"/>
        <v>9</v>
      </c>
      <c r="AJ103" s="6">
        <f t="shared" si="59"/>
        <v>3</v>
      </c>
      <c r="AK103" s="6">
        <f t="shared" si="59"/>
        <v>4</v>
      </c>
      <c r="AL103" s="6">
        <f t="shared" si="59"/>
        <v>9</v>
      </c>
      <c r="AM103" s="6">
        <f t="shared" si="57"/>
        <v>5</v>
      </c>
      <c r="AN103" s="6">
        <f t="shared" si="57"/>
        <v>7</v>
      </c>
      <c r="AO103" s="6">
        <f t="shared" si="57"/>
        <v>6</v>
      </c>
      <c r="AP103" s="6">
        <f t="shared" si="57"/>
        <v>15</v>
      </c>
      <c r="AQ103" s="6">
        <f t="shared" si="57"/>
        <v>5</v>
      </c>
      <c r="AR103" s="6">
        <f t="shared" ref="AR103:AW103" si="60">SUM(AR93:AR102)</f>
        <v>8</v>
      </c>
      <c r="AS103" s="6">
        <f t="shared" si="60"/>
        <v>2</v>
      </c>
      <c r="AT103" s="6">
        <f t="shared" si="60"/>
        <v>15</v>
      </c>
      <c r="AU103" s="6">
        <f t="shared" si="60"/>
        <v>10</v>
      </c>
      <c r="AV103" s="6">
        <f t="shared" si="60"/>
        <v>4</v>
      </c>
      <c r="AW103" s="6">
        <f t="shared" si="60"/>
        <v>3</v>
      </c>
      <c r="AX103" s="6">
        <f t="shared" si="57"/>
        <v>2</v>
      </c>
      <c r="AY103" s="6">
        <f t="shared" si="57"/>
        <v>1</v>
      </c>
      <c r="AZ103" s="6">
        <f t="shared" si="57"/>
        <v>5</v>
      </c>
      <c r="BA103" s="6">
        <f t="shared" si="57"/>
        <v>30</v>
      </c>
      <c r="BB103" s="6">
        <f t="shared" si="57"/>
        <v>6</v>
      </c>
      <c r="BC103" s="6">
        <f t="shared" si="57"/>
        <v>18</v>
      </c>
      <c r="BD103" s="6">
        <f t="shared" si="57"/>
        <v>11</v>
      </c>
      <c r="BE103" s="5">
        <f t="shared" si="57"/>
        <v>318</v>
      </c>
    </row>
    <row r="104" spans="1:57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98"/>
    </row>
    <row r="105" spans="1:57" x14ac:dyDescent="0.4">
      <c r="A105" s="11" t="s">
        <v>48</v>
      </c>
      <c r="B105" s="17" t="s">
        <v>57</v>
      </c>
      <c r="C105" s="83" t="s">
        <v>58</v>
      </c>
      <c r="D105" s="55"/>
      <c r="E105" s="6">
        <v>0</v>
      </c>
      <c r="F105" s="6">
        <v>0</v>
      </c>
      <c r="G105" s="6">
        <v>1</v>
      </c>
      <c r="H105" s="6">
        <v>1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2</v>
      </c>
      <c r="R105" s="6">
        <v>0</v>
      </c>
      <c r="S105" s="6">
        <v>1</v>
      </c>
      <c r="T105" s="6"/>
      <c r="U105" s="6"/>
      <c r="V105" s="6"/>
      <c r="W105" s="6">
        <v>1</v>
      </c>
      <c r="X105" s="6">
        <v>2</v>
      </c>
      <c r="Y105" s="6"/>
      <c r="Z105" s="6"/>
      <c r="AA105" s="6"/>
      <c r="AB105" s="6"/>
      <c r="AC105" s="6"/>
      <c r="AD105" s="6"/>
      <c r="AE105" s="6">
        <v>1</v>
      </c>
      <c r="AF105" s="6">
        <v>1</v>
      </c>
      <c r="AG105" s="6">
        <v>2</v>
      </c>
      <c r="AH105" s="6"/>
      <c r="AI105" s="6"/>
      <c r="AJ105" s="6"/>
      <c r="AK105" s="6">
        <v>1</v>
      </c>
      <c r="AL105" s="6">
        <v>1</v>
      </c>
      <c r="AM105" s="6"/>
      <c r="AN105" s="6">
        <v>1</v>
      </c>
      <c r="AO105" s="6">
        <v>1</v>
      </c>
      <c r="AP105" s="6"/>
      <c r="AQ105" s="6"/>
      <c r="AR105" s="6"/>
      <c r="AS105" s="6"/>
      <c r="AT105" s="6"/>
      <c r="AU105" s="6">
        <v>2</v>
      </c>
      <c r="AV105" s="6">
        <v>1</v>
      </c>
      <c r="AW105" s="6"/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2</v>
      </c>
      <c r="BD105" s="6">
        <v>1</v>
      </c>
      <c r="BE105" s="5">
        <f>SUM(E105:BD105)</f>
        <v>23</v>
      </c>
    </row>
    <row r="106" spans="1:57" x14ac:dyDescent="0.4">
      <c r="A106" s="11" t="s">
        <v>50</v>
      </c>
      <c r="B106" s="47"/>
      <c r="C106" s="24" t="s">
        <v>155</v>
      </c>
      <c r="D106" s="45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2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3</v>
      </c>
      <c r="S106" s="6">
        <v>0</v>
      </c>
      <c r="T106" s="6">
        <v>1</v>
      </c>
      <c r="U106" s="6"/>
      <c r="V106" s="6"/>
      <c r="W106" s="6">
        <v>1</v>
      </c>
      <c r="X106" s="6"/>
      <c r="Y106" s="6"/>
      <c r="Z106" s="6"/>
      <c r="AA106" s="6">
        <v>1</v>
      </c>
      <c r="AB106" s="6">
        <v>1</v>
      </c>
      <c r="AC106" s="6"/>
      <c r="AD106" s="6"/>
      <c r="AE106" s="6"/>
      <c r="AF106" s="6"/>
      <c r="AG106" s="6">
        <v>3</v>
      </c>
      <c r="AH106" s="6">
        <v>2</v>
      </c>
      <c r="AI106" s="6"/>
      <c r="AJ106" s="6"/>
      <c r="AK106" s="6">
        <v>1</v>
      </c>
      <c r="AL106" s="6"/>
      <c r="AM106" s="6">
        <v>1</v>
      </c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>
        <v>0</v>
      </c>
      <c r="AY106" s="6">
        <v>0</v>
      </c>
      <c r="AZ106" s="6">
        <v>0</v>
      </c>
      <c r="BA106" s="6">
        <v>1</v>
      </c>
      <c r="BB106" s="6">
        <v>0</v>
      </c>
      <c r="BC106" s="6">
        <v>0</v>
      </c>
      <c r="BD106" s="6">
        <v>0</v>
      </c>
      <c r="BE106" s="5">
        <f>SUM(E106:BD106)</f>
        <v>18</v>
      </c>
    </row>
    <row r="107" spans="1:57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6"/>
      <c r="U107" s="6"/>
      <c r="V107" s="6">
        <v>1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>
        <v>1</v>
      </c>
      <c r="AV107" s="6"/>
      <c r="AW107" s="6"/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5">
        <f>SUM(E107:BD107)</f>
        <v>4</v>
      </c>
    </row>
    <row r="108" spans="1:57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AJ108" si="61">SUM(E105:E107)</f>
        <v>1</v>
      </c>
      <c r="F108" s="6">
        <f t="shared" si="61"/>
        <v>0</v>
      </c>
      <c r="G108" s="6">
        <f t="shared" si="61"/>
        <v>1</v>
      </c>
      <c r="H108" s="6">
        <f t="shared" si="61"/>
        <v>2</v>
      </c>
      <c r="I108" s="6">
        <f t="shared" si="61"/>
        <v>1</v>
      </c>
      <c r="J108" s="6">
        <f t="shared" si="61"/>
        <v>0</v>
      </c>
      <c r="K108" s="6">
        <f t="shared" si="61"/>
        <v>0</v>
      </c>
      <c r="L108" s="6">
        <f t="shared" si="61"/>
        <v>2</v>
      </c>
      <c r="M108" s="6">
        <f t="shared" si="61"/>
        <v>0</v>
      </c>
      <c r="N108" s="6">
        <f t="shared" si="61"/>
        <v>0</v>
      </c>
      <c r="O108" s="6">
        <f t="shared" si="61"/>
        <v>0</v>
      </c>
      <c r="P108" s="6">
        <f t="shared" si="61"/>
        <v>0</v>
      </c>
      <c r="Q108" s="6">
        <f t="shared" si="61"/>
        <v>3</v>
      </c>
      <c r="R108" s="6">
        <f t="shared" si="61"/>
        <v>3</v>
      </c>
      <c r="S108" s="6">
        <f t="shared" si="61"/>
        <v>1</v>
      </c>
      <c r="T108" s="6">
        <f t="shared" si="61"/>
        <v>1</v>
      </c>
      <c r="U108" s="6">
        <f t="shared" si="61"/>
        <v>0</v>
      </c>
      <c r="V108" s="6">
        <f t="shared" si="61"/>
        <v>1</v>
      </c>
      <c r="W108" s="6">
        <f t="shared" si="61"/>
        <v>2</v>
      </c>
      <c r="X108" s="6">
        <f t="shared" si="61"/>
        <v>2</v>
      </c>
      <c r="Y108" s="6">
        <f t="shared" si="61"/>
        <v>0</v>
      </c>
      <c r="Z108" s="6">
        <f t="shared" si="61"/>
        <v>0</v>
      </c>
      <c r="AA108" s="6">
        <f t="shared" si="61"/>
        <v>1</v>
      </c>
      <c r="AB108" s="6">
        <f t="shared" si="61"/>
        <v>1</v>
      </c>
      <c r="AC108" s="6">
        <f t="shared" si="61"/>
        <v>0</v>
      </c>
      <c r="AD108" s="6">
        <f t="shared" si="61"/>
        <v>0</v>
      </c>
      <c r="AE108" s="6">
        <f t="shared" si="61"/>
        <v>1</v>
      </c>
      <c r="AF108" s="6">
        <f t="shared" si="61"/>
        <v>1</v>
      </c>
      <c r="AG108" s="6">
        <f t="shared" si="61"/>
        <v>5</v>
      </c>
      <c r="AH108" s="6">
        <f t="shared" si="61"/>
        <v>2</v>
      </c>
      <c r="AI108" s="6">
        <f t="shared" si="61"/>
        <v>0</v>
      </c>
      <c r="AJ108" s="6">
        <f t="shared" si="61"/>
        <v>0</v>
      </c>
      <c r="AK108" s="6">
        <f t="shared" ref="AK108:BE108" si="62">SUM(AK105:AK107)</f>
        <v>2</v>
      </c>
      <c r="AL108" s="6">
        <f t="shared" si="62"/>
        <v>1</v>
      </c>
      <c r="AM108" s="6">
        <f t="shared" si="62"/>
        <v>1</v>
      </c>
      <c r="AN108" s="6">
        <f t="shared" si="62"/>
        <v>1</v>
      </c>
      <c r="AO108" s="6">
        <f t="shared" si="62"/>
        <v>1</v>
      </c>
      <c r="AP108" s="6">
        <f t="shared" si="62"/>
        <v>0</v>
      </c>
      <c r="AQ108" s="6">
        <f t="shared" si="62"/>
        <v>0</v>
      </c>
      <c r="AR108" s="6">
        <f t="shared" si="62"/>
        <v>0</v>
      </c>
      <c r="AS108" s="6">
        <f t="shared" si="62"/>
        <v>0</v>
      </c>
      <c r="AT108" s="6">
        <f t="shared" si="62"/>
        <v>0</v>
      </c>
      <c r="AU108" s="6">
        <f t="shared" si="62"/>
        <v>3</v>
      </c>
      <c r="AV108" s="6">
        <f t="shared" si="62"/>
        <v>1</v>
      </c>
      <c r="AW108" s="6">
        <f t="shared" si="62"/>
        <v>0</v>
      </c>
      <c r="AX108" s="6">
        <f t="shared" si="62"/>
        <v>0</v>
      </c>
      <c r="AY108" s="6">
        <f t="shared" si="62"/>
        <v>0</v>
      </c>
      <c r="AZ108" s="6">
        <f t="shared" si="62"/>
        <v>0</v>
      </c>
      <c r="BA108" s="6">
        <f t="shared" si="62"/>
        <v>1</v>
      </c>
      <c r="BB108" s="6">
        <f t="shared" si="62"/>
        <v>0</v>
      </c>
      <c r="BC108" s="6">
        <f t="shared" si="62"/>
        <v>2</v>
      </c>
      <c r="BD108" s="6">
        <f t="shared" si="62"/>
        <v>1</v>
      </c>
      <c r="BE108" s="5">
        <f t="shared" si="62"/>
        <v>45</v>
      </c>
    </row>
    <row r="109" spans="1:57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5"/>
    </row>
    <row r="110" spans="1:57" x14ac:dyDescent="0.4">
      <c r="A110" s="11" t="s">
        <v>48</v>
      </c>
      <c r="B110" s="17" t="s">
        <v>59</v>
      </c>
      <c r="C110" s="83" t="s">
        <v>60</v>
      </c>
      <c r="D110" s="55"/>
      <c r="E110" s="6">
        <v>0</v>
      </c>
      <c r="F110" s="6">
        <v>0</v>
      </c>
      <c r="G110" s="6">
        <v>1</v>
      </c>
      <c r="H110" s="6">
        <v>1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1</v>
      </c>
      <c r="P110" s="6">
        <v>0</v>
      </c>
      <c r="Q110" s="6">
        <v>0</v>
      </c>
      <c r="R110" s="6">
        <v>2</v>
      </c>
      <c r="S110" s="6">
        <v>0</v>
      </c>
      <c r="T110" s="6">
        <v>3</v>
      </c>
      <c r="U110" s="6">
        <v>1</v>
      </c>
      <c r="V110" s="6">
        <v>8</v>
      </c>
      <c r="W110" s="6">
        <v>0</v>
      </c>
      <c r="X110" s="6">
        <v>1</v>
      </c>
      <c r="Y110" s="6">
        <v>2</v>
      </c>
      <c r="Z110" s="6">
        <v>0</v>
      </c>
      <c r="AA110" s="6">
        <v>0</v>
      </c>
      <c r="AB110" s="6">
        <v>3</v>
      </c>
      <c r="AC110" s="6">
        <v>0</v>
      </c>
      <c r="AD110" s="6">
        <v>0</v>
      </c>
      <c r="AE110" s="6">
        <v>0</v>
      </c>
      <c r="AF110" s="6">
        <v>2</v>
      </c>
      <c r="AG110" s="6">
        <v>0</v>
      </c>
      <c r="AH110" s="6">
        <v>6</v>
      </c>
      <c r="AI110" s="6">
        <v>0</v>
      </c>
      <c r="AJ110" s="6">
        <v>1</v>
      </c>
      <c r="AK110" s="6">
        <v>1</v>
      </c>
      <c r="AL110" s="6">
        <v>0</v>
      </c>
      <c r="AM110" s="6">
        <v>0</v>
      </c>
      <c r="AN110" s="6">
        <v>1</v>
      </c>
      <c r="AO110" s="6">
        <v>1</v>
      </c>
      <c r="AP110" s="6">
        <v>2</v>
      </c>
      <c r="AQ110" s="6">
        <v>0</v>
      </c>
      <c r="AR110" s="6">
        <v>1</v>
      </c>
      <c r="AS110" s="6">
        <v>0</v>
      </c>
      <c r="AT110" s="6">
        <v>1</v>
      </c>
      <c r="AU110" s="6">
        <v>1</v>
      </c>
      <c r="AV110" s="6">
        <v>0</v>
      </c>
      <c r="AW110" s="6">
        <v>0</v>
      </c>
      <c r="AX110" s="6">
        <v>0</v>
      </c>
      <c r="AY110" s="6">
        <v>0</v>
      </c>
      <c r="AZ110" s="6">
        <v>3</v>
      </c>
      <c r="BA110" s="6">
        <v>1</v>
      </c>
      <c r="BB110" s="6">
        <v>1</v>
      </c>
      <c r="BC110" s="6">
        <v>1</v>
      </c>
      <c r="BD110" s="6">
        <v>1</v>
      </c>
      <c r="BE110" s="5">
        <f t="shared" ref="BE110:BE115" si="63">SUM(E110:BD110)</f>
        <v>47</v>
      </c>
    </row>
    <row r="111" spans="1:57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0</v>
      </c>
      <c r="H111" s="6">
        <v>1</v>
      </c>
      <c r="I111" s="6">
        <v>1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0</v>
      </c>
      <c r="T111" s="6">
        <v>0</v>
      </c>
      <c r="U111" s="6">
        <v>1</v>
      </c>
      <c r="V111" s="6">
        <v>0</v>
      </c>
      <c r="W111" s="6">
        <v>0</v>
      </c>
      <c r="X111" s="6">
        <v>0</v>
      </c>
      <c r="Y111" s="6">
        <v>0</v>
      </c>
      <c r="Z111" s="6">
        <v>1</v>
      </c>
      <c r="AA111" s="6">
        <v>0</v>
      </c>
      <c r="AB111" s="6">
        <v>1</v>
      </c>
      <c r="AC111" s="6">
        <v>0</v>
      </c>
      <c r="AD111" s="6">
        <v>1</v>
      </c>
      <c r="AE111" s="6">
        <v>0</v>
      </c>
      <c r="AF111" s="6">
        <v>0</v>
      </c>
      <c r="AG111" s="6">
        <v>1</v>
      </c>
      <c r="AH111" s="6">
        <v>0</v>
      </c>
      <c r="AI111" s="6">
        <v>1</v>
      </c>
      <c r="AJ111" s="6">
        <v>1</v>
      </c>
      <c r="AK111" s="6">
        <v>0</v>
      </c>
      <c r="AL111" s="6">
        <v>0</v>
      </c>
      <c r="AM111" s="6">
        <v>0</v>
      </c>
      <c r="AN111" s="6">
        <v>2</v>
      </c>
      <c r="AO111" s="6">
        <v>0</v>
      </c>
      <c r="AP111" s="6">
        <v>0</v>
      </c>
      <c r="AQ111" s="6">
        <v>0</v>
      </c>
      <c r="AR111" s="6">
        <v>0</v>
      </c>
      <c r="AS111" s="6">
        <v>1</v>
      </c>
      <c r="AT111" s="6">
        <v>0</v>
      </c>
      <c r="AU111" s="6">
        <v>0</v>
      </c>
      <c r="AV111" s="6">
        <v>1</v>
      </c>
      <c r="AW111" s="6">
        <v>0</v>
      </c>
      <c r="AX111" s="6">
        <v>0</v>
      </c>
      <c r="AY111" s="6">
        <v>0</v>
      </c>
      <c r="AZ111" s="6">
        <v>0</v>
      </c>
      <c r="BA111" s="6">
        <v>1</v>
      </c>
      <c r="BB111" s="6">
        <v>0</v>
      </c>
      <c r="BC111" s="6">
        <v>0</v>
      </c>
      <c r="BD111" s="6">
        <v>0</v>
      </c>
      <c r="BE111" s="5">
        <f t="shared" si="63"/>
        <v>16</v>
      </c>
    </row>
    <row r="112" spans="1:57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1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1</v>
      </c>
      <c r="AH112" s="6">
        <v>1</v>
      </c>
      <c r="AI112" s="6">
        <v>1</v>
      </c>
      <c r="AJ112" s="6">
        <v>0</v>
      </c>
      <c r="AK112" s="6">
        <v>1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1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5">
        <f t="shared" si="63"/>
        <v>7</v>
      </c>
    </row>
    <row r="113" spans="1:57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1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5">
        <f t="shared" si="63"/>
        <v>3</v>
      </c>
    </row>
    <row r="114" spans="1:57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1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1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5">
        <f t="shared" si="63"/>
        <v>3</v>
      </c>
    </row>
    <row r="115" spans="1:57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1</v>
      </c>
      <c r="P115" s="6">
        <v>0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1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5">
        <f t="shared" si="63"/>
        <v>3</v>
      </c>
    </row>
    <row r="116" spans="1:57" x14ac:dyDescent="0.4">
      <c r="A116" s="6" t="s">
        <v>26</v>
      </c>
      <c r="B116" s="74" t="s">
        <v>51</v>
      </c>
      <c r="C116" s="84"/>
      <c r="D116" s="85"/>
      <c r="E116" s="6">
        <f t="shared" ref="E116:AJ116" si="64">SUM(E110:E115)</f>
        <v>0</v>
      </c>
      <c r="F116" s="6">
        <f t="shared" si="64"/>
        <v>0</v>
      </c>
      <c r="G116" s="6">
        <f t="shared" si="64"/>
        <v>2</v>
      </c>
      <c r="H116" s="6">
        <f t="shared" si="64"/>
        <v>3</v>
      </c>
      <c r="I116" s="6">
        <f t="shared" si="64"/>
        <v>1</v>
      </c>
      <c r="J116" s="6">
        <f t="shared" si="64"/>
        <v>0</v>
      </c>
      <c r="K116" s="6">
        <f t="shared" si="64"/>
        <v>1</v>
      </c>
      <c r="L116" s="6">
        <f t="shared" si="64"/>
        <v>0</v>
      </c>
      <c r="M116" s="6">
        <f t="shared" si="64"/>
        <v>0</v>
      </c>
      <c r="N116" s="6">
        <f t="shared" si="64"/>
        <v>0</v>
      </c>
      <c r="O116" s="6">
        <f t="shared" si="64"/>
        <v>2</v>
      </c>
      <c r="P116" s="6">
        <f t="shared" si="64"/>
        <v>1</v>
      </c>
      <c r="Q116" s="6">
        <f t="shared" si="64"/>
        <v>0</v>
      </c>
      <c r="R116" s="6">
        <f t="shared" si="64"/>
        <v>4</v>
      </c>
      <c r="S116" s="6">
        <f t="shared" si="64"/>
        <v>0</v>
      </c>
      <c r="T116" s="6">
        <f t="shared" si="64"/>
        <v>3</v>
      </c>
      <c r="U116" s="6">
        <f t="shared" si="64"/>
        <v>2</v>
      </c>
      <c r="V116" s="6">
        <f t="shared" si="64"/>
        <v>9</v>
      </c>
      <c r="W116" s="6">
        <f t="shared" si="64"/>
        <v>0</v>
      </c>
      <c r="X116" s="6">
        <f t="shared" si="64"/>
        <v>1</v>
      </c>
      <c r="Y116" s="6">
        <f t="shared" si="64"/>
        <v>2</v>
      </c>
      <c r="Z116" s="6">
        <f t="shared" si="64"/>
        <v>1</v>
      </c>
      <c r="AA116" s="6">
        <f t="shared" si="64"/>
        <v>1</v>
      </c>
      <c r="AB116" s="6">
        <f t="shared" si="64"/>
        <v>4</v>
      </c>
      <c r="AC116" s="6">
        <f t="shared" si="64"/>
        <v>0</v>
      </c>
      <c r="AD116" s="6">
        <f t="shared" si="64"/>
        <v>1</v>
      </c>
      <c r="AE116" s="6">
        <f t="shared" si="64"/>
        <v>0</v>
      </c>
      <c r="AF116" s="6">
        <f t="shared" si="64"/>
        <v>4</v>
      </c>
      <c r="AG116" s="6">
        <f t="shared" si="64"/>
        <v>2</v>
      </c>
      <c r="AH116" s="6">
        <f t="shared" si="64"/>
        <v>7</v>
      </c>
      <c r="AI116" s="6">
        <f t="shared" si="64"/>
        <v>2</v>
      </c>
      <c r="AJ116" s="6">
        <f t="shared" si="64"/>
        <v>2</v>
      </c>
      <c r="AK116" s="6">
        <f t="shared" ref="AK116:BE116" si="65">SUM(AK110:AK115)</f>
        <v>3</v>
      </c>
      <c r="AL116" s="6">
        <f t="shared" si="65"/>
        <v>0</v>
      </c>
      <c r="AM116" s="6">
        <f t="shared" si="65"/>
        <v>0</v>
      </c>
      <c r="AN116" s="6">
        <f t="shared" si="65"/>
        <v>3</v>
      </c>
      <c r="AO116" s="6">
        <f t="shared" si="65"/>
        <v>1</v>
      </c>
      <c r="AP116" s="6">
        <f t="shared" si="65"/>
        <v>2</v>
      </c>
      <c r="AQ116" s="6">
        <f t="shared" si="65"/>
        <v>1</v>
      </c>
      <c r="AR116" s="6">
        <f t="shared" si="65"/>
        <v>1</v>
      </c>
      <c r="AS116" s="6">
        <f t="shared" si="65"/>
        <v>1</v>
      </c>
      <c r="AT116" s="6">
        <f t="shared" si="65"/>
        <v>1</v>
      </c>
      <c r="AU116" s="6">
        <f t="shared" si="65"/>
        <v>1</v>
      </c>
      <c r="AV116" s="6">
        <f t="shared" si="65"/>
        <v>2</v>
      </c>
      <c r="AW116" s="6">
        <f t="shared" si="65"/>
        <v>0</v>
      </c>
      <c r="AX116" s="6">
        <f t="shared" si="65"/>
        <v>0</v>
      </c>
      <c r="AY116" s="6">
        <f t="shared" si="65"/>
        <v>0</v>
      </c>
      <c r="AZ116" s="6">
        <f t="shared" si="65"/>
        <v>3</v>
      </c>
      <c r="BA116" s="6">
        <f t="shared" si="65"/>
        <v>2</v>
      </c>
      <c r="BB116" s="6">
        <f t="shared" si="65"/>
        <v>1</v>
      </c>
      <c r="BC116" s="6">
        <f t="shared" si="65"/>
        <v>1</v>
      </c>
      <c r="BD116" s="6">
        <f t="shared" si="65"/>
        <v>1</v>
      </c>
      <c r="BE116" s="5">
        <f t="shared" si="65"/>
        <v>79</v>
      </c>
    </row>
    <row r="117" spans="1:57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98"/>
    </row>
    <row r="118" spans="1:57" x14ac:dyDescent="0.4">
      <c r="A118" s="11" t="s">
        <v>48</v>
      </c>
      <c r="B118" s="17" t="s">
        <v>61</v>
      </c>
      <c r="C118" s="83" t="s">
        <v>62</v>
      </c>
      <c r="D118" s="55"/>
      <c r="E118" s="6">
        <v>2</v>
      </c>
      <c r="F118" s="6">
        <v>2</v>
      </c>
      <c r="G118" s="6">
        <v>2</v>
      </c>
      <c r="H118" s="6">
        <v>1</v>
      </c>
      <c r="I118" s="6">
        <v>1</v>
      </c>
      <c r="J118" s="6">
        <v>1</v>
      </c>
      <c r="K118" s="6">
        <v>4</v>
      </c>
      <c r="L118" s="6">
        <v>2</v>
      </c>
      <c r="M118" s="6">
        <v>0</v>
      </c>
      <c r="N118" s="6">
        <v>1</v>
      </c>
      <c r="O118" s="6">
        <v>3</v>
      </c>
      <c r="P118" s="6">
        <v>2</v>
      </c>
      <c r="Q118" s="6">
        <v>1</v>
      </c>
      <c r="R118" s="6">
        <v>2</v>
      </c>
      <c r="S118" s="6">
        <v>4</v>
      </c>
      <c r="T118" s="6">
        <v>0</v>
      </c>
      <c r="U118" s="6">
        <v>1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6">
        <v>2</v>
      </c>
      <c r="AD118" s="6">
        <v>3</v>
      </c>
      <c r="AE118" s="6">
        <v>2</v>
      </c>
      <c r="AF118" s="6">
        <v>1</v>
      </c>
      <c r="AG118" s="6">
        <v>2</v>
      </c>
      <c r="AH118" s="6">
        <v>0</v>
      </c>
      <c r="AI118" s="6">
        <v>1</v>
      </c>
      <c r="AJ118" s="6">
        <v>0</v>
      </c>
      <c r="AK118" s="6">
        <v>2</v>
      </c>
      <c r="AL118" s="6">
        <v>1</v>
      </c>
      <c r="AM118" s="6">
        <v>1</v>
      </c>
      <c r="AN118" s="6">
        <v>1</v>
      </c>
      <c r="AO118" s="6">
        <v>13</v>
      </c>
      <c r="AP118" s="6">
        <v>1</v>
      </c>
      <c r="AQ118" s="6">
        <v>3</v>
      </c>
      <c r="AR118" s="6">
        <v>1</v>
      </c>
      <c r="AS118" s="6">
        <v>0</v>
      </c>
      <c r="AT118" s="6">
        <v>3</v>
      </c>
      <c r="AU118" s="6">
        <v>2</v>
      </c>
      <c r="AV118" s="6">
        <v>0</v>
      </c>
      <c r="AW118" s="6">
        <v>0</v>
      </c>
      <c r="AX118" s="6">
        <v>2</v>
      </c>
      <c r="AY118" s="6">
        <v>1</v>
      </c>
      <c r="AZ118" s="6">
        <v>1</v>
      </c>
      <c r="BA118" s="6">
        <v>3</v>
      </c>
      <c r="BB118" s="6">
        <v>6</v>
      </c>
      <c r="BC118" s="6">
        <v>0</v>
      </c>
      <c r="BD118" s="6">
        <v>1</v>
      </c>
      <c r="BE118" s="5">
        <f t="shared" ref="BE118:BE127" si="66">SUM(E118:BD118)</f>
        <v>84</v>
      </c>
    </row>
    <row r="119" spans="1:57" ht="13.15" customHeight="1" x14ac:dyDescent="0.4">
      <c r="A119" s="11" t="s">
        <v>50</v>
      </c>
      <c r="B119" s="47"/>
      <c r="C119" s="24" t="s">
        <v>162</v>
      </c>
      <c r="D119" s="48"/>
      <c r="E119" s="6">
        <v>0</v>
      </c>
      <c r="F119" s="6">
        <v>1</v>
      </c>
      <c r="G119" s="6">
        <v>3</v>
      </c>
      <c r="H119" s="6">
        <v>4</v>
      </c>
      <c r="I119" s="6">
        <v>0</v>
      </c>
      <c r="J119" s="6">
        <v>5</v>
      </c>
      <c r="K119" s="6">
        <v>2</v>
      </c>
      <c r="L119" s="6">
        <v>4</v>
      </c>
      <c r="M119" s="6">
        <v>1</v>
      </c>
      <c r="N119" s="6">
        <v>2</v>
      </c>
      <c r="O119" s="6">
        <v>3</v>
      </c>
      <c r="P119" s="6">
        <v>1</v>
      </c>
      <c r="Q119" s="6">
        <v>5</v>
      </c>
      <c r="R119" s="6">
        <v>4</v>
      </c>
      <c r="S119" s="6">
        <v>10</v>
      </c>
      <c r="T119" s="6">
        <v>0</v>
      </c>
      <c r="U119" s="6">
        <v>2</v>
      </c>
      <c r="V119" s="6">
        <v>0</v>
      </c>
      <c r="W119" s="6">
        <v>2</v>
      </c>
      <c r="X119" s="6">
        <v>3</v>
      </c>
      <c r="Y119" s="6">
        <v>0</v>
      </c>
      <c r="Z119" s="6">
        <v>2</v>
      </c>
      <c r="AA119" s="6">
        <v>4</v>
      </c>
      <c r="AB119" s="6">
        <v>3</v>
      </c>
      <c r="AC119" s="6">
        <v>5</v>
      </c>
      <c r="AD119" s="6">
        <v>39</v>
      </c>
      <c r="AE119" s="6">
        <v>3</v>
      </c>
      <c r="AF119" s="6">
        <v>2</v>
      </c>
      <c r="AG119" s="6">
        <v>8</v>
      </c>
      <c r="AH119" s="6">
        <v>6</v>
      </c>
      <c r="AI119" s="6">
        <v>8</v>
      </c>
      <c r="AJ119" s="6">
        <v>0</v>
      </c>
      <c r="AK119" s="6">
        <v>2</v>
      </c>
      <c r="AL119" s="6">
        <v>4</v>
      </c>
      <c r="AM119" s="6">
        <v>1</v>
      </c>
      <c r="AN119" s="6">
        <v>13</v>
      </c>
      <c r="AO119" s="6">
        <v>47</v>
      </c>
      <c r="AP119" s="6">
        <v>11</v>
      </c>
      <c r="AQ119" s="6">
        <v>6</v>
      </c>
      <c r="AR119" s="6">
        <v>1</v>
      </c>
      <c r="AS119" s="6">
        <v>1</v>
      </c>
      <c r="AT119" s="6">
        <v>4</v>
      </c>
      <c r="AU119" s="6">
        <v>1</v>
      </c>
      <c r="AV119" s="6">
        <v>1</v>
      </c>
      <c r="AW119" s="6">
        <v>0</v>
      </c>
      <c r="AX119" s="6">
        <v>1</v>
      </c>
      <c r="AY119" s="6">
        <v>2</v>
      </c>
      <c r="AZ119" s="6">
        <v>3</v>
      </c>
      <c r="BA119" s="6">
        <v>1</v>
      </c>
      <c r="BB119" s="6">
        <v>4</v>
      </c>
      <c r="BC119" s="6">
        <v>1</v>
      </c>
      <c r="BD119" s="6">
        <v>3</v>
      </c>
      <c r="BE119" s="5">
        <f t="shared" si="66"/>
        <v>239</v>
      </c>
    </row>
    <row r="120" spans="1:57" x14ac:dyDescent="0.4">
      <c r="A120" s="7"/>
      <c r="B120" s="47"/>
      <c r="C120" s="24" t="s">
        <v>163</v>
      </c>
      <c r="D120" s="48"/>
      <c r="E120" s="6">
        <v>1</v>
      </c>
      <c r="F120" s="6">
        <v>0</v>
      </c>
      <c r="G120" s="6">
        <v>0</v>
      </c>
      <c r="H120" s="6">
        <v>0</v>
      </c>
      <c r="I120" s="6">
        <v>2</v>
      </c>
      <c r="J120" s="6">
        <v>1</v>
      </c>
      <c r="K120" s="6">
        <v>3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1</v>
      </c>
      <c r="R120" s="6">
        <v>1</v>
      </c>
      <c r="S120" s="6">
        <v>1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2</v>
      </c>
      <c r="AD120" s="6">
        <v>3</v>
      </c>
      <c r="AE120" s="6">
        <v>1</v>
      </c>
      <c r="AF120" s="6">
        <v>1</v>
      </c>
      <c r="AG120" s="6">
        <v>2</v>
      </c>
      <c r="AH120" s="6">
        <v>2</v>
      </c>
      <c r="AI120" s="6">
        <v>0</v>
      </c>
      <c r="AJ120" s="6">
        <v>0</v>
      </c>
      <c r="AK120" s="6">
        <v>1</v>
      </c>
      <c r="AL120" s="6">
        <v>2</v>
      </c>
      <c r="AM120" s="6">
        <v>0</v>
      </c>
      <c r="AN120" s="6">
        <v>1</v>
      </c>
      <c r="AO120" s="6">
        <v>0</v>
      </c>
      <c r="AP120" s="6">
        <v>0</v>
      </c>
      <c r="AQ120" s="6">
        <v>0</v>
      </c>
      <c r="AR120" s="6">
        <v>0</v>
      </c>
      <c r="AS120" s="6">
        <v>1</v>
      </c>
      <c r="AT120" s="6">
        <v>0</v>
      </c>
      <c r="AU120" s="6">
        <v>2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1</v>
      </c>
      <c r="BB120" s="6">
        <v>1</v>
      </c>
      <c r="BC120" s="6">
        <v>0</v>
      </c>
      <c r="BD120" s="6">
        <v>0</v>
      </c>
      <c r="BE120" s="5">
        <f t="shared" si="66"/>
        <v>31</v>
      </c>
    </row>
    <row r="121" spans="1:57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1</v>
      </c>
      <c r="AC121" s="6">
        <v>0</v>
      </c>
      <c r="AD121" s="6">
        <v>1</v>
      </c>
      <c r="AE121" s="6">
        <v>0</v>
      </c>
      <c r="AF121" s="6">
        <v>0</v>
      </c>
      <c r="AG121" s="6">
        <v>1</v>
      </c>
      <c r="AH121" s="6">
        <v>0</v>
      </c>
      <c r="AI121" s="6">
        <v>1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1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1</v>
      </c>
      <c r="BA121" s="6">
        <v>0</v>
      </c>
      <c r="BB121" s="6">
        <v>0</v>
      </c>
      <c r="BC121" s="6">
        <v>0</v>
      </c>
      <c r="BD121" s="6">
        <v>0</v>
      </c>
      <c r="BE121" s="5">
        <f t="shared" si="66"/>
        <v>6</v>
      </c>
    </row>
    <row r="122" spans="1:57" x14ac:dyDescent="0.4">
      <c r="A122" s="7"/>
      <c r="B122" s="47"/>
      <c r="C122" s="24" t="s">
        <v>165</v>
      </c>
      <c r="D122" s="48"/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</v>
      </c>
      <c r="L122" s="6">
        <v>1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1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1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1</v>
      </c>
      <c r="BC122" s="6">
        <v>0</v>
      </c>
      <c r="BD122" s="6">
        <v>0</v>
      </c>
      <c r="BE122" s="5">
        <f t="shared" si="66"/>
        <v>7</v>
      </c>
    </row>
    <row r="123" spans="1:57" x14ac:dyDescent="0.4">
      <c r="A123" s="7"/>
      <c r="B123" s="47"/>
      <c r="C123" s="24" t="s">
        <v>166</v>
      </c>
      <c r="D123" s="48"/>
      <c r="E123" s="6">
        <v>2</v>
      </c>
      <c r="F123" s="6">
        <v>0</v>
      </c>
      <c r="G123" s="6">
        <v>1</v>
      </c>
      <c r="H123" s="6">
        <v>1</v>
      </c>
      <c r="I123" s="6">
        <v>0</v>
      </c>
      <c r="J123" s="6">
        <v>0</v>
      </c>
      <c r="K123" s="6">
        <v>5</v>
      </c>
      <c r="L123" s="6">
        <v>9</v>
      </c>
      <c r="M123" s="6">
        <v>0</v>
      </c>
      <c r="N123" s="6">
        <v>0</v>
      </c>
      <c r="O123" s="6">
        <v>1</v>
      </c>
      <c r="P123" s="6">
        <v>6</v>
      </c>
      <c r="Q123" s="6">
        <v>2</v>
      </c>
      <c r="R123" s="6">
        <v>1</v>
      </c>
      <c r="S123" s="6">
        <v>1</v>
      </c>
      <c r="T123" s="6">
        <v>0</v>
      </c>
      <c r="U123" s="6">
        <v>1</v>
      </c>
      <c r="V123" s="6">
        <v>0</v>
      </c>
      <c r="W123" s="6">
        <v>1</v>
      </c>
      <c r="X123" s="6">
        <v>0</v>
      </c>
      <c r="Y123" s="6">
        <v>0</v>
      </c>
      <c r="Z123" s="6">
        <v>1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1</v>
      </c>
      <c r="AG123" s="6">
        <v>0</v>
      </c>
      <c r="AH123" s="6">
        <v>0</v>
      </c>
      <c r="AI123" s="6">
        <v>0</v>
      </c>
      <c r="AJ123" s="6">
        <v>1</v>
      </c>
      <c r="AK123" s="6">
        <v>0</v>
      </c>
      <c r="AL123" s="6">
        <v>0</v>
      </c>
      <c r="AM123" s="6">
        <v>0</v>
      </c>
      <c r="AN123" s="6">
        <v>1</v>
      </c>
      <c r="AO123" s="6">
        <v>1</v>
      </c>
      <c r="AP123" s="6">
        <v>0</v>
      </c>
      <c r="AQ123" s="6">
        <v>0</v>
      </c>
      <c r="AR123" s="6">
        <v>0</v>
      </c>
      <c r="AS123" s="6">
        <v>1</v>
      </c>
      <c r="AT123" s="6">
        <v>1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2</v>
      </c>
      <c r="BA123" s="6">
        <v>1</v>
      </c>
      <c r="BB123" s="6">
        <v>0</v>
      </c>
      <c r="BC123" s="6">
        <v>0</v>
      </c>
      <c r="BD123" s="6">
        <v>0</v>
      </c>
      <c r="BE123" s="5">
        <f t="shared" si="66"/>
        <v>41</v>
      </c>
    </row>
    <row r="124" spans="1:57" x14ac:dyDescent="0.4">
      <c r="A124" s="7"/>
      <c r="B124" s="47"/>
      <c r="C124" s="24" t="s">
        <v>167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3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3</v>
      </c>
      <c r="R124" s="6">
        <v>3</v>
      </c>
      <c r="S124" s="6">
        <v>0</v>
      </c>
      <c r="T124" s="6">
        <v>0</v>
      </c>
      <c r="U124" s="6">
        <v>0</v>
      </c>
      <c r="V124" s="6">
        <v>0</v>
      </c>
      <c r="W124" s="6">
        <v>1</v>
      </c>
      <c r="X124" s="6">
        <v>0</v>
      </c>
      <c r="Y124" s="6">
        <v>0</v>
      </c>
      <c r="Z124" s="6">
        <v>1</v>
      </c>
      <c r="AA124" s="6">
        <v>0</v>
      </c>
      <c r="AB124" s="6">
        <v>0</v>
      </c>
      <c r="AC124" s="6">
        <v>0</v>
      </c>
      <c r="AD124" s="6">
        <v>1</v>
      </c>
      <c r="AE124" s="6">
        <v>0</v>
      </c>
      <c r="AF124" s="6">
        <v>0</v>
      </c>
      <c r="AG124" s="6">
        <v>1</v>
      </c>
      <c r="AH124" s="6">
        <v>0</v>
      </c>
      <c r="AI124" s="6">
        <v>0</v>
      </c>
      <c r="AJ124" s="6">
        <v>1</v>
      </c>
      <c r="AK124" s="6">
        <v>1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5">
        <f t="shared" si="66"/>
        <v>15</v>
      </c>
    </row>
    <row r="125" spans="1:57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1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1</v>
      </c>
      <c r="BB125" s="6">
        <v>0</v>
      </c>
      <c r="BC125" s="6">
        <v>0</v>
      </c>
      <c r="BD125" s="6">
        <v>0</v>
      </c>
      <c r="BE125" s="5">
        <f t="shared" si="66"/>
        <v>2</v>
      </c>
    </row>
    <row r="126" spans="1:57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2</v>
      </c>
      <c r="AD126" s="6">
        <v>1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1</v>
      </c>
      <c r="BC126" s="6">
        <v>0</v>
      </c>
      <c r="BD126" s="6">
        <v>0</v>
      </c>
      <c r="BE126" s="5">
        <f t="shared" si="66"/>
        <v>4</v>
      </c>
    </row>
    <row r="127" spans="1:57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5">
        <f t="shared" si="66"/>
        <v>0</v>
      </c>
    </row>
    <row r="128" spans="1:57" x14ac:dyDescent="0.4">
      <c r="A128" s="6" t="s">
        <v>26</v>
      </c>
      <c r="B128" s="74" t="s">
        <v>51</v>
      </c>
      <c r="C128" s="84"/>
      <c r="D128" s="85"/>
      <c r="E128" s="6">
        <f t="shared" ref="E128:BE128" si="67">SUM(E118:E127)</f>
        <v>6</v>
      </c>
      <c r="F128" s="6">
        <f t="shared" si="67"/>
        <v>3</v>
      </c>
      <c r="G128" s="6">
        <f t="shared" si="67"/>
        <v>6</v>
      </c>
      <c r="H128" s="6">
        <f t="shared" si="67"/>
        <v>6</v>
      </c>
      <c r="I128" s="6">
        <f t="shared" si="67"/>
        <v>3</v>
      </c>
      <c r="J128" s="6">
        <f t="shared" si="67"/>
        <v>7</v>
      </c>
      <c r="K128" s="6">
        <f t="shared" si="67"/>
        <v>18</v>
      </c>
      <c r="L128" s="6">
        <f t="shared" si="67"/>
        <v>16</v>
      </c>
      <c r="M128" s="6">
        <f t="shared" si="67"/>
        <v>1</v>
      </c>
      <c r="N128" s="6">
        <f t="shared" si="67"/>
        <v>3</v>
      </c>
      <c r="O128" s="6">
        <f t="shared" si="67"/>
        <v>8</v>
      </c>
      <c r="P128" s="6">
        <f t="shared" si="67"/>
        <v>9</v>
      </c>
      <c r="Q128" s="6">
        <f t="shared" ref="Q128:AA128" si="68">SUM(Q118:Q127)</f>
        <v>12</v>
      </c>
      <c r="R128" s="6">
        <f t="shared" si="68"/>
        <v>11</v>
      </c>
      <c r="S128" s="6">
        <f t="shared" si="68"/>
        <v>16</v>
      </c>
      <c r="T128" s="6">
        <f t="shared" si="68"/>
        <v>0</v>
      </c>
      <c r="U128" s="6">
        <f t="shared" si="68"/>
        <v>4</v>
      </c>
      <c r="V128" s="6">
        <f t="shared" si="68"/>
        <v>0</v>
      </c>
      <c r="W128" s="6">
        <f t="shared" si="68"/>
        <v>6</v>
      </c>
      <c r="X128" s="6">
        <f t="shared" si="68"/>
        <v>3</v>
      </c>
      <c r="Y128" s="6">
        <f t="shared" si="68"/>
        <v>1</v>
      </c>
      <c r="Z128" s="6">
        <f t="shared" si="68"/>
        <v>4</v>
      </c>
      <c r="AA128" s="6">
        <f t="shared" si="68"/>
        <v>4</v>
      </c>
      <c r="AB128" s="6">
        <f t="shared" ref="AB128:AL128" si="69">SUM(AB118:AB127)</f>
        <v>5</v>
      </c>
      <c r="AC128" s="6">
        <f t="shared" si="69"/>
        <v>11</v>
      </c>
      <c r="AD128" s="6">
        <f t="shared" si="69"/>
        <v>48</v>
      </c>
      <c r="AE128" s="6">
        <f t="shared" si="69"/>
        <v>6</v>
      </c>
      <c r="AF128" s="6">
        <f t="shared" si="69"/>
        <v>5</v>
      </c>
      <c r="AG128" s="6">
        <f t="shared" si="69"/>
        <v>14</v>
      </c>
      <c r="AH128" s="6">
        <f t="shared" si="69"/>
        <v>8</v>
      </c>
      <c r="AI128" s="6">
        <f t="shared" si="69"/>
        <v>10</v>
      </c>
      <c r="AJ128" s="6">
        <f t="shared" si="69"/>
        <v>2</v>
      </c>
      <c r="AK128" s="6">
        <f t="shared" si="69"/>
        <v>6</v>
      </c>
      <c r="AL128" s="6">
        <f t="shared" si="69"/>
        <v>7</v>
      </c>
      <c r="AM128" s="6">
        <f t="shared" si="67"/>
        <v>2</v>
      </c>
      <c r="AN128" s="6">
        <f t="shared" si="67"/>
        <v>17</v>
      </c>
      <c r="AO128" s="6">
        <f t="shared" si="67"/>
        <v>62</v>
      </c>
      <c r="AP128" s="6">
        <f t="shared" si="67"/>
        <v>12</v>
      </c>
      <c r="AQ128" s="6">
        <f t="shared" si="67"/>
        <v>9</v>
      </c>
      <c r="AR128" s="6">
        <f t="shared" ref="AR128:AW128" si="70">SUM(AR118:AR127)</f>
        <v>2</v>
      </c>
      <c r="AS128" s="6">
        <f t="shared" si="70"/>
        <v>4</v>
      </c>
      <c r="AT128" s="6">
        <f t="shared" si="70"/>
        <v>8</v>
      </c>
      <c r="AU128" s="6">
        <f t="shared" si="70"/>
        <v>5</v>
      </c>
      <c r="AV128" s="6">
        <f t="shared" si="70"/>
        <v>1</v>
      </c>
      <c r="AW128" s="6">
        <f t="shared" si="70"/>
        <v>0</v>
      </c>
      <c r="AX128" s="6">
        <f t="shared" si="67"/>
        <v>3</v>
      </c>
      <c r="AY128" s="6">
        <f t="shared" si="67"/>
        <v>3</v>
      </c>
      <c r="AZ128" s="6">
        <f t="shared" si="67"/>
        <v>7</v>
      </c>
      <c r="BA128" s="6">
        <f t="shared" si="67"/>
        <v>7</v>
      </c>
      <c r="BB128" s="6">
        <f t="shared" si="67"/>
        <v>13</v>
      </c>
      <c r="BC128" s="6">
        <f t="shared" si="67"/>
        <v>1</v>
      </c>
      <c r="BD128" s="6">
        <f t="shared" si="67"/>
        <v>4</v>
      </c>
      <c r="BE128" s="5">
        <f t="shared" si="67"/>
        <v>429</v>
      </c>
    </row>
    <row r="129" spans="1:57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98"/>
    </row>
    <row r="130" spans="1:57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1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5">
        <f t="shared" ref="BE130:BE133" si="71">SUM(E130:BD130)</f>
        <v>2</v>
      </c>
    </row>
    <row r="131" spans="1:57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1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</v>
      </c>
      <c r="AI131" s="6"/>
      <c r="AJ131" s="6">
        <v>1</v>
      </c>
      <c r="AK131" s="6"/>
      <c r="AL131" s="6"/>
      <c r="AM131" s="6"/>
      <c r="AN131" s="6"/>
      <c r="AO131" s="6"/>
      <c r="AP131" s="6"/>
      <c r="AQ131" s="6"/>
      <c r="AR131" s="6">
        <v>1</v>
      </c>
      <c r="AS131" s="6"/>
      <c r="AT131" s="6"/>
      <c r="AU131" s="6"/>
      <c r="AV131" s="6"/>
      <c r="AW131" s="6"/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5">
        <f t="shared" si="71"/>
        <v>4</v>
      </c>
    </row>
    <row r="132" spans="1:57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1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5">
        <f t="shared" si="71"/>
        <v>1</v>
      </c>
    </row>
    <row r="133" spans="1:57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5">
        <f t="shared" si="71"/>
        <v>0</v>
      </c>
    </row>
    <row r="134" spans="1:57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AJ134" si="72">SUM(E130:E133)</f>
        <v>0</v>
      </c>
      <c r="F134" s="6">
        <f t="shared" si="72"/>
        <v>0</v>
      </c>
      <c r="G134" s="6">
        <f t="shared" si="72"/>
        <v>1</v>
      </c>
      <c r="H134" s="6">
        <f t="shared" si="72"/>
        <v>0</v>
      </c>
      <c r="I134" s="6">
        <f t="shared" si="72"/>
        <v>0</v>
      </c>
      <c r="J134" s="6">
        <f t="shared" si="72"/>
        <v>0</v>
      </c>
      <c r="K134" s="6">
        <f t="shared" si="72"/>
        <v>0</v>
      </c>
      <c r="L134" s="6">
        <f t="shared" si="72"/>
        <v>0</v>
      </c>
      <c r="M134" s="6">
        <f t="shared" si="72"/>
        <v>0</v>
      </c>
      <c r="N134" s="6">
        <f t="shared" si="72"/>
        <v>0</v>
      </c>
      <c r="O134" s="6">
        <f t="shared" si="72"/>
        <v>0</v>
      </c>
      <c r="P134" s="6">
        <f t="shared" si="72"/>
        <v>0</v>
      </c>
      <c r="Q134" s="6">
        <f t="shared" si="72"/>
        <v>0</v>
      </c>
      <c r="R134" s="6">
        <f t="shared" si="72"/>
        <v>0</v>
      </c>
      <c r="S134" s="6">
        <f t="shared" si="72"/>
        <v>0</v>
      </c>
      <c r="T134" s="6">
        <f t="shared" si="72"/>
        <v>0</v>
      </c>
      <c r="U134" s="6">
        <f t="shared" si="72"/>
        <v>0</v>
      </c>
      <c r="V134" s="6">
        <f t="shared" si="72"/>
        <v>0</v>
      </c>
      <c r="W134" s="6">
        <f t="shared" si="72"/>
        <v>0</v>
      </c>
      <c r="X134" s="6">
        <f t="shared" si="72"/>
        <v>0</v>
      </c>
      <c r="Y134" s="6">
        <f t="shared" si="72"/>
        <v>0</v>
      </c>
      <c r="Z134" s="6">
        <f t="shared" si="72"/>
        <v>0</v>
      </c>
      <c r="AA134" s="6">
        <f t="shared" si="72"/>
        <v>1</v>
      </c>
      <c r="AB134" s="6">
        <f t="shared" si="72"/>
        <v>2</v>
      </c>
      <c r="AC134" s="6">
        <f t="shared" si="72"/>
        <v>0</v>
      </c>
      <c r="AD134" s="6">
        <f t="shared" si="72"/>
        <v>0</v>
      </c>
      <c r="AE134" s="6">
        <f t="shared" si="72"/>
        <v>0</v>
      </c>
      <c r="AF134" s="6">
        <f t="shared" si="72"/>
        <v>0</v>
      </c>
      <c r="AG134" s="6">
        <f t="shared" si="72"/>
        <v>0</v>
      </c>
      <c r="AH134" s="6">
        <f t="shared" si="72"/>
        <v>1</v>
      </c>
      <c r="AI134" s="6">
        <f t="shared" si="72"/>
        <v>0</v>
      </c>
      <c r="AJ134" s="6">
        <f t="shared" si="72"/>
        <v>1</v>
      </c>
      <c r="AK134" s="6">
        <f t="shared" ref="AK134:BE134" si="73">SUM(AK130:AK133)</f>
        <v>0</v>
      </c>
      <c r="AL134" s="6">
        <f t="shared" si="73"/>
        <v>0</v>
      </c>
      <c r="AM134" s="6">
        <f t="shared" si="73"/>
        <v>0</v>
      </c>
      <c r="AN134" s="6">
        <f t="shared" si="73"/>
        <v>0</v>
      </c>
      <c r="AO134" s="6">
        <f t="shared" si="73"/>
        <v>0</v>
      </c>
      <c r="AP134" s="6">
        <f t="shared" si="73"/>
        <v>0</v>
      </c>
      <c r="AQ134" s="6">
        <f t="shared" si="73"/>
        <v>0</v>
      </c>
      <c r="AR134" s="6">
        <f t="shared" si="73"/>
        <v>1</v>
      </c>
      <c r="AS134" s="6">
        <f t="shared" si="73"/>
        <v>0</v>
      </c>
      <c r="AT134" s="6">
        <f t="shared" si="73"/>
        <v>0</v>
      </c>
      <c r="AU134" s="6">
        <f t="shared" si="73"/>
        <v>0</v>
      </c>
      <c r="AV134" s="6">
        <f t="shared" si="73"/>
        <v>0</v>
      </c>
      <c r="AW134" s="6">
        <f t="shared" si="73"/>
        <v>0</v>
      </c>
      <c r="AX134" s="6">
        <f t="shared" si="73"/>
        <v>0</v>
      </c>
      <c r="AY134" s="6">
        <f t="shared" si="73"/>
        <v>0</v>
      </c>
      <c r="AZ134" s="6">
        <f t="shared" si="73"/>
        <v>0</v>
      </c>
      <c r="BA134" s="6">
        <f t="shared" si="73"/>
        <v>0</v>
      </c>
      <c r="BB134" s="6">
        <f t="shared" si="73"/>
        <v>0</v>
      </c>
      <c r="BC134" s="6">
        <f t="shared" si="73"/>
        <v>0</v>
      </c>
      <c r="BD134" s="6">
        <f t="shared" si="73"/>
        <v>0</v>
      </c>
      <c r="BE134" s="5">
        <f t="shared" si="73"/>
        <v>7</v>
      </c>
    </row>
    <row r="135" spans="1:57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5"/>
    </row>
    <row r="136" spans="1:57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1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/>
      <c r="AJ136" s="6"/>
      <c r="AK136" s="6">
        <v>1</v>
      </c>
      <c r="AL136" s="6"/>
      <c r="AM136" s="6"/>
      <c r="AN136" s="6"/>
      <c r="AO136" s="6"/>
      <c r="AP136" s="6"/>
      <c r="AQ136" s="6"/>
      <c r="AR136" s="6"/>
      <c r="AS136" s="6">
        <v>2</v>
      </c>
      <c r="AT136" s="6"/>
      <c r="AU136" s="6"/>
      <c r="AV136" s="6"/>
      <c r="AW136" s="6"/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5">
        <f t="shared" ref="BE136:BE143" si="74">SUM(E136:BD136)</f>
        <v>5</v>
      </c>
    </row>
    <row r="137" spans="1:57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1</v>
      </c>
      <c r="R137" s="6">
        <v>1</v>
      </c>
      <c r="S137" s="6">
        <v>0</v>
      </c>
      <c r="T137" s="6">
        <v>0</v>
      </c>
      <c r="U137" s="6">
        <v>0</v>
      </c>
      <c r="V137" s="6">
        <v>2</v>
      </c>
      <c r="W137" s="6">
        <v>0</v>
      </c>
      <c r="X137" s="6">
        <v>1</v>
      </c>
      <c r="Y137" s="6">
        <v>0</v>
      </c>
      <c r="Z137" s="6">
        <v>1</v>
      </c>
      <c r="AA137" s="6">
        <v>0</v>
      </c>
      <c r="AB137" s="6">
        <v>0</v>
      </c>
      <c r="AC137" s="6">
        <v>1</v>
      </c>
      <c r="AD137" s="6">
        <v>1</v>
      </c>
      <c r="AE137" s="6">
        <v>0</v>
      </c>
      <c r="AF137" s="6">
        <v>3</v>
      </c>
      <c r="AG137" s="6">
        <v>2</v>
      </c>
      <c r="AH137" s="6">
        <v>0</v>
      </c>
      <c r="AI137" s="6">
        <v>1</v>
      </c>
      <c r="AJ137" s="6"/>
      <c r="AK137" s="6">
        <v>1</v>
      </c>
      <c r="AL137" s="6"/>
      <c r="AM137" s="6"/>
      <c r="AN137" s="6"/>
      <c r="AO137" s="6"/>
      <c r="AP137" s="6"/>
      <c r="AQ137" s="6"/>
      <c r="AR137" s="6"/>
      <c r="AS137" s="6">
        <v>3</v>
      </c>
      <c r="AT137" s="6">
        <v>1</v>
      </c>
      <c r="AU137" s="6"/>
      <c r="AV137" s="6"/>
      <c r="AW137" s="6">
        <v>1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5">
        <f t="shared" si="74"/>
        <v>20</v>
      </c>
    </row>
    <row r="138" spans="1:57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1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2</v>
      </c>
      <c r="AH138" s="6">
        <v>0</v>
      </c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5">
        <f t="shared" si="74"/>
        <v>3</v>
      </c>
    </row>
    <row r="139" spans="1:57" x14ac:dyDescent="0.4">
      <c r="A139" s="7"/>
      <c r="B139" s="51"/>
      <c r="C139" s="24" t="s">
        <v>176</v>
      </c>
      <c r="D139" s="52"/>
      <c r="E139" s="50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1</v>
      </c>
      <c r="S139" s="6">
        <v>0</v>
      </c>
      <c r="T139" s="6">
        <v>0</v>
      </c>
      <c r="U139" s="6">
        <v>1</v>
      </c>
      <c r="V139" s="6">
        <v>0</v>
      </c>
      <c r="W139" s="6">
        <v>0</v>
      </c>
      <c r="X139" s="6">
        <v>0</v>
      </c>
      <c r="Y139" s="6">
        <v>1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/>
      <c r="AJ139" s="6"/>
      <c r="AK139" s="6"/>
      <c r="AL139" s="6">
        <v>1</v>
      </c>
      <c r="AM139" s="6"/>
      <c r="AN139" s="6"/>
      <c r="AO139" s="6"/>
      <c r="AP139" s="6"/>
      <c r="AQ139" s="6"/>
      <c r="AR139" s="6"/>
      <c r="AS139" s="6"/>
      <c r="AT139" s="6">
        <v>1</v>
      </c>
      <c r="AU139" s="6"/>
      <c r="AV139" s="6"/>
      <c r="AW139" s="6"/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5">
        <f t="shared" si="74"/>
        <v>5</v>
      </c>
    </row>
    <row r="140" spans="1:57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1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1</v>
      </c>
      <c r="AH140" s="6">
        <v>0</v>
      </c>
      <c r="AI140" s="6"/>
      <c r="AJ140" s="6"/>
      <c r="AK140" s="6"/>
      <c r="AL140" s="6"/>
      <c r="AM140" s="6"/>
      <c r="AN140" s="6"/>
      <c r="AO140" s="6"/>
      <c r="AP140" s="6"/>
      <c r="AQ140" s="6"/>
      <c r="AR140" s="6">
        <v>1</v>
      </c>
      <c r="AS140" s="6"/>
      <c r="AT140" s="6"/>
      <c r="AU140" s="6">
        <v>2</v>
      </c>
      <c r="AV140" s="6">
        <v>1</v>
      </c>
      <c r="AW140" s="6"/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5">
        <f t="shared" si="74"/>
        <v>6</v>
      </c>
    </row>
    <row r="141" spans="1:57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1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5">
        <f t="shared" si="74"/>
        <v>1</v>
      </c>
    </row>
    <row r="142" spans="1:57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>
        <v>0</v>
      </c>
      <c r="AY142" s="6">
        <v>0</v>
      </c>
      <c r="AZ142" s="6">
        <v>0</v>
      </c>
      <c r="BA142" s="6">
        <v>1</v>
      </c>
      <c r="BB142" s="6">
        <v>0</v>
      </c>
      <c r="BC142" s="6">
        <v>0</v>
      </c>
      <c r="BD142" s="6">
        <v>0</v>
      </c>
      <c r="BE142" s="5">
        <f t="shared" si="74"/>
        <v>1</v>
      </c>
    </row>
    <row r="143" spans="1:57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1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/>
      <c r="AJ143" s="6">
        <v>1</v>
      </c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5">
        <f t="shared" si="74"/>
        <v>2</v>
      </c>
    </row>
    <row r="144" spans="1:57" x14ac:dyDescent="0.4">
      <c r="A144" s="6" t="s">
        <v>26</v>
      </c>
      <c r="B144" s="88" t="s">
        <v>51</v>
      </c>
      <c r="C144" s="89"/>
      <c r="D144" s="90"/>
      <c r="E144" s="6">
        <f t="shared" ref="E144:AJ144" si="75">SUM(E136:E143)</f>
        <v>0</v>
      </c>
      <c r="F144" s="6">
        <f t="shared" si="75"/>
        <v>0</v>
      </c>
      <c r="G144" s="6">
        <f t="shared" si="75"/>
        <v>0</v>
      </c>
      <c r="H144" s="6">
        <f t="shared" si="75"/>
        <v>0</v>
      </c>
      <c r="I144" s="6">
        <f t="shared" si="75"/>
        <v>0</v>
      </c>
      <c r="J144" s="6">
        <f t="shared" si="75"/>
        <v>0</v>
      </c>
      <c r="K144" s="6">
        <f t="shared" si="75"/>
        <v>0</v>
      </c>
      <c r="L144" s="6">
        <f t="shared" si="75"/>
        <v>0</v>
      </c>
      <c r="M144" s="6">
        <f t="shared" si="75"/>
        <v>0</v>
      </c>
      <c r="N144" s="6">
        <f t="shared" si="75"/>
        <v>0</v>
      </c>
      <c r="O144" s="6">
        <f t="shared" si="75"/>
        <v>0</v>
      </c>
      <c r="P144" s="6">
        <f t="shared" si="75"/>
        <v>0</v>
      </c>
      <c r="Q144" s="6">
        <f t="shared" si="75"/>
        <v>1</v>
      </c>
      <c r="R144" s="6">
        <f t="shared" si="75"/>
        <v>3</v>
      </c>
      <c r="S144" s="6">
        <f t="shared" si="75"/>
        <v>0</v>
      </c>
      <c r="T144" s="6">
        <f t="shared" si="75"/>
        <v>1</v>
      </c>
      <c r="U144" s="6">
        <f t="shared" si="75"/>
        <v>2</v>
      </c>
      <c r="V144" s="6">
        <f t="shared" si="75"/>
        <v>2</v>
      </c>
      <c r="W144" s="6">
        <f t="shared" si="75"/>
        <v>0</v>
      </c>
      <c r="X144" s="6">
        <f t="shared" si="75"/>
        <v>1</v>
      </c>
      <c r="Y144" s="6">
        <f t="shared" si="75"/>
        <v>3</v>
      </c>
      <c r="Z144" s="6">
        <f t="shared" si="75"/>
        <v>1</v>
      </c>
      <c r="AA144" s="6">
        <f t="shared" si="75"/>
        <v>0</v>
      </c>
      <c r="AB144" s="6">
        <f t="shared" si="75"/>
        <v>0</v>
      </c>
      <c r="AC144" s="6">
        <f t="shared" si="75"/>
        <v>2</v>
      </c>
      <c r="AD144" s="6">
        <f t="shared" si="75"/>
        <v>1</v>
      </c>
      <c r="AE144" s="6">
        <f t="shared" si="75"/>
        <v>0</v>
      </c>
      <c r="AF144" s="6">
        <f t="shared" si="75"/>
        <v>3</v>
      </c>
      <c r="AG144" s="6">
        <f t="shared" si="75"/>
        <v>5</v>
      </c>
      <c r="AH144" s="6">
        <f t="shared" si="75"/>
        <v>0</v>
      </c>
      <c r="AI144" s="6">
        <f t="shared" si="75"/>
        <v>1</v>
      </c>
      <c r="AJ144" s="6">
        <f t="shared" si="75"/>
        <v>1</v>
      </c>
      <c r="AK144" s="6">
        <f t="shared" ref="AK144:BE144" si="76">SUM(AK136:AK143)</f>
        <v>2</v>
      </c>
      <c r="AL144" s="6">
        <f t="shared" si="76"/>
        <v>1</v>
      </c>
      <c r="AM144" s="6">
        <f t="shared" si="76"/>
        <v>0</v>
      </c>
      <c r="AN144" s="6">
        <f t="shared" si="76"/>
        <v>0</v>
      </c>
      <c r="AO144" s="6">
        <f t="shared" si="76"/>
        <v>0</v>
      </c>
      <c r="AP144" s="6">
        <f t="shared" si="76"/>
        <v>0</v>
      </c>
      <c r="AQ144" s="6">
        <f t="shared" si="76"/>
        <v>0</v>
      </c>
      <c r="AR144" s="6">
        <f t="shared" si="76"/>
        <v>1</v>
      </c>
      <c r="AS144" s="6">
        <f t="shared" si="76"/>
        <v>5</v>
      </c>
      <c r="AT144" s="6">
        <f t="shared" si="76"/>
        <v>2</v>
      </c>
      <c r="AU144" s="6">
        <f t="shared" si="76"/>
        <v>2</v>
      </c>
      <c r="AV144" s="6">
        <f t="shared" si="76"/>
        <v>1</v>
      </c>
      <c r="AW144" s="6">
        <f t="shared" si="76"/>
        <v>1</v>
      </c>
      <c r="AX144" s="6">
        <f t="shared" si="76"/>
        <v>0</v>
      </c>
      <c r="AY144" s="6">
        <f t="shared" si="76"/>
        <v>0</v>
      </c>
      <c r="AZ144" s="6">
        <f t="shared" si="76"/>
        <v>0</v>
      </c>
      <c r="BA144" s="6">
        <f t="shared" si="76"/>
        <v>1</v>
      </c>
      <c r="BB144" s="6">
        <f t="shared" si="76"/>
        <v>0</v>
      </c>
      <c r="BC144" s="6">
        <f t="shared" si="76"/>
        <v>0</v>
      </c>
      <c r="BD144" s="6">
        <f t="shared" si="76"/>
        <v>0</v>
      </c>
      <c r="BE144" s="5">
        <f t="shared" si="76"/>
        <v>43</v>
      </c>
    </row>
    <row r="145" spans="1:57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98"/>
    </row>
    <row r="146" spans="1:57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0</v>
      </c>
      <c r="G146" s="6">
        <v>0</v>
      </c>
      <c r="H146" s="6">
        <v>0</v>
      </c>
      <c r="I146" s="6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1</v>
      </c>
      <c r="AE146" s="6">
        <v>0</v>
      </c>
      <c r="AF146" s="6">
        <v>0</v>
      </c>
      <c r="AG146" s="6">
        <v>0</v>
      </c>
      <c r="AH146" s="6">
        <v>1</v>
      </c>
      <c r="AI146" s="6">
        <v>0</v>
      </c>
      <c r="AJ146" s="6">
        <v>1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1</v>
      </c>
      <c r="AS146" s="6">
        <v>0</v>
      </c>
      <c r="AT146" s="6">
        <v>0</v>
      </c>
      <c r="AU146" s="6">
        <v>0</v>
      </c>
      <c r="AV146" s="6">
        <v>2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1</v>
      </c>
      <c r="BC146" s="6">
        <v>0</v>
      </c>
      <c r="BD146" s="6">
        <v>1</v>
      </c>
      <c r="BE146" s="5">
        <f t="shared" ref="BE146:BE147" si="77">SUM(E146:BD146)</f>
        <v>10</v>
      </c>
    </row>
    <row r="147" spans="1:57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1</v>
      </c>
      <c r="O147" s="6">
        <v>0</v>
      </c>
      <c r="P147" s="6">
        <v>1</v>
      </c>
      <c r="Q147" s="6">
        <v>1</v>
      </c>
      <c r="R147" s="6">
        <v>2</v>
      </c>
      <c r="S147" s="6">
        <v>1</v>
      </c>
      <c r="T147" s="6">
        <v>0</v>
      </c>
      <c r="U147" s="6">
        <v>0</v>
      </c>
      <c r="V147" s="6">
        <v>0</v>
      </c>
      <c r="W147" s="6">
        <v>2</v>
      </c>
      <c r="X147" s="6">
        <v>0</v>
      </c>
      <c r="Y147" s="6">
        <v>1</v>
      </c>
      <c r="Z147" s="6">
        <v>1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1</v>
      </c>
      <c r="AH147" s="6">
        <v>1</v>
      </c>
      <c r="AI147" s="6">
        <v>0</v>
      </c>
      <c r="AJ147" s="6">
        <v>1</v>
      </c>
      <c r="AK147" s="6">
        <v>0</v>
      </c>
      <c r="AL147" s="6">
        <v>0</v>
      </c>
      <c r="AM147" s="6">
        <v>0</v>
      </c>
      <c r="AN147" s="6">
        <v>0</v>
      </c>
      <c r="AO147" s="6">
        <v>1</v>
      </c>
      <c r="AP147" s="6">
        <v>1</v>
      </c>
      <c r="AQ147" s="6">
        <v>0</v>
      </c>
      <c r="AR147" s="6">
        <v>0</v>
      </c>
      <c r="AS147" s="6">
        <v>1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1</v>
      </c>
      <c r="BA147" s="6">
        <v>0</v>
      </c>
      <c r="BB147" s="6">
        <v>2</v>
      </c>
      <c r="BC147" s="6">
        <v>0</v>
      </c>
      <c r="BD147" s="6">
        <v>0</v>
      </c>
      <c r="BE147" s="5">
        <f t="shared" si="77"/>
        <v>20</v>
      </c>
    </row>
    <row r="148" spans="1:57" x14ac:dyDescent="0.4">
      <c r="A148" s="6" t="s">
        <v>26</v>
      </c>
      <c r="B148" s="74" t="s">
        <v>51</v>
      </c>
      <c r="C148" s="84"/>
      <c r="D148" s="85"/>
      <c r="E148" s="6">
        <f t="shared" ref="E148:AJ148" si="78">SUM(E146:E147)</f>
        <v>0</v>
      </c>
      <c r="F148" s="6">
        <f t="shared" si="78"/>
        <v>1</v>
      </c>
      <c r="G148" s="6">
        <f t="shared" si="78"/>
        <v>0</v>
      </c>
      <c r="H148" s="6">
        <f t="shared" si="78"/>
        <v>0</v>
      </c>
      <c r="I148" s="6">
        <f t="shared" si="78"/>
        <v>1</v>
      </c>
      <c r="J148" s="6">
        <f t="shared" si="78"/>
        <v>0</v>
      </c>
      <c r="K148" s="6">
        <f t="shared" si="78"/>
        <v>0</v>
      </c>
      <c r="L148" s="6">
        <f t="shared" si="78"/>
        <v>0</v>
      </c>
      <c r="M148" s="6">
        <f t="shared" si="78"/>
        <v>0</v>
      </c>
      <c r="N148" s="6">
        <f t="shared" si="78"/>
        <v>1</v>
      </c>
      <c r="O148" s="6">
        <f t="shared" si="78"/>
        <v>1</v>
      </c>
      <c r="P148" s="6">
        <f t="shared" si="78"/>
        <v>1</v>
      </c>
      <c r="Q148" s="6">
        <f t="shared" si="78"/>
        <v>1</v>
      </c>
      <c r="R148" s="6">
        <f t="shared" si="78"/>
        <v>2</v>
      </c>
      <c r="S148" s="6">
        <f t="shared" si="78"/>
        <v>1</v>
      </c>
      <c r="T148" s="6">
        <f t="shared" si="78"/>
        <v>0</v>
      </c>
      <c r="U148" s="6">
        <f t="shared" si="78"/>
        <v>0</v>
      </c>
      <c r="V148" s="6">
        <f t="shared" si="78"/>
        <v>0</v>
      </c>
      <c r="W148" s="6">
        <f t="shared" si="78"/>
        <v>2</v>
      </c>
      <c r="X148" s="6">
        <f t="shared" si="78"/>
        <v>0</v>
      </c>
      <c r="Y148" s="6">
        <f t="shared" si="78"/>
        <v>1</v>
      </c>
      <c r="Z148" s="6">
        <f t="shared" si="78"/>
        <v>1</v>
      </c>
      <c r="AA148" s="6">
        <f t="shared" si="78"/>
        <v>0</v>
      </c>
      <c r="AB148" s="6">
        <f t="shared" si="78"/>
        <v>0</v>
      </c>
      <c r="AC148" s="6">
        <f t="shared" si="78"/>
        <v>0</v>
      </c>
      <c r="AD148" s="6">
        <f t="shared" si="78"/>
        <v>1</v>
      </c>
      <c r="AE148" s="6">
        <f t="shared" si="78"/>
        <v>0</v>
      </c>
      <c r="AF148" s="6">
        <f t="shared" si="78"/>
        <v>0</v>
      </c>
      <c r="AG148" s="6">
        <f t="shared" si="78"/>
        <v>1</v>
      </c>
      <c r="AH148" s="6">
        <f t="shared" si="78"/>
        <v>2</v>
      </c>
      <c r="AI148" s="6">
        <f t="shared" si="78"/>
        <v>0</v>
      </c>
      <c r="AJ148" s="6">
        <f t="shared" si="78"/>
        <v>2</v>
      </c>
      <c r="AK148" s="6">
        <f t="shared" ref="AK148:BE148" si="79">SUM(AK146:AK147)</f>
        <v>0</v>
      </c>
      <c r="AL148" s="6">
        <f t="shared" si="79"/>
        <v>0</v>
      </c>
      <c r="AM148" s="6">
        <f t="shared" si="79"/>
        <v>0</v>
      </c>
      <c r="AN148" s="6">
        <f t="shared" si="79"/>
        <v>0</v>
      </c>
      <c r="AO148" s="6">
        <f t="shared" si="79"/>
        <v>1</v>
      </c>
      <c r="AP148" s="6">
        <f t="shared" si="79"/>
        <v>1</v>
      </c>
      <c r="AQ148" s="6">
        <f t="shared" si="79"/>
        <v>0</v>
      </c>
      <c r="AR148" s="6">
        <f t="shared" si="79"/>
        <v>1</v>
      </c>
      <c r="AS148" s="6">
        <f t="shared" si="79"/>
        <v>1</v>
      </c>
      <c r="AT148" s="6">
        <f t="shared" si="79"/>
        <v>0</v>
      </c>
      <c r="AU148" s="6">
        <f t="shared" si="79"/>
        <v>0</v>
      </c>
      <c r="AV148" s="6">
        <f t="shared" si="79"/>
        <v>2</v>
      </c>
      <c r="AW148" s="6">
        <f t="shared" si="79"/>
        <v>0</v>
      </c>
      <c r="AX148" s="6">
        <f t="shared" si="79"/>
        <v>0</v>
      </c>
      <c r="AY148" s="6">
        <f t="shared" si="79"/>
        <v>0</v>
      </c>
      <c r="AZ148" s="6">
        <f t="shared" si="79"/>
        <v>1</v>
      </c>
      <c r="BA148" s="6">
        <f t="shared" si="79"/>
        <v>0</v>
      </c>
      <c r="BB148" s="6">
        <f t="shared" si="79"/>
        <v>3</v>
      </c>
      <c r="BC148" s="6">
        <f t="shared" si="79"/>
        <v>0</v>
      </c>
      <c r="BD148" s="6">
        <f t="shared" si="79"/>
        <v>1</v>
      </c>
      <c r="BE148" s="5">
        <f t="shared" si="79"/>
        <v>30</v>
      </c>
    </row>
    <row r="149" spans="1:57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98"/>
    </row>
    <row r="150" spans="1:57" x14ac:dyDescent="0.4">
      <c r="A150" s="11" t="s">
        <v>48</v>
      </c>
      <c r="B150" s="17" t="s">
        <v>69</v>
      </c>
      <c r="C150" s="83" t="s">
        <v>70</v>
      </c>
      <c r="D150" s="55"/>
      <c r="E150" s="6">
        <v>1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1</v>
      </c>
      <c r="L150" s="6">
        <v>2</v>
      </c>
      <c r="M150" s="6">
        <v>1</v>
      </c>
      <c r="N150" s="6">
        <v>0</v>
      </c>
      <c r="O150" s="6">
        <v>1</v>
      </c>
      <c r="P150" s="6">
        <v>0</v>
      </c>
      <c r="Q150" s="6">
        <v>0</v>
      </c>
      <c r="R150" s="6">
        <v>1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1</v>
      </c>
      <c r="Z150" s="6">
        <v>2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5</v>
      </c>
      <c r="AG150" s="6">
        <v>1</v>
      </c>
      <c r="AH150" s="6">
        <v>1</v>
      </c>
      <c r="AI150" s="6">
        <v>0</v>
      </c>
      <c r="AJ150" s="6">
        <v>0</v>
      </c>
      <c r="AK150" s="6">
        <v>1</v>
      </c>
      <c r="AL150" s="6">
        <v>0</v>
      </c>
      <c r="AM150" s="6">
        <v>6</v>
      </c>
      <c r="AN150" s="6">
        <v>1</v>
      </c>
      <c r="AO150" s="6">
        <v>0</v>
      </c>
      <c r="AP150" s="6">
        <v>0</v>
      </c>
      <c r="AQ150" s="6">
        <v>2</v>
      </c>
      <c r="AR150" s="6">
        <v>4</v>
      </c>
      <c r="AS150" s="6">
        <v>4</v>
      </c>
      <c r="AT150" s="6">
        <v>1</v>
      </c>
      <c r="AU150" s="6">
        <v>6</v>
      </c>
      <c r="AV150" s="6">
        <v>0</v>
      </c>
      <c r="AW150" s="6">
        <v>0</v>
      </c>
      <c r="AX150" s="6">
        <v>6</v>
      </c>
      <c r="AY150" s="6">
        <v>0</v>
      </c>
      <c r="AZ150" s="6">
        <v>2</v>
      </c>
      <c r="BA150" s="6">
        <v>4</v>
      </c>
      <c r="BB150" s="6">
        <v>1</v>
      </c>
      <c r="BC150" s="6">
        <v>1</v>
      </c>
      <c r="BD150" s="6">
        <v>1</v>
      </c>
      <c r="BE150" s="5">
        <f t="shared" ref="BE150:BE159" si="80">SUM(E150:BD150)</f>
        <v>58</v>
      </c>
    </row>
    <row r="151" spans="1:57" x14ac:dyDescent="0.4">
      <c r="A151" s="11" t="s">
        <v>50</v>
      </c>
      <c r="B151" s="47"/>
      <c r="C151" s="24" t="s">
        <v>182</v>
      </c>
      <c r="D151" s="45"/>
      <c r="E151" s="6">
        <v>3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3</v>
      </c>
      <c r="L151" s="6">
        <v>3</v>
      </c>
      <c r="M151" s="6">
        <v>0</v>
      </c>
      <c r="N151" s="6">
        <v>0</v>
      </c>
      <c r="O151" s="6">
        <v>2</v>
      </c>
      <c r="P151" s="6">
        <v>0</v>
      </c>
      <c r="Q151" s="6">
        <v>3</v>
      </c>
      <c r="R151" s="6">
        <v>0</v>
      </c>
      <c r="S151" s="6">
        <v>0</v>
      </c>
      <c r="T151" s="6">
        <v>0</v>
      </c>
      <c r="U151" s="6">
        <v>2</v>
      </c>
      <c r="V151" s="6">
        <v>2</v>
      </c>
      <c r="W151" s="6">
        <v>2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6</v>
      </c>
      <c r="AG151" s="6">
        <v>3</v>
      </c>
      <c r="AH151" s="6">
        <v>0</v>
      </c>
      <c r="AI151" s="6">
        <v>1</v>
      </c>
      <c r="AJ151" s="6">
        <v>4</v>
      </c>
      <c r="AK151" s="6">
        <v>3</v>
      </c>
      <c r="AL151" s="6">
        <v>7</v>
      </c>
      <c r="AM151" s="6">
        <v>4</v>
      </c>
      <c r="AN151" s="6">
        <v>3</v>
      </c>
      <c r="AO151" s="6">
        <v>0</v>
      </c>
      <c r="AP151" s="6">
        <v>7</v>
      </c>
      <c r="AQ151" s="6">
        <v>0</v>
      </c>
      <c r="AR151" s="6">
        <v>8</v>
      </c>
      <c r="AS151" s="6">
        <v>5</v>
      </c>
      <c r="AT151" s="6">
        <v>2</v>
      </c>
      <c r="AU151" s="6">
        <v>3</v>
      </c>
      <c r="AV151" s="6">
        <v>3</v>
      </c>
      <c r="AW151" s="6">
        <v>1</v>
      </c>
      <c r="AX151" s="6">
        <v>0</v>
      </c>
      <c r="AY151" s="6">
        <v>0</v>
      </c>
      <c r="AZ151" s="6">
        <v>2</v>
      </c>
      <c r="BA151" s="6">
        <v>5</v>
      </c>
      <c r="BB151" s="6">
        <v>0</v>
      </c>
      <c r="BC151" s="6">
        <v>0</v>
      </c>
      <c r="BD151" s="6">
        <v>0</v>
      </c>
      <c r="BE151" s="5">
        <f t="shared" si="80"/>
        <v>87</v>
      </c>
    </row>
    <row r="152" spans="1:57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1</v>
      </c>
      <c r="M152" s="6">
        <v>0</v>
      </c>
      <c r="N152" s="6">
        <v>0</v>
      </c>
      <c r="O152" s="6">
        <v>2</v>
      </c>
      <c r="P152" s="6">
        <v>0</v>
      </c>
      <c r="Q152" s="6">
        <v>0</v>
      </c>
      <c r="R152" s="6">
        <v>1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1</v>
      </c>
      <c r="AC152" s="6">
        <v>1</v>
      </c>
      <c r="AD152" s="6">
        <v>0</v>
      </c>
      <c r="AE152" s="6">
        <v>0</v>
      </c>
      <c r="AF152" s="6">
        <v>0</v>
      </c>
      <c r="AG152" s="6">
        <v>1</v>
      </c>
      <c r="AH152" s="6">
        <v>1</v>
      </c>
      <c r="AI152" s="6">
        <v>0</v>
      </c>
      <c r="AJ152" s="6">
        <v>1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1</v>
      </c>
      <c r="AQ152" s="6">
        <v>0</v>
      </c>
      <c r="AR152" s="6">
        <v>1</v>
      </c>
      <c r="AS152" s="6">
        <v>0</v>
      </c>
      <c r="AT152" s="6">
        <v>0</v>
      </c>
      <c r="AU152" s="6">
        <v>0</v>
      </c>
      <c r="AV152" s="6">
        <v>0</v>
      </c>
      <c r="AW152" s="6">
        <v>2</v>
      </c>
      <c r="AX152" s="6">
        <v>0</v>
      </c>
      <c r="AY152" s="6">
        <v>0</v>
      </c>
      <c r="AZ152" s="6">
        <v>0</v>
      </c>
      <c r="BA152" s="6">
        <v>0</v>
      </c>
      <c r="BB152" s="6">
        <v>1</v>
      </c>
      <c r="BC152" s="6">
        <v>0</v>
      </c>
      <c r="BD152" s="6">
        <v>0</v>
      </c>
      <c r="BE152" s="5">
        <f t="shared" si="80"/>
        <v>14</v>
      </c>
    </row>
    <row r="153" spans="1:57" x14ac:dyDescent="0.4">
      <c r="A153" s="7"/>
      <c r="B153" s="47"/>
      <c r="C153" s="24" t="s">
        <v>184</v>
      </c>
      <c r="D153" s="45"/>
      <c r="E153" s="6">
        <v>2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1</v>
      </c>
      <c r="P153" s="6">
        <v>0</v>
      </c>
      <c r="Q153" s="6">
        <v>1</v>
      </c>
      <c r="R153" s="6">
        <v>0</v>
      </c>
      <c r="S153" s="6">
        <v>0</v>
      </c>
      <c r="T153" s="6">
        <v>0</v>
      </c>
      <c r="U153" s="6">
        <v>1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1</v>
      </c>
      <c r="AG153" s="6">
        <v>1</v>
      </c>
      <c r="AH153" s="6">
        <v>0</v>
      </c>
      <c r="AI153" s="6">
        <v>0</v>
      </c>
      <c r="AJ153" s="6">
        <v>1</v>
      </c>
      <c r="AK153" s="6">
        <v>0</v>
      </c>
      <c r="AL153" s="6">
        <v>1</v>
      </c>
      <c r="AM153" s="6">
        <v>1</v>
      </c>
      <c r="AN153" s="6">
        <v>0</v>
      </c>
      <c r="AO153" s="6">
        <v>1</v>
      </c>
      <c r="AP153" s="6">
        <v>0</v>
      </c>
      <c r="AQ153" s="6">
        <v>0</v>
      </c>
      <c r="AR153" s="6">
        <v>2</v>
      </c>
      <c r="AS153" s="6">
        <v>1</v>
      </c>
      <c r="AT153" s="6">
        <v>0</v>
      </c>
      <c r="AU153" s="6">
        <v>0</v>
      </c>
      <c r="AV153" s="6">
        <v>0</v>
      </c>
      <c r="AW153" s="6">
        <v>1</v>
      </c>
      <c r="AX153" s="6">
        <v>1</v>
      </c>
      <c r="AY153" s="6">
        <v>0</v>
      </c>
      <c r="AZ153" s="6">
        <v>0</v>
      </c>
      <c r="BA153" s="6">
        <v>1</v>
      </c>
      <c r="BB153" s="6">
        <v>2</v>
      </c>
      <c r="BC153" s="6">
        <v>0</v>
      </c>
      <c r="BD153" s="6">
        <v>0</v>
      </c>
      <c r="BE153" s="5">
        <f t="shared" si="80"/>
        <v>21</v>
      </c>
    </row>
    <row r="154" spans="1:57" x14ac:dyDescent="0.4">
      <c r="A154" s="7"/>
      <c r="B154" s="47"/>
      <c r="C154" s="24" t="s">
        <v>185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2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2</v>
      </c>
      <c r="T154" s="6">
        <v>1</v>
      </c>
      <c r="U154" s="6">
        <v>1</v>
      </c>
      <c r="V154" s="6">
        <v>1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1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1</v>
      </c>
      <c r="AN154" s="6">
        <v>0</v>
      </c>
      <c r="AO154" s="6">
        <v>0</v>
      </c>
      <c r="AP154" s="6">
        <v>0</v>
      </c>
      <c r="AQ154" s="6">
        <v>0</v>
      </c>
      <c r="AR154" s="6">
        <v>1</v>
      </c>
      <c r="AS154" s="6">
        <v>0</v>
      </c>
      <c r="AT154" s="6">
        <v>0</v>
      </c>
      <c r="AU154" s="6">
        <v>0</v>
      </c>
      <c r="AV154" s="6">
        <v>0</v>
      </c>
      <c r="AW154" s="6">
        <v>1</v>
      </c>
      <c r="AX154" s="6">
        <v>1</v>
      </c>
      <c r="AY154" s="6">
        <v>3</v>
      </c>
      <c r="AZ154" s="6">
        <v>0</v>
      </c>
      <c r="BA154" s="6">
        <v>0</v>
      </c>
      <c r="BB154" s="6">
        <v>1</v>
      </c>
      <c r="BC154" s="6">
        <v>1</v>
      </c>
      <c r="BD154" s="6">
        <v>0</v>
      </c>
      <c r="BE154" s="5">
        <f t="shared" si="80"/>
        <v>17</v>
      </c>
    </row>
    <row r="155" spans="1:57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1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1</v>
      </c>
      <c r="AS155" s="6">
        <v>1</v>
      </c>
      <c r="AT155" s="6">
        <v>0</v>
      </c>
      <c r="AU155" s="6">
        <v>0</v>
      </c>
      <c r="AV155" s="6">
        <v>0</v>
      </c>
      <c r="AW155" s="6">
        <v>0</v>
      </c>
      <c r="AX155" s="6">
        <v>1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5">
        <f t="shared" si="80"/>
        <v>5</v>
      </c>
    </row>
    <row r="156" spans="1:57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1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1</v>
      </c>
      <c r="AP156" s="6">
        <v>0</v>
      </c>
      <c r="AQ156" s="6">
        <v>0</v>
      </c>
      <c r="AR156" s="6">
        <v>1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1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5">
        <f t="shared" si="80"/>
        <v>5</v>
      </c>
    </row>
    <row r="157" spans="1:57" x14ac:dyDescent="0.4">
      <c r="A157" s="7"/>
      <c r="B157" s="47"/>
      <c r="C157" s="24" t="s">
        <v>188</v>
      </c>
      <c r="D157" s="45"/>
      <c r="E157" s="6">
        <v>0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1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1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1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5">
        <f t="shared" si="80"/>
        <v>4</v>
      </c>
    </row>
    <row r="158" spans="1:57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1</v>
      </c>
      <c r="P158" s="6">
        <v>0</v>
      </c>
      <c r="Q158" s="6">
        <v>1</v>
      </c>
      <c r="R158" s="6">
        <v>0</v>
      </c>
      <c r="S158" s="6">
        <v>1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1</v>
      </c>
      <c r="AK158" s="6">
        <v>1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1</v>
      </c>
      <c r="AS158" s="6">
        <v>1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1</v>
      </c>
      <c r="BA158" s="6">
        <v>0</v>
      </c>
      <c r="BB158" s="6">
        <v>0</v>
      </c>
      <c r="BC158" s="6">
        <v>0</v>
      </c>
      <c r="BD158" s="6">
        <v>0</v>
      </c>
      <c r="BE158" s="5">
        <f t="shared" si="80"/>
        <v>8</v>
      </c>
    </row>
    <row r="159" spans="1:57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1</v>
      </c>
      <c r="AW159" s="6">
        <v>0</v>
      </c>
      <c r="AX159" s="6">
        <v>1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5">
        <f t="shared" si="80"/>
        <v>3</v>
      </c>
    </row>
    <row r="160" spans="1:57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:AL160" si="81">SUM(E150:E159)</f>
        <v>6</v>
      </c>
      <c r="F160" s="6">
        <f t="shared" ref="F160:AA160" si="82">SUM(F150:F159)</f>
        <v>1</v>
      </c>
      <c r="G160" s="6">
        <f t="shared" si="82"/>
        <v>1</v>
      </c>
      <c r="H160" s="6">
        <f t="shared" si="82"/>
        <v>0</v>
      </c>
      <c r="I160" s="6">
        <f t="shared" si="82"/>
        <v>1</v>
      </c>
      <c r="J160" s="6">
        <f t="shared" si="82"/>
        <v>0</v>
      </c>
      <c r="K160" s="6">
        <f t="shared" si="82"/>
        <v>4</v>
      </c>
      <c r="L160" s="6">
        <f t="shared" si="82"/>
        <v>9</v>
      </c>
      <c r="M160" s="6">
        <f t="shared" si="82"/>
        <v>2</v>
      </c>
      <c r="N160" s="6">
        <f t="shared" si="82"/>
        <v>0</v>
      </c>
      <c r="O160" s="6">
        <f t="shared" si="82"/>
        <v>7</v>
      </c>
      <c r="P160" s="6">
        <f t="shared" si="82"/>
        <v>0</v>
      </c>
      <c r="Q160" s="6">
        <f t="shared" si="82"/>
        <v>5</v>
      </c>
      <c r="R160" s="6">
        <f t="shared" si="82"/>
        <v>2</v>
      </c>
      <c r="S160" s="6">
        <f t="shared" si="82"/>
        <v>4</v>
      </c>
      <c r="T160" s="6">
        <f t="shared" si="82"/>
        <v>1</v>
      </c>
      <c r="U160" s="6">
        <f t="shared" si="82"/>
        <v>6</v>
      </c>
      <c r="V160" s="6">
        <f t="shared" si="82"/>
        <v>4</v>
      </c>
      <c r="W160" s="6">
        <f t="shared" si="82"/>
        <v>3</v>
      </c>
      <c r="X160" s="6">
        <f t="shared" si="82"/>
        <v>0</v>
      </c>
      <c r="Y160" s="6">
        <f t="shared" si="82"/>
        <v>1</v>
      </c>
      <c r="Z160" s="6">
        <f t="shared" si="82"/>
        <v>2</v>
      </c>
      <c r="AA160" s="6">
        <f t="shared" si="82"/>
        <v>0</v>
      </c>
      <c r="AB160" s="6">
        <f t="shared" si="81"/>
        <v>1</v>
      </c>
      <c r="AC160" s="6">
        <f t="shared" si="81"/>
        <v>2</v>
      </c>
      <c r="AD160" s="6">
        <f t="shared" si="81"/>
        <v>0</v>
      </c>
      <c r="AE160" s="6">
        <f t="shared" si="81"/>
        <v>0</v>
      </c>
      <c r="AF160" s="6">
        <f t="shared" si="81"/>
        <v>12</v>
      </c>
      <c r="AG160" s="6">
        <f t="shared" si="81"/>
        <v>6</v>
      </c>
      <c r="AH160" s="6">
        <f t="shared" si="81"/>
        <v>2</v>
      </c>
      <c r="AI160" s="6">
        <f t="shared" si="81"/>
        <v>1</v>
      </c>
      <c r="AJ160" s="6">
        <f t="shared" si="81"/>
        <v>7</v>
      </c>
      <c r="AK160" s="6">
        <f t="shared" si="81"/>
        <v>5</v>
      </c>
      <c r="AL160" s="6">
        <f t="shared" si="81"/>
        <v>8</v>
      </c>
      <c r="AM160" s="6">
        <f t="shared" ref="AM160" si="83">SUM(AM150:AM159)</f>
        <v>13</v>
      </c>
      <c r="AN160" s="6">
        <f t="shared" ref="AN160" si="84">SUM(AN150:AN159)</f>
        <v>4</v>
      </c>
      <c r="AO160" s="6">
        <f t="shared" ref="AO160" si="85">SUM(AO150:AO159)</f>
        <v>2</v>
      </c>
      <c r="AP160" s="6">
        <f t="shared" ref="AP160" si="86">SUM(AP150:AP159)</f>
        <v>8</v>
      </c>
      <c r="AQ160" s="6">
        <f t="shared" ref="AQ160:AW160" si="87">SUM(AQ150:AQ159)</f>
        <v>2</v>
      </c>
      <c r="AR160" s="6">
        <f t="shared" si="87"/>
        <v>19</v>
      </c>
      <c r="AS160" s="6">
        <f t="shared" si="87"/>
        <v>13</v>
      </c>
      <c r="AT160" s="6">
        <f t="shared" si="87"/>
        <v>3</v>
      </c>
      <c r="AU160" s="6">
        <f t="shared" si="87"/>
        <v>9</v>
      </c>
      <c r="AV160" s="6">
        <f t="shared" si="87"/>
        <v>4</v>
      </c>
      <c r="AW160" s="6">
        <f t="shared" si="87"/>
        <v>5</v>
      </c>
      <c r="AX160" s="6">
        <f t="shared" ref="AX160" si="88">SUM(AX150:AX159)</f>
        <v>11</v>
      </c>
      <c r="AY160" s="6">
        <f t="shared" ref="AY160" si="89">SUM(AY150:AY159)</f>
        <v>3</v>
      </c>
      <c r="AZ160" s="6">
        <f t="shared" ref="AZ160" si="90">SUM(AZ150:AZ159)</f>
        <v>5</v>
      </c>
      <c r="BA160" s="6">
        <f t="shared" ref="BA160" si="91">SUM(BA150:BA159)</f>
        <v>10</v>
      </c>
      <c r="BB160" s="6">
        <f t="shared" ref="BB160" si="92">SUM(BB150:BB159)</f>
        <v>5</v>
      </c>
      <c r="BC160" s="6">
        <f t="shared" ref="BC160" si="93">SUM(BC150:BC159)</f>
        <v>2</v>
      </c>
      <c r="BD160" s="6">
        <f t="shared" ref="BD160" si="94">SUM(BD150:BD159)</f>
        <v>1</v>
      </c>
      <c r="BE160" s="5">
        <f t="shared" ref="BE160" si="95">SUM(BE150:BE159)</f>
        <v>222</v>
      </c>
    </row>
    <row r="161" spans="1:57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Q161" s="18"/>
      <c r="R161" s="18"/>
      <c r="S161" s="18"/>
      <c r="T161" s="18"/>
      <c r="U161" s="18"/>
      <c r="V161" s="18"/>
      <c r="W161" s="18"/>
      <c r="X161" s="18"/>
      <c r="Y161" s="18"/>
      <c r="AB161" s="18"/>
      <c r="AC161" s="18"/>
      <c r="AD161" s="18"/>
      <c r="AE161" s="18"/>
      <c r="AF161" s="18"/>
      <c r="AG161" s="18"/>
      <c r="AH161" s="18"/>
      <c r="AI161" s="18"/>
      <c r="AJ161" s="18"/>
      <c r="AM161" s="18"/>
      <c r="AN161" s="18"/>
      <c r="AO161" s="18"/>
      <c r="AP161" s="18"/>
      <c r="AQ161" s="18"/>
      <c r="AR161" s="18"/>
      <c r="AS161" s="18"/>
      <c r="AT161" s="18"/>
      <c r="AU161" s="18"/>
      <c r="AX161" s="18"/>
      <c r="AY161" s="18"/>
      <c r="AZ161" s="18"/>
      <c r="BA161" s="18"/>
      <c r="BE161" s="5"/>
    </row>
    <row r="162" spans="1:57" x14ac:dyDescent="0.4">
      <c r="A162" s="11" t="s">
        <v>48</v>
      </c>
      <c r="B162" s="17" t="s">
        <v>71</v>
      </c>
      <c r="C162" s="83" t="s">
        <v>72</v>
      </c>
      <c r="D162" s="55"/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  <c r="Q162" s="6">
        <v>0</v>
      </c>
      <c r="R162" s="6">
        <v>1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1</v>
      </c>
      <c r="AV162" s="6">
        <v>0</v>
      </c>
      <c r="AW162" s="6">
        <v>0</v>
      </c>
      <c r="AX162" s="6"/>
      <c r="AY162" s="6"/>
      <c r="AZ162" s="6"/>
      <c r="BA162" s="6"/>
      <c r="BB162" s="6"/>
      <c r="BC162" s="6"/>
      <c r="BD162" s="6"/>
      <c r="BE162" s="5">
        <f t="shared" ref="BE162:BE171" si="96">SUM(E162:BD162)</f>
        <v>5</v>
      </c>
    </row>
    <row r="163" spans="1:57" x14ac:dyDescent="0.4">
      <c r="A163" s="11" t="s">
        <v>50</v>
      </c>
      <c r="B163" s="47"/>
      <c r="C163" s="24" t="s">
        <v>191</v>
      </c>
      <c r="D163" s="45"/>
      <c r="E163" s="6">
        <v>2</v>
      </c>
      <c r="F163" s="6">
        <v>1</v>
      </c>
      <c r="G163" s="6">
        <v>4</v>
      </c>
      <c r="H163" s="6">
        <v>1</v>
      </c>
      <c r="I163" s="6">
        <v>0</v>
      </c>
      <c r="J163" s="6">
        <v>1</v>
      </c>
      <c r="K163" s="6">
        <v>0</v>
      </c>
      <c r="L163" s="6">
        <v>0</v>
      </c>
      <c r="M163" s="6">
        <v>4</v>
      </c>
      <c r="N163" s="6">
        <v>6</v>
      </c>
      <c r="O163" s="6">
        <v>0</v>
      </c>
      <c r="P163" s="6">
        <v>0</v>
      </c>
      <c r="Q163" s="6">
        <v>0</v>
      </c>
      <c r="R163" s="6">
        <v>1</v>
      </c>
      <c r="S163" s="6">
        <v>2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1</v>
      </c>
      <c r="AC163" s="6">
        <v>0</v>
      </c>
      <c r="AD163" s="6">
        <v>0</v>
      </c>
      <c r="AE163" s="6">
        <v>0</v>
      </c>
      <c r="AF163" s="6">
        <v>2</v>
      </c>
      <c r="AG163" s="6">
        <v>1</v>
      </c>
      <c r="AH163" s="6">
        <v>0</v>
      </c>
      <c r="AI163" s="6">
        <v>0</v>
      </c>
      <c r="AJ163" s="6">
        <v>2</v>
      </c>
      <c r="AK163" s="6">
        <v>1</v>
      </c>
      <c r="AL163" s="6">
        <v>7</v>
      </c>
      <c r="AM163" s="6">
        <v>7</v>
      </c>
      <c r="AN163" s="6">
        <v>0</v>
      </c>
      <c r="AO163" s="6">
        <v>3</v>
      </c>
      <c r="AP163" s="6">
        <v>3</v>
      </c>
      <c r="AQ163" s="6">
        <v>1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/>
      <c r="AY163" s="6"/>
      <c r="AZ163" s="6"/>
      <c r="BA163" s="6">
        <v>1</v>
      </c>
      <c r="BB163" s="6">
        <v>1</v>
      </c>
      <c r="BC163" s="6"/>
      <c r="BD163" s="6"/>
      <c r="BE163" s="5">
        <f t="shared" si="96"/>
        <v>52</v>
      </c>
    </row>
    <row r="164" spans="1:57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2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2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0</v>
      </c>
      <c r="AL164" s="6">
        <v>1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/>
      <c r="AY164" s="6"/>
      <c r="AZ164" s="6">
        <v>1</v>
      </c>
      <c r="BA164" s="6"/>
      <c r="BB164" s="6"/>
      <c r="BC164" s="6">
        <v>1</v>
      </c>
      <c r="BD164" s="6"/>
      <c r="BE164" s="5">
        <f t="shared" si="96"/>
        <v>8</v>
      </c>
    </row>
    <row r="165" spans="1:57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1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1</v>
      </c>
      <c r="AW165" s="6">
        <v>0</v>
      </c>
      <c r="AX165" s="6"/>
      <c r="AY165" s="6"/>
      <c r="AZ165" s="6"/>
      <c r="BA165" s="6"/>
      <c r="BB165" s="6"/>
      <c r="BC165" s="6"/>
      <c r="BD165" s="6"/>
      <c r="BE165" s="5">
        <f t="shared" si="96"/>
        <v>3</v>
      </c>
    </row>
    <row r="166" spans="1:57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1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/>
      <c r="AY166" s="6"/>
      <c r="AZ166" s="6"/>
      <c r="BA166" s="6"/>
      <c r="BB166" s="6"/>
      <c r="BC166" s="6"/>
      <c r="BD166" s="6"/>
      <c r="BE166" s="5">
        <f t="shared" si="96"/>
        <v>1</v>
      </c>
    </row>
    <row r="167" spans="1:57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/>
      <c r="AY167" s="6"/>
      <c r="AZ167" s="6"/>
      <c r="BA167" s="6"/>
      <c r="BB167" s="6"/>
      <c r="BC167" s="6"/>
      <c r="BD167" s="6"/>
      <c r="BE167" s="5">
        <f t="shared" si="96"/>
        <v>0</v>
      </c>
    </row>
    <row r="168" spans="1:57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/>
      <c r="AY168" s="6"/>
      <c r="AZ168" s="6"/>
      <c r="BA168" s="6"/>
      <c r="BB168" s="6"/>
      <c r="BC168" s="6"/>
      <c r="BD168" s="6"/>
      <c r="BE168" s="5">
        <f t="shared" si="96"/>
        <v>0</v>
      </c>
    </row>
    <row r="169" spans="1:57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/>
      <c r="AY169" s="6"/>
      <c r="AZ169" s="6"/>
      <c r="BA169" s="6"/>
      <c r="BB169" s="6"/>
      <c r="BC169" s="6"/>
      <c r="BD169" s="6"/>
      <c r="BE169" s="5">
        <f t="shared" si="96"/>
        <v>0</v>
      </c>
    </row>
    <row r="170" spans="1:57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/>
      <c r="AY170" s="6"/>
      <c r="AZ170" s="6"/>
      <c r="BA170" s="6"/>
      <c r="BB170" s="6"/>
      <c r="BC170" s="6"/>
      <c r="BD170" s="6"/>
      <c r="BE170" s="5">
        <f t="shared" si="96"/>
        <v>1</v>
      </c>
    </row>
    <row r="171" spans="1:57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/>
      <c r="AY171" s="6"/>
      <c r="AZ171" s="6"/>
      <c r="BA171" s="6"/>
      <c r="BB171" s="6"/>
      <c r="BC171" s="6"/>
      <c r="BD171" s="6"/>
      <c r="BE171" s="5">
        <f t="shared" si="96"/>
        <v>1</v>
      </c>
    </row>
    <row r="172" spans="1:57" x14ac:dyDescent="0.4">
      <c r="A172" s="6" t="s">
        <v>26</v>
      </c>
      <c r="B172" s="74" t="s">
        <v>51</v>
      </c>
      <c r="C172" s="84"/>
      <c r="D172" s="85"/>
      <c r="E172" s="6">
        <f t="shared" ref="E172:AL172" si="97">SUM(E162:E171)</f>
        <v>3</v>
      </c>
      <c r="F172" s="6">
        <f t="shared" ref="F172:AA172" si="98">SUM(F162:F171)</f>
        <v>1</v>
      </c>
      <c r="G172" s="6">
        <f t="shared" si="98"/>
        <v>4</v>
      </c>
      <c r="H172" s="6">
        <f t="shared" si="98"/>
        <v>2</v>
      </c>
      <c r="I172" s="6">
        <f t="shared" si="98"/>
        <v>0</v>
      </c>
      <c r="J172" s="6">
        <f t="shared" si="98"/>
        <v>2</v>
      </c>
      <c r="K172" s="6">
        <f t="shared" si="98"/>
        <v>0</v>
      </c>
      <c r="L172" s="6">
        <f t="shared" si="98"/>
        <v>0</v>
      </c>
      <c r="M172" s="6">
        <f t="shared" si="98"/>
        <v>5</v>
      </c>
      <c r="N172" s="6">
        <f t="shared" si="98"/>
        <v>6</v>
      </c>
      <c r="O172" s="6">
        <f t="shared" si="98"/>
        <v>0</v>
      </c>
      <c r="P172" s="6">
        <f t="shared" si="98"/>
        <v>2</v>
      </c>
      <c r="Q172" s="6">
        <f t="shared" si="98"/>
        <v>0</v>
      </c>
      <c r="R172" s="6">
        <f t="shared" si="98"/>
        <v>3</v>
      </c>
      <c r="S172" s="6">
        <f t="shared" si="98"/>
        <v>2</v>
      </c>
      <c r="T172" s="6">
        <f t="shared" si="98"/>
        <v>0</v>
      </c>
      <c r="U172" s="6">
        <f t="shared" si="98"/>
        <v>0</v>
      </c>
      <c r="V172" s="6">
        <f t="shared" si="98"/>
        <v>2</v>
      </c>
      <c r="W172" s="6">
        <f t="shared" si="98"/>
        <v>0</v>
      </c>
      <c r="X172" s="6">
        <f t="shared" si="98"/>
        <v>0</v>
      </c>
      <c r="Y172" s="6">
        <f t="shared" si="98"/>
        <v>0</v>
      </c>
      <c r="Z172" s="6">
        <f t="shared" si="98"/>
        <v>0</v>
      </c>
      <c r="AA172" s="6">
        <f t="shared" si="98"/>
        <v>0</v>
      </c>
      <c r="AB172" s="6">
        <f t="shared" si="97"/>
        <v>1</v>
      </c>
      <c r="AC172" s="6">
        <f t="shared" si="97"/>
        <v>0</v>
      </c>
      <c r="AD172" s="6">
        <f t="shared" si="97"/>
        <v>0</v>
      </c>
      <c r="AE172" s="6">
        <f t="shared" si="97"/>
        <v>0</v>
      </c>
      <c r="AF172" s="6">
        <f t="shared" si="97"/>
        <v>4</v>
      </c>
      <c r="AG172" s="6">
        <f t="shared" si="97"/>
        <v>1</v>
      </c>
      <c r="AH172" s="6">
        <f t="shared" si="97"/>
        <v>1</v>
      </c>
      <c r="AI172" s="6">
        <f t="shared" si="97"/>
        <v>0</v>
      </c>
      <c r="AJ172" s="6">
        <f t="shared" si="97"/>
        <v>3</v>
      </c>
      <c r="AK172" s="6">
        <f t="shared" si="97"/>
        <v>1</v>
      </c>
      <c r="AL172" s="6">
        <f t="shared" si="97"/>
        <v>8</v>
      </c>
      <c r="AM172" s="6">
        <f t="shared" ref="AM172" si="99">SUM(AM162:AM171)</f>
        <v>7</v>
      </c>
      <c r="AN172" s="6">
        <f t="shared" ref="AN172" si="100">SUM(AN162:AN171)</f>
        <v>0</v>
      </c>
      <c r="AO172" s="6">
        <f t="shared" ref="AO172" si="101">SUM(AO162:AO171)</f>
        <v>3</v>
      </c>
      <c r="AP172" s="6">
        <f t="shared" ref="AP172" si="102">SUM(AP162:AP171)</f>
        <v>3</v>
      </c>
      <c r="AQ172" s="6">
        <f t="shared" ref="AQ172:AW172" si="103">SUM(AQ162:AQ171)</f>
        <v>1</v>
      </c>
      <c r="AR172" s="6">
        <f t="shared" si="103"/>
        <v>0</v>
      </c>
      <c r="AS172" s="6">
        <f t="shared" si="103"/>
        <v>0</v>
      </c>
      <c r="AT172" s="6">
        <f t="shared" si="103"/>
        <v>0</v>
      </c>
      <c r="AU172" s="6">
        <f t="shared" si="103"/>
        <v>1</v>
      </c>
      <c r="AV172" s="6">
        <f t="shared" si="103"/>
        <v>1</v>
      </c>
      <c r="AW172" s="6">
        <f t="shared" si="103"/>
        <v>0</v>
      </c>
      <c r="AX172" s="6">
        <f t="shared" ref="AX172" si="104">SUM(AX162:AX171)</f>
        <v>0</v>
      </c>
      <c r="AY172" s="6">
        <f t="shared" ref="AY172" si="105">SUM(AY162:AY171)</f>
        <v>0</v>
      </c>
      <c r="AZ172" s="6">
        <f t="shared" ref="AZ172" si="106">SUM(AZ162:AZ171)</f>
        <v>1</v>
      </c>
      <c r="BA172" s="6">
        <f t="shared" ref="BA172" si="107">SUM(BA162:BA171)</f>
        <v>1</v>
      </c>
      <c r="BB172" s="6">
        <f t="shared" ref="BB172" si="108">SUM(BB162:BB171)</f>
        <v>1</v>
      </c>
      <c r="BC172" s="6">
        <f t="shared" ref="BC172" si="109">SUM(BC162:BC171)</f>
        <v>1</v>
      </c>
      <c r="BD172" s="6">
        <f t="shared" ref="BD172" si="110">SUM(BD162:BD171)</f>
        <v>0</v>
      </c>
      <c r="BE172" s="5">
        <f t="shared" ref="BE172" si="111">SUM(BE162:BE171)</f>
        <v>71</v>
      </c>
    </row>
    <row r="173" spans="1:57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98"/>
    </row>
    <row r="174" spans="1:57" x14ac:dyDescent="0.4">
      <c r="A174" s="11" t="s">
        <v>48</v>
      </c>
      <c r="B174" s="17" t="s">
        <v>73</v>
      </c>
      <c r="C174" s="83" t="s">
        <v>74</v>
      </c>
      <c r="D174" s="55"/>
      <c r="E174" s="6">
        <v>3</v>
      </c>
      <c r="F174" s="6">
        <v>3</v>
      </c>
      <c r="G174" s="6">
        <v>1</v>
      </c>
      <c r="H174" s="6">
        <v>1</v>
      </c>
      <c r="I174" s="6">
        <v>1</v>
      </c>
      <c r="J174" s="6">
        <v>0</v>
      </c>
      <c r="K174" s="6">
        <v>2</v>
      </c>
      <c r="L174" s="6">
        <v>0</v>
      </c>
      <c r="M174" s="6">
        <v>0</v>
      </c>
      <c r="N174" s="6">
        <v>1</v>
      </c>
      <c r="O174" s="6">
        <v>2</v>
      </c>
      <c r="P174" s="6">
        <v>1</v>
      </c>
      <c r="Q174" s="6">
        <v>2</v>
      </c>
      <c r="R174" s="6">
        <v>3</v>
      </c>
      <c r="S174" s="6">
        <v>1</v>
      </c>
      <c r="T174" s="6">
        <v>1</v>
      </c>
      <c r="U174" s="6">
        <v>3</v>
      </c>
      <c r="V174" s="6">
        <v>2</v>
      </c>
      <c r="W174" s="6">
        <v>4</v>
      </c>
      <c r="X174" s="6">
        <v>0</v>
      </c>
      <c r="Y174" s="6">
        <v>2</v>
      </c>
      <c r="Z174" s="6">
        <v>1</v>
      </c>
      <c r="AA174" s="6">
        <v>1</v>
      </c>
      <c r="AB174" s="6">
        <v>1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5</v>
      </c>
      <c r="AI174" s="6">
        <v>7</v>
      </c>
      <c r="AJ174" s="6">
        <v>11</v>
      </c>
      <c r="AK174" s="6">
        <v>4</v>
      </c>
      <c r="AL174" s="6">
        <v>6</v>
      </c>
      <c r="AM174" s="6">
        <v>8</v>
      </c>
      <c r="AN174" s="6">
        <v>1</v>
      </c>
      <c r="AO174" s="6">
        <v>2</v>
      </c>
      <c r="AP174" s="6">
        <v>0</v>
      </c>
      <c r="AQ174" s="6">
        <v>3</v>
      </c>
      <c r="AR174" s="6">
        <v>1</v>
      </c>
      <c r="AS174" s="6">
        <v>1</v>
      </c>
      <c r="AT174" s="6">
        <v>1</v>
      </c>
      <c r="AU174" s="6">
        <v>2</v>
      </c>
      <c r="AV174" s="6">
        <v>2</v>
      </c>
      <c r="AW174" s="6">
        <v>1</v>
      </c>
      <c r="AX174" s="6">
        <v>1</v>
      </c>
      <c r="AY174" s="6">
        <v>1</v>
      </c>
      <c r="AZ174" s="6">
        <v>3</v>
      </c>
      <c r="BA174" s="6">
        <v>1</v>
      </c>
      <c r="BB174" s="6">
        <v>2</v>
      </c>
      <c r="BC174" s="6"/>
      <c r="BD174" s="6"/>
      <c r="BE174" s="5">
        <f t="shared" ref="BE174:BE183" si="112">SUM(E174:BD174)</f>
        <v>99</v>
      </c>
    </row>
    <row r="175" spans="1:57" x14ac:dyDescent="0.4">
      <c r="A175" s="11" t="s">
        <v>50</v>
      </c>
      <c r="B175" s="47"/>
      <c r="C175" s="24" t="s">
        <v>200</v>
      </c>
      <c r="D175" s="45"/>
      <c r="E175" s="6">
        <v>3</v>
      </c>
      <c r="F175" s="6">
        <v>0</v>
      </c>
      <c r="G175" s="6">
        <v>2</v>
      </c>
      <c r="H175" s="6">
        <v>1</v>
      </c>
      <c r="I175" s="6">
        <v>3</v>
      </c>
      <c r="J175" s="6">
        <v>3</v>
      </c>
      <c r="K175" s="6">
        <v>0</v>
      </c>
      <c r="L175" s="6">
        <v>2</v>
      </c>
      <c r="M175" s="6">
        <v>1</v>
      </c>
      <c r="N175" s="6">
        <v>1</v>
      </c>
      <c r="O175" s="6">
        <v>3</v>
      </c>
      <c r="P175" s="6">
        <v>3</v>
      </c>
      <c r="Q175" s="6">
        <v>4</v>
      </c>
      <c r="R175" s="6">
        <v>1</v>
      </c>
      <c r="S175" s="6">
        <v>3</v>
      </c>
      <c r="T175" s="6">
        <v>0</v>
      </c>
      <c r="U175" s="6">
        <v>1</v>
      </c>
      <c r="V175" s="6">
        <v>3</v>
      </c>
      <c r="W175" s="6">
        <v>7</v>
      </c>
      <c r="X175" s="6">
        <v>1</v>
      </c>
      <c r="Y175" s="6">
        <v>1</v>
      </c>
      <c r="Z175" s="6">
        <v>4</v>
      </c>
      <c r="AA175" s="6">
        <v>2</v>
      </c>
      <c r="AB175" s="6">
        <v>0</v>
      </c>
      <c r="AC175" s="6">
        <v>2</v>
      </c>
      <c r="AD175" s="6">
        <v>0</v>
      </c>
      <c r="AE175" s="6">
        <v>0</v>
      </c>
      <c r="AF175" s="6">
        <v>6</v>
      </c>
      <c r="AG175" s="6">
        <v>2</v>
      </c>
      <c r="AH175" s="6">
        <v>22</v>
      </c>
      <c r="AI175" s="6">
        <v>17</v>
      </c>
      <c r="AJ175" s="6">
        <v>10</v>
      </c>
      <c r="AK175" s="6">
        <v>11</v>
      </c>
      <c r="AL175" s="6">
        <v>3</v>
      </c>
      <c r="AM175" s="6">
        <v>3</v>
      </c>
      <c r="AN175" s="6">
        <v>2</v>
      </c>
      <c r="AO175" s="6">
        <v>0</v>
      </c>
      <c r="AP175" s="6">
        <v>1</v>
      </c>
      <c r="AQ175" s="6">
        <v>2</v>
      </c>
      <c r="AR175" s="6">
        <v>3</v>
      </c>
      <c r="AS175" s="6">
        <v>1</v>
      </c>
      <c r="AT175" s="6">
        <v>4</v>
      </c>
      <c r="AU175" s="6">
        <v>5</v>
      </c>
      <c r="AV175" s="6">
        <v>0</v>
      </c>
      <c r="AW175" s="6">
        <v>0</v>
      </c>
      <c r="AX175" s="6"/>
      <c r="AY175" s="6">
        <v>2</v>
      </c>
      <c r="AZ175" s="6">
        <v>4</v>
      </c>
      <c r="BA175" s="6">
        <v>3</v>
      </c>
      <c r="BB175" s="6"/>
      <c r="BC175" s="6"/>
      <c r="BD175" s="6"/>
      <c r="BE175" s="5">
        <f t="shared" si="112"/>
        <v>152</v>
      </c>
    </row>
    <row r="176" spans="1:57" x14ac:dyDescent="0.4">
      <c r="A176" s="7"/>
      <c r="B176" s="47"/>
      <c r="C176" s="24" t="s">
        <v>201</v>
      </c>
      <c r="D176" s="45"/>
      <c r="E176" s="6">
        <v>0</v>
      </c>
      <c r="F176" s="6">
        <v>1</v>
      </c>
      <c r="G176" s="6">
        <v>2</v>
      </c>
      <c r="H176" s="6">
        <v>0</v>
      </c>
      <c r="I176" s="6">
        <v>2</v>
      </c>
      <c r="J176" s="6">
        <v>0</v>
      </c>
      <c r="K176" s="6">
        <v>0</v>
      </c>
      <c r="L176" s="6">
        <v>2</v>
      </c>
      <c r="M176" s="6">
        <v>0</v>
      </c>
      <c r="N176" s="6">
        <v>1</v>
      </c>
      <c r="O176" s="6">
        <v>1</v>
      </c>
      <c r="P176" s="6">
        <v>3</v>
      </c>
      <c r="Q176" s="6">
        <v>2</v>
      </c>
      <c r="R176" s="6">
        <v>5</v>
      </c>
      <c r="S176" s="6">
        <v>1</v>
      </c>
      <c r="T176" s="6">
        <v>2</v>
      </c>
      <c r="U176" s="6">
        <v>0</v>
      </c>
      <c r="V176" s="6">
        <v>1</v>
      </c>
      <c r="W176" s="6">
        <v>4</v>
      </c>
      <c r="X176" s="6">
        <v>1</v>
      </c>
      <c r="Y176" s="6">
        <v>1</v>
      </c>
      <c r="Z176" s="6">
        <v>0</v>
      </c>
      <c r="AA176" s="6">
        <v>0</v>
      </c>
      <c r="AB176" s="6">
        <v>0</v>
      </c>
      <c r="AC176" s="6">
        <v>1</v>
      </c>
      <c r="AD176" s="6">
        <v>1</v>
      </c>
      <c r="AE176" s="6">
        <v>0</v>
      </c>
      <c r="AF176" s="6">
        <v>3</v>
      </c>
      <c r="AG176" s="6">
        <v>1</v>
      </c>
      <c r="AH176" s="6">
        <v>4</v>
      </c>
      <c r="AI176" s="6">
        <v>5</v>
      </c>
      <c r="AJ176" s="6">
        <v>14</v>
      </c>
      <c r="AK176" s="6">
        <v>0</v>
      </c>
      <c r="AL176" s="6">
        <v>3</v>
      </c>
      <c r="AM176" s="6">
        <v>6</v>
      </c>
      <c r="AN176" s="6">
        <v>1</v>
      </c>
      <c r="AO176" s="6">
        <v>0</v>
      </c>
      <c r="AP176" s="6">
        <v>6</v>
      </c>
      <c r="AQ176" s="6">
        <v>2</v>
      </c>
      <c r="AR176" s="6">
        <v>1</v>
      </c>
      <c r="AS176" s="6">
        <v>0</v>
      </c>
      <c r="AT176" s="6">
        <v>2</v>
      </c>
      <c r="AU176" s="6">
        <v>0</v>
      </c>
      <c r="AV176" s="6">
        <v>2</v>
      </c>
      <c r="AW176" s="6">
        <v>2</v>
      </c>
      <c r="AX176" s="6"/>
      <c r="AY176" s="6"/>
      <c r="AZ176" s="6">
        <v>4</v>
      </c>
      <c r="BA176" s="6"/>
      <c r="BB176" s="6">
        <v>1</v>
      </c>
      <c r="BC176" s="6">
        <v>1</v>
      </c>
      <c r="BD176" s="6">
        <v>2</v>
      </c>
      <c r="BE176" s="5">
        <f t="shared" si="112"/>
        <v>91</v>
      </c>
    </row>
    <row r="177" spans="1:57" x14ac:dyDescent="0.4">
      <c r="A177" s="7"/>
      <c r="B177" s="47"/>
      <c r="C177" s="24" t="s">
        <v>202</v>
      </c>
      <c r="D177" s="45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1</v>
      </c>
      <c r="L177" s="6">
        <v>1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1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2</v>
      </c>
      <c r="AJ177" s="6">
        <v>0</v>
      </c>
      <c r="AK177" s="6">
        <v>1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2</v>
      </c>
      <c r="AR177" s="6">
        <v>0</v>
      </c>
      <c r="AS177" s="6">
        <v>1</v>
      </c>
      <c r="AT177" s="6">
        <v>1</v>
      </c>
      <c r="AU177" s="6">
        <v>2</v>
      </c>
      <c r="AV177" s="6">
        <v>1</v>
      </c>
      <c r="AW177" s="6">
        <v>1</v>
      </c>
      <c r="AX177" s="6"/>
      <c r="AY177" s="6"/>
      <c r="AZ177" s="6">
        <v>1</v>
      </c>
      <c r="BA177" s="6"/>
      <c r="BB177" s="6"/>
      <c r="BC177" s="6"/>
      <c r="BD177" s="6"/>
      <c r="BE177" s="5">
        <f t="shared" si="112"/>
        <v>17</v>
      </c>
    </row>
    <row r="178" spans="1:57" x14ac:dyDescent="0.4">
      <c r="A178" s="7"/>
      <c r="B178" s="47"/>
      <c r="C178" s="24" t="s">
        <v>203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1</v>
      </c>
      <c r="AI178" s="6">
        <v>1</v>
      </c>
      <c r="AJ178" s="6">
        <v>0</v>
      </c>
      <c r="AK178" s="6">
        <v>0</v>
      </c>
      <c r="AL178" s="6">
        <v>0</v>
      </c>
      <c r="AM178" s="6">
        <v>0</v>
      </c>
      <c r="AN178" s="6">
        <v>2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1</v>
      </c>
      <c r="AU178" s="6">
        <v>0</v>
      </c>
      <c r="AV178" s="6">
        <v>0</v>
      </c>
      <c r="AW178" s="6">
        <v>1</v>
      </c>
      <c r="AX178" s="6"/>
      <c r="AY178" s="6"/>
      <c r="AZ178" s="6"/>
      <c r="BA178" s="6">
        <v>2</v>
      </c>
      <c r="BB178" s="6">
        <v>1</v>
      </c>
      <c r="BC178" s="6"/>
      <c r="BD178" s="6"/>
      <c r="BE178" s="5">
        <f t="shared" si="112"/>
        <v>12</v>
      </c>
    </row>
    <row r="179" spans="1:57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1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1</v>
      </c>
      <c r="AU179" s="6">
        <v>0</v>
      </c>
      <c r="AV179" s="6">
        <v>0</v>
      </c>
      <c r="AW179" s="6">
        <v>1</v>
      </c>
      <c r="AX179" s="6"/>
      <c r="AY179" s="6"/>
      <c r="AZ179" s="6">
        <v>1</v>
      </c>
      <c r="BA179" s="6"/>
      <c r="BB179" s="6"/>
      <c r="BC179" s="6"/>
      <c r="BD179" s="6"/>
      <c r="BE179" s="5">
        <f t="shared" si="112"/>
        <v>6</v>
      </c>
    </row>
    <row r="180" spans="1:57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6">
        <v>0</v>
      </c>
      <c r="AL180" s="6">
        <v>0</v>
      </c>
      <c r="AM180" s="6">
        <v>1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1</v>
      </c>
      <c r="AT180" s="6">
        <v>0</v>
      </c>
      <c r="AU180" s="6">
        <v>1</v>
      </c>
      <c r="AV180" s="6">
        <v>0</v>
      </c>
      <c r="AW180" s="6">
        <v>0</v>
      </c>
      <c r="AX180" s="6"/>
      <c r="AY180" s="6"/>
      <c r="AZ180" s="6"/>
      <c r="BA180" s="6"/>
      <c r="BB180" s="6"/>
      <c r="BC180" s="6"/>
      <c r="BD180" s="6"/>
      <c r="BE180" s="5">
        <f t="shared" si="112"/>
        <v>5</v>
      </c>
    </row>
    <row r="181" spans="1:57" x14ac:dyDescent="0.4">
      <c r="A181" s="7"/>
      <c r="B181" s="47"/>
      <c r="C181" s="24" t="s">
        <v>206</v>
      </c>
      <c r="D181" s="45"/>
      <c r="E181" s="6">
        <v>0</v>
      </c>
      <c r="F181" s="6">
        <v>0</v>
      </c>
      <c r="G181" s="6">
        <v>1</v>
      </c>
      <c r="H181" s="6">
        <v>0</v>
      </c>
      <c r="I181" s="6">
        <v>0</v>
      </c>
      <c r="J181" s="6">
        <v>0</v>
      </c>
      <c r="K181" s="6">
        <v>1</v>
      </c>
      <c r="L181" s="6">
        <v>1</v>
      </c>
      <c r="M181" s="6">
        <v>0</v>
      </c>
      <c r="N181" s="6">
        <v>0</v>
      </c>
      <c r="O181" s="6">
        <v>1</v>
      </c>
      <c r="P181" s="6">
        <v>3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1</v>
      </c>
      <c r="AG181" s="6">
        <v>0</v>
      </c>
      <c r="AH181" s="6">
        <v>2</v>
      </c>
      <c r="AI181" s="6">
        <v>0</v>
      </c>
      <c r="AJ181" s="6">
        <v>0</v>
      </c>
      <c r="AK181" s="6">
        <v>1</v>
      </c>
      <c r="AL181" s="6">
        <v>0</v>
      </c>
      <c r="AM181" s="6">
        <v>1</v>
      </c>
      <c r="AN181" s="6">
        <v>1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/>
      <c r="AY181" s="6"/>
      <c r="AZ181" s="6">
        <v>1</v>
      </c>
      <c r="BA181" s="6"/>
      <c r="BB181" s="6"/>
      <c r="BC181" s="6"/>
      <c r="BD181" s="6"/>
      <c r="BE181" s="5">
        <f t="shared" si="112"/>
        <v>14</v>
      </c>
    </row>
    <row r="182" spans="1:57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1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/>
      <c r="AY182" s="6"/>
      <c r="AZ182" s="6"/>
      <c r="BA182" s="6"/>
      <c r="BB182" s="6"/>
      <c r="BC182" s="6"/>
      <c r="BD182" s="6"/>
      <c r="BE182" s="5">
        <f t="shared" si="112"/>
        <v>1</v>
      </c>
    </row>
    <row r="183" spans="1:57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1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1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/>
      <c r="AY183" s="6"/>
      <c r="AZ183" s="6"/>
      <c r="BA183" s="6"/>
      <c r="BB183" s="6"/>
      <c r="BC183" s="6"/>
      <c r="BD183" s="6"/>
      <c r="BE183" s="5">
        <f t="shared" si="112"/>
        <v>2</v>
      </c>
    </row>
    <row r="184" spans="1:57" x14ac:dyDescent="0.4">
      <c r="A184" s="6" t="s">
        <v>26</v>
      </c>
      <c r="B184" s="74" t="s">
        <v>51</v>
      </c>
      <c r="C184" s="84"/>
      <c r="D184" s="85"/>
      <c r="E184" s="6">
        <f t="shared" ref="E184:AL184" si="113">SUM(E174:E183)</f>
        <v>6</v>
      </c>
      <c r="F184" s="6">
        <f t="shared" ref="F184:AA184" si="114">SUM(F174:F183)</f>
        <v>4</v>
      </c>
      <c r="G184" s="6">
        <f t="shared" si="114"/>
        <v>7</v>
      </c>
      <c r="H184" s="6">
        <f t="shared" si="114"/>
        <v>2</v>
      </c>
      <c r="I184" s="6">
        <f t="shared" si="114"/>
        <v>7</v>
      </c>
      <c r="J184" s="6">
        <f t="shared" si="114"/>
        <v>4</v>
      </c>
      <c r="K184" s="6">
        <f t="shared" si="114"/>
        <v>4</v>
      </c>
      <c r="L184" s="6">
        <f t="shared" si="114"/>
        <v>6</v>
      </c>
      <c r="M184" s="6">
        <f t="shared" si="114"/>
        <v>1</v>
      </c>
      <c r="N184" s="6">
        <f t="shared" si="114"/>
        <v>3</v>
      </c>
      <c r="O184" s="6">
        <f t="shared" si="114"/>
        <v>8</v>
      </c>
      <c r="P184" s="6">
        <f t="shared" si="114"/>
        <v>10</v>
      </c>
      <c r="Q184" s="6">
        <f t="shared" si="114"/>
        <v>8</v>
      </c>
      <c r="R184" s="6">
        <f t="shared" si="114"/>
        <v>10</v>
      </c>
      <c r="S184" s="6">
        <f t="shared" si="114"/>
        <v>5</v>
      </c>
      <c r="T184" s="6">
        <f t="shared" si="114"/>
        <v>4</v>
      </c>
      <c r="U184" s="6">
        <f t="shared" si="114"/>
        <v>5</v>
      </c>
      <c r="V184" s="6">
        <f t="shared" si="114"/>
        <v>6</v>
      </c>
      <c r="W184" s="6">
        <f t="shared" si="114"/>
        <v>15</v>
      </c>
      <c r="X184" s="6">
        <f t="shared" si="114"/>
        <v>2</v>
      </c>
      <c r="Y184" s="6">
        <f t="shared" si="114"/>
        <v>5</v>
      </c>
      <c r="Z184" s="6">
        <f t="shared" si="114"/>
        <v>5</v>
      </c>
      <c r="AA184" s="6">
        <f t="shared" si="114"/>
        <v>3</v>
      </c>
      <c r="AB184" s="6">
        <f t="shared" si="113"/>
        <v>1</v>
      </c>
      <c r="AC184" s="6">
        <f t="shared" si="113"/>
        <v>3</v>
      </c>
      <c r="AD184" s="6">
        <f t="shared" si="113"/>
        <v>1</v>
      </c>
      <c r="AE184" s="6">
        <f t="shared" si="113"/>
        <v>0</v>
      </c>
      <c r="AF184" s="6">
        <f t="shared" si="113"/>
        <v>10</v>
      </c>
      <c r="AG184" s="6">
        <f t="shared" si="113"/>
        <v>5</v>
      </c>
      <c r="AH184" s="6">
        <f t="shared" si="113"/>
        <v>34</v>
      </c>
      <c r="AI184" s="6">
        <f t="shared" si="113"/>
        <v>32</v>
      </c>
      <c r="AJ184" s="6">
        <f t="shared" si="113"/>
        <v>36</v>
      </c>
      <c r="AK184" s="6">
        <f t="shared" si="113"/>
        <v>17</v>
      </c>
      <c r="AL184" s="6">
        <f t="shared" si="113"/>
        <v>12</v>
      </c>
      <c r="AM184" s="6">
        <f t="shared" ref="AM184" si="115">SUM(AM174:AM183)</f>
        <v>21</v>
      </c>
      <c r="AN184" s="6">
        <f t="shared" ref="AN184" si="116">SUM(AN174:AN183)</f>
        <v>7</v>
      </c>
      <c r="AO184" s="6">
        <f t="shared" ref="AO184" si="117">SUM(AO174:AO183)</f>
        <v>3</v>
      </c>
      <c r="AP184" s="6">
        <f t="shared" ref="AP184" si="118">SUM(AP174:AP183)</f>
        <v>7</v>
      </c>
      <c r="AQ184" s="6">
        <f t="shared" ref="AQ184:AW184" si="119">SUM(AQ174:AQ183)</f>
        <v>9</v>
      </c>
      <c r="AR184" s="6">
        <f t="shared" si="119"/>
        <v>5</v>
      </c>
      <c r="AS184" s="6">
        <f t="shared" si="119"/>
        <v>4</v>
      </c>
      <c r="AT184" s="6">
        <f t="shared" si="119"/>
        <v>10</v>
      </c>
      <c r="AU184" s="6">
        <f t="shared" si="119"/>
        <v>10</v>
      </c>
      <c r="AV184" s="6">
        <f t="shared" si="119"/>
        <v>5</v>
      </c>
      <c r="AW184" s="6">
        <f t="shared" si="119"/>
        <v>6</v>
      </c>
      <c r="AX184" s="6">
        <f t="shared" ref="AX184" si="120">SUM(AX174:AX183)</f>
        <v>1</v>
      </c>
      <c r="AY184" s="6">
        <f t="shared" ref="AY184" si="121">SUM(AY174:AY183)</f>
        <v>3</v>
      </c>
      <c r="AZ184" s="6">
        <f t="shared" ref="AZ184" si="122">SUM(AZ174:AZ183)</f>
        <v>14</v>
      </c>
      <c r="BA184" s="6">
        <f t="shared" ref="BA184" si="123">SUM(BA174:BA183)</f>
        <v>6</v>
      </c>
      <c r="BB184" s="6">
        <f t="shared" ref="BB184" si="124">SUM(BB174:BB183)</f>
        <v>4</v>
      </c>
      <c r="BC184" s="6">
        <f t="shared" ref="BC184" si="125">SUM(BC174:BC183)</f>
        <v>1</v>
      </c>
      <c r="BD184" s="6">
        <f t="shared" ref="BD184" si="126">SUM(BD174:BD183)</f>
        <v>2</v>
      </c>
      <c r="BE184" s="5">
        <f t="shared" ref="BE184" si="127">SUM(BE174:BE183)</f>
        <v>399</v>
      </c>
    </row>
    <row r="185" spans="1:57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98"/>
    </row>
    <row r="186" spans="1:57" x14ac:dyDescent="0.4">
      <c r="A186" s="11" t="s">
        <v>48</v>
      </c>
      <c r="B186" s="17" t="s">
        <v>75</v>
      </c>
      <c r="C186" s="83" t="s">
        <v>76</v>
      </c>
      <c r="D186" s="55"/>
      <c r="E186" s="6">
        <v>2</v>
      </c>
      <c r="F186" s="6">
        <v>2</v>
      </c>
      <c r="G186" s="6">
        <v>3</v>
      </c>
      <c r="H186" s="6">
        <v>1</v>
      </c>
      <c r="I186" s="6">
        <v>3</v>
      </c>
      <c r="J186" s="6">
        <v>3</v>
      </c>
      <c r="K186" s="6">
        <v>3</v>
      </c>
      <c r="L186" s="6">
        <v>0</v>
      </c>
      <c r="M186" s="6">
        <v>0</v>
      </c>
      <c r="N186" s="6">
        <v>2</v>
      </c>
      <c r="O186" s="6">
        <v>1</v>
      </c>
      <c r="P186" s="6">
        <v>2</v>
      </c>
      <c r="Q186" s="6">
        <v>3</v>
      </c>
      <c r="R186" s="6">
        <v>8</v>
      </c>
      <c r="S186" s="6">
        <v>2</v>
      </c>
      <c r="T186" s="6">
        <v>2</v>
      </c>
      <c r="U186" s="6">
        <v>1</v>
      </c>
      <c r="V186" s="6">
        <v>2</v>
      </c>
      <c r="W186" s="6">
        <v>2</v>
      </c>
      <c r="X186" s="6">
        <v>0</v>
      </c>
      <c r="Y186" s="6">
        <v>1</v>
      </c>
      <c r="Z186" s="6">
        <v>2</v>
      </c>
      <c r="AA186" s="6">
        <v>0</v>
      </c>
      <c r="AB186" s="6">
        <v>1</v>
      </c>
      <c r="AC186" s="6">
        <v>0</v>
      </c>
      <c r="AD186" s="6">
        <v>0</v>
      </c>
      <c r="AE186" s="6">
        <v>2</v>
      </c>
      <c r="AF186" s="6">
        <v>4</v>
      </c>
      <c r="AG186" s="6">
        <v>2</v>
      </c>
      <c r="AH186" s="6">
        <v>1</v>
      </c>
      <c r="AI186" s="6">
        <v>0</v>
      </c>
      <c r="AJ186" s="6">
        <v>3</v>
      </c>
      <c r="AK186" s="6">
        <v>1</v>
      </c>
      <c r="AL186" s="6">
        <v>2</v>
      </c>
      <c r="AM186" s="6">
        <v>3</v>
      </c>
      <c r="AN186" s="6">
        <v>1</v>
      </c>
      <c r="AO186" s="6">
        <v>1</v>
      </c>
      <c r="AP186" s="6">
        <v>1</v>
      </c>
      <c r="AQ186" s="6">
        <v>2</v>
      </c>
      <c r="AR186" s="6">
        <v>0</v>
      </c>
      <c r="AS186" s="6">
        <v>0</v>
      </c>
      <c r="AT186" s="6">
        <v>0</v>
      </c>
      <c r="AU186" s="6">
        <v>2</v>
      </c>
      <c r="AV186" s="6">
        <v>2</v>
      </c>
      <c r="AW186" s="6">
        <v>1</v>
      </c>
      <c r="AX186" s="6">
        <v>4</v>
      </c>
      <c r="AY186" s="6">
        <v>1</v>
      </c>
      <c r="AZ186" s="6">
        <v>8</v>
      </c>
      <c r="BA186" s="6">
        <v>1</v>
      </c>
      <c r="BB186" s="6">
        <v>1</v>
      </c>
      <c r="BC186" s="6">
        <v>0</v>
      </c>
      <c r="BD186" s="6">
        <v>2</v>
      </c>
      <c r="BE186" s="5">
        <f t="shared" ref="BE186:BE189" si="128">SUM(E186:BD186)</f>
        <v>91</v>
      </c>
    </row>
    <row r="187" spans="1:57" x14ac:dyDescent="0.4">
      <c r="A187" s="11" t="s">
        <v>50</v>
      </c>
      <c r="B187" s="47"/>
      <c r="C187" s="24" t="s">
        <v>209</v>
      </c>
      <c r="D187" s="48"/>
      <c r="E187" s="6">
        <v>3</v>
      </c>
      <c r="F187" s="6">
        <v>1</v>
      </c>
      <c r="G187" s="6">
        <v>5</v>
      </c>
      <c r="H187" s="6">
        <v>1</v>
      </c>
      <c r="I187" s="6">
        <v>0</v>
      </c>
      <c r="J187" s="6">
        <v>2</v>
      </c>
      <c r="K187" s="6">
        <v>2</v>
      </c>
      <c r="L187" s="6">
        <v>2</v>
      </c>
      <c r="M187" s="6">
        <v>1</v>
      </c>
      <c r="N187" s="6">
        <v>1</v>
      </c>
      <c r="O187" s="6">
        <v>0</v>
      </c>
      <c r="P187" s="6">
        <v>3</v>
      </c>
      <c r="Q187" s="6">
        <v>1</v>
      </c>
      <c r="R187" s="6">
        <v>4</v>
      </c>
      <c r="S187" s="6">
        <v>4</v>
      </c>
      <c r="T187" s="6">
        <v>0</v>
      </c>
      <c r="U187" s="6">
        <v>0</v>
      </c>
      <c r="V187" s="6">
        <v>2</v>
      </c>
      <c r="W187" s="6">
        <v>1</v>
      </c>
      <c r="X187" s="6">
        <v>0</v>
      </c>
      <c r="Y187" s="6">
        <v>0</v>
      </c>
      <c r="Z187" s="6">
        <v>4</v>
      </c>
      <c r="AA187" s="6">
        <v>5</v>
      </c>
      <c r="AB187" s="6">
        <v>6</v>
      </c>
      <c r="AC187" s="6">
        <v>3</v>
      </c>
      <c r="AD187" s="6">
        <v>0</v>
      </c>
      <c r="AE187" s="6">
        <v>2</v>
      </c>
      <c r="AF187" s="6">
        <v>1</v>
      </c>
      <c r="AG187" s="6">
        <v>0</v>
      </c>
      <c r="AH187" s="6">
        <v>3</v>
      </c>
      <c r="AI187" s="6">
        <v>2</v>
      </c>
      <c r="AJ187" s="6">
        <v>1</v>
      </c>
      <c r="AK187" s="6">
        <v>1</v>
      </c>
      <c r="AL187" s="6">
        <v>1</v>
      </c>
      <c r="AM187" s="6">
        <v>1</v>
      </c>
      <c r="AN187" s="6">
        <v>1</v>
      </c>
      <c r="AO187" s="6">
        <v>2</v>
      </c>
      <c r="AP187" s="6">
        <v>1</v>
      </c>
      <c r="AQ187" s="6">
        <v>0</v>
      </c>
      <c r="AR187" s="6">
        <v>0</v>
      </c>
      <c r="AS187" s="6">
        <v>1</v>
      </c>
      <c r="AT187" s="6">
        <v>0</v>
      </c>
      <c r="AU187" s="6">
        <v>0</v>
      </c>
      <c r="AV187" s="6">
        <v>1</v>
      </c>
      <c r="AW187" s="6">
        <v>3</v>
      </c>
      <c r="AX187" s="6">
        <v>6</v>
      </c>
      <c r="AY187" s="6">
        <v>2</v>
      </c>
      <c r="AZ187" s="6">
        <v>10</v>
      </c>
      <c r="BA187" s="6">
        <v>3</v>
      </c>
      <c r="BB187" s="6">
        <v>1</v>
      </c>
      <c r="BC187" s="6">
        <v>1</v>
      </c>
      <c r="BD187" s="6">
        <v>3</v>
      </c>
      <c r="BE187" s="5">
        <f t="shared" si="128"/>
        <v>98</v>
      </c>
    </row>
    <row r="188" spans="1:57" x14ac:dyDescent="0.4">
      <c r="A188" s="7"/>
      <c r="B188" s="47"/>
      <c r="C188" s="24" t="s">
        <v>210</v>
      </c>
      <c r="D188" s="48"/>
      <c r="E188" s="6">
        <v>1</v>
      </c>
      <c r="F188" s="6">
        <v>2</v>
      </c>
      <c r="G188" s="6">
        <v>2</v>
      </c>
      <c r="H188" s="6">
        <v>4</v>
      </c>
      <c r="I188" s="6">
        <v>3</v>
      </c>
      <c r="J188" s="6">
        <v>2</v>
      </c>
      <c r="K188" s="6">
        <v>1</v>
      </c>
      <c r="L188" s="6">
        <v>4</v>
      </c>
      <c r="M188" s="6">
        <v>0</v>
      </c>
      <c r="N188" s="6">
        <v>0</v>
      </c>
      <c r="O188" s="6">
        <v>1</v>
      </c>
      <c r="P188" s="6">
        <v>2</v>
      </c>
      <c r="Q188" s="6">
        <v>5</v>
      </c>
      <c r="R188" s="6">
        <v>3</v>
      </c>
      <c r="S188" s="6">
        <v>0</v>
      </c>
      <c r="T188" s="6">
        <v>0</v>
      </c>
      <c r="U188" s="6">
        <v>1</v>
      </c>
      <c r="V188" s="6">
        <v>1</v>
      </c>
      <c r="W188" s="6">
        <v>1</v>
      </c>
      <c r="X188" s="6">
        <v>0</v>
      </c>
      <c r="Y188" s="6">
        <v>0</v>
      </c>
      <c r="Z188" s="6">
        <v>1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1</v>
      </c>
      <c r="AI188" s="6">
        <v>0</v>
      </c>
      <c r="AJ188" s="6">
        <v>2</v>
      </c>
      <c r="AK188" s="6">
        <v>3</v>
      </c>
      <c r="AL188" s="6">
        <v>1</v>
      </c>
      <c r="AM188" s="6">
        <v>2</v>
      </c>
      <c r="AN188" s="6">
        <v>1</v>
      </c>
      <c r="AO188" s="6">
        <v>0</v>
      </c>
      <c r="AP188" s="6">
        <v>0</v>
      </c>
      <c r="AQ188" s="6">
        <v>2</v>
      </c>
      <c r="AR188" s="6">
        <v>1</v>
      </c>
      <c r="AS188" s="6">
        <v>0</v>
      </c>
      <c r="AT188" s="6">
        <v>2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1</v>
      </c>
      <c r="BA188" s="6">
        <v>2</v>
      </c>
      <c r="BB188" s="6">
        <v>0</v>
      </c>
      <c r="BC188" s="6">
        <v>1</v>
      </c>
      <c r="BD188" s="6">
        <v>1</v>
      </c>
      <c r="BE188" s="5">
        <f t="shared" si="128"/>
        <v>54</v>
      </c>
    </row>
    <row r="189" spans="1:57" x14ac:dyDescent="0.4">
      <c r="A189" s="7"/>
      <c r="B189" s="47"/>
      <c r="C189" s="24" t="s">
        <v>211</v>
      </c>
      <c r="E189" s="6">
        <v>0</v>
      </c>
      <c r="F189" s="6">
        <v>1</v>
      </c>
      <c r="G189" s="6">
        <v>1</v>
      </c>
      <c r="H189" s="6">
        <v>0</v>
      </c>
      <c r="I189" s="6">
        <v>2</v>
      </c>
      <c r="J189" s="6">
        <v>0</v>
      </c>
      <c r="K189" s="6">
        <v>0</v>
      </c>
      <c r="L189" s="6">
        <v>1</v>
      </c>
      <c r="M189" s="6">
        <v>0</v>
      </c>
      <c r="N189" s="6">
        <v>0</v>
      </c>
      <c r="O189" s="6">
        <v>0</v>
      </c>
      <c r="P189" s="6">
        <v>0</v>
      </c>
      <c r="Q189" s="6">
        <v>2</v>
      </c>
      <c r="R189" s="6">
        <v>0</v>
      </c>
      <c r="S189" s="6">
        <v>1</v>
      </c>
      <c r="T189" s="6">
        <v>1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1</v>
      </c>
      <c r="AM189" s="6">
        <v>0</v>
      </c>
      <c r="AN189" s="6">
        <v>0</v>
      </c>
      <c r="AO189" s="6">
        <v>0</v>
      </c>
      <c r="AP189" s="6">
        <v>1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1</v>
      </c>
      <c r="BA189" s="6">
        <v>0</v>
      </c>
      <c r="BB189" s="6">
        <v>0</v>
      </c>
      <c r="BC189" s="6">
        <v>0</v>
      </c>
      <c r="BD189" s="6">
        <v>0</v>
      </c>
      <c r="BE189" s="5">
        <f t="shared" si="128"/>
        <v>13</v>
      </c>
    </row>
    <row r="190" spans="1:57" x14ac:dyDescent="0.4">
      <c r="A190" s="6" t="s">
        <v>26</v>
      </c>
      <c r="B190" s="74" t="s">
        <v>51</v>
      </c>
      <c r="C190" s="84"/>
      <c r="D190" s="85"/>
      <c r="E190" s="6">
        <f t="shared" ref="E190:AJ190" si="129">SUM(E186:E189)</f>
        <v>6</v>
      </c>
      <c r="F190" s="6">
        <f t="shared" si="129"/>
        <v>6</v>
      </c>
      <c r="G190" s="6">
        <f t="shared" si="129"/>
        <v>11</v>
      </c>
      <c r="H190" s="6">
        <f t="shared" si="129"/>
        <v>6</v>
      </c>
      <c r="I190" s="6">
        <f t="shared" si="129"/>
        <v>8</v>
      </c>
      <c r="J190" s="6">
        <f t="shared" si="129"/>
        <v>7</v>
      </c>
      <c r="K190" s="6">
        <f t="shared" si="129"/>
        <v>6</v>
      </c>
      <c r="L190" s="6">
        <f t="shared" si="129"/>
        <v>7</v>
      </c>
      <c r="M190" s="6">
        <f t="shared" si="129"/>
        <v>1</v>
      </c>
      <c r="N190" s="6">
        <f t="shared" si="129"/>
        <v>3</v>
      </c>
      <c r="O190" s="6">
        <f t="shared" si="129"/>
        <v>2</v>
      </c>
      <c r="P190" s="6">
        <f t="shared" si="129"/>
        <v>7</v>
      </c>
      <c r="Q190" s="6">
        <f t="shared" si="129"/>
        <v>11</v>
      </c>
      <c r="R190" s="6">
        <f t="shared" si="129"/>
        <v>15</v>
      </c>
      <c r="S190" s="6">
        <f t="shared" si="129"/>
        <v>7</v>
      </c>
      <c r="T190" s="6">
        <f t="shared" si="129"/>
        <v>3</v>
      </c>
      <c r="U190" s="6">
        <f t="shared" si="129"/>
        <v>2</v>
      </c>
      <c r="V190" s="6">
        <f t="shared" si="129"/>
        <v>5</v>
      </c>
      <c r="W190" s="6">
        <f t="shared" si="129"/>
        <v>5</v>
      </c>
      <c r="X190" s="6">
        <f t="shared" si="129"/>
        <v>0</v>
      </c>
      <c r="Y190" s="6">
        <f t="shared" si="129"/>
        <v>1</v>
      </c>
      <c r="Z190" s="6">
        <f t="shared" si="129"/>
        <v>7</v>
      </c>
      <c r="AA190" s="6">
        <f t="shared" si="129"/>
        <v>5</v>
      </c>
      <c r="AB190" s="6">
        <f t="shared" si="129"/>
        <v>7</v>
      </c>
      <c r="AC190" s="6">
        <f t="shared" si="129"/>
        <v>3</v>
      </c>
      <c r="AD190" s="6">
        <f t="shared" si="129"/>
        <v>0</v>
      </c>
      <c r="AE190" s="6">
        <f t="shared" si="129"/>
        <v>4</v>
      </c>
      <c r="AF190" s="6">
        <f t="shared" si="129"/>
        <v>5</v>
      </c>
      <c r="AG190" s="6">
        <f t="shared" si="129"/>
        <v>2</v>
      </c>
      <c r="AH190" s="6">
        <f t="shared" si="129"/>
        <v>5</v>
      </c>
      <c r="AI190" s="6">
        <f t="shared" si="129"/>
        <v>2</v>
      </c>
      <c r="AJ190" s="6">
        <f t="shared" si="129"/>
        <v>6</v>
      </c>
      <c r="AK190" s="6">
        <f t="shared" ref="AK190:BE190" si="130">SUM(AK186:AK189)</f>
        <v>5</v>
      </c>
      <c r="AL190" s="6">
        <f t="shared" si="130"/>
        <v>5</v>
      </c>
      <c r="AM190" s="6">
        <f t="shared" si="130"/>
        <v>6</v>
      </c>
      <c r="AN190" s="6">
        <f t="shared" si="130"/>
        <v>3</v>
      </c>
      <c r="AO190" s="6">
        <f t="shared" si="130"/>
        <v>3</v>
      </c>
      <c r="AP190" s="6">
        <f t="shared" si="130"/>
        <v>3</v>
      </c>
      <c r="AQ190" s="6">
        <f t="shared" si="130"/>
        <v>4</v>
      </c>
      <c r="AR190" s="6">
        <f t="shared" si="130"/>
        <v>1</v>
      </c>
      <c r="AS190" s="6">
        <f t="shared" si="130"/>
        <v>1</v>
      </c>
      <c r="AT190" s="6">
        <f t="shared" si="130"/>
        <v>2</v>
      </c>
      <c r="AU190" s="6">
        <f t="shared" si="130"/>
        <v>2</v>
      </c>
      <c r="AV190" s="6">
        <f t="shared" si="130"/>
        <v>3</v>
      </c>
      <c r="AW190" s="6">
        <f t="shared" si="130"/>
        <v>4</v>
      </c>
      <c r="AX190" s="6">
        <f t="shared" si="130"/>
        <v>10</v>
      </c>
      <c r="AY190" s="6">
        <f t="shared" si="130"/>
        <v>3</v>
      </c>
      <c r="AZ190" s="6">
        <f t="shared" si="130"/>
        <v>20</v>
      </c>
      <c r="BA190" s="6">
        <f t="shared" si="130"/>
        <v>6</v>
      </c>
      <c r="BB190" s="6">
        <f t="shared" si="130"/>
        <v>2</v>
      </c>
      <c r="BC190" s="6">
        <f t="shared" si="130"/>
        <v>2</v>
      </c>
      <c r="BD190" s="6">
        <f t="shared" si="130"/>
        <v>6</v>
      </c>
      <c r="BE190" s="5">
        <f t="shared" si="130"/>
        <v>256</v>
      </c>
    </row>
    <row r="191" spans="1:57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98"/>
    </row>
    <row r="192" spans="1:57" x14ac:dyDescent="0.4">
      <c r="A192" s="11" t="s">
        <v>48</v>
      </c>
      <c r="B192" s="17" t="s">
        <v>77</v>
      </c>
      <c r="C192" s="83" t="s">
        <v>78</v>
      </c>
      <c r="D192" s="55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2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1</v>
      </c>
      <c r="AH192" s="6">
        <v>0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1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1</v>
      </c>
      <c r="BE192" s="5">
        <f t="shared" ref="BE192:BE196" si="131">SUM(E192:BD192)</f>
        <v>6</v>
      </c>
    </row>
    <row r="193" spans="1:57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1</v>
      </c>
      <c r="M193" s="6">
        <v>0</v>
      </c>
      <c r="N193" s="6">
        <v>0</v>
      </c>
      <c r="O193" s="6">
        <v>0</v>
      </c>
      <c r="P193" s="6">
        <v>1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5">
        <f t="shared" si="131"/>
        <v>2</v>
      </c>
    </row>
    <row r="194" spans="1:57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2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1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5">
        <f t="shared" si="131"/>
        <v>6</v>
      </c>
    </row>
    <row r="195" spans="1:57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1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5">
        <f t="shared" si="131"/>
        <v>1</v>
      </c>
    </row>
    <row r="196" spans="1:57" ht="13.15" customHeight="1" x14ac:dyDescent="0.4">
      <c r="A196" s="7"/>
      <c r="B196" s="47"/>
      <c r="C196" s="24" t="s">
        <v>215</v>
      </c>
      <c r="D196" s="45"/>
      <c r="E196" s="6">
        <v>1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1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1</v>
      </c>
      <c r="BD196" s="6">
        <v>0</v>
      </c>
      <c r="BE196" s="5">
        <f t="shared" si="131"/>
        <v>3</v>
      </c>
    </row>
    <row r="197" spans="1:57" x14ac:dyDescent="0.4">
      <c r="A197" s="6" t="s">
        <v>26</v>
      </c>
      <c r="B197" s="74" t="s">
        <v>51</v>
      </c>
      <c r="C197" s="84"/>
      <c r="D197" s="85"/>
      <c r="E197" s="6">
        <f t="shared" ref="E197:AJ197" si="132">SUM(E192:E196)</f>
        <v>1</v>
      </c>
      <c r="F197" s="6">
        <f t="shared" si="132"/>
        <v>0</v>
      </c>
      <c r="G197" s="6">
        <f t="shared" si="132"/>
        <v>0</v>
      </c>
      <c r="H197" s="6">
        <f t="shared" si="132"/>
        <v>2</v>
      </c>
      <c r="I197" s="6">
        <f t="shared" si="132"/>
        <v>0</v>
      </c>
      <c r="J197" s="6">
        <f t="shared" si="132"/>
        <v>0</v>
      </c>
      <c r="K197" s="6">
        <f t="shared" si="132"/>
        <v>0</v>
      </c>
      <c r="L197" s="6">
        <f t="shared" si="132"/>
        <v>3</v>
      </c>
      <c r="M197" s="6">
        <f t="shared" si="132"/>
        <v>0</v>
      </c>
      <c r="N197" s="6">
        <f t="shared" si="132"/>
        <v>1</v>
      </c>
      <c r="O197" s="6">
        <f t="shared" si="132"/>
        <v>0</v>
      </c>
      <c r="P197" s="6">
        <f t="shared" si="132"/>
        <v>1</v>
      </c>
      <c r="Q197" s="6">
        <f t="shared" si="132"/>
        <v>1</v>
      </c>
      <c r="R197" s="6">
        <f t="shared" si="132"/>
        <v>0</v>
      </c>
      <c r="S197" s="6">
        <f t="shared" si="132"/>
        <v>0</v>
      </c>
      <c r="T197" s="6">
        <f t="shared" si="132"/>
        <v>0</v>
      </c>
      <c r="U197" s="6">
        <f t="shared" si="132"/>
        <v>0</v>
      </c>
      <c r="V197" s="6">
        <f t="shared" si="132"/>
        <v>0</v>
      </c>
      <c r="W197" s="6">
        <f t="shared" si="132"/>
        <v>0</v>
      </c>
      <c r="X197" s="6">
        <f t="shared" si="132"/>
        <v>0</v>
      </c>
      <c r="Y197" s="6">
        <f t="shared" si="132"/>
        <v>0</v>
      </c>
      <c r="Z197" s="6">
        <f t="shared" si="132"/>
        <v>0</v>
      </c>
      <c r="AA197" s="6">
        <f t="shared" si="132"/>
        <v>0</v>
      </c>
      <c r="AB197" s="6">
        <f t="shared" si="132"/>
        <v>0</v>
      </c>
      <c r="AC197" s="6">
        <f t="shared" si="132"/>
        <v>0</v>
      </c>
      <c r="AD197" s="6">
        <f t="shared" si="132"/>
        <v>0</v>
      </c>
      <c r="AE197" s="6">
        <f t="shared" si="132"/>
        <v>0</v>
      </c>
      <c r="AF197" s="6">
        <f t="shared" si="132"/>
        <v>0</v>
      </c>
      <c r="AG197" s="6">
        <f t="shared" si="132"/>
        <v>1</v>
      </c>
      <c r="AH197" s="6">
        <f t="shared" si="132"/>
        <v>0</v>
      </c>
      <c r="AI197" s="6">
        <f t="shared" si="132"/>
        <v>0</v>
      </c>
      <c r="AJ197" s="6">
        <f t="shared" si="132"/>
        <v>0</v>
      </c>
      <c r="AK197" s="6">
        <f t="shared" ref="AK197:BE197" si="133">SUM(AK192:AK196)</f>
        <v>2</v>
      </c>
      <c r="AL197" s="6">
        <f t="shared" si="133"/>
        <v>0</v>
      </c>
      <c r="AM197" s="6">
        <f t="shared" si="133"/>
        <v>1</v>
      </c>
      <c r="AN197" s="6">
        <f t="shared" si="133"/>
        <v>2</v>
      </c>
      <c r="AO197" s="6">
        <f t="shared" si="133"/>
        <v>0</v>
      </c>
      <c r="AP197" s="6">
        <f t="shared" si="133"/>
        <v>0</v>
      </c>
      <c r="AQ197" s="6">
        <f t="shared" si="133"/>
        <v>0</v>
      </c>
      <c r="AR197" s="6">
        <f t="shared" si="133"/>
        <v>0</v>
      </c>
      <c r="AS197" s="6">
        <f t="shared" si="133"/>
        <v>0</v>
      </c>
      <c r="AT197" s="6">
        <f t="shared" si="133"/>
        <v>0</v>
      </c>
      <c r="AU197" s="6">
        <f t="shared" si="133"/>
        <v>0</v>
      </c>
      <c r="AV197" s="6">
        <f t="shared" si="133"/>
        <v>0</v>
      </c>
      <c r="AW197" s="6">
        <f t="shared" si="133"/>
        <v>1</v>
      </c>
      <c r="AX197" s="6">
        <f t="shared" si="133"/>
        <v>0</v>
      </c>
      <c r="AY197" s="6">
        <f t="shared" si="133"/>
        <v>0</v>
      </c>
      <c r="AZ197" s="6">
        <f t="shared" si="133"/>
        <v>0</v>
      </c>
      <c r="BA197" s="6">
        <f t="shared" si="133"/>
        <v>0</v>
      </c>
      <c r="BB197" s="6">
        <f t="shared" si="133"/>
        <v>0</v>
      </c>
      <c r="BC197" s="6">
        <f t="shared" si="133"/>
        <v>1</v>
      </c>
      <c r="BD197" s="6">
        <f t="shared" si="133"/>
        <v>1</v>
      </c>
      <c r="BE197" s="5">
        <f t="shared" si="133"/>
        <v>18</v>
      </c>
    </row>
    <row r="198" spans="1:57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98"/>
    </row>
    <row r="199" spans="1:57" x14ac:dyDescent="0.4">
      <c r="A199" s="11" t="s">
        <v>48</v>
      </c>
      <c r="B199" s="17" t="s">
        <v>79</v>
      </c>
      <c r="C199" s="83" t="s">
        <v>80</v>
      </c>
      <c r="D199" s="55"/>
      <c r="E199" s="6">
        <v>0</v>
      </c>
      <c r="F199" s="6">
        <v>0</v>
      </c>
      <c r="G199" s="6">
        <v>1</v>
      </c>
      <c r="H199" s="6">
        <v>0</v>
      </c>
      <c r="I199" s="6">
        <v>1</v>
      </c>
      <c r="J199" s="6">
        <v>0</v>
      </c>
      <c r="K199" s="6">
        <v>1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3</v>
      </c>
      <c r="U199" s="6">
        <v>2</v>
      </c>
      <c r="V199" s="6">
        <v>1</v>
      </c>
      <c r="W199" s="6">
        <v>1</v>
      </c>
      <c r="X199" s="6">
        <v>0</v>
      </c>
      <c r="Y199" s="6">
        <v>2</v>
      </c>
      <c r="Z199" s="6">
        <v>3</v>
      </c>
      <c r="AA199" s="6">
        <v>0</v>
      </c>
      <c r="AB199" s="6">
        <v>0</v>
      </c>
      <c r="AC199" s="6">
        <v>1</v>
      </c>
      <c r="AD199" s="6">
        <v>1</v>
      </c>
      <c r="AE199" s="6">
        <v>0</v>
      </c>
      <c r="AF199" s="6">
        <v>0</v>
      </c>
      <c r="AG199" s="6">
        <v>1</v>
      </c>
      <c r="AH199" s="6">
        <v>1</v>
      </c>
      <c r="AI199" s="6">
        <v>0</v>
      </c>
      <c r="AJ199" s="6">
        <v>1</v>
      </c>
      <c r="AK199" s="6">
        <v>1</v>
      </c>
      <c r="AL199" s="6">
        <v>0</v>
      </c>
      <c r="AM199" s="6">
        <v>0</v>
      </c>
      <c r="AN199" s="6">
        <v>0</v>
      </c>
      <c r="AO199" s="6">
        <v>1</v>
      </c>
      <c r="AP199" s="6">
        <v>0</v>
      </c>
      <c r="AQ199" s="6">
        <v>1</v>
      </c>
      <c r="AR199" s="6">
        <v>1</v>
      </c>
      <c r="AS199" s="6">
        <v>0</v>
      </c>
      <c r="AT199" s="6">
        <v>1</v>
      </c>
      <c r="AU199" s="6">
        <v>3</v>
      </c>
      <c r="AV199" s="6">
        <v>1</v>
      </c>
      <c r="AW199" s="6">
        <v>0</v>
      </c>
      <c r="AX199" s="6">
        <v>1</v>
      </c>
      <c r="AY199" s="6">
        <v>1</v>
      </c>
      <c r="AZ199" s="6"/>
      <c r="BA199" s="6"/>
      <c r="BB199" s="6"/>
      <c r="BC199" s="6">
        <v>1</v>
      </c>
      <c r="BD199" s="6">
        <v>1</v>
      </c>
      <c r="BE199" s="5">
        <f t="shared" ref="BE199:BE208" si="134">SUM(E199:BD199)</f>
        <v>33</v>
      </c>
    </row>
    <row r="200" spans="1:57" x14ac:dyDescent="0.4">
      <c r="A200" s="11" t="s">
        <v>50</v>
      </c>
      <c r="B200" s="47"/>
      <c r="C200" s="24" t="s">
        <v>216</v>
      </c>
      <c r="D200" s="45"/>
      <c r="E200" s="6">
        <v>0</v>
      </c>
      <c r="F200" s="6">
        <v>3</v>
      </c>
      <c r="G200" s="6">
        <v>1</v>
      </c>
      <c r="H200" s="6">
        <v>1</v>
      </c>
      <c r="I200" s="6">
        <v>0</v>
      </c>
      <c r="J200" s="6">
        <v>0</v>
      </c>
      <c r="K200" s="6">
        <v>3</v>
      </c>
      <c r="L200" s="6">
        <v>2</v>
      </c>
      <c r="M200" s="6">
        <v>0</v>
      </c>
      <c r="N200" s="6">
        <v>0</v>
      </c>
      <c r="O200" s="6">
        <v>1</v>
      </c>
      <c r="P200" s="6">
        <v>0</v>
      </c>
      <c r="Q200" s="6">
        <v>0</v>
      </c>
      <c r="R200" s="6">
        <v>0</v>
      </c>
      <c r="S200" s="6">
        <v>0</v>
      </c>
      <c r="T200" s="6">
        <v>2</v>
      </c>
      <c r="U200" s="6">
        <v>0</v>
      </c>
      <c r="V200" s="6">
        <v>0</v>
      </c>
      <c r="W200" s="6">
        <v>2</v>
      </c>
      <c r="X200" s="6">
        <v>2</v>
      </c>
      <c r="Y200" s="6">
        <v>4</v>
      </c>
      <c r="Z200" s="6">
        <v>1</v>
      </c>
      <c r="AA200" s="6">
        <v>3</v>
      </c>
      <c r="AB200" s="6">
        <v>1</v>
      </c>
      <c r="AC200" s="6">
        <v>0</v>
      </c>
      <c r="AD200" s="6">
        <v>9</v>
      </c>
      <c r="AE200" s="6">
        <v>0</v>
      </c>
      <c r="AF200" s="6">
        <v>4</v>
      </c>
      <c r="AG200" s="6">
        <v>3</v>
      </c>
      <c r="AH200" s="6">
        <v>9</v>
      </c>
      <c r="AI200" s="6">
        <v>7</v>
      </c>
      <c r="AJ200" s="6">
        <v>3</v>
      </c>
      <c r="AK200" s="6">
        <v>4</v>
      </c>
      <c r="AL200" s="6">
        <v>1</v>
      </c>
      <c r="AM200" s="6">
        <v>0</v>
      </c>
      <c r="AN200" s="6">
        <v>2</v>
      </c>
      <c r="AO200" s="6">
        <v>6</v>
      </c>
      <c r="AP200" s="6">
        <v>0</v>
      </c>
      <c r="AQ200" s="6">
        <v>1</v>
      </c>
      <c r="AR200" s="6">
        <v>1</v>
      </c>
      <c r="AS200" s="6">
        <v>9</v>
      </c>
      <c r="AT200" s="6">
        <v>4</v>
      </c>
      <c r="AU200" s="6">
        <v>8</v>
      </c>
      <c r="AV200" s="6">
        <v>6</v>
      </c>
      <c r="AW200" s="6">
        <v>10</v>
      </c>
      <c r="AX200" s="6">
        <v>5</v>
      </c>
      <c r="AY200" s="6">
        <v>6</v>
      </c>
      <c r="AZ200" s="6">
        <v>1</v>
      </c>
      <c r="BA200" s="6">
        <v>4</v>
      </c>
      <c r="BB200" s="6">
        <v>3</v>
      </c>
      <c r="BC200" s="6"/>
      <c r="BD200" s="6">
        <v>4</v>
      </c>
      <c r="BE200" s="5">
        <f t="shared" si="134"/>
        <v>136</v>
      </c>
    </row>
    <row r="201" spans="1:57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1</v>
      </c>
      <c r="H201" s="6">
        <v>0</v>
      </c>
      <c r="I201" s="6">
        <v>2</v>
      </c>
      <c r="J201" s="6">
        <v>0</v>
      </c>
      <c r="K201" s="6">
        <v>0</v>
      </c>
      <c r="L201" s="6">
        <v>1</v>
      </c>
      <c r="M201" s="6">
        <v>0</v>
      </c>
      <c r="N201" s="6">
        <v>0</v>
      </c>
      <c r="O201" s="6">
        <v>0</v>
      </c>
      <c r="P201" s="6">
        <v>1</v>
      </c>
      <c r="Q201" s="6">
        <v>0</v>
      </c>
      <c r="R201" s="6">
        <v>1</v>
      </c>
      <c r="S201" s="6">
        <v>2</v>
      </c>
      <c r="T201" s="6">
        <v>0</v>
      </c>
      <c r="U201" s="6">
        <v>2</v>
      </c>
      <c r="V201" s="6">
        <v>0</v>
      </c>
      <c r="W201" s="6">
        <v>2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1</v>
      </c>
      <c r="AD201" s="6">
        <v>1</v>
      </c>
      <c r="AE201" s="6">
        <v>1</v>
      </c>
      <c r="AF201" s="6">
        <v>0</v>
      </c>
      <c r="AG201" s="6">
        <v>0</v>
      </c>
      <c r="AH201" s="6">
        <v>1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2</v>
      </c>
      <c r="AV201" s="6">
        <v>0</v>
      </c>
      <c r="AW201" s="6">
        <v>0</v>
      </c>
      <c r="AX201" s="6"/>
      <c r="AY201" s="6">
        <v>1</v>
      </c>
      <c r="AZ201" s="6"/>
      <c r="BA201" s="6"/>
      <c r="BB201" s="6"/>
      <c r="BC201" s="6"/>
      <c r="BD201" s="6"/>
      <c r="BE201" s="5">
        <f t="shared" si="134"/>
        <v>19</v>
      </c>
    </row>
    <row r="202" spans="1:57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1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1</v>
      </c>
      <c r="AU202" s="6">
        <v>0</v>
      </c>
      <c r="AV202" s="6">
        <v>0</v>
      </c>
      <c r="AW202" s="6">
        <v>0</v>
      </c>
      <c r="AX202" s="6">
        <v>1</v>
      </c>
      <c r="AY202" s="6"/>
      <c r="AZ202" s="6"/>
      <c r="BA202" s="6"/>
      <c r="BB202" s="6"/>
      <c r="BC202" s="6"/>
      <c r="BD202" s="6"/>
      <c r="BE202" s="5">
        <f t="shared" si="134"/>
        <v>3</v>
      </c>
    </row>
    <row r="203" spans="1:57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1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1</v>
      </c>
      <c r="AG203" s="6">
        <v>0</v>
      </c>
      <c r="AH203" s="6">
        <v>1</v>
      </c>
      <c r="AI203" s="6">
        <v>0</v>
      </c>
      <c r="AJ203" s="6">
        <v>1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1</v>
      </c>
      <c r="AT203" s="6">
        <v>0</v>
      </c>
      <c r="AU203" s="6">
        <v>0</v>
      </c>
      <c r="AV203" s="6">
        <v>1</v>
      </c>
      <c r="AW203" s="6">
        <v>1</v>
      </c>
      <c r="AX203" s="6"/>
      <c r="AY203" s="6">
        <v>2</v>
      </c>
      <c r="AZ203" s="6"/>
      <c r="BA203" s="6"/>
      <c r="BB203" s="6"/>
      <c r="BC203" s="6">
        <v>1</v>
      </c>
      <c r="BD203" s="6"/>
      <c r="BE203" s="5">
        <f t="shared" si="134"/>
        <v>10</v>
      </c>
    </row>
    <row r="204" spans="1:57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1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1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1</v>
      </c>
      <c r="AV204" s="6">
        <v>4</v>
      </c>
      <c r="AW204" s="6">
        <v>0</v>
      </c>
      <c r="AX204" s="6"/>
      <c r="AY204" s="6"/>
      <c r="AZ204" s="6"/>
      <c r="BA204" s="6"/>
      <c r="BB204" s="6"/>
      <c r="BC204" s="6"/>
      <c r="BD204" s="6"/>
      <c r="BE204" s="5">
        <f t="shared" si="134"/>
        <v>9</v>
      </c>
    </row>
    <row r="205" spans="1:57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1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1</v>
      </c>
      <c r="AW205" s="6">
        <v>0</v>
      </c>
      <c r="AX205" s="6"/>
      <c r="AY205" s="6"/>
      <c r="AZ205" s="6"/>
      <c r="BA205" s="6"/>
      <c r="BB205" s="6"/>
      <c r="BC205" s="6"/>
      <c r="BD205" s="6"/>
      <c r="BE205" s="5">
        <f t="shared" si="134"/>
        <v>2</v>
      </c>
    </row>
    <row r="206" spans="1:57" x14ac:dyDescent="0.4">
      <c r="A206" s="7"/>
      <c r="B206" s="47"/>
      <c r="C206" s="24" t="s">
        <v>222</v>
      </c>
      <c r="D206" s="45"/>
      <c r="E206" s="6">
        <v>0</v>
      </c>
      <c r="F206" s="6">
        <v>1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/>
      <c r="AY206" s="6"/>
      <c r="AZ206" s="6"/>
      <c r="BA206" s="6"/>
      <c r="BB206" s="6"/>
      <c r="BC206" s="6"/>
      <c r="BD206" s="6"/>
      <c r="BE206" s="5">
        <f t="shared" si="134"/>
        <v>1</v>
      </c>
    </row>
    <row r="207" spans="1:57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/>
      <c r="AY207" s="6"/>
      <c r="AZ207" s="6"/>
      <c r="BA207" s="6"/>
      <c r="BB207" s="6"/>
      <c r="BC207" s="6"/>
      <c r="BD207" s="6"/>
      <c r="BE207" s="5">
        <f t="shared" si="134"/>
        <v>0</v>
      </c>
    </row>
    <row r="208" spans="1:57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2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/>
      <c r="AY208" s="6"/>
      <c r="AZ208" s="6"/>
      <c r="BA208" s="6"/>
      <c r="BB208" s="6"/>
      <c r="BC208" s="6">
        <v>1</v>
      </c>
      <c r="BD208" s="6"/>
      <c r="BE208" s="5">
        <f t="shared" si="134"/>
        <v>4</v>
      </c>
    </row>
    <row r="209" spans="1:57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:AL209" si="135">SUM(E199:E208)</f>
        <v>0</v>
      </c>
      <c r="F209" s="6">
        <f t="shared" ref="F209:AA209" si="136">SUM(F199:F208)</f>
        <v>4</v>
      </c>
      <c r="G209" s="6">
        <f t="shared" si="136"/>
        <v>3</v>
      </c>
      <c r="H209" s="6">
        <f t="shared" si="136"/>
        <v>1</v>
      </c>
      <c r="I209" s="6">
        <f t="shared" si="136"/>
        <v>3</v>
      </c>
      <c r="J209" s="6">
        <f t="shared" si="136"/>
        <v>0</v>
      </c>
      <c r="K209" s="6">
        <f t="shared" si="136"/>
        <v>4</v>
      </c>
      <c r="L209" s="6">
        <f t="shared" si="136"/>
        <v>3</v>
      </c>
      <c r="M209" s="6">
        <f t="shared" si="136"/>
        <v>0</v>
      </c>
      <c r="N209" s="6">
        <f t="shared" si="136"/>
        <v>0</v>
      </c>
      <c r="O209" s="6">
        <f t="shared" si="136"/>
        <v>1</v>
      </c>
      <c r="P209" s="6">
        <f t="shared" si="136"/>
        <v>1</v>
      </c>
      <c r="Q209" s="6">
        <f t="shared" si="136"/>
        <v>0</v>
      </c>
      <c r="R209" s="6">
        <f t="shared" si="136"/>
        <v>1</v>
      </c>
      <c r="S209" s="6">
        <f t="shared" si="136"/>
        <v>3</v>
      </c>
      <c r="T209" s="6">
        <f t="shared" si="136"/>
        <v>5</v>
      </c>
      <c r="U209" s="6">
        <f t="shared" si="136"/>
        <v>6</v>
      </c>
      <c r="V209" s="6">
        <f t="shared" si="136"/>
        <v>1</v>
      </c>
      <c r="W209" s="6">
        <f t="shared" si="136"/>
        <v>5</v>
      </c>
      <c r="X209" s="6">
        <f t="shared" si="136"/>
        <v>2</v>
      </c>
      <c r="Y209" s="6">
        <f t="shared" si="136"/>
        <v>6</v>
      </c>
      <c r="Z209" s="6">
        <f t="shared" si="136"/>
        <v>5</v>
      </c>
      <c r="AA209" s="6">
        <f t="shared" si="136"/>
        <v>3</v>
      </c>
      <c r="AB209" s="6">
        <f t="shared" si="135"/>
        <v>1</v>
      </c>
      <c r="AC209" s="6">
        <f t="shared" si="135"/>
        <v>2</v>
      </c>
      <c r="AD209" s="6">
        <f t="shared" si="135"/>
        <v>11</v>
      </c>
      <c r="AE209" s="6">
        <f t="shared" si="135"/>
        <v>1</v>
      </c>
      <c r="AF209" s="6">
        <f t="shared" si="135"/>
        <v>5</v>
      </c>
      <c r="AG209" s="6">
        <f t="shared" si="135"/>
        <v>5</v>
      </c>
      <c r="AH209" s="6">
        <f t="shared" si="135"/>
        <v>14</v>
      </c>
      <c r="AI209" s="6">
        <f t="shared" si="135"/>
        <v>7</v>
      </c>
      <c r="AJ209" s="6">
        <f t="shared" si="135"/>
        <v>5</v>
      </c>
      <c r="AK209" s="6">
        <f t="shared" si="135"/>
        <v>5</v>
      </c>
      <c r="AL209" s="6">
        <f t="shared" si="135"/>
        <v>1</v>
      </c>
      <c r="AM209" s="6">
        <f t="shared" ref="AM209" si="137">SUM(AM199:AM208)</f>
        <v>1</v>
      </c>
      <c r="AN209" s="6">
        <f t="shared" ref="AN209" si="138">SUM(AN199:AN208)</f>
        <v>3</v>
      </c>
      <c r="AO209" s="6">
        <f t="shared" ref="AO209" si="139">SUM(AO199:AO208)</f>
        <v>8</v>
      </c>
      <c r="AP209" s="6">
        <f t="shared" ref="AP209" si="140">SUM(AP199:AP208)</f>
        <v>0</v>
      </c>
      <c r="AQ209" s="6">
        <f t="shared" ref="AQ209:AW209" si="141">SUM(AQ199:AQ208)</f>
        <v>2</v>
      </c>
      <c r="AR209" s="6">
        <f t="shared" si="141"/>
        <v>2</v>
      </c>
      <c r="AS209" s="6">
        <f t="shared" si="141"/>
        <v>10</v>
      </c>
      <c r="AT209" s="6">
        <f t="shared" si="141"/>
        <v>6</v>
      </c>
      <c r="AU209" s="6">
        <f t="shared" si="141"/>
        <v>14</v>
      </c>
      <c r="AV209" s="6">
        <f t="shared" si="141"/>
        <v>13</v>
      </c>
      <c r="AW209" s="6">
        <f t="shared" si="141"/>
        <v>11</v>
      </c>
      <c r="AX209" s="6">
        <f t="shared" ref="AX209" si="142">SUM(AX199:AX208)</f>
        <v>7</v>
      </c>
      <c r="AY209" s="6">
        <f t="shared" ref="AY209" si="143">SUM(AY199:AY208)</f>
        <v>10</v>
      </c>
      <c r="AZ209" s="6">
        <f t="shared" ref="AZ209" si="144">SUM(AZ199:AZ208)</f>
        <v>1</v>
      </c>
      <c r="BA209" s="6">
        <f t="shared" ref="BA209" si="145">SUM(BA199:BA208)</f>
        <v>4</v>
      </c>
      <c r="BB209" s="6">
        <f t="shared" ref="BB209" si="146">SUM(BB199:BB208)</f>
        <v>3</v>
      </c>
      <c r="BC209" s="6">
        <f t="shared" ref="BC209" si="147">SUM(BC199:BC208)</f>
        <v>3</v>
      </c>
      <c r="BD209" s="6">
        <f t="shared" ref="BD209" si="148">SUM(BD199:BD208)</f>
        <v>5</v>
      </c>
      <c r="BE209" s="5">
        <f t="shared" ref="BE209" si="149">SUM(BE199:BE208)</f>
        <v>217</v>
      </c>
    </row>
    <row r="210" spans="1:57" x14ac:dyDescent="0.4">
      <c r="A210" s="53"/>
      <c r="B210" s="75"/>
      <c r="C210" s="75"/>
      <c r="D210" s="75"/>
      <c r="E210" s="86"/>
    </row>
    <row r="211" spans="1:57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1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2</v>
      </c>
      <c r="AD211" s="6">
        <v>0</v>
      </c>
      <c r="AE211" s="6">
        <v>0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1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/>
      <c r="AY211" s="6">
        <v>1</v>
      </c>
      <c r="AZ211" s="6"/>
      <c r="BA211" s="6"/>
      <c r="BB211" s="6"/>
      <c r="BC211" s="6"/>
      <c r="BD211" s="6"/>
      <c r="BE211" s="5">
        <f t="shared" ref="BE211:BE214" si="150">SUM(E211:BD211)</f>
        <v>7</v>
      </c>
    </row>
    <row r="212" spans="1:57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4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6</v>
      </c>
      <c r="AH212" s="6">
        <v>1</v>
      </c>
      <c r="AI212" s="6">
        <v>0</v>
      </c>
      <c r="AJ212" s="6">
        <v>0</v>
      </c>
      <c r="AK212" s="6">
        <v>0</v>
      </c>
      <c r="AL212" s="6">
        <v>2</v>
      </c>
      <c r="AM212" s="6">
        <v>0</v>
      </c>
      <c r="AN212" s="6">
        <v>0</v>
      </c>
      <c r="AO212" s="6">
        <v>0</v>
      </c>
      <c r="AP212" s="6">
        <v>0</v>
      </c>
      <c r="AQ212" s="6">
        <v>2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/>
      <c r="AY212" s="6"/>
      <c r="AZ212" s="6"/>
      <c r="BA212" s="6"/>
      <c r="BB212" s="6"/>
      <c r="BC212" s="6"/>
      <c r="BD212" s="6"/>
      <c r="BE212" s="5">
        <f t="shared" si="150"/>
        <v>15</v>
      </c>
    </row>
    <row r="213" spans="1:57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1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1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/>
      <c r="AY213" s="6"/>
      <c r="AZ213" s="6"/>
      <c r="BA213" s="6"/>
      <c r="BB213" s="6"/>
      <c r="BC213" s="6"/>
      <c r="BD213" s="6"/>
      <c r="BE213" s="5">
        <f t="shared" si="150"/>
        <v>2</v>
      </c>
    </row>
    <row r="214" spans="1:57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1</v>
      </c>
      <c r="AP214" s="6">
        <v>0</v>
      </c>
      <c r="AQ214" s="6">
        <v>0</v>
      </c>
      <c r="AR214" s="6">
        <v>0</v>
      </c>
      <c r="AS214" s="6">
        <v>0</v>
      </c>
      <c r="AT214" s="6">
        <v>1</v>
      </c>
      <c r="AU214" s="6">
        <v>0</v>
      </c>
      <c r="AV214" s="6">
        <v>0</v>
      </c>
      <c r="AW214" s="6">
        <v>0</v>
      </c>
      <c r="AX214" s="6">
        <v>1</v>
      </c>
      <c r="AY214" s="6"/>
      <c r="AZ214" s="6"/>
      <c r="BA214" s="6"/>
      <c r="BB214" s="6"/>
      <c r="BC214" s="6"/>
      <c r="BD214" s="6"/>
      <c r="BE214" s="5">
        <f t="shared" si="150"/>
        <v>3</v>
      </c>
    </row>
    <row r="215" spans="1:57" x14ac:dyDescent="0.4">
      <c r="A215" s="6" t="s">
        <v>26</v>
      </c>
      <c r="B215" s="74" t="s">
        <v>51</v>
      </c>
      <c r="C215" s="84"/>
      <c r="D215" s="85"/>
      <c r="E215" s="6">
        <f t="shared" ref="E215:AJ215" si="151">SUM(E211:E214)</f>
        <v>0</v>
      </c>
      <c r="F215" s="6">
        <f t="shared" si="151"/>
        <v>0</v>
      </c>
      <c r="G215" s="6">
        <f t="shared" si="151"/>
        <v>4</v>
      </c>
      <c r="H215" s="6">
        <f t="shared" si="151"/>
        <v>0</v>
      </c>
      <c r="I215" s="6">
        <f t="shared" si="151"/>
        <v>0</v>
      </c>
      <c r="J215" s="6">
        <f t="shared" si="151"/>
        <v>0</v>
      </c>
      <c r="K215" s="6">
        <f t="shared" si="151"/>
        <v>1</v>
      </c>
      <c r="L215" s="6">
        <f t="shared" si="151"/>
        <v>0</v>
      </c>
      <c r="M215" s="6">
        <f t="shared" si="151"/>
        <v>0</v>
      </c>
      <c r="N215" s="6">
        <f t="shared" si="151"/>
        <v>0</v>
      </c>
      <c r="O215" s="6">
        <f t="shared" si="151"/>
        <v>0</v>
      </c>
      <c r="P215" s="6">
        <f t="shared" si="151"/>
        <v>0</v>
      </c>
      <c r="Q215" s="6">
        <f t="shared" si="151"/>
        <v>0</v>
      </c>
      <c r="R215" s="6">
        <f t="shared" si="151"/>
        <v>0</v>
      </c>
      <c r="S215" s="6">
        <f t="shared" si="151"/>
        <v>0</v>
      </c>
      <c r="T215" s="6">
        <f t="shared" si="151"/>
        <v>0</v>
      </c>
      <c r="U215" s="6">
        <f t="shared" si="151"/>
        <v>1</v>
      </c>
      <c r="V215" s="6">
        <f t="shared" si="151"/>
        <v>0</v>
      </c>
      <c r="W215" s="6">
        <f t="shared" si="151"/>
        <v>0</v>
      </c>
      <c r="X215" s="6">
        <f t="shared" si="151"/>
        <v>0</v>
      </c>
      <c r="Y215" s="6">
        <f t="shared" si="151"/>
        <v>0</v>
      </c>
      <c r="Z215" s="6">
        <f t="shared" si="151"/>
        <v>0</v>
      </c>
      <c r="AA215" s="6">
        <f t="shared" si="151"/>
        <v>0</v>
      </c>
      <c r="AB215" s="6">
        <f t="shared" si="151"/>
        <v>0</v>
      </c>
      <c r="AC215" s="6">
        <f t="shared" si="151"/>
        <v>2</v>
      </c>
      <c r="AD215" s="6">
        <f t="shared" si="151"/>
        <v>0</v>
      </c>
      <c r="AE215" s="6">
        <f t="shared" si="151"/>
        <v>0</v>
      </c>
      <c r="AF215" s="6">
        <f t="shared" si="151"/>
        <v>0</v>
      </c>
      <c r="AG215" s="6">
        <f t="shared" si="151"/>
        <v>7</v>
      </c>
      <c r="AH215" s="6">
        <f t="shared" si="151"/>
        <v>2</v>
      </c>
      <c r="AI215" s="6">
        <f t="shared" si="151"/>
        <v>0</v>
      </c>
      <c r="AJ215" s="6">
        <f t="shared" si="151"/>
        <v>0</v>
      </c>
      <c r="AK215" s="6">
        <f t="shared" ref="AK215:BE215" si="152">SUM(AK211:AK214)</f>
        <v>0</v>
      </c>
      <c r="AL215" s="6">
        <f t="shared" si="152"/>
        <v>2</v>
      </c>
      <c r="AM215" s="6">
        <f t="shared" si="152"/>
        <v>0</v>
      </c>
      <c r="AN215" s="6">
        <f t="shared" si="152"/>
        <v>1</v>
      </c>
      <c r="AO215" s="6">
        <f t="shared" si="152"/>
        <v>1</v>
      </c>
      <c r="AP215" s="6">
        <f t="shared" si="152"/>
        <v>0</v>
      </c>
      <c r="AQ215" s="6">
        <f t="shared" si="152"/>
        <v>2</v>
      </c>
      <c r="AR215" s="6">
        <f t="shared" si="152"/>
        <v>1</v>
      </c>
      <c r="AS215" s="6">
        <f t="shared" si="152"/>
        <v>0</v>
      </c>
      <c r="AT215" s="6">
        <f t="shared" si="152"/>
        <v>1</v>
      </c>
      <c r="AU215" s="6">
        <f t="shared" si="152"/>
        <v>0</v>
      </c>
      <c r="AV215" s="6">
        <f t="shared" si="152"/>
        <v>0</v>
      </c>
      <c r="AW215" s="6">
        <f t="shared" si="152"/>
        <v>0</v>
      </c>
      <c r="AX215" s="6">
        <f t="shared" si="152"/>
        <v>1</v>
      </c>
      <c r="AY215" s="6">
        <f t="shared" si="152"/>
        <v>1</v>
      </c>
      <c r="AZ215" s="6">
        <f t="shared" si="152"/>
        <v>0</v>
      </c>
      <c r="BA215" s="6">
        <f t="shared" si="152"/>
        <v>0</v>
      </c>
      <c r="BB215" s="6">
        <f t="shared" si="152"/>
        <v>0</v>
      </c>
      <c r="BC215" s="6">
        <f t="shared" si="152"/>
        <v>0</v>
      </c>
      <c r="BD215" s="6">
        <f t="shared" si="152"/>
        <v>0</v>
      </c>
      <c r="BE215" s="5">
        <f t="shared" si="152"/>
        <v>27</v>
      </c>
    </row>
    <row r="217" spans="1:57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5"/>
      <c r="R217" s="5"/>
      <c r="S217" s="5"/>
      <c r="T217" s="5"/>
      <c r="U217" s="5"/>
      <c r="V217" s="5"/>
      <c r="W217" s="5"/>
      <c r="X217" s="5"/>
      <c r="Y217" s="15"/>
      <c r="Z217" s="15"/>
      <c r="AA217" s="15"/>
      <c r="AB217" s="5"/>
      <c r="AC217" s="5"/>
      <c r="AD217" s="5"/>
      <c r="AE217" s="5"/>
      <c r="AF217" s="5"/>
      <c r="AG217" s="5"/>
      <c r="AH217" s="5"/>
      <c r="AI217" s="5"/>
      <c r="AJ217" s="15"/>
      <c r="AK217" s="15"/>
      <c r="AL217" s="15"/>
      <c r="AM217" s="5"/>
      <c r="AN217" s="5"/>
      <c r="AO217" s="5"/>
      <c r="AP217" s="5"/>
      <c r="AQ217" s="5"/>
      <c r="AR217" s="5"/>
      <c r="AS217" s="5"/>
      <c r="AT217" s="5"/>
      <c r="AU217" s="15"/>
      <c r="AV217" s="15"/>
      <c r="AW217" s="15"/>
      <c r="AX217" s="5"/>
      <c r="AY217" s="5"/>
      <c r="AZ217" s="5"/>
      <c r="BA217" s="15"/>
      <c r="BB217" s="15"/>
      <c r="BC217" s="15"/>
      <c r="BD217" s="15"/>
      <c r="BE217" s="5"/>
    </row>
    <row r="218" spans="1:57" x14ac:dyDescent="0.4">
      <c r="A218" s="16"/>
      <c r="B218" s="19" t="s">
        <v>85</v>
      </c>
      <c r="C218" s="91" t="s">
        <v>86</v>
      </c>
      <c r="D218" s="92"/>
      <c r="E218" s="6">
        <f t="shared" ref="E218:AJ218" si="153">E55+E67+E79+E91+E103+E108+E116+E128+E134+E144+E148+E160+E172+E184+E190+E197+E209+E215</f>
        <v>174</v>
      </c>
      <c r="F218" s="6">
        <f t="shared" si="153"/>
        <v>178</v>
      </c>
      <c r="G218" s="6">
        <f t="shared" si="153"/>
        <v>181</v>
      </c>
      <c r="H218" s="6">
        <f t="shared" si="153"/>
        <v>195</v>
      </c>
      <c r="I218" s="6">
        <f t="shared" si="153"/>
        <v>185</v>
      </c>
      <c r="J218" s="6">
        <f t="shared" si="153"/>
        <v>155</v>
      </c>
      <c r="K218" s="6">
        <f t="shared" si="153"/>
        <v>183</v>
      </c>
      <c r="L218" s="6">
        <f t="shared" si="153"/>
        <v>181</v>
      </c>
      <c r="M218" s="6">
        <f t="shared" si="153"/>
        <v>142</v>
      </c>
      <c r="N218" s="6">
        <f t="shared" si="153"/>
        <v>136</v>
      </c>
      <c r="O218" s="6">
        <f t="shared" si="153"/>
        <v>156</v>
      </c>
      <c r="P218" s="6">
        <f t="shared" si="153"/>
        <v>153</v>
      </c>
      <c r="Q218" s="6">
        <f t="shared" si="153"/>
        <v>207</v>
      </c>
      <c r="R218" s="6">
        <f t="shared" si="153"/>
        <v>193</v>
      </c>
      <c r="S218" s="6">
        <f t="shared" si="153"/>
        <v>175</v>
      </c>
      <c r="T218" s="6">
        <f t="shared" si="153"/>
        <v>167</v>
      </c>
      <c r="U218" s="6">
        <f t="shared" si="153"/>
        <v>159</v>
      </c>
      <c r="V218" s="6">
        <f t="shared" si="153"/>
        <v>172</v>
      </c>
      <c r="W218" s="6">
        <f t="shared" si="153"/>
        <v>153</v>
      </c>
      <c r="X218" s="6">
        <f t="shared" si="153"/>
        <v>154</v>
      </c>
      <c r="Y218" s="6">
        <f t="shared" si="153"/>
        <v>190</v>
      </c>
      <c r="Z218" s="6">
        <f t="shared" si="153"/>
        <v>197</v>
      </c>
      <c r="AA218" s="6">
        <f t="shared" si="153"/>
        <v>252</v>
      </c>
      <c r="AB218" s="6">
        <f t="shared" si="153"/>
        <v>209</v>
      </c>
      <c r="AC218" s="6">
        <f t="shared" si="153"/>
        <v>230</v>
      </c>
      <c r="AD218" s="6">
        <f t="shared" si="153"/>
        <v>187</v>
      </c>
      <c r="AE218" s="6">
        <f t="shared" si="153"/>
        <v>168</v>
      </c>
      <c r="AF218" s="6">
        <f t="shared" si="153"/>
        <v>216</v>
      </c>
      <c r="AG218" s="6">
        <f t="shared" si="153"/>
        <v>176</v>
      </c>
      <c r="AH218" s="6">
        <f t="shared" si="153"/>
        <v>212</v>
      </c>
      <c r="AI218" s="6">
        <f t="shared" si="153"/>
        <v>205</v>
      </c>
      <c r="AJ218" s="6">
        <f t="shared" si="153"/>
        <v>185</v>
      </c>
      <c r="AK218" s="6">
        <f t="shared" ref="AK218:BD218" si="154">AK55+AK67+AK79+AK91+AK103+AK108+AK116+AK128+AK134+AK144+AK148+AK160+AK172+AK184+AK190+AK197+AK209+AK215</f>
        <v>188</v>
      </c>
      <c r="AL218" s="6">
        <f t="shared" si="154"/>
        <v>193</v>
      </c>
      <c r="AM218" s="6">
        <f t="shared" si="154"/>
        <v>158</v>
      </c>
      <c r="AN218" s="6">
        <f t="shared" si="154"/>
        <v>173</v>
      </c>
      <c r="AO218" s="6">
        <f t="shared" si="154"/>
        <v>185</v>
      </c>
      <c r="AP218" s="6">
        <f t="shared" si="154"/>
        <v>180</v>
      </c>
      <c r="AQ218" s="6">
        <f t="shared" si="154"/>
        <v>129</v>
      </c>
      <c r="AR218" s="6">
        <f t="shared" si="154"/>
        <v>198</v>
      </c>
      <c r="AS218" s="6">
        <f t="shared" si="154"/>
        <v>194</v>
      </c>
      <c r="AT218" s="6">
        <f t="shared" si="154"/>
        <v>179</v>
      </c>
      <c r="AU218" s="6">
        <f t="shared" si="154"/>
        <v>187</v>
      </c>
      <c r="AV218" s="6">
        <f t="shared" si="154"/>
        <v>195</v>
      </c>
      <c r="AW218" s="6">
        <f t="shared" si="154"/>
        <v>187</v>
      </c>
      <c r="AX218" s="6">
        <f t="shared" si="154"/>
        <v>179</v>
      </c>
      <c r="AY218" s="6">
        <f t="shared" si="154"/>
        <v>134</v>
      </c>
      <c r="AZ218" s="6">
        <f t="shared" si="154"/>
        <v>198</v>
      </c>
      <c r="BA218" s="6">
        <f t="shared" si="154"/>
        <v>172</v>
      </c>
      <c r="BB218" s="6">
        <f t="shared" si="154"/>
        <v>158</v>
      </c>
      <c r="BC218" s="6">
        <f t="shared" si="154"/>
        <v>182</v>
      </c>
      <c r="BD218" s="6">
        <f t="shared" si="154"/>
        <v>155</v>
      </c>
      <c r="BE218" s="5">
        <f>SUM(E218:BD218)</f>
        <v>9350</v>
      </c>
    </row>
    <row r="219" spans="1:57" x14ac:dyDescent="0.4">
      <c r="A219" s="13"/>
      <c r="B219" s="19" t="s">
        <v>87</v>
      </c>
      <c r="C219" s="91" t="s">
        <v>88</v>
      </c>
      <c r="D219" s="92"/>
      <c r="E219" s="6">
        <v>27</v>
      </c>
      <c r="F219" s="6">
        <v>18</v>
      </c>
      <c r="G219" s="6">
        <v>35</v>
      </c>
      <c r="H219" s="6">
        <v>18</v>
      </c>
      <c r="I219" s="6">
        <v>34</v>
      </c>
      <c r="J219" s="6">
        <v>16</v>
      </c>
      <c r="K219" s="6">
        <v>17</v>
      </c>
      <c r="L219" s="6">
        <v>12</v>
      </c>
      <c r="M219" s="6">
        <v>18</v>
      </c>
      <c r="N219" s="6">
        <v>16</v>
      </c>
      <c r="O219" s="6">
        <v>21</v>
      </c>
      <c r="P219" s="6">
        <v>20</v>
      </c>
      <c r="Q219" s="6">
        <v>15</v>
      </c>
      <c r="R219" s="6">
        <v>17</v>
      </c>
      <c r="S219" s="6">
        <v>17</v>
      </c>
      <c r="T219" s="6">
        <v>31</v>
      </c>
      <c r="U219" s="6">
        <v>16</v>
      </c>
      <c r="V219" s="6">
        <v>34</v>
      </c>
      <c r="W219" s="6">
        <v>12</v>
      </c>
      <c r="X219" s="6">
        <v>19</v>
      </c>
      <c r="Y219" s="6">
        <v>31</v>
      </c>
      <c r="Z219" s="6">
        <v>23</v>
      </c>
      <c r="AA219" s="6">
        <v>16</v>
      </c>
      <c r="AB219" s="6">
        <v>41</v>
      </c>
      <c r="AC219" s="6">
        <v>39</v>
      </c>
      <c r="AD219" s="6">
        <v>89</v>
      </c>
      <c r="AE219" s="6">
        <v>22</v>
      </c>
      <c r="AF219" s="6">
        <v>20</v>
      </c>
      <c r="AG219" s="6">
        <v>47</v>
      </c>
      <c r="AH219" s="6">
        <v>41</v>
      </c>
      <c r="AI219" s="6">
        <v>23</v>
      </c>
      <c r="AJ219" s="6">
        <v>40</v>
      </c>
      <c r="AK219" s="6">
        <v>16</v>
      </c>
      <c r="AL219" s="6">
        <v>25</v>
      </c>
      <c r="AM219" s="6">
        <v>38</v>
      </c>
      <c r="AN219" s="6">
        <v>46</v>
      </c>
      <c r="AO219" s="6">
        <v>37</v>
      </c>
      <c r="AP219" s="6">
        <v>22</v>
      </c>
      <c r="AQ219" s="6">
        <v>34</v>
      </c>
      <c r="AR219" s="6">
        <v>21</v>
      </c>
      <c r="AS219" s="6">
        <v>25</v>
      </c>
      <c r="AT219" s="6">
        <v>26</v>
      </c>
      <c r="AU219" s="6">
        <v>18</v>
      </c>
      <c r="AV219" s="6">
        <v>30</v>
      </c>
      <c r="AW219" s="6">
        <v>24</v>
      </c>
      <c r="AX219" s="6">
        <v>22</v>
      </c>
      <c r="AY219" s="6">
        <v>17</v>
      </c>
      <c r="AZ219" s="6">
        <v>21</v>
      </c>
      <c r="BA219" s="6">
        <v>23</v>
      </c>
      <c r="BB219" s="6">
        <v>17</v>
      </c>
      <c r="BC219" s="6">
        <v>18</v>
      </c>
      <c r="BD219" s="6">
        <v>7</v>
      </c>
      <c r="BE219" s="5">
        <f>SUM(E219:BD219)</f>
        <v>1332</v>
      </c>
    </row>
    <row r="220" spans="1:57" x14ac:dyDescent="0.4">
      <c r="A220" s="14"/>
      <c r="B220" s="19" t="s">
        <v>89</v>
      </c>
      <c r="C220" s="91" t="s">
        <v>90</v>
      </c>
      <c r="D220" s="92"/>
      <c r="E220" s="5">
        <f>SUM(E218:E219)</f>
        <v>201</v>
      </c>
      <c r="F220" s="5">
        <f t="shared" ref="F220:AA220" si="155">SUM(F218:F219)</f>
        <v>196</v>
      </c>
      <c r="G220" s="5">
        <f t="shared" si="155"/>
        <v>216</v>
      </c>
      <c r="H220" s="5">
        <f t="shared" si="155"/>
        <v>213</v>
      </c>
      <c r="I220" s="5">
        <f t="shared" si="155"/>
        <v>219</v>
      </c>
      <c r="J220" s="5">
        <f t="shared" si="155"/>
        <v>171</v>
      </c>
      <c r="K220" s="5">
        <f t="shared" si="155"/>
        <v>200</v>
      </c>
      <c r="L220" s="5">
        <f t="shared" si="155"/>
        <v>193</v>
      </c>
      <c r="M220" s="5">
        <f t="shared" si="155"/>
        <v>160</v>
      </c>
      <c r="N220" s="5">
        <f t="shared" si="155"/>
        <v>152</v>
      </c>
      <c r="O220" s="5">
        <f t="shared" si="155"/>
        <v>177</v>
      </c>
      <c r="P220" s="5">
        <f t="shared" si="155"/>
        <v>173</v>
      </c>
      <c r="Q220" s="5">
        <f t="shared" si="155"/>
        <v>222</v>
      </c>
      <c r="R220" s="5">
        <f t="shared" si="155"/>
        <v>210</v>
      </c>
      <c r="S220" s="5">
        <f t="shared" si="155"/>
        <v>192</v>
      </c>
      <c r="T220" s="5">
        <f t="shared" si="155"/>
        <v>198</v>
      </c>
      <c r="U220" s="5">
        <f t="shared" si="155"/>
        <v>175</v>
      </c>
      <c r="V220" s="5">
        <f t="shared" si="155"/>
        <v>206</v>
      </c>
      <c r="W220" s="5">
        <f t="shared" si="155"/>
        <v>165</v>
      </c>
      <c r="X220" s="5">
        <f t="shared" si="155"/>
        <v>173</v>
      </c>
      <c r="Y220" s="5">
        <f t="shared" si="155"/>
        <v>221</v>
      </c>
      <c r="Z220" s="5">
        <f t="shared" si="155"/>
        <v>220</v>
      </c>
      <c r="AA220" s="5">
        <f t="shared" si="155"/>
        <v>268</v>
      </c>
      <c r="AB220" s="5">
        <f t="shared" ref="AB220:AL220" si="156">SUM(AB218:AB219)</f>
        <v>250</v>
      </c>
      <c r="AC220" s="5">
        <f t="shared" si="156"/>
        <v>269</v>
      </c>
      <c r="AD220" s="5">
        <f t="shared" si="156"/>
        <v>276</v>
      </c>
      <c r="AE220" s="5">
        <f t="shared" si="156"/>
        <v>190</v>
      </c>
      <c r="AF220" s="5">
        <f t="shared" si="156"/>
        <v>236</v>
      </c>
      <c r="AG220" s="5">
        <f t="shared" si="156"/>
        <v>223</v>
      </c>
      <c r="AH220" s="5">
        <f t="shared" si="156"/>
        <v>253</v>
      </c>
      <c r="AI220" s="5">
        <f t="shared" si="156"/>
        <v>228</v>
      </c>
      <c r="AJ220" s="5">
        <f t="shared" si="156"/>
        <v>225</v>
      </c>
      <c r="AK220" s="5">
        <f t="shared" si="156"/>
        <v>204</v>
      </c>
      <c r="AL220" s="5">
        <f t="shared" si="156"/>
        <v>218</v>
      </c>
      <c r="AM220" s="5">
        <f t="shared" ref="AM220:BD220" si="157">SUM(AM218:AM219)</f>
        <v>196</v>
      </c>
      <c r="AN220" s="5">
        <f t="shared" si="157"/>
        <v>219</v>
      </c>
      <c r="AO220" s="5">
        <f t="shared" si="157"/>
        <v>222</v>
      </c>
      <c r="AP220" s="5">
        <f t="shared" si="157"/>
        <v>202</v>
      </c>
      <c r="AQ220" s="5">
        <f t="shared" si="157"/>
        <v>163</v>
      </c>
      <c r="AR220" s="5">
        <f t="shared" ref="AR220:AW220" si="158">SUM(AR218:AR219)</f>
        <v>219</v>
      </c>
      <c r="AS220" s="5">
        <f t="shared" si="158"/>
        <v>219</v>
      </c>
      <c r="AT220" s="5">
        <f t="shared" si="158"/>
        <v>205</v>
      </c>
      <c r="AU220" s="5">
        <f t="shared" si="158"/>
        <v>205</v>
      </c>
      <c r="AV220" s="5">
        <f t="shared" si="158"/>
        <v>225</v>
      </c>
      <c r="AW220" s="5">
        <f t="shared" si="158"/>
        <v>211</v>
      </c>
      <c r="AX220" s="5">
        <f t="shared" si="157"/>
        <v>201</v>
      </c>
      <c r="AY220" s="5">
        <f t="shared" si="157"/>
        <v>151</v>
      </c>
      <c r="AZ220" s="5">
        <f t="shared" si="157"/>
        <v>219</v>
      </c>
      <c r="BA220" s="5">
        <f t="shared" si="157"/>
        <v>195</v>
      </c>
      <c r="BB220" s="5">
        <f t="shared" si="157"/>
        <v>175</v>
      </c>
      <c r="BC220" s="5">
        <f t="shared" si="157"/>
        <v>200</v>
      </c>
      <c r="BD220" s="5">
        <f t="shared" si="157"/>
        <v>162</v>
      </c>
      <c r="BE220" s="5">
        <f>SUM(E220:BD220)</f>
        <v>10682</v>
      </c>
    </row>
  </sheetData>
  <mergeCells count="86">
    <mergeCell ref="C220:D220"/>
    <mergeCell ref="A210:E210"/>
    <mergeCell ref="C211:D211"/>
    <mergeCell ref="B215:D215"/>
    <mergeCell ref="B217:D217"/>
    <mergeCell ref="C218:D218"/>
    <mergeCell ref="C219:D219"/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AP37"/>
    <mergeCell ref="B38:D38"/>
    <mergeCell ref="B39:C41"/>
    <mergeCell ref="A42:D42"/>
    <mergeCell ref="E42:AP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BD12"/>
    <mergeCell ref="BE12:BE13"/>
    <mergeCell ref="B13:D13"/>
    <mergeCell ref="B14:C16"/>
  </mergeCells>
  <phoneticPr fontId="8" type="noConversion"/>
  <conditionalFormatting sqref="E14:BD15">
    <cfRule type="containsBlanks" dxfId="112" priority="20">
      <formula>LEN(TRIM(E14))=0</formula>
    </cfRule>
  </conditionalFormatting>
  <conditionalFormatting sqref="E19:BD20">
    <cfRule type="containsBlanks" dxfId="111" priority="23">
      <formula>LEN(TRIM(E19))=0</formula>
    </cfRule>
  </conditionalFormatting>
  <conditionalFormatting sqref="E22:BD23 E25:BD26 E33:BD33 E35:BD35 E39:BD40">
    <cfRule type="containsBlanks" dxfId="110" priority="24">
      <formula>LEN(TRIM(E22))=0</formula>
    </cfRule>
  </conditionalFormatting>
  <conditionalFormatting sqref="E30:BD30">
    <cfRule type="expression" dxfId="109" priority="25">
      <formula>E30&lt;&gt;E47</formula>
    </cfRule>
    <cfRule type="expression" dxfId="108" priority="26">
      <formula>E30&lt;&gt;E34</formula>
    </cfRule>
  </conditionalFormatting>
  <conditionalFormatting sqref="E34:BD34">
    <cfRule type="expression" dxfId="107" priority="21">
      <formula>E30&lt;&gt;E34</formula>
    </cfRule>
    <cfRule type="expression" dxfId="106" priority="22">
      <formula>E30=E34</formula>
    </cfRule>
    <cfRule type="expression" dxfId="105" priority="27">
      <formula>E34&lt;&gt;E30</formula>
    </cfRule>
    <cfRule type="expression" dxfId="104" priority="29">
      <formula>E34&lt;&gt;E64</formula>
    </cfRule>
  </conditionalFormatting>
  <conditionalFormatting sqref="E45:BD54">
    <cfRule type="containsBlanks" dxfId="103" priority="19">
      <formula>LEN(TRIM(E45))=0</formula>
    </cfRule>
  </conditionalFormatting>
  <conditionalFormatting sqref="E57:BD66">
    <cfRule type="containsBlanks" dxfId="102" priority="18">
      <formula>LEN(TRIM(E57))=0</formula>
    </cfRule>
  </conditionalFormatting>
  <conditionalFormatting sqref="E69:BD78">
    <cfRule type="containsBlanks" dxfId="101" priority="17">
      <formula>LEN(TRIM(E69))=0</formula>
    </cfRule>
  </conditionalFormatting>
  <conditionalFormatting sqref="E81:BD90">
    <cfRule type="containsBlanks" dxfId="1" priority="16">
      <formula>LEN(TRIM(E81))=0</formula>
    </cfRule>
  </conditionalFormatting>
  <conditionalFormatting sqref="E93:BD102">
    <cfRule type="containsBlanks" dxfId="100" priority="15">
      <formula>LEN(TRIM(E93))=0</formula>
    </cfRule>
  </conditionalFormatting>
  <conditionalFormatting sqref="E105:BD107">
    <cfRule type="containsBlanks" dxfId="99" priority="14">
      <formula>LEN(TRIM(E105))=0</formula>
    </cfRule>
  </conditionalFormatting>
  <conditionalFormatting sqref="E110:BD115">
    <cfRule type="containsBlanks" dxfId="98" priority="1">
      <formula>LEN(TRIM(E110))=0</formula>
    </cfRule>
  </conditionalFormatting>
  <conditionalFormatting sqref="E118:BD127">
    <cfRule type="containsBlanks" dxfId="97" priority="13">
      <formula>LEN(TRIM(E118))=0</formula>
    </cfRule>
  </conditionalFormatting>
  <conditionalFormatting sqref="E130:BD133">
    <cfRule type="containsBlanks" dxfId="96" priority="12">
      <formula>LEN(TRIM(E130))=0</formula>
    </cfRule>
  </conditionalFormatting>
  <conditionalFormatting sqref="E136:BD143">
    <cfRule type="containsBlanks" dxfId="95" priority="3">
      <formula>LEN(TRIM(E136))=0</formula>
    </cfRule>
  </conditionalFormatting>
  <conditionalFormatting sqref="E146:BD147">
    <cfRule type="containsBlanks" dxfId="94" priority="11">
      <formula>LEN(TRIM(E146))=0</formula>
    </cfRule>
  </conditionalFormatting>
  <conditionalFormatting sqref="E150:BD159">
    <cfRule type="containsBlanks" dxfId="93" priority="10">
      <formula>LEN(TRIM(E150))=0</formula>
    </cfRule>
  </conditionalFormatting>
  <conditionalFormatting sqref="E162:BD171">
    <cfRule type="containsBlanks" dxfId="92" priority="9">
      <formula>LEN(TRIM(E162))=0</formula>
    </cfRule>
  </conditionalFormatting>
  <conditionalFormatting sqref="E174:BD183">
    <cfRule type="containsBlanks" dxfId="91" priority="8">
      <formula>LEN(TRIM(E174))=0</formula>
    </cfRule>
  </conditionalFormatting>
  <conditionalFormatting sqref="E186:BD189">
    <cfRule type="containsBlanks" dxfId="90" priority="7">
      <formula>LEN(TRIM(E186))=0</formula>
    </cfRule>
  </conditionalFormatting>
  <conditionalFormatting sqref="E192:BD196">
    <cfRule type="containsBlanks" dxfId="89" priority="6">
      <formula>LEN(TRIM(E192))=0</formula>
    </cfRule>
  </conditionalFormatting>
  <conditionalFormatting sqref="E199:BD208">
    <cfRule type="containsBlanks" dxfId="88" priority="5">
      <formula>LEN(TRIM(E199))=0</formula>
    </cfRule>
  </conditionalFormatting>
  <conditionalFormatting sqref="E211:BD214">
    <cfRule type="containsBlanks" dxfId="87" priority="4">
      <formula>LEN(TRIM(E211))=0</formula>
    </cfRule>
  </conditionalFormatting>
  <conditionalFormatting sqref="E218:BD219">
    <cfRule type="containsBlanks" dxfId="86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sheetPr>
    <tabColor rgb="FF92D050"/>
  </sheetPr>
  <dimension ref="A2:AV220"/>
  <sheetViews>
    <sheetView topLeftCell="AB13" zoomScaleNormal="100" workbookViewId="0">
      <pane ySplit="1" topLeftCell="A211" activePane="bottomLeft" state="frozen"/>
      <selection activeCell="E14" sqref="E14"/>
      <selection pane="bottomLeft" activeCell="AV220" sqref="AV220"/>
    </sheetView>
  </sheetViews>
  <sheetFormatPr defaultRowHeight="13.15" x14ac:dyDescent="0.4"/>
  <cols>
    <col min="3" max="3" width="67.140625" bestFit="1" customWidth="1"/>
    <col min="4" max="4" width="5.85546875" bestFit="1" customWidth="1"/>
    <col min="48" max="48" width="13.28515625" customWidth="1"/>
  </cols>
  <sheetData>
    <row r="2" spans="1:48" x14ac:dyDescent="0.4">
      <c r="C2" s="43" t="s">
        <v>104</v>
      </c>
      <c r="D2" s="43" t="s">
        <v>232</v>
      </c>
    </row>
    <row r="3" spans="1:48" x14ac:dyDescent="0.4">
      <c r="C3" s="43" t="s">
        <v>105</v>
      </c>
      <c r="D3" s="43" t="s">
        <v>106</v>
      </c>
    </row>
    <row r="4" spans="1:48" x14ac:dyDescent="0.4">
      <c r="C4" s="43" t="s">
        <v>107</v>
      </c>
      <c r="D4" s="43" t="s">
        <v>108</v>
      </c>
    </row>
    <row r="5" spans="1:48" x14ac:dyDescent="0.4">
      <c r="C5" s="43"/>
      <c r="D5" s="43"/>
    </row>
    <row r="6" spans="1:48" x14ac:dyDescent="0.4">
      <c r="C6" s="43"/>
      <c r="D6" s="43"/>
    </row>
    <row r="7" spans="1:48" x14ac:dyDescent="0.4">
      <c r="C7" s="43"/>
      <c r="D7" s="43"/>
    </row>
    <row r="8" spans="1:48" x14ac:dyDescent="0.4">
      <c r="C8" s="43"/>
      <c r="D8" s="43"/>
    </row>
    <row r="9" spans="1:48" x14ac:dyDescent="0.4">
      <c r="C9" s="43" t="s">
        <v>109</v>
      </c>
      <c r="D9" s="43" t="s">
        <v>256</v>
      </c>
    </row>
    <row r="11" spans="1:4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1"/>
      <c r="W11" s="1"/>
      <c r="X11" s="1"/>
      <c r="Y11" s="1"/>
      <c r="Z11" s="1"/>
      <c r="AA11" s="1"/>
      <c r="AB11" s="3"/>
      <c r="AH11" s="1"/>
      <c r="AI11" s="1"/>
      <c r="AJ11" s="1"/>
      <c r="AK11" s="1"/>
      <c r="AL11" s="1"/>
      <c r="AM11" s="1"/>
      <c r="AN11" s="1"/>
      <c r="AO11" s="1"/>
      <c r="AP11" s="3"/>
    </row>
    <row r="12" spans="1:48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9" t="s">
        <v>103</v>
      </c>
    </row>
    <row r="13" spans="1:48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99" t="s">
        <v>228</v>
      </c>
      <c r="AJ13" s="99" t="s">
        <v>229</v>
      </c>
      <c r="AK13" s="99" t="s">
        <v>230</v>
      </c>
      <c r="AL13" s="99" t="s">
        <v>231</v>
      </c>
      <c r="AM13" s="99" t="s">
        <v>236</v>
      </c>
      <c r="AN13" s="99" t="s">
        <v>237</v>
      </c>
      <c r="AO13" s="99" t="s">
        <v>238</v>
      </c>
      <c r="AP13" s="99" t="s">
        <v>239</v>
      </c>
      <c r="AQ13" s="99" t="s">
        <v>240</v>
      </c>
      <c r="AR13" s="99" t="s">
        <v>243</v>
      </c>
      <c r="AS13" s="5" t="s">
        <v>244</v>
      </c>
      <c r="AT13" s="5" t="s">
        <v>245</v>
      </c>
      <c r="AU13" s="5" t="s">
        <v>246</v>
      </c>
      <c r="AV13" s="60"/>
    </row>
    <row r="14" spans="1:48" x14ac:dyDescent="0.4">
      <c r="A14" s="7"/>
      <c r="B14" s="62" t="s">
        <v>22</v>
      </c>
      <c r="C14" s="63"/>
      <c r="D14" s="6" t="s">
        <v>23</v>
      </c>
      <c r="E14" s="6">
        <v>142</v>
      </c>
      <c r="F14" s="6">
        <v>137</v>
      </c>
      <c r="G14" s="6">
        <v>103</v>
      </c>
      <c r="H14" s="6">
        <v>135</v>
      </c>
      <c r="I14" s="6">
        <v>134</v>
      </c>
      <c r="J14" s="6">
        <v>137</v>
      </c>
      <c r="K14" s="6">
        <v>139</v>
      </c>
      <c r="L14" s="6">
        <v>142</v>
      </c>
      <c r="M14" s="6">
        <v>126</v>
      </c>
      <c r="N14" s="6">
        <v>153</v>
      </c>
      <c r="O14" s="6">
        <v>140</v>
      </c>
      <c r="P14" s="6">
        <v>133</v>
      </c>
      <c r="Q14" s="6">
        <v>133</v>
      </c>
      <c r="R14" s="6">
        <v>144</v>
      </c>
      <c r="S14" s="6">
        <v>133</v>
      </c>
      <c r="T14" s="6">
        <v>140</v>
      </c>
      <c r="U14" s="6">
        <v>147</v>
      </c>
      <c r="V14" s="6">
        <v>140</v>
      </c>
      <c r="W14" s="6">
        <v>152</v>
      </c>
      <c r="X14" s="6">
        <v>143</v>
      </c>
      <c r="Y14" s="6">
        <v>141</v>
      </c>
      <c r="Z14" s="6">
        <v>133</v>
      </c>
      <c r="AA14" s="6">
        <v>139</v>
      </c>
      <c r="AB14" s="6">
        <v>134</v>
      </c>
      <c r="AC14" s="6">
        <v>144</v>
      </c>
      <c r="AD14" s="6">
        <v>131</v>
      </c>
      <c r="AE14" s="6">
        <v>150</v>
      </c>
      <c r="AF14" s="6">
        <v>155</v>
      </c>
      <c r="AG14" s="6">
        <v>132</v>
      </c>
      <c r="AH14" s="6">
        <v>148</v>
      </c>
      <c r="AI14" s="6">
        <v>139</v>
      </c>
      <c r="AJ14" s="6">
        <v>148</v>
      </c>
      <c r="AK14" s="6">
        <v>137</v>
      </c>
      <c r="AL14" s="6">
        <v>106</v>
      </c>
      <c r="AM14" s="6">
        <v>131</v>
      </c>
      <c r="AN14" s="6">
        <v>128</v>
      </c>
      <c r="AO14" s="6">
        <v>123</v>
      </c>
      <c r="AP14" s="6">
        <v>134</v>
      </c>
      <c r="AQ14" s="6">
        <v>152</v>
      </c>
      <c r="AR14" s="6">
        <v>119</v>
      </c>
      <c r="AS14" s="6">
        <v>145</v>
      </c>
      <c r="AT14" s="6">
        <v>137</v>
      </c>
      <c r="AU14" s="6">
        <v>145</v>
      </c>
      <c r="AV14" s="5">
        <f>SUM(E14:AU14)</f>
        <v>5904</v>
      </c>
    </row>
    <row r="15" spans="1:48" x14ac:dyDescent="0.4">
      <c r="A15" s="7"/>
      <c r="B15" s="64"/>
      <c r="C15" s="65"/>
      <c r="D15" s="6" t="s">
        <v>24</v>
      </c>
      <c r="E15" s="6">
        <v>141</v>
      </c>
      <c r="F15" s="6">
        <v>151</v>
      </c>
      <c r="G15" s="6">
        <v>117</v>
      </c>
      <c r="H15" s="6">
        <v>138</v>
      </c>
      <c r="I15" s="6">
        <v>161</v>
      </c>
      <c r="J15" s="6">
        <v>148</v>
      </c>
      <c r="K15" s="6">
        <v>154</v>
      </c>
      <c r="L15" s="6">
        <v>143</v>
      </c>
      <c r="M15" s="6">
        <v>163</v>
      </c>
      <c r="N15" s="6">
        <v>142</v>
      </c>
      <c r="O15" s="6">
        <v>152</v>
      </c>
      <c r="P15" s="6">
        <v>158</v>
      </c>
      <c r="Q15" s="6">
        <v>150</v>
      </c>
      <c r="R15" s="6">
        <v>138</v>
      </c>
      <c r="S15" s="6">
        <v>148</v>
      </c>
      <c r="T15" s="6">
        <v>147</v>
      </c>
      <c r="U15" s="6">
        <v>147</v>
      </c>
      <c r="V15" s="6">
        <v>148</v>
      </c>
      <c r="W15" s="6">
        <v>141</v>
      </c>
      <c r="X15" s="6">
        <v>146</v>
      </c>
      <c r="Y15" s="6">
        <v>141</v>
      </c>
      <c r="Z15" s="6">
        <v>148</v>
      </c>
      <c r="AA15" s="6">
        <v>151</v>
      </c>
      <c r="AB15" s="6">
        <v>148</v>
      </c>
      <c r="AC15" s="6">
        <v>146</v>
      </c>
      <c r="AD15" s="6">
        <v>135</v>
      </c>
      <c r="AE15" s="6">
        <v>142</v>
      </c>
      <c r="AF15" s="6">
        <v>140</v>
      </c>
      <c r="AG15" s="6">
        <v>146</v>
      </c>
      <c r="AH15" s="6">
        <v>150</v>
      </c>
      <c r="AI15" s="6">
        <v>151</v>
      </c>
      <c r="AJ15" s="6">
        <v>145</v>
      </c>
      <c r="AK15" s="6">
        <v>150</v>
      </c>
      <c r="AL15" s="6">
        <v>112</v>
      </c>
      <c r="AM15" s="6">
        <v>136</v>
      </c>
      <c r="AN15" s="6">
        <v>143</v>
      </c>
      <c r="AO15" s="6">
        <v>140</v>
      </c>
      <c r="AP15" s="6">
        <v>155</v>
      </c>
      <c r="AQ15" s="6">
        <v>143</v>
      </c>
      <c r="AR15" s="6">
        <v>123</v>
      </c>
      <c r="AS15" s="6">
        <v>144</v>
      </c>
      <c r="AT15" s="6">
        <v>158</v>
      </c>
      <c r="AU15" s="6">
        <v>146</v>
      </c>
      <c r="AV15" s="5">
        <f>SUM(E15:AU15)</f>
        <v>6226</v>
      </c>
    </row>
    <row r="16" spans="1:48" x14ac:dyDescent="0.4">
      <c r="A16" s="8"/>
      <c r="B16" s="66"/>
      <c r="C16" s="67"/>
      <c r="D16" s="5" t="s">
        <v>25</v>
      </c>
      <c r="E16" s="5">
        <f t="shared" ref="E16:AU16" si="0">SUM(E14:E15)</f>
        <v>283</v>
      </c>
      <c r="F16" s="5">
        <f t="shared" si="0"/>
        <v>288</v>
      </c>
      <c r="G16" s="5">
        <f t="shared" si="0"/>
        <v>220</v>
      </c>
      <c r="H16" s="5">
        <f t="shared" si="0"/>
        <v>273</v>
      </c>
      <c r="I16" s="5">
        <f t="shared" si="0"/>
        <v>295</v>
      </c>
      <c r="J16" s="5">
        <f t="shared" si="0"/>
        <v>285</v>
      </c>
      <c r="K16" s="5">
        <f t="shared" si="0"/>
        <v>293</v>
      </c>
      <c r="L16" s="5">
        <f t="shared" si="0"/>
        <v>285</v>
      </c>
      <c r="M16" s="5">
        <f t="shared" si="0"/>
        <v>289</v>
      </c>
      <c r="N16" s="5">
        <f t="shared" si="0"/>
        <v>295</v>
      </c>
      <c r="O16" s="5">
        <f t="shared" si="0"/>
        <v>292</v>
      </c>
      <c r="P16" s="5">
        <f t="shared" si="0"/>
        <v>291</v>
      </c>
      <c r="Q16" s="5">
        <f t="shared" si="0"/>
        <v>283</v>
      </c>
      <c r="R16" s="5">
        <f t="shared" si="0"/>
        <v>282</v>
      </c>
      <c r="S16" s="5">
        <f t="shared" si="0"/>
        <v>281</v>
      </c>
      <c r="T16" s="5">
        <f t="shared" ref="T16:AG16" si="1">SUM(T14:T15)</f>
        <v>287</v>
      </c>
      <c r="U16" s="5">
        <f t="shared" si="1"/>
        <v>294</v>
      </c>
      <c r="V16" s="5">
        <f t="shared" si="1"/>
        <v>288</v>
      </c>
      <c r="W16" s="5">
        <f t="shared" si="1"/>
        <v>293</v>
      </c>
      <c r="X16" s="5">
        <f t="shared" si="1"/>
        <v>289</v>
      </c>
      <c r="Y16" s="5">
        <f t="shared" si="1"/>
        <v>282</v>
      </c>
      <c r="Z16" s="5">
        <f t="shared" si="1"/>
        <v>281</v>
      </c>
      <c r="AA16" s="5">
        <f t="shared" si="1"/>
        <v>290</v>
      </c>
      <c r="AB16" s="5">
        <f t="shared" si="1"/>
        <v>282</v>
      </c>
      <c r="AC16" s="5">
        <f t="shared" si="1"/>
        <v>290</v>
      </c>
      <c r="AD16" s="5">
        <f t="shared" si="1"/>
        <v>266</v>
      </c>
      <c r="AE16" s="5">
        <f t="shared" si="1"/>
        <v>292</v>
      </c>
      <c r="AF16" s="5">
        <f t="shared" si="1"/>
        <v>295</v>
      </c>
      <c r="AG16" s="5">
        <f t="shared" si="1"/>
        <v>278</v>
      </c>
      <c r="AH16" s="5">
        <f t="shared" si="0"/>
        <v>298</v>
      </c>
      <c r="AI16" s="5">
        <f t="shared" si="0"/>
        <v>290</v>
      </c>
      <c r="AJ16" s="5">
        <f t="shared" si="0"/>
        <v>293</v>
      </c>
      <c r="AK16" s="5">
        <f t="shared" si="0"/>
        <v>287</v>
      </c>
      <c r="AL16" s="5">
        <f t="shared" si="0"/>
        <v>218</v>
      </c>
      <c r="AM16" s="5">
        <f t="shared" si="0"/>
        <v>267</v>
      </c>
      <c r="AN16" s="5">
        <f t="shared" si="0"/>
        <v>271</v>
      </c>
      <c r="AO16" s="5">
        <f t="shared" si="0"/>
        <v>263</v>
      </c>
      <c r="AP16" s="5">
        <f t="shared" si="0"/>
        <v>289</v>
      </c>
      <c r="AQ16" s="5">
        <f t="shared" si="0"/>
        <v>295</v>
      </c>
      <c r="AR16" s="5">
        <f t="shared" si="0"/>
        <v>242</v>
      </c>
      <c r="AS16" s="5">
        <f t="shared" si="0"/>
        <v>289</v>
      </c>
      <c r="AT16" s="5">
        <f t="shared" si="0"/>
        <v>295</v>
      </c>
      <c r="AU16" s="5">
        <f t="shared" si="0"/>
        <v>291</v>
      </c>
      <c r="AV16" s="5">
        <f>SUM(E16:AU16)</f>
        <v>12130</v>
      </c>
    </row>
    <row r="17" spans="1:48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6"/>
      <c r="W17" s="6"/>
      <c r="X17" s="6"/>
      <c r="Y17" s="6"/>
      <c r="Z17" s="6"/>
      <c r="AA17" s="6"/>
      <c r="AB17" s="10"/>
      <c r="AC17" s="10"/>
      <c r="AD17" s="10"/>
      <c r="AE17" s="10"/>
      <c r="AF17" s="10"/>
      <c r="AG17" s="10"/>
      <c r="AH17" s="6"/>
      <c r="AI17" s="6"/>
      <c r="AJ17" s="6"/>
      <c r="AK17" s="6"/>
      <c r="AL17" s="6"/>
      <c r="AM17" s="6"/>
      <c r="AN17" s="6"/>
      <c r="AO17" s="6"/>
      <c r="AP17" s="10"/>
      <c r="AQ17" s="10"/>
      <c r="AR17" s="10"/>
      <c r="AS17" s="10"/>
      <c r="AT17" s="10"/>
      <c r="AU17" s="10"/>
      <c r="AV17" s="28"/>
    </row>
    <row r="18" spans="1:48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6"/>
      <c r="W18" s="6"/>
      <c r="X18" s="6"/>
      <c r="Y18" s="6"/>
      <c r="Z18" s="6"/>
      <c r="AA18" s="6"/>
      <c r="AB18" s="10"/>
      <c r="AC18" s="10"/>
      <c r="AD18" s="10"/>
      <c r="AE18" s="10"/>
      <c r="AF18" s="10"/>
      <c r="AG18" s="10"/>
      <c r="AH18" s="6"/>
      <c r="AI18" s="6"/>
      <c r="AJ18" s="6"/>
      <c r="AK18" s="6"/>
      <c r="AL18" s="6"/>
      <c r="AM18" s="6"/>
      <c r="AN18" s="6"/>
      <c r="AO18" s="6"/>
      <c r="AP18" s="10"/>
      <c r="AQ18" s="10"/>
      <c r="AR18" s="10"/>
      <c r="AS18" s="10"/>
      <c r="AT18" s="10"/>
      <c r="AU18" s="10"/>
      <c r="AV18" s="28"/>
    </row>
    <row r="19" spans="1:48" x14ac:dyDescent="0.4">
      <c r="A19" s="11"/>
      <c r="B19" s="68" t="s">
        <v>28</v>
      </c>
      <c r="C19" s="69" t="s">
        <v>29</v>
      </c>
      <c r="D19" s="6" t="s">
        <v>23</v>
      </c>
      <c r="E19" s="6">
        <v>114</v>
      </c>
      <c r="F19" s="6">
        <v>77</v>
      </c>
      <c r="G19" s="6">
        <v>75</v>
      </c>
      <c r="H19" s="6">
        <v>104</v>
      </c>
      <c r="I19" s="6">
        <v>97</v>
      </c>
      <c r="J19" s="6">
        <v>101</v>
      </c>
      <c r="K19" s="6">
        <v>98</v>
      </c>
      <c r="L19" s="6">
        <v>98</v>
      </c>
      <c r="M19" s="6">
        <v>85</v>
      </c>
      <c r="N19" s="6">
        <v>108</v>
      </c>
      <c r="O19" s="6">
        <v>87</v>
      </c>
      <c r="P19" s="6">
        <v>92</v>
      </c>
      <c r="Q19" s="6">
        <v>89</v>
      </c>
      <c r="R19" s="6">
        <v>106</v>
      </c>
      <c r="S19" s="6">
        <v>83</v>
      </c>
      <c r="T19" s="6">
        <v>102</v>
      </c>
      <c r="U19" s="6">
        <v>97</v>
      </c>
      <c r="V19" s="6">
        <v>87</v>
      </c>
      <c r="W19" s="6">
        <v>112</v>
      </c>
      <c r="X19" s="6">
        <v>98</v>
      </c>
      <c r="Y19" s="6">
        <v>102</v>
      </c>
      <c r="Z19" s="6">
        <v>99</v>
      </c>
      <c r="AA19" s="6">
        <v>106</v>
      </c>
      <c r="AB19" s="6">
        <v>100</v>
      </c>
      <c r="AC19" s="6">
        <v>98</v>
      </c>
      <c r="AD19" s="6">
        <v>92</v>
      </c>
      <c r="AE19" s="6">
        <v>106</v>
      </c>
      <c r="AF19" s="6">
        <v>113</v>
      </c>
      <c r="AG19" s="6">
        <v>95</v>
      </c>
      <c r="AH19" s="6">
        <v>88</v>
      </c>
      <c r="AI19" s="6">
        <v>89</v>
      </c>
      <c r="AJ19" s="6">
        <v>110</v>
      </c>
      <c r="AK19" s="6">
        <v>105</v>
      </c>
      <c r="AL19" s="6">
        <v>68</v>
      </c>
      <c r="AM19" s="6">
        <v>85</v>
      </c>
      <c r="AN19" s="6">
        <v>93</v>
      </c>
      <c r="AO19" s="6">
        <v>83</v>
      </c>
      <c r="AP19" s="6">
        <v>89</v>
      </c>
      <c r="AQ19" s="6">
        <v>95</v>
      </c>
      <c r="AR19" s="6">
        <v>77</v>
      </c>
      <c r="AS19" s="6">
        <v>92</v>
      </c>
      <c r="AT19" s="6">
        <v>121</v>
      </c>
      <c r="AU19" s="6">
        <v>79</v>
      </c>
      <c r="AV19" s="5">
        <f t="shared" ref="AV19:AV30" si="2">SUM(E19:AU19)</f>
        <v>4095</v>
      </c>
    </row>
    <row r="20" spans="1:48" x14ac:dyDescent="0.4">
      <c r="A20" s="12"/>
      <c r="B20" s="65"/>
      <c r="C20" s="70"/>
      <c r="D20" s="6" t="s">
        <v>24</v>
      </c>
      <c r="E20" s="6">
        <v>126</v>
      </c>
      <c r="F20" s="6">
        <v>107</v>
      </c>
      <c r="G20" s="6">
        <v>93</v>
      </c>
      <c r="H20" s="6">
        <v>108</v>
      </c>
      <c r="I20" s="6">
        <v>124</v>
      </c>
      <c r="J20" s="6">
        <v>109</v>
      </c>
      <c r="K20" s="6">
        <v>124</v>
      </c>
      <c r="L20" s="6">
        <v>116</v>
      </c>
      <c r="M20" s="6">
        <v>122</v>
      </c>
      <c r="N20" s="6">
        <v>116</v>
      </c>
      <c r="O20" s="6">
        <v>117</v>
      </c>
      <c r="P20" s="6">
        <v>120</v>
      </c>
      <c r="Q20" s="6">
        <v>118</v>
      </c>
      <c r="R20" s="6">
        <v>99</v>
      </c>
      <c r="S20" s="6">
        <v>119</v>
      </c>
      <c r="T20" s="6">
        <v>112</v>
      </c>
      <c r="U20" s="6">
        <v>110</v>
      </c>
      <c r="V20" s="6">
        <v>108</v>
      </c>
      <c r="W20" s="6">
        <v>109</v>
      </c>
      <c r="X20" s="6">
        <v>125</v>
      </c>
      <c r="Y20" s="6">
        <v>113</v>
      </c>
      <c r="Z20" s="6">
        <v>123</v>
      </c>
      <c r="AA20" s="6">
        <v>119</v>
      </c>
      <c r="AB20" s="6">
        <v>127</v>
      </c>
      <c r="AC20" s="6">
        <v>120</v>
      </c>
      <c r="AD20" s="6">
        <v>111</v>
      </c>
      <c r="AE20" s="6">
        <v>113</v>
      </c>
      <c r="AF20" s="6">
        <v>108</v>
      </c>
      <c r="AG20" s="6">
        <v>109</v>
      </c>
      <c r="AH20" s="6">
        <v>109</v>
      </c>
      <c r="AI20" s="6">
        <v>126</v>
      </c>
      <c r="AJ20" s="6">
        <v>109</v>
      </c>
      <c r="AK20" s="6">
        <v>126</v>
      </c>
      <c r="AL20" s="6">
        <v>74</v>
      </c>
      <c r="AM20" s="6">
        <v>101</v>
      </c>
      <c r="AN20" s="6">
        <v>111</v>
      </c>
      <c r="AO20" s="6">
        <v>105</v>
      </c>
      <c r="AP20" s="6">
        <v>113</v>
      </c>
      <c r="AQ20" s="6">
        <v>109</v>
      </c>
      <c r="AR20" s="6">
        <v>94</v>
      </c>
      <c r="AS20" s="6">
        <v>110</v>
      </c>
      <c r="AT20" s="6">
        <v>87</v>
      </c>
      <c r="AU20" s="6">
        <v>100</v>
      </c>
      <c r="AV20" s="5">
        <f t="shared" si="2"/>
        <v>4799</v>
      </c>
    </row>
    <row r="21" spans="1:48" x14ac:dyDescent="0.4">
      <c r="A21" s="13"/>
      <c r="B21" s="67"/>
      <c r="C21" s="71"/>
      <c r="D21" s="5" t="s">
        <v>25</v>
      </c>
      <c r="E21" s="5">
        <f t="shared" ref="E21:AU21" si="3">SUM(E19:E20)</f>
        <v>240</v>
      </c>
      <c r="F21" s="5">
        <f t="shared" si="3"/>
        <v>184</v>
      </c>
      <c r="G21" s="5">
        <f t="shared" si="3"/>
        <v>168</v>
      </c>
      <c r="H21" s="5">
        <f t="shared" si="3"/>
        <v>212</v>
      </c>
      <c r="I21" s="5">
        <f t="shared" si="3"/>
        <v>221</v>
      </c>
      <c r="J21" s="5">
        <f t="shared" si="3"/>
        <v>210</v>
      </c>
      <c r="K21" s="5">
        <f t="shared" si="3"/>
        <v>222</v>
      </c>
      <c r="L21" s="5">
        <f t="shared" si="3"/>
        <v>214</v>
      </c>
      <c r="M21" s="5">
        <f t="shared" si="3"/>
        <v>207</v>
      </c>
      <c r="N21" s="5">
        <f t="shared" si="3"/>
        <v>224</v>
      </c>
      <c r="O21" s="5">
        <f t="shared" si="3"/>
        <v>204</v>
      </c>
      <c r="P21" s="5">
        <f t="shared" si="3"/>
        <v>212</v>
      </c>
      <c r="Q21" s="5">
        <f t="shared" si="3"/>
        <v>207</v>
      </c>
      <c r="R21" s="5">
        <f t="shared" si="3"/>
        <v>205</v>
      </c>
      <c r="S21" s="5">
        <f t="shared" si="3"/>
        <v>202</v>
      </c>
      <c r="T21" s="5">
        <f t="shared" ref="T21:AG21" si="4">SUM(T19:T20)</f>
        <v>214</v>
      </c>
      <c r="U21" s="5">
        <f t="shared" si="4"/>
        <v>207</v>
      </c>
      <c r="V21" s="5">
        <f t="shared" si="4"/>
        <v>195</v>
      </c>
      <c r="W21" s="5">
        <f t="shared" si="4"/>
        <v>221</v>
      </c>
      <c r="X21" s="5">
        <f t="shared" si="4"/>
        <v>223</v>
      </c>
      <c r="Y21" s="5">
        <f t="shared" si="4"/>
        <v>215</v>
      </c>
      <c r="Z21" s="5">
        <f t="shared" si="4"/>
        <v>222</v>
      </c>
      <c r="AA21" s="5">
        <f t="shared" si="4"/>
        <v>225</v>
      </c>
      <c r="AB21" s="5">
        <f t="shared" si="4"/>
        <v>227</v>
      </c>
      <c r="AC21" s="5">
        <f t="shared" si="4"/>
        <v>218</v>
      </c>
      <c r="AD21" s="5">
        <f t="shared" si="4"/>
        <v>203</v>
      </c>
      <c r="AE21" s="5">
        <f t="shared" si="4"/>
        <v>219</v>
      </c>
      <c r="AF21" s="5">
        <f t="shared" si="4"/>
        <v>221</v>
      </c>
      <c r="AG21" s="5">
        <f t="shared" si="4"/>
        <v>204</v>
      </c>
      <c r="AH21" s="5">
        <f t="shared" si="3"/>
        <v>197</v>
      </c>
      <c r="AI21" s="5">
        <f t="shared" si="3"/>
        <v>215</v>
      </c>
      <c r="AJ21" s="5">
        <f t="shared" si="3"/>
        <v>219</v>
      </c>
      <c r="AK21" s="5">
        <f t="shared" si="3"/>
        <v>231</v>
      </c>
      <c r="AL21" s="5">
        <f t="shared" si="3"/>
        <v>142</v>
      </c>
      <c r="AM21" s="5">
        <f t="shared" si="3"/>
        <v>186</v>
      </c>
      <c r="AN21" s="5">
        <f t="shared" si="3"/>
        <v>204</v>
      </c>
      <c r="AO21" s="5">
        <f t="shared" si="3"/>
        <v>188</v>
      </c>
      <c r="AP21" s="5">
        <f t="shared" si="3"/>
        <v>202</v>
      </c>
      <c r="AQ21" s="5">
        <f t="shared" si="3"/>
        <v>204</v>
      </c>
      <c r="AR21" s="5">
        <f t="shared" si="3"/>
        <v>171</v>
      </c>
      <c r="AS21" s="5">
        <f t="shared" si="3"/>
        <v>202</v>
      </c>
      <c r="AT21" s="5">
        <f t="shared" si="3"/>
        <v>208</v>
      </c>
      <c r="AU21" s="5">
        <f t="shared" si="3"/>
        <v>179</v>
      </c>
      <c r="AV21" s="5">
        <f t="shared" si="2"/>
        <v>8894</v>
      </c>
    </row>
    <row r="22" spans="1:48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2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1</v>
      </c>
      <c r="O22" s="6">
        <v>2</v>
      </c>
      <c r="P22" s="6">
        <v>0</v>
      </c>
      <c r="Q22" s="6">
        <v>0</v>
      </c>
      <c r="R22" s="6">
        <v>1</v>
      </c>
      <c r="S22" s="6">
        <v>1</v>
      </c>
      <c r="T22" s="6">
        <v>1</v>
      </c>
      <c r="U22" s="6">
        <v>1</v>
      </c>
      <c r="V22" s="6">
        <v>0</v>
      </c>
      <c r="W22" s="6">
        <v>2</v>
      </c>
      <c r="X22" s="6">
        <v>0</v>
      </c>
      <c r="Y22" s="6">
        <v>0</v>
      </c>
      <c r="Z22" s="6">
        <v>0</v>
      </c>
      <c r="AA22" s="6">
        <v>1</v>
      </c>
      <c r="AB22" s="6">
        <v>0</v>
      </c>
      <c r="AC22" s="6">
        <v>0</v>
      </c>
      <c r="AD22" s="6">
        <v>1</v>
      </c>
      <c r="AE22" s="6">
        <v>0</v>
      </c>
      <c r="AF22" s="6">
        <v>0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1</v>
      </c>
      <c r="AN22" s="6">
        <v>0</v>
      </c>
      <c r="AO22" s="6">
        <v>0</v>
      </c>
      <c r="AP22" s="6">
        <v>2</v>
      </c>
      <c r="AQ22" s="6">
        <v>1</v>
      </c>
      <c r="AR22" s="6">
        <v>1</v>
      </c>
      <c r="AS22" s="6">
        <v>1</v>
      </c>
      <c r="AT22" s="6">
        <v>1</v>
      </c>
      <c r="AU22" s="6">
        <v>0</v>
      </c>
      <c r="AV22" s="5">
        <f t="shared" si="2"/>
        <v>24</v>
      </c>
    </row>
    <row r="23" spans="1:48" x14ac:dyDescent="0.4">
      <c r="A23" s="12"/>
      <c r="B23" s="65"/>
      <c r="C23" s="70"/>
      <c r="D23" s="6" t="s">
        <v>24</v>
      </c>
      <c r="E23" s="6">
        <v>0</v>
      </c>
      <c r="F23" s="6">
        <v>1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2</v>
      </c>
      <c r="O23" s="6">
        <v>1</v>
      </c>
      <c r="P23" s="6">
        <v>1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1</v>
      </c>
      <c r="W23" s="6">
        <v>1</v>
      </c>
      <c r="X23" s="6">
        <v>1</v>
      </c>
      <c r="Y23" s="6">
        <v>0</v>
      </c>
      <c r="Z23" s="6">
        <v>1</v>
      </c>
      <c r="AA23" s="6">
        <v>0</v>
      </c>
      <c r="AB23" s="6">
        <v>0</v>
      </c>
      <c r="AC23" s="6">
        <v>1</v>
      </c>
      <c r="AD23" s="6">
        <v>0</v>
      </c>
      <c r="AE23" s="6">
        <v>1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6">
        <v>1</v>
      </c>
      <c r="AO23" s="6">
        <v>1</v>
      </c>
      <c r="AP23" s="6">
        <v>3</v>
      </c>
      <c r="AQ23" s="6">
        <v>0</v>
      </c>
      <c r="AR23" s="6">
        <v>0</v>
      </c>
      <c r="AS23" s="6">
        <v>1</v>
      </c>
      <c r="AT23" s="6">
        <v>0</v>
      </c>
      <c r="AU23" s="6">
        <v>0</v>
      </c>
      <c r="AV23" s="5">
        <f t="shared" si="2"/>
        <v>23</v>
      </c>
    </row>
    <row r="24" spans="1:48" x14ac:dyDescent="0.4">
      <c r="A24" s="13"/>
      <c r="B24" s="67"/>
      <c r="C24" s="71"/>
      <c r="D24" s="5" t="s">
        <v>25</v>
      </c>
      <c r="E24" s="5">
        <f t="shared" ref="E24:AU24" si="5">SUM(E22:E23)</f>
        <v>0</v>
      </c>
      <c r="F24" s="5">
        <f t="shared" si="5"/>
        <v>1</v>
      </c>
      <c r="G24" s="5">
        <f t="shared" si="5"/>
        <v>3</v>
      </c>
      <c r="H24" s="5">
        <f t="shared" si="5"/>
        <v>2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1</v>
      </c>
      <c r="N24" s="5">
        <f t="shared" si="5"/>
        <v>3</v>
      </c>
      <c r="O24" s="5">
        <f t="shared" si="5"/>
        <v>3</v>
      </c>
      <c r="P24" s="5">
        <f t="shared" si="5"/>
        <v>1</v>
      </c>
      <c r="Q24" s="5">
        <f t="shared" si="5"/>
        <v>0</v>
      </c>
      <c r="R24" s="5">
        <f t="shared" si="5"/>
        <v>1</v>
      </c>
      <c r="S24" s="5">
        <f t="shared" si="5"/>
        <v>1</v>
      </c>
      <c r="T24" s="5">
        <f t="shared" ref="T24:AG24" si="6">SUM(T22:T23)</f>
        <v>2</v>
      </c>
      <c r="U24" s="5">
        <f t="shared" si="6"/>
        <v>1</v>
      </c>
      <c r="V24" s="5">
        <f t="shared" si="6"/>
        <v>1</v>
      </c>
      <c r="W24" s="5">
        <f t="shared" si="6"/>
        <v>3</v>
      </c>
      <c r="X24" s="5">
        <f t="shared" si="6"/>
        <v>1</v>
      </c>
      <c r="Y24" s="5">
        <f t="shared" si="6"/>
        <v>0</v>
      </c>
      <c r="Z24" s="5">
        <f t="shared" si="6"/>
        <v>1</v>
      </c>
      <c r="AA24" s="5">
        <f t="shared" si="6"/>
        <v>1</v>
      </c>
      <c r="AB24" s="5">
        <f t="shared" si="6"/>
        <v>0</v>
      </c>
      <c r="AC24" s="5">
        <f t="shared" si="6"/>
        <v>1</v>
      </c>
      <c r="AD24" s="5">
        <f t="shared" si="6"/>
        <v>1</v>
      </c>
      <c r="AE24" s="5">
        <f t="shared" si="6"/>
        <v>1</v>
      </c>
      <c r="AF24" s="5">
        <f t="shared" si="6"/>
        <v>1</v>
      </c>
      <c r="AG24" s="5">
        <f t="shared" si="6"/>
        <v>1</v>
      </c>
      <c r="AH24" s="5">
        <f t="shared" si="5"/>
        <v>1</v>
      </c>
      <c r="AI24" s="5">
        <f t="shared" si="5"/>
        <v>0</v>
      </c>
      <c r="AJ24" s="5">
        <f t="shared" si="5"/>
        <v>0</v>
      </c>
      <c r="AK24" s="5">
        <f t="shared" si="5"/>
        <v>1</v>
      </c>
      <c r="AL24" s="5">
        <f t="shared" si="5"/>
        <v>1</v>
      </c>
      <c r="AM24" s="5">
        <f t="shared" si="5"/>
        <v>1</v>
      </c>
      <c r="AN24" s="5">
        <f t="shared" si="5"/>
        <v>1</v>
      </c>
      <c r="AO24" s="5">
        <f t="shared" si="5"/>
        <v>1</v>
      </c>
      <c r="AP24" s="5">
        <f t="shared" si="5"/>
        <v>5</v>
      </c>
      <c r="AQ24" s="5">
        <f t="shared" si="5"/>
        <v>1</v>
      </c>
      <c r="AR24" s="5">
        <f t="shared" si="5"/>
        <v>1</v>
      </c>
      <c r="AS24" s="5">
        <f t="shared" si="5"/>
        <v>2</v>
      </c>
      <c r="AT24" s="5">
        <f t="shared" si="5"/>
        <v>1</v>
      </c>
      <c r="AU24" s="5">
        <f t="shared" si="5"/>
        <v>0</v>
      </c>
      <c r="AV24" s="5">
        <f t="shared" si="2"/>
        <v>47</v>
      </c>
    </row>
    <row r="25" spans="1:48" x14ac:dyDescent="0.4">
      <c r="A25" s="12"/>
      <c r="B25" s="68" t="s">
        <v>32</v>
      </c>
      <c r="C25" s="69" t="s">
        <v>33</v>
      </c>
      <c r="D25" s="6" t="s">
        <v>23</v>
      </c>
      <c r="E25" s="6">
        <v>5</v>
      </c>
      <c r="F25" s="6">
        <v>1</v>
      </c>
      <c r="G25" s="6">
        <v>2</v>
      </c>
      <c r="H25" s="6">
        <v>8</v>
      </c>
      <c r="I25" s="6">
        <v>4</v>
      </c>
      <c r="J25" s="6">
        <v>2</v>
      </c>
      <c r="K25" s="6">
        <v>3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1</v>
      </c>
      <c r="R25" s="6">
        <v>2</v>
      </c>
      <c r="S25" s="6">
        <v>0</v>
      </c>
      <c r="T25" s="6">
        <v>0</v>
      </c>
      <c r="U25" s="6">
        <v>0</v>
      </c>
      <c r="V25" s="6">
        <v>8</v>
      </c>
      <c r="W25" s="6">
        <v>2</v>
      </c>
      <c r="X25" s="6">
        <v>2</v>
      </c>
      <c r="Y25" s="6">
        <v>1</v>
      </c>
      <c r="Z25" s="6">
        <v>1</v>
      </c>
      <c r="AA25" s="6">
        <v>0</v>
      </c>
      <c r="AB25" s="6">
        <v>0</v>
      </c>
      <c r="AC25" s="6">
        <v>0</v>
      </c>
      <c r="AD25" s="6">
        <v>5</v>
      </c>
      <c r="AE25" s="6">
        <v>1</v>
      </c>
      <c r="AF25" s="6">
        <v>3</v>
      </c>
      <c r="AG25" s="6">
        <v>0</v>
      </c>
      <c r="AH25" s="6">
        <v>11</v>
      </c>
      <c r="AI25" s="6">
        <v>0</v>
      </c>
      <c r="AJ25" s="6">
        <v>5</v>
      </c>
      <c r="AK25" s="6">
        <v>2</v>
      </c>
      <c r="AL25" s="6">
        <v>1</v>
      </c>
      <c r="AM25" s="6">
        <v>1</v>
      </c>
      <c r="AN25" s="6">
        <v>2</v>
      </c>
      <c r="AO25" s="6">
        <v>1</v>
      </c>
      <c r="AP25" s="6">
        <v>5</v>
      </c>
      <c r="AQ25" s="6">
        <v>0</v>
      </c>
      <c r="AR25" s="6">
        <v>0</v>
      </c>
      <c r="AS25" s="6">
        <v>1</v>
      </c>
      <c r="AT25" s="6">
        <v>2</v>
      </c>
      <c r="AU25" s="6">
        <v>2</v>
      </c>
      <c r="AV25" s="5">
        <f t="shared" si="2"/>
        <v>85</v>
      </c>
    </row>
    <row r="26" spans="1:48" x14ac:dyDescent="0.4">
      <c r="A26" s="12"/>
      <c r="B26" s="65"/>
      <c r="C26" s="70"/>
      <c r="D26" s="6" t="s">
        <v>24</v>
      </c>
      <c r="E26" s="6">
        <v>6</v>
      </c>
      <c r="F26" s="6">
        <v>0</v>
      </c>
      <c r="G26" s="6">
        <v>3</v>
      </c>
      <c r="H26" s="6">
        <v>10</v>
      </c>
      <c r="I26" s="6">
        <v>1</v>
      </c>
      <c r="J26" s="6">
        <v>1</v>
      </c>
      <c r="K26" s="6">
        <v>3</v>
      </c>
      <c r="L26" s="6">
        <v>0</v>
      </c>
      <c r="M26" s="6">
        <v>2</v>
      </c>
      <c r="N26" s="6">
        <v>0</v>
      </c>
      <c r="O26" s="6">
        <v>1</v>
      </c>
      <c r="P26" s="6">
        <v>0</v>
      </c>
      <c r="Q26" s="6">
        <v>1</v>
      </c>
      <c r="R26" s="6">
        <v>1</v>
      </c>
      <c r="S26" s="6">
        <v>0</v>
      </c>
      <c r="T26" s="6">
        <v>0</v>
      </c>
      <c r="U26" s="6">
        <v>1</v>
      </c>
      <c r="V26" s="6">
        <v>9</v>
      </c>
      <c r="W26" s="6">
        <v>2</v>
      </c>
      <c r="X26" s="6">
        <v>0</v>
      </c>
      <c r="Y26" s="6">
        <v>1</v>
      </c>
      <c r="Z26" s="6">
        <v>2</v>
      </c>
      <c r="AA26" s="6">
        <v>0</v>
      </c>
      <c r="AB26" s="6">
        <v>0</v>
      </c>
      <c r="AC26" s="6">
        <v>0</v>
      </c>
      <c r="AD26" s="6">
        <v>5</v>
      </c>
      <c r="AE26" s="6">
        <v>0</v>
      </c>
      <c r="AF26" s="6">
        <v>3</v>
      </c>
      <c r="AG26" s="6">
        <v>1</v>
      </c>
      <c r="AH26" s="6">
        <v>6</v>
      </c>
      <c r="AI26" s="6">
        <v>0</v>
      </c>
      <c r="AJ26" s="6">
        <v>6</v>
      </c>
      <c r="AK26" s="6">
        <v>0</v>
      </c>
      <c r="AL26" s="6">
        <v>1</v>
      </c>
      <c r="AM26" s="6">
        <v>1</v>
      </c>
      <c r="AN26" s="6">
        <v>1</v>
      </c>
      <c r="AO26" s="6">
        <v>0</v>
      </c>
      <c r="AP26" s="6">
        <v>5</v>
      </c>
      <c r="AQ26" s="6">
        <v>1</v>
      </c>
      <c r="AR26" s="6">
        <v>0</v>
      </c>
      <c r="AS26" s="6">
        <v>2</v>
      </c>
      <c r="AT26" s="6">
        <v>2</v>
      </c>
      <c r="AU26" s="6">
        <v>2</v>
      </c>
      <c r="AV26" s="5">
        <f t="shared" si="2"/>
        <v>80</v>
      </c>
    </row>
    <row r="27" spans="1:48" x14ac:dyDescent="0.4">
      <c r="A27" s="13"/>
      <c r="B27" s="67"/>
      <c r="C27" s="71"/>
      <c r="D27" s="5" t="s">
        <v>25</v>
      </c>
      <c r="E27" s="5">
        <f t="shared" ref="E27:AG27" si="7">SUM(E25:E26)</f>
        <v>11</v>
      </c>
      <c r="F27" s="5">
        <f t="shared" ref="F27:S27" si="8">SUM(F25:F26)</f>
        <v>1</v>
      </c>
      <c r="G27" s="5">
        <f t="shared" si="8"/>
        <v>5</v>
      </c>
      <c r="H27" s="5">
        <f t="shared" si="8"/>
        <v>18</v>
      </c>
      <c r="I27" s="5">
        <f t="shared" si="8"/>
        <v>5</v>
      </c>
      <c r="J27" s="5">
        <f t="shared" si="8"/>
        <v>3</v>
      </c>
      <c r="K27" s="5">
        <f t="shared" si="8"/>
        <v>6</v>
      </c>
      <c r="L27" s="5">
        <f t="shared" si="8"/>
        <v>0</v>
      </c>
      <c r="M27" s="5">
        <f t="shared" si="8"/>
        <v>3</v>
      </c>
      <c r="N27" s="5">
        <f t="shared" si="8"/>
        <v>0</v>
      </c>
      <c r="O27" s="5">
        <f t="shared" si="8"/>
        <v>1</v>
      </c>
      <c r="P27" s="5">
        <f t="shared" si="8"/>
        <v>0</v>
      </c>
      <c r="Q27" s="5">
        <f t="shared" si="8"/>
        <v>2</v>
      </c>
      <c r="R27" s="5">
        <f t="shared" si="8"/>
        <v>3</v>
      </c>
      <c r="S27" s="5">
        <f t="shared" si="8"/>
        <v>0</v>
      </c>
      <c r="T27" s="5">
        <f t="shared" si="7"/>
        <v>0</v>
      </c>
      <c r="U27" s="5">
        <f t="shared" si="7"/>
        <v>1</v>
      </c>
      <c r="V27" s="5">
        <f t="shared" si="7"/>
        <v>17</v>
      </c>
      <c r="W27" s="5">
        <f t="shared" si="7"/>
        <v>4</v>
      </c>
      <c r="X27" s="5">
        <f t="shared" si="7"/>
        <v>2</v>
      </c>
      <c r="Y27" s="5">
        <f t="shared" si="7"/>
        <v>2</v>
      </c>
      <c r="Z27" s="5">
        <f t="shared" si="7"/>
        <v>3</v>
      </c>
      <c r="AA27" s="5">
        <f t="shared" si="7"/>
        <v>0</v>
      </c>
      <c r="AB27" s="5">
        <f t="shared" si="7"/>
        <v>0</v>
      </c>
      <c r="AC27" s="5">
        <f t="shared" si="7"/>
        <v>0</v>
      </c>
      <c r="AD27" s="5">
        <f t="shared" si="7"/>
        <v>10</v>
      </c>
      <c r="AE27" s="5">
        <f t="shared" si="7"/>
        <v>1</v>
      </c>
      <c r="AF27" s="5">
        <f t="shared" si="7"/>
        <v>6</v>
      </c>
      <c r="AG27" s="5">
        <f t="shared" si="7"/>
        <v>1</v>
      </c>
      <c r="AH27" s="5">
        <f t="shared" ref="AH27:AU27" si="9">SUM(AH25:AH26)</f>
        <v>17</v>
      </c>
      <c r="AI27" s="5">
        <f t="shared" si="9"/>
        <v>0</v>
      </c>
      <c r="AJ27" s="5">
        <f t="shared" si="9"/>
        <v>11</v>
      </c>
      <c r="AK27" s="5">
        <f t="shared" si="9"/>
        <v>2</v>
      </c>
      <c r="AL27" s="5">
        <f t="shared" si="9"/>
        <v>2</v>
      </c>
      <c r="AM27" s="5">
        <f t="shared" si="9"/>
        <v>2</v>
      </c>
      <c r="AN27" s="5">
        <f t="shared" si="9"/>
        <v>3</v>
      </c>
      <c r="AO27" s="5">
        <f t="shared" si="9"/>
        <v>1</v>
      </c>
      <c r="AP27" s="5">
        <f t="shared" si="9"/>
        <v>10</v>
      </c>
      <c r="AQ27" s="5">
        <f t="shared" si="9"/>
        <v>1</v>
      </c>
      <c r="AR27" s="5">
        <f t="shared" si="9"/>
        <v>0</v>
      </c>
      <c r="AS27" s="5">
        <f t="shared" si="9"/>
        <v>3</v>
      </c>
      <c r="AT27" s="5">
        <f t="shared" si="9"/>
        <v>4</v>
      </c>
      <c r="AU27" s="5">
        <f t="shared" si="9"/>
        <v>4</v>
      </c>
      <c r="AV27" s="5">
        <f t="shared" si="2"/>
        <v>165</v>
      </c>
    </row>
    <row r="28" spans="1:48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119</v>
      </c>
      <c r="F28" s="5">
        <f t="shared" ref="F28:S28" si="10">SUM(F19,F22,F25)</f>
        <v>78</v>
      </c>
      <c r="G28" s="5">
        <f t="shared" si="10"/>
        <v>79</v>
      </c>
      <c r="H28" s="5">
        <f t="shared" si="10"/>
        <v>113</v>
      </c>
      <c r="I28" s="5">
        <f t="shared" si="10"/>
        <v>101</v>
      </c>
      <c r="J28" s="5">
        <f t="shared" si="10"/>
        <v>103</v>
      </c>
      <c r="K28" s="5">
        <f t="shared" si="10"/>
        <v>101</v>
      </c>
      <c r="L28" s="5">
        <f t="shared" si="10"/>
        <v>98</v>
      </c>
      <c r="M28" s="5">
        <f t="shared" si="10"/>
        <v>87</v>
      </c>
      <c r="N28" s="5">
        <f t="shared" si="10"/>
        <v>109</v>
      </c>
      <c r="O28" s="5">
        <f t="shared" si="10"/>
        <v>89</v>
      </c>
      <c r="P28" s="5">
        <f t="shared" si="10"/>
        <v>92</v>
      </c>
      <c r="Q28" s="5">
        <f t="shared" si="10"/>
        <v>90</v>
      </c>
      <c r="R28" s="5">
        <f t="shared" si="10"/>
        <v>109</v>
      </c>
      <c r="S28" s="5">
        <f t="shared" si="10"/>
        <v>84</v>
      </c>
      <c r="T28" s="5">
        <f t="shared" ref="T28:AG28" si="11">SUM(T19,T22,T25)</f>
        <v>103</v>
      </c>
      <c r="U28" s="5">
        <f t="shared" si="11"/>
        <v>98</v>
      </c>
      <c r="V28" s="5">
        <f t="shared" si="11"/>
        <v>95</v>
      </c>
      <c r="W28" s="5">
        <f t="shared" si="11"/>
        <v>116</v>
      </c>
      <c r="X28" s="5">
        <f t="shared" si="11"/>
        <v>100</v>
      </c>
      <c r="Y28" s="5">
        <f t="shared" si="11"/>
        <v>103</v>
      </c>
      <c r="Z28" s="5">
        <f t="shared" si="11"/>
        <v>100</v>
      </c>
      <c r="AA28" s="5">
        <f t="shared" si="11"/>
        <v>107</v>
      </c>
      <c r="AB28" s="5">
        <f t="shared" si="11"/>
        <v>100</v>
      </c>
      <c r="AC28" s="5">
        <f t="shared" si="11"/>
        <v>98</v>
      </c>
      <c r="AD28" s="5">
        <f t="shared" si="11"/>
        <v>98</v>
      </c>
      <c r="AE28" s="5">
        <f t="shared" si="11"/>
        <v>107</v>
      </c>
      <c r="AF28" s="5">
        <f t="shared" si="11"/>
        <v>116</v>
      </c>
      <c r="AG28" s="5">
        <f t="shared" si="11"/>
        <v>96</v>
      </c>
      <c r="AH28" s="5">
        <f t="shared" ref="AH28:AU28" si="12">SUM(AH19,AH22,AH25)</f>
        <v>99</v>
      </c>
      <c r="AI28" s="5">
        <f t="shared" si="12"/>
        <v>89</v>
      </c>
      <c r="AJ28" s="5">
        <f t="shared" si="12"/>
        <v>115</v>
      </c>
      <c r="AK28" s="5">
        <f t="shared" si="12"/>
        <v>107</v>
      </c>
      <c r="AL28" s="5">
        <f t="shared" si="12"/>
        <v>70</v>
      </c>
      <c r="AM28" s="5">
        <f t="shared" si="12"/>
        <v>87</v>
      </c>
      <c r="AN28" s="5">
        <f t="shared" si="12"/>
        <v>95</v>
      </c>
      <c r="AO28" s="5">
        <f t="shared" si="12"/>
        <v>84</v>
      </c>
      <c r="AP28" s="5">
        <f t="shared" si="12"/>
        <v>96</v>
      </c>
      <c r="AQ28" s="5">
        <f t="shared" si="12"/>
        <v>96</v>
      </c>
      <c r="AR28" s="5">
        <f t="shared" si="12"/>
        <v>78</v>
      </c>
      <c r="AS28" s="5">
        <f t="shared" si="12"/>
        <v>94</v>
      </c>
      <c r="AT28" s="5">
        <f t="shared" si="12"/>
        <v>124</v>
      </c>
      <c r="AU28" s="5">
        <f t="shared" si="12"/>
        <v>81</v>
      </c>
      <c r="AV28" s="5">
        <f t="shared" si="2"/>
        <v>4204</v>
      </c>
    </row>
    <row r="29" spans="1:48" x14ac:dyDescent="0.4">
      <c r="A29" s="13"/>
      <c r="B29" s="65"/>
      <c r="C29" s="70"/>
      <c r="D29" s="5" t="s">
        <v>24</v>
      </c>
      <c r="E29" s="5">
        <f>SUM(E20,E23,E26)</f>
        <v>132</v>
      </c>
      <c r="F29" s="5">
        <f t="shared" ref="F29:S29" si="13">SUM(F20,F23,F26)</f>
        <v>108</v>
      </c>
      <c r="G29" s="5">
        <f t="shared" si="13"/>
        <v>97</v>
      </c>
      <c r="H29" s="5">
        <f t="shared" si="13"/>
        <v>119</v>
      </c>
      <c r="I29" s="5">
        <f t="shared" si="13"/>
        <v>125</v>
      </c>
      <c r="J29" s="5">
        <f t="shared" si="13"/>
        <v>110</v>
      </c>
      <c r="K29" s="5">
        <f t="shared" si="13"/>
        <v>127</v>
      </c>
      <c r="L29" s="5">
        <f t="shared" si="13"/>
        <v>116</v>
      </c>
      <c r="M29" s="5">
        <f t="shared" si="13"/>
        <v>124</v>
      </c>
      <c r="N29" s="5">
        <f t="shared" si="13"/>
        <v>118</v>
      </c>
      <c r="O29" s="5">
        <f t="shared" si="13"/>
        <v>119</v>
      </c>
      <c r="P29" s="5">
        <f t="shared" si="13"/>
        <v>121</v>
      </c>
      <c r="Q29" s="5">
        <f t="shared" si="13"/>
        <v>119</v>
      </c>
      <c r="R29" s="5">
        <f t="shared" si="13"/>
        <v>100</v>
      </c>
      <c r="S29" s="5">
        <f t="shared" si="13"/>
        <v>119</v>
      </c>
      <c r="T29" s="5">
        <f t="shared" ref="T29:AG29" si="14">SUM(T20,T23,T26)</f>
        <v>113</v>
      </c>
      <c r="U29" s="5">
        <f t="shared" si="14"/>
        <v>111</v>
      </c>
      <c r="V29" s="5">
        <f t="shared" si="14"/>
        <v>118</v>
      </c>
      <c r="W29" s="5">
        <f t="shared" si="14"/>
        <v>112</v>
      </c>
      <c r="X29" s="5">
        <f t="shared" si="14"/>
        <v>126</v>
      </c>
      <c r="Y29" s="5">
        <f t="shared" si="14"/>
        <v>114</v>
      </c>
      <c r="Z29" s="5">
        <f t="shared" si="14"/>
        <v>126</v>
      </c>
      <c r="AA29" s="5">
        <f t="shared" si="14"/>
        <v>119</v>
      </c>
      <c r="AB29" s="5">
        <f t="shared" si="14"/>
        <v>127</v>
      </c>
      <c r="AC29" s="5">
        <f t="shared" si="14"/>
        <v>121</v>
      </c>
      <c r="AD29" s="5">
        <f t="shared" si="14"/>
        <v>116</v>
      </c>
      <c r="AE29" s="5">
        <f t="shared" si="14"/>
        <v>114</v>
      </c>
      <c r="AF29" s="5">
        <f t="shared" si="14"/>
        <v>112</v>
      </c>
      <c r="AG29" s="5">
        <f t="shared" si="14"/>
        <v>110</v>
      </c>
      <c r="AH29" s="5">
        <f t="shared" ref="AH29:AU29" si="15">SUM(AH20,AH23,AH26)</f>
        <v>116</v>
      </c>
      <c r="AI29" s="5">
        <f t="shared" si="15"/>
        <v>126</v>
      </c>
      <c r="AJ29" s="5">
        <f t="shared" si="15"/>
        <v>115</v>
      </c>
      <c r="AK29" s="5">
        <f t="shared" si="15"/>
        <v>127</v>
      </c>
      <c r="AL29" s="5">
        <f t="shared" si="15"/>
        <v>75</v>
      </c>
      <c r="AM29" s="5">
        <f t="shared" si="15"/>
        <v>102</v>
      </c>
      <c r="AN29" s="5">
        <f t="shared" si="15"/>
        <v>113</v>
      </c>
      <c r="AO29" s="5">
        <f t="shared" si="15"/>
        <v>106</v>
      </c>
      <c r="AP29" s="5">
        <f t="shared" si="15"/>
        <v>121</v>
      </c>
      <c r="AQ29" s="5">
        <f t="shared" si="15"/>
        <v>110</v>
      </c>
      <c r="AR29" s="5">
        <f t="shared" si="15"/>
        <v>94</v>
      </c>
      <c r="AS29" s="5">
        <f t="shared" si="15"/>
        <v>113</v>
      </c>
      <c r="AT29" s="5">
        <f t="shared" si="15"/>
        <v>89</v>
      </c>
      <c r="AU29" s="5">
        <f t="shared" si="15"/>
        <v>102</v>
      </c>
      <c r="AV29" s="5">
        <f t="shared" si="2"/>
        <v>4902</v>
      </c>
    </row>
    <row r="30" spans="1:48" x14ac:dyDescent="0.4">
      <c r="A30" s="13"/>
      <c r="B30" s="67"/>
      <c r="C30" s="71"/>
      <c r="D30" s="5" t="s">
        <v>25</v>
      </c>
      <c r="E30" s="5">
        <f t="shared" ref="E30" si="16">SUM(E28:E29)</f>
        <v>251</v>
      </c>
      <c r="F30" s="5">
        <f t="shared" ref="F30:S30" si="17">SUM(F28:F29)</f>
        <v>186</v>
      </c>
      <c r="G30" s="5">
        <f t="shared" si="17"/>
        <v>176</v>
      </c>
      <c r="H30" s="5">
        <f t="shared" si="17"/>
        <v>232</v>
      </c>
      <c r="I30" s="5">
        <f t="shared" si="17"/>
        <v>226</v>
      </c>
      <c r="J30" s="5">
        <f t="shared" si="17"/>
        <v>213</v>
      </c>
      <c r="K30" s="5">
        <f t="shared" si="17"/>
        <v>228</v>
      </c>
      <c r="L30" s="5">
        <f t="shared" si="17"/>
        <v>214</v>
      </c>
      <c r="M30" s="5">
        <f t="shared" si="17"/>
        <v>211</v>
      </c>
      <c r="N30" s="5">
        <f t="shared" si="17"/>
        <v>227</v>
      </c>
      <c r="O30" s="5">
        <f t="shared" si="17"/>
        <v>208</v>
      </c>
      <c r="P30" s="5">
        <f t="shared" si="17"/>
        <v>213</v>
      </c>
      <c r="Q30" s="5">
        <f t="shared" si="17"/>
        <v>209</v>
      </c>
      <c r="R30" s="5">
        <f t="shared" si="17"/>
        <v>209</v>
      </c>
      <c r="S30" s="5">
        <f t="shared" si="17"/>
        <v>203</v>
      </c>
      <c r="T30" s="5">
        <f t="shared" ref="T30:AG30" si="18">SUM(T28:T29)</f>
        <v>216</v>
      </c>
      <c r="U30" s="5">
        <f t="shared" si="18"/>
        <v>209</v>
      </c>
      <c r="V30" s="5">
        <f t="shared" si="18"/>
        <v>213</v>
      </c>
      <c r="W30" s="5">
        <f t="shared" si="18"/>
        <v>228</v>
      </c>
      <c r="X30" s="5">
        <f t="shared" si="18"/>
        <v>226</v>
      </c>
      <c r="Y30" s="5">
        <f t="shared" si="18"/>
        <v>217</v>
      </c>
      <c r="Z30" s="5">
        <f t="shared" si="18"/>
        <v>226</v>
      </c>
      <c r="AA30" s="5">
        <f t="shared" si="18"/>
        <v>226</v>
      </c>
      <c r="AB30" s="5">
        <f t="shared" si="18"/>
        <v>227</v>
      </c>
      <c r="AC30" s="5">
        <f t="shared" si="18"/>
        <v>219</v>
      </c>
      <c r="AD30" s="5">
        <f t="shared" si="18"/>
        <v>214</v>
      </c>
      <c r="AE30" s="5">
        <f t="shared" si="18"/>
        <v>221</v>
      </c>
      <c r="AF30" s="5">
        <f t="shared" si="18"/>
        <v>228</v>
      </c>
      <c r="AG30" s="5">
        <f t="shared" si="18"/>
        <v>206</v>
      </c>
      <c r="AH30" s="5">
        <f t="shared" ref="AH30:AU30" si="19">SUM(AH28:AH29)</f>
        <v>215</v>
      </c>
      <c r="AI30" s="5">
        <f t="shared" si="19"/>
        <v>215</v>
      </c>
      <c r="AJ30" s="5">
        <f t="shared" si="19"/>
        <v>230</v>
      </c>
      <c r="AK30" s="5">
        <f t="shared" si="19"/>
        <v>234</v>
      </c>
      <c r="AL30" s="5">
        <f t="shared" si="19"/>
        <v>145</v>
      </c>
      <c r="AM30" s="5">
        <f t="shared" si="19"/>
        <v>189</v>
      </c>
      <c r="AN30" s="5">
        <f t="shared" si="19"/>
        <v>208</v>
      </c>
      <c r="AO30" s="5">
        <f t="shared" si="19"/>
        <v>190</v>
      </c>
      <c r="AP30" s="5">
        <f t="shared" si="19"/>
        <v>217</v>
      </c>
      <c r="AQ30" s="5">
        <f t="shared" si="19"/>
        <v>206</v>
      </c>
      <c r="AR30" s="5">
        <f t="shared" si="19"/>
        <v>172</v>
      </c>
      <c r="AS30" s="5">
        <f t="shared" si="19"/>
        <v>207</v>
      </c>
      <c r="AT30" s="5">
        <f t="shared" si="19"/>
        <v>213</v>
      </c>
      <c r="AU30" s="5">
        <f t="shared" si="19"/>
        <v>183</v>
      </c>
      <c r="AV30" s="5">
        <f t="shared" si="2"/>
        <v>9106</v>
      </c>
    </row>
    <row r="31" spans="1:48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6"/>
      <c r="W31" s="6"/>
      <c r="X31" s="6"/>
      <c r="Y31" s="6"/>
      <c r="Z31" s="6"/>
      <c r="AA31" s="6"/>
      <c r="AB31" s="10"/>
      <c r="AC31" s="10"/>
      <c r="AD31" s="10"/>
      <c r="AE31" s="10"/>
      <c r="AF31" s="10"/>
      <c r="AG31" s="10"/>
      <c r="AH31" s="6"/>
      <c r="AI31" s="6"/>
      <c r="AJ31" s="6"/>
      <c r="AK31" s="6"/>
      <c r="AL31" s="6"/>
      <c r="AM31" s="6"/>
      <c r="AN31" s="6"/>
      <c r="AO31" s="6"/>
      <c r="AP31" s="10"/>
      <c r="AQ31" s="10"/>
      <c r="AR31" s="10"/>
      <c r="AS31" s="10"/>
      <c r="AT31" s="10"/>
      <c r="AU31" s="10"/>
      <c r="AV31" s="28"/>
    </row>
    <row r="32" spans="1:48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5"/>
      <c r="W32" s="5"/>
      <c r="X32" s="5"/>
      <c r="Y32" s="5"/>
      <c r="Z32" s="5"/>
      <c r="AA32" s="5"/>
      <c r="AB32" s="15"/>
      <c r="AC32" s="15"/>
      <c r="AD32" s="15"/>
      <c r="AE32" s="15"/>
      <c r="AF32" s="15"/>
      <c r="AG32" s="15"/>
      <c r="AH32" s="5"/>
      <c r="AI32" s="5"/>
      <c r="AJ32" s="5"/>
      <c r="AK32" s="5"/>
      <c r="AL32" s="5"/>
      <c r="AM32" s="5"/>
      <c r="AN32" s="5"/>
      <c r="AO32" s="5"/>
      <c r="AP32" s="15"/>
      <c r="AQ32" s="15"/>
      <c r="AR32" s="15"/>
      <c r="AS32" s="15"/>
      <c r="AT32" s="15"/>
      <c r="AU32" s="15"/>
      <c r="AV32" s="28"/>
    </row>
    <row r="33" spans="1:48" x14ac:dyDescent="0.4">
      <c r="A33" s="6">
        <v>1</v>
      </c>
      <c r="B33" s="61" t="s">
        <v>38</v>
      </c>
      <c r="C33" s="54"/>
      <c r="D33" s="55"/>
      <c r="E33" s="6">
        <v>279</v>
      </c>
      <c r="F33" s="6">
        <v>294</v>
      </c>
      <c r="G33" s="6">
        <v>224</v>
      </c>
      <c r="H33" s="6">
        <v>264</v>
      </c>
      <c r="I33" s="6">
        <v>301</v>
      </c>
      <c r="J33" s="6">
        <v>291</v>
      </c>
      <c r="K33" s="6">
        <v>298</v>
      </c>
      <c r="L33" s="6">
        <v>291</v>
      </c>
      <c r="M33" s="6">
        <v>295</v>
      </c>
      <c r="N33" s="6">
        <v>301</v>
      </c>
      <c r="O33" s="6">
        <v>298</v>
      </c>
      <c r="P33" s="6">
        <v>298</v>
      </c>
      <c r="Q33" s="6">
        <v>289</v>
      </c>
      <c r="R33" s="6">
        <v>288</v>
      </c>
      <c r="S33" s="6">
        <v>287</v>
      </c>
      <c r="T33" s="6">
        <v>293</v>
      </c>
      <c r="U33" s="6">
        <v>300</v>
      </c>
      <c r="V33" s="6">
        <v>294</v>
      </c>
      <c r="W33" s="6">
        <v>299</v>
      </c>
      <c r="X33" s="6">
        <v>295</v>
      </c>
      <c r="Y33" s="6">
        <v>288</v>
      </c>
      <c r="Z33" s="6">
        <v>287</v>
      </c>
      <c r="AA33" s="6">
        <v>296</v>
      </c>
      <c r="AB33" s="6">
        <v>290</v>
      </c>
      <c r="AC33" s="6">
        <v>296</v>
      </c>
      <c r="AD33" s="6">
        <v>271</v>
      </c>
      <c r="AE33" s="6">
        <v>298</v>
      </c>
      <c r="AF33" s="6">
        <v>301</v>
      </c>
      <c r="AG33" s="6">
        <v>284</v>
      </c>
      <c r="AH33" s="6">
        <v>306</v>
      </c>
      <c r="AI33" s="6">
        <v>296</v>
      </c>
      <c r="AJ33" s="6">
        <v>299</v>
      </c>
      <c r="AK33" s="6">
        <v>293</v>
      </c>
      <c r="AL33" s="6">
        <v>222</v>
      </c>
      <c r="AM33" s="6">
        <v>272</v>
      </c>
      <c r="AN33" s="6">
        <v>276</v>
      </c>
      <c r="AO33" s="6">
        <v>268</v>
      </c>
      <c r="AP33" s="6">
        <v>295</v>
      </c>
      <c r="AQ33" s="6">
        <v>301</v>
      </c>
      <c r="AR33" s="6">
        <v>247</v>
      </c>
      <c r="AS33" s="6">
        <v>295</v>
      </c>
      <c r="AT33" s="6">
        <v>301</v>
      </c>
      <c r="AU33" s="6">
        <v>308</v>
      </c>
      <c r="AV33" s="5">
        <f>SUM(E33:AU33)</f>
        <v>12369</v>
      </c>
    </row>
    <row r="34" spans="1:48" x14ac:dyDescent="0.4">
      <c r="A34" s="6">
        <v>2</v>
      </c>
      <c r="B34" s="61" t="s">
        <v>39</v>
      </c>
      <c r="C34" s="54"/>
      <c r="D34" s="55"/>
      <c r="E34" s="5">
        <v>251</v>
      </c>
      <c r="F34" s="5">
        <v>186</v>
      </c>
      <c r="G34" s="5">
        <v>176</v>
      </c>
      <c r="H34" s="5">
        <v>232</v>
      </c>
      <c r="I34" s="5">
        <v>226</v>
      </c>
      <c r="J34" s="5">
        <v>213</v>
      </c>
      <c r="K34" s="5">
        <v>228</v>
      </c>
      <c r="L34" s="5">
        <v>214</v>
      </c>
      <c r="M34" s="5">
        <v>211</v>
      </c>
      <c r="N34" s="5">
        <v>227</v>
      </c>
      <c r="O34" s="5">
        <v>208</v>
      </c>
      <c r="P34" s="5">
        <v>213</v>
      </c>
      <c r="Q34" s="5">
        <v>209</v>
      </c>
      <c r="R34" s="5">
        <v>209</v>
      </c>
      <c r="S34" s="5">
        <v>203</v>
      </c>
      <c r="T34" s="5">
        <v>216</v>
      </c>
      <c r="U34" s="5">
        <v>209</v>
      </c>
      <c r="V34" s="5">
        <v>213</v>
      </c>
      <c r="W34" s="5">
        <v>228</v>
      </c>
      <c r="X34" s="5">
        <v>226</v>
      </c>
      <c r="Y34" s="5">
        <v>217</v>
      </c>
      <c r="Z34" s="5">
        <v>226</v>
      </c>
      <c r="AA34" s="5">
        <v>226</v>
      </c>
      <c r="AB34" s="5">
        <v>227</v>
      </c>
      <c r="AC34" s="5">
        <v>219</v>
      </c>
      <c r="AD34" s="5">
        <v>214</v>
      </c>
      <c r="AE34" s="5">
        <v>221</v>
      </c>
      <c r="AF34" s="5">
        <v>228</v>
      </c>
      <c r="AG34" s="5">
        <v>206</v>
      </c>
      <c r="AH34" s="5">
        <v>215</v>
      </c>
      <c r="AI34" s="5">
        <v>215</v>
      </c>
      <c r="AJ34" s="5">
        <v>230</v>
      </c>
      <c r="AK34" s="5">
        <v>234</v>
      </c>
      <c r="AL34" s="5">
        <v>145</v>
      </c>
      <c r="AM34" s="5">
        <v>189</v>
      </c>
      <c r="AN34" s="5">
        <v>208</v>
      </c>
      <c r="AO34" s="5">
        <v>190</v>
      </c>
      <c r="AP34" s="5">
        <v>217</v>
      </c>
      <c r="AQ34" s="5">
        <v>206</v>
      </c>
      <c r="AR34" s="5">
        <v>172</v>
      </c>
      <c r="AS34" s="5">
        <v>207</v>
      </c>
      <c r="AT34" s="5">
        <v>213</v>
      </c>
      <c r="AU34" s="5">
        <v>183</v>
      </c>
      <c r="AV34" s="5">
        <f>SUM(E34:AU34)</f>
        <v>9106</v>
      </c>
    </row>
    <row r="35" spans="1:48" x14ac:dyDescent="0.4">
      <c r="A35" s="6">
        <v>3</v>
      </c>
      <c r="B35" s="61" t="s">
        <v>40</v>
      </c>
      <c r="C35" s="54"/>
      <c r="D35" s="55"/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1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1</v>
      </c>
      <c r="AP35" s="6">
        <v>0</v>
      </c>
      <c r="AQ35" s="6">
        <v>0</v>
      </c>
      <c r="AR35" s="6">
        <v>0</v>
      </c>
      <c r="AS35" s="6">
        <v>1</v>
      </c>
      <c r="AT35" s="6">
        <v>0</v>
      </c>
      <c r="AU35" s="6">
        <v>0</v>
      </c>
      <c r="AV35" s="5">
        <f>SUM(E35:AU35)</f>
        <v>6</v>
      </c>
    </row>
    <row r="36" spans="1:48" x14ac:dyDescent="0.4">
      <c r="A36" s="6">
        <v>4</v>
      </c>
      <c r="B36" s="61" t="s">
        <v>41</v>
      </c>
      <c r="C36" s="54"/>
      <c r="D36" s="55"/>
      <c r="E36" s="5">
        <f t="shared" ref="E36:AU36" si="20">E33-(E34+E35)</f>
        <v>27</v>
      </c>
      <c r="F36" s="5">
        <f t="shared" si="20"/>
        <v>108</v>
      </c>
      <c r="G36" s="5">
        <f t="shared" si="20"/>
        <v>47</v>
      </c>
      <c r="H36" s="5">
        <f t="shared" si="20"/>
        <v>32</v>
      </c>
      <c r="I36" s="5">
        <f t="shared" si="20"/>
        <v>75</v>
      </c>
      <c r="J36" s="5">
        <f t="shared" si="20"/>
        <v>78</v>
      </c>
      <c r="K36" s="5">
        <f t="shared" si="20"/>
        <v>70</v>
      </c>
      <c r="L36" s="5">
        <f t="shared" si="20"/>
        <v>77</v>
      </c>
      <c r="M36" s="5">
        <f t="shared" si="20"/>
        <v>84</v>
      </c>
      <c r="N36" s="5">
        <f t="shared" si="20"/>
        <v>74</v>
      </c>
      <c r="O36" s="5">
        <f t="shared" si="20"/>
        <v>90</v>
      </c>
      <c r="P36" s="5">
        <f t="shared" si="20"/>
        <v>85</v>
      </c>
      <c r="Q36" s="5">
        <f t="shared" si="20"/>
        <v>80</v>
      </c>
      <c r="R36" s="5">
        <f t="shared" si="20"/>
        <v>78</v>
      </c>
      <c r="S36" s="5">
        <f t="shared" si="20"/>
        <v>84</v>
      </c>
      <c r="T36" s="5">
        <f t="shared" ref="T36:AG36" si="21">T33-(T34+T35)</f>
        <v>77</v>
      </c>
      <c r="U36" s="5">
        <f t="shared" si="21"/>
        <v>91</v>
      </c>
      <c r="V36" s="5">
        <f t="shared" si="21"/>
        <v>81</v>
      </c>
      <c r="W36" s="5">
        <f t="shared" si="21"/>
        <v>71</v>
      </c>
      <c r="X36" s="5">
        <f t="shared" si="21"/>
        <v>69</v>
      </c>
      <c r="Y36" s="5">
        <f t="shared" si="21"/>
        <v>71</v>
      </c>
      <c r="Z36" s="5">
        <f t="shared" si="21"/>
        <v>61</v>
      </c>
      <c r="AA36" s="5">
        <f t="shared" si="21"/>
        <v>70</v>
      </c>
      <c r="AB36" s="5">
        <f t="shared" si="21"/>
        <v>63</v>
      </c>
      <c r="AC36" s="5">
        <f t="shared" si="21"/>
        <v>76</v>
      </c>
      <c r="AD36" s="5">
        <f t="shared" si="21"/>
        <v>57</v>
      </c>
      <c r="AE36" s="5">
        <f t="shared" si="21"/>
        <v>77</v>
      </c>
      <c r="AF36" s="5">
        <f t="shared" si="21"/>
        <v>73</v>
      </c>
      <c r="AG36" s="5">
        <f t="shared" si="21"/>
        <v>78</v>
      </c>
      <c r="AH36" s="5">
        <f t="shared" si="20"/>
        <v>91</v>
      </c>
      <c r="AI36" s="5">
        <f t="shared" si="20"/>
        <v>81</v>
      </c>
      <c r="AJ36" s="5">
        <f t="shared" si="20"/>
        <v>69</v>
      </c>
      <c r="AK36" s="5">
        <f t="shared" si="20"/>
        <v>59</v>
      </c>
      <c r="AL36" s="5">
        <f t="shared" si="20"/>
        <v>77</v>
      </c>
      <c r="AM36" s="5">
        <f t="shared" si="20"/>
        <v>83</v>
      </c>
      <c r="AN36" s="5">
        <f t="shared" si="20"/>
        <v>68</v>
      </c>
      <c r="AO36" s="5">
        <f t="shared" si="20"/>
        <v>77</v>
      </c>
      <c r="AP36" s="5">
        <f t="shared" si="20"/>
        <v>78</v>
      </c>
      <c r="AQ36" s="5">
        <f t="shared" si="20"/>
        <v>95</v>
      </c>
      <c r="AR36" s="5">
        <f t="shared" si="20"/>
        <v>75</v>
      </c>
      <c r="AS36" s="5">
        <f t="shared" si="20"/>
        <v>87</v>
      </c>
      <c r="AT36" s="5">
        <f t="shared" si="20"/>
        <v>88</v>
      </c>
      <c r="AU36" s="5">
        <f t="shared" si="20"/>
        <v>125</v>
      </c>
      <c r="AV36" s="5">
        <f>SUM(E36:AU36)</f>
        <v>3257</v>
      </c>
    </row>
    <row r="37" spans="1:48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6"/>
      <c r="AI37" s="76"/>
      <c r="AJ37" s="76"/>
      <c r="AK37" s="77"/>
      <c r="AL37" s="6"/>
      <c r="AM37" s="6"/>
      <c r="AN37" s="6"/>
      <c r="AO37" s="6"/>
      <c r="AP37" s="10"/>
      <c r="AQ37" s="26"/>
      <c r="AR37" s="26"/>
      <c r="AS37" s="26"/>
      <c r="AT37" s="26"/>
      <c r="AU37" s="26"/>
      <c r="AV37" s="28"/>
    </row>
    <row r="38" spans="1:48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5"/>
      <c r="W38" s="5"/>
      <c r="X38" s="5"/>
      <c r="Y38" s="5"/>
      <c r="Z38" s="5"/>
      <c r="AA38" s="5"/>
      <c r="AB38" s="15"/>
      <c r="AC38" s="15"/>
      <c r="AD38" s="15"/>
      <c r="AE38" s="15"/>
      <c r="AF38" s="15"/>
      <c r="AG38" s="15"/>
      <c r="AH38" s="5"/>
      <c r="AI38" s="5"/>
      <c r="AJ38" s="5"/>
      <c r="AK38" s="5"/>
      <c r="AL38" s="5"/>
      <c r="AM38" s="5"/>
      <c r="AN38" s="5"/>
      <c r="AO38" s="5"/>
      <c r="AP38" s="15"/>
      <c r="AQ38" s="15"/>
      <c r="AR38" s="15"/>
      <c r="AS38" s="15"/>
      <c r="AT38" s="15"/>
      <c r="AU38" s="15"/>
      <c r="AV38" s="28"/>
    </row>
    <row r="39" spans="1:48" x14ac:dyDescent="0.4">
      <c r="A39" s="11"/>
      <c r="B39" s="78" t="s">
        <v>44</v>
      </c>
      <c r="C39" s="63"/>
      <c r="D39" s="6" t="s">
        <v>23</v>
      </c>
      <c r="E39" s="6">
        <v>1</v>
      </c>
      <c r="F39" s="6">
        <v>0</v>
      </c>
      <c r="G39" s="6">
        <v>1</v>
      </c>
      <c r="H39" s="6">
        <v>0</v>
      </c>
      <c r="I39" s="6">
        <v>0</v>
      </c>
      <c r="J39" s="6">
        <v>2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3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0</v>
      </c>
      <c r="AE39" s="6">
        <v>0</v>
      </c>
      <c r="AF39" s="6">
        <v>1</v>
      </c>
      <c r="AG39" s="6">
        <v>0</v>
      </c>
      <c r="AH39" s="6">
        <v>0</v>
      </c>
      <c r="AI39" s="6">
        <v>1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1</v>
      </c>
      <c r="AV39" s="5">
        <f>SUM(E39:AU39)</f>
        <v>13</v>
      </c>
    </row>
    <row r="40" spans="1:48" x14ac:dyDescent="0.4">
      <c r="A40" s="12"/>
      <c r="B40" s="79"/>
      <c r="C40" s="65"/>
      <c r="D40" s="6" t="s">
        <v>24</v>
      </c>
      <c r="E40" s="6">
        <v>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2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2</v>
      </c>
      <c r="AB40" s="6">
        <v>0</v>
      </c>
      <c r="AC40" s="6">
        <v>0</v>
      </c>
      <c r="AD40" s="6">
        <v>0</v>
      </c>
      <c r="AE40" s="6">
        <v>0</v>
      </c>
      <c r="AF40" s="6">
        <v>1</v>
      </c>
      <c r="AG40" s="6">
        <v>0</v>
      </c>
      <c r="AH40" s="6">
        <v>1</v>
      </c>
      <c r="AI40" s="6">
        <v>1</v>
      </c>
      <c r="AJ40" s="6">
        <v>0</v>
      </c>
      <c r="AK40" s="6">
        <v>0</v>
      </c>
      <c r="AL40" s="6">
        <v>0</v>
      </c>
      <c r="AM40" s="6">
        <v>1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1</v>
      </c>
      <c r="AV40" s="5">
        <f>SUM(E40:AU40)</f>
        <v>13</v>
      </c>
    </row>
    <row r="41" spans="1:48" x14ac:dyDescent="0.4">
      <c r="A41" s="14"/>
      <c r="B41" s="80"/>
      <c r="C41" s="67"/>
      <c r="D41" s="5" t="s">
        <v>25</v>
      </c>
      <c r="E41" s="5">
        <f t="shared" ref="E41:AU41" si="22">SUM(E39:E40)</f>
        <v>2</v>
      </c>
      <c r="F41" s="5">
        <f t="shared" si="22"/>
        <v>0</v>
      </c>
      <c r="G41" s="5">
        <f t="shared" si="22"/>
        <v>1</v>
      </c>
      <c r="H41" s="5">
        <f t="shared" si="22"/>
        <v>0</v>
      </c>
      <c r="I41" s="5">
        <f t="shared" si="22"/>
        <v>0</v>
      </c>
      <c r="J41" s="5">
        <f t="shared" si="22"/>
        <v>2</v>
      </c>
      <c r="K41" s="5">
        <f t="shared" si="22"/>
        <v>0</v>
      </c>
      <c r="L41" s="5">
        <f t="shared" si="22"/>
        <v>0</v>
      </c>
      <c r="M41" s="5">
        <f t="shared" si="22"/>
        <v>1</v>
      </c>
      <c r="N41" s="5">
        <f t="shared" si="22"/>
        <v>0</v>
      </c>
      <c r="O41" s="5">
        <f t="shared" si="22"/>
        <v>0</v>
      </c>
      <c r="P41" s="5">
        <f t="shared" si="22"/>
        <v>2</v>
      </c>
      <c r="Q41" s="5">
        <f t="shared" si="22"/>
        <v>0</v>
      </c>
      <c r="R41" s="5">
        <f t="shared" si="22"/>
        <v>0</v>
      </c>
      <c r="S41" s="5">
        <f t="shared" si="22"/>
        <v>0</v>
      </c>
      <c r="T41" s="5">
        <f t="shared" ref="T41:AG41" si="23">SUM(T39:T40)</f>
        <v>0</v>
      </c>
      <c r="U41" s="5">
        <f t="shared" si="23"/>
        <v>1</v>
      </c>
      <c r="V41" s="5">
        <f t="shared" si="23"/>
        <v>0</v>
      </c>
      <c r="W41" s="5">
        <f t="shared" si="23"/>
        <v>0</v>
      </c>
      <c r="X41" s="5">
        <f t="shared" si="23"/>
        <v>5</v>
      </c>
      <c r="Y41" s="5">
        <f t="shared" si="23"/>
        <v>0</v>
      </c>
      <c r="Z41" s="5">
        <f t="shared" si="23"/>
        <v>0</v>
      </c>
      <c r="AA41" s="5">
        <f t="shared" si="23"/>
        <v>3</v>
      </c>
      <c r="AB41" s="5">
        <f t="shared" si="23"/>
        <v>0</v>
      </c>
      <c r="AC41" s="5">
        <f t="shared" si="23"/>
        <v>0</v>
      </c>
      <c r="AD41" s="5">
        <f t="shared" si="23"/>
        <v>0</v>
      </c>
      <c r="AE41" s="5">
        <f t="shared" si="23"/>
        <v>0</v>
      </c>
      <c r="AF41" s="5">
        <f t="shared" si="23"/>
        <v>2</v>
      </c>
      <c r="AG41" s="5">
        <f t="shared" si="23"/>
        <v>0</v>
      </c>
      <c r="AH41" s="5">
        <f t="shared" si="22"/>
        <v>1</v>
      </c>
      <c r="AI41" s="5">
        <f t="shared" si="22"/>
        <v>2</v>
      </c>
      <c r="AJ41" s="5">
        <f t="shared" si="22"/>
        <v>0</v>
      </c>
      <c r="AK41" s="5">
        <f t="shared" si="22"/>
        <v>0</v>
      </c>
      <c r="AL41" s="5">
        <f t="shared" si="22"/>
        <v>0</v>
      </c>
      <c r="AM41" s="5">
        <f t="shared" si="22"/>
        <v>1</v>
      </c>
      <c r="AN41" s="5">
        <f t="shared" si="22"/>
        <v>0</v>
      </c>
      <c r="AO41" s="5">
        <f t="shared" si="22"/>
        <v>1</v>
      </c>
      <c r="AP41" s="5">
        <f t="shared" si="22"/>
        <v>0</v>
      </c>
      <c r="AQ41" s="5">
        <f t="shared" si="22"/>
        <v>0</v>
      </c>
      <c r="AR41" s="5">
        <f t="shared" si="22"/>
        <v>0</v>
      </c>
      <c r="AS41" s="5">
        <f t="shared" si="22"/>
        <v>0</v>
      </c>
      <c r="AT41" s="5">
        <f t="shared" si="22"/>
        <v>0</v>
      </c>
      <c r="AU41" s="5">
        <f t="shared" si="22"/>
        <v>2</v>
      </c>
      <c r="AV41" s="5">
        <f>SUM(E41:AU41)</f>
        <v>26</v>
      </c>
    </row>
    <row r="42" spans="1:48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54"/>
      <c r="AI42" s="54"/>
      <c r="AJ42" s="54"/>
      <c r="AK42" s="55"/>
      <c r="AL42" s="6"/>
      <c r="AM42" s="6"/>
      <c r="AN42" s="6"/>
      <c r="AO42" s="6"/>
      <c r="AP42" s="10"/>
      <c r="AQ42" s="6"/>
      <c r="AR42" s="10"/>
      <c r="AS42" s="6"/>
      <c r="AT42" s="10"/>
      <c r="AU42" s="6"/>
      <c r="AV42" s="5"/>
    </row>
    <row r="43" spans="1:48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5"/>
      <c r="AB43" s="15"/>
      <c r="AC43" s="5"/>
      <c r="AD43" s="15"/>
      <c r="AE43" s="5"/>
      <c r="AF43" s="15"/>
      <c r="AG43" s="5"/>
      <c r="AH43" s="5"/>
      <c r="AI43" s="5"/>
      <c r="AJ43" s="5"/>
      <c r="AK43" s="5"/>
      <c r="AL43" s="5"/>
      <c r="AM43" s="5"/>
      <c r="AN43" s="5"/>
      <c r="AO43" s="5"/>
      <c r="AP43" s="15"/>
      <c r="AQ43" s="5"/>
      <c r="AR43" s="15"/>
      <c r="AS43" s="5"/>
      <c r="AT43" s="15"/>
      <c r="AU43" s="5"/>
      <c r="AV43" s="5"/>
    </row>
    <row r="44" spans="1:48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6"/>
      <c r="AB44" s="10"/>
      <c r="AC44" s="6"/>
      <c r="AD44" s="10"/>
      <c r="AE44" s="6"/>
      <c r="AF44" s="10"/>
      <c r="AG44" s="6"/>
      <c r="AH44" s="6"/>
      <c r="AI44" s="6"/>
      <c r="AJ44" s="6"/>
      <c r="AK44" s="6"/>
      <c r="AL44" s="6"/>
      <c r="AM44" s="6"/>
      <c r="AN44" s="6"/>
      <c r="AO44" s="6"/>
      <c r="AP44" s="10"/>
      <c r="AQ44" s="6"/>
      <c r="AR44" s="10"/>
      <c r="AS44" s="6"/>
      <c r="AT44" s="10"/>
      <c r="AU44" s="6"/>
      <c r="AV44" s="5"/>
    </row>
    <row r="45" spans="1:48" x14ac:dyDescent="0.4">
      <c r="A45" s="11" t="s">
        <v>48</v>
      </c>
      <c r="B45" s="17" t="s">
        <v>28</v>
      </c>
      <c r="C45" s="83" t="s">
        <v>49</v>
      </c>
      <c r="D45" s="55"/>
      <c r="E45" s="6">
        <v>9</v>
      </c>
      <c r="F45" s="6">
        <v>3</v>
      </c>
      <c r="G45" s="6">
        <v>2</v>
      </c>
      <c r="H45" s="6">
        <v>6</v>
      </c>
      <c r="I45" s="6">
        <v>3</v>
      </c>
      <c r="J45" s="6">
        <v>3</v>
      </c>
      <c r="K45" s="6">
        <v>5</v>
      </c>
      <c r="L45" s="6">
        <v>7</v>
      </c>
      <c r="M45" s="6">
        <v>4</v>
      </c>
      <c r="N45" s="6">
        <v>11</v>
      </c>
      <c r="O45" s="6">
        <v>1</v>
      </c>
      <c r="P45" s="6">
        <v>5</v>
      </c>
      <c r="Q45" s="6">
        <v>1</v>
      </c>
      <c r="R45" s="6">
        <v>10</v>
      </c>
      <c r="S45" s="6">
        <v>2</v>
      </c>
      <c r="T45" s="6">
        <v>6</v>
      </c>
      <c r="U45" s="6">
        <v>2</v>
      </c>
      <c r="V45" s="6">
        <v>18</v>
      </c>
      <c r="W45" s="6">
        <v>5</v>
      </c>
      <c r="X45" s="6">
        <v>3</v>
      </c>
      <c r="Y45" s="6">
        <v>6</v>
      </c>
      <c r="Z45" s="6">
        <v>16</v>
      </c>
      <c r="AA45" s="6">
        <v>10</v>
      </c>
      <c r="AB45" s="6">
        <v>4</v>
      </c>
      <c r="AC45" s="6">
        <v>5</v>
      </c>
      <c r="AD45" s="6">
        <v>12</v>
      </c>
      <c r="AE45" s="6">
        <v>6</v>
      </c>
      <c r="AF45" s="6">
        <v>15</v>
      </c>
      <c r="AG45" s="6">
        <v>6</v>
      </c>
      <c r="AH45" s="6">
        <v>7</v>
      </c>
      <c r="AI45" s="6">
        <v>3</v>
      </c>
      <c r="AJ45" s="6">
        <v>14</v>
      </c>
      <c r="AK45" s="6">
        <v>16</v>
      </c>
      <c r="AL45" s="6">
        <v>1</v>
      </c>
      <c r="AM45" s="6">
        <v>3</v>
      </c>
      <c r="AN45" s="6">
        <v>1</v>
      </c>
      <c r="AO45" s="6">
        <v>5</v>
      </c>
      <c r="AP45" s="6">
        <v>2</v>
      </c>
      <c r="AQ45" s="6">
        <v>3</v>
      </c>
      <c r="AR45" s="6">
        <v>5</v>
      </c>
      <c r="AS45" s="6">
        <v>1</v>
      </c>
      <c r="AT45" s="6">
        <v>3</v>
      </c>
      <c r="AU45" s="6">
        <v>2</v>
      </c>
      <c r="AV45" s="5">
        <f t="shared" ref="AV45:AV54" si="24">SUM(E45:AU45)</f>
        <v>252</v>
      </c>
    </row>
    <row r="46" spans="1:48" x14ac:dyDescent="0.4">
      <c r="A46" s="11" t="s">
        <v>50</v>
      </c>
      <c r="B46" s="46"/>
      <c r="C46" s="24" t="s">
        <v>110</v>
      </c>
      <c r="D46" s="24"/>
      <c r="E46" s="6">
        <v>1</v>
      </c>
      <c r="F46" s="6">
        <v>2</v>
      </c>
      <c r="G46" s="6">
        <v>6</v>
      </c>
      <c r="H46" s="6">
        <v>6</v>
      </c>
      <c r="I46" s="6">
        <v>2</v>
      </c>
      <c r="J46" s="6">
        <v>3</v>
      </c>
      <c r="K46" s="6">
        <v>6</v>
      </c>
      <c r="L46" s="6">
        <v>10</v>
      </c>
      <c r="M46" s="6">
        <v>9</v>
      </c>
      <c r="N46" s="6">
        <v>16</v>
      </c>
      <c r="O46" s="6">
        <v>7</v>
      </c>
      <c r="P46" s="6">
        <v>6</v>
      </c>
      <c r="Q46" s="6">
        <v>8</v>
      </c>
      <c r="R46" s="6">
        <v>5</v>
      </c>
      <c r="S46" s="6">
        <v>9</v>
      </c>
      <c r="T46" s="6">
        <v>3</v>
      </c>
      <c r="U46" s="6">
        <v>2</v>
      </c>
      <c r="V46" s="6">
        <v>25</v>
      </c>
      <c r="W46" s="6">
        <v>9</v>
      </c>
      <c r="X46" s="6">
        <v>10</v>
      </c>
      <c r="Y46" s="6">
        <v>13</v>
      </c>
      <c r="Z46" s="6">
        <v>8</v>
      </c>
      <c r="AA46" s="6">
        <v>5</v>
      </c>
      <c r="AB46" s="6">
        <v>6</v>
      </c>
      <c r="AC46" s="6">
        <v>4</v>
      </c>
      <c r="AD46" s="6">
        <v>18</v>
      </c>
      <c r="AE46" s="6">
        <v>22</v>
      </c>
      <c r="AF46" s="6">
        <v>27</v>
      </c>
      <c r="AG46" s="6">
        <v>8</v>
      </c>
      <c r="AH46" s="6">
        <v>8</v>
      </c>
      <c r="AI46" s="6">
        <v>16</v>
      </c>
      <c r="AJ46" s="6">
        <v>19</v>
      </c>
      <c r="AK46" s="6">
        <v>25</v>
      </c>
      <c r="AL46" s="6">
        <v>6</v>
      </c>
      <c r="AM46" s="6">
        <v>6</v>
      </c>
      <c r="AN46" s="6">
        <v>9</v>
      </c>
      <c r="AO46" s="6">
        <v>3</v>
      </c>
      <c r="AP46" s="6">
        <v>12</v>
      </c>
      <c r="AQ46" s="6">
        <v>6</v>
      </c>
      <c r="AR46" s="6">
        <v>3</v>
      </c>
      <c r="AS46" s="6">
        <v>5</v>
      </c>
      <c r="AT46" s="6">
        <v>13</v>
      </c>
      <c r="AU46" s="6">
        <v>7</v>
      </c>
      <c r="AV46" s="5">
        <f t="shared" si="24"/>
        <v>394</v>
      </c>
    </row>
    <row r="47" spans="1:48" x14ac:dyDescent="0.4">
      <c r="A47" s="7"/>
      <c r="B47" s="47"/>
      <c r="C47" s="24" t="s">
        <v>111</v>
      </c>
      <c r="D47" s="24"/>
      <c r="E47" s="6">
        <v>2</v>
      </c>
      <c r="F47" s="6">
        <v>1</v>
      </c>
      <c r="G47" s="6">
        <v>2</v>
      </c>
      <c r="H47" s="6">
        <v>4</v>
      </c>
      <c r="I47" s="6">
        <v>0</v>
      </c>
      <c r="J47" s="6">
        <v>1</v>
      </c>
      <c r="K47" s="6">
        <v>2</v>
      </c>
      <c r="L47" s="6">
        <v>1</v>
      </c>
      <c r="M47" s="6">
        <v>3</v>
      </c>
      <c r="N47" s="6">
        <v>2</v>
      </c>
      <c r="O47" s="6">
        <v>1</v>
      </c>
      <c r="P47" s="6">
        <v>3</v>
      </c>
      <c r="Q47" s="6">
        <v>0</v>
      </c>
      <c r="R47" s="6">
        <v>3</v>
      </c>
      <c r="S47" s="6">
        <v>0</v>
      </c>
      <c r="T47" s="6">
        <v>3</v>
      </c>
      <c r="U47" s="6">
        <v>1</v>
      </c>
      <c r="V47" s="6">
        <v>3</v>
      </c>
      <c r="W47" s="6">
        <v>8</v>
      </c>
      <c r="X47" s="6">
        <v>3</v>
      </c>
      <c r="Y47" s="6">
        <v>1</v>
      </c>
      <c r="Z47" s="6">
        <v>4</v>
      </c>
      <c r="AA47" s="6">
        <v>5</v>
      </c>
      <c r="AB47" s="6">
        <v>2</v>
      </c>
      <c r="AC47" s="6">
        <v>4</v>
      </c>
      <c r="AD47" s="6">
        <v>5</v>
      </c>
      <c r="AE47" s="6">
        <v>4</v>
      </c>
      <c r="AF47" s="6">
        <v>0</v>
      </c>
      <c r="AG47" s="6">
        <v>1</v>
      </c>
      <c r="AH47" s="6">
        <v>1</v>
      </c>
      <c r="AI47" s="6">
        <v>2</v>
      </c>
      <c r="AJ47" s="6">
        <v>3</v>
      </c>
      <c r="AK47" s="6">
        <v>2</v>
      </c>
      <c r="AL47" s="6">
        <v>0</v>
      </c>
      <c r="AM47" s="6">
        <v>1</v>
      </c>
      <c r="AN47" s="6">
        <v>2</v>
      </c>
      <c r="AO47" s="6">
        <v>0</v>
      </c>
      <c r="AP47" s="6">
        <v>2</v>
      </c>
      <c r="AQ47" s="6">
        <v>2</v>
      </c>
      <c r="AR47" s="6">
        <v>0</v>
      </c>
      <c r="AS47" s="6">
        <v>2</v>
      </c>
      <c r="AT47" s="6">
        <v>1</v>
      </c>
      <c r="AU47" s="6">
        <v>2</v>
      </c>
      <c r="AV47" s="5">
        <f t="shared" si="24"/>
        <v>89</v>
      </c>
    </row>
    <row r="48" spans="1:48" x14ac:dyDescent="0.4">
      <c r="A48" s="7"/>
      <c r="B48" s="47"/>
      <c r="C48" s="24" t="s">
        <v>112</v>
      </c>
      <c r="D48" s="24"/>
      <c r="E48" s="6">
        <v>0</v>
      </c>
      <c r="F48" s="6">
        <v>0</v>
      </c>
      <c r="G48" s="6">
        <v>0</v>
      </c>
      <c r="H48" s="6">
        <v>1</v>
      </c>
      <c r="I48" s="6">
        <v>1</v>
      </c>
      <c r="J48" s="6">
        <v>0</v>
      </c>
      <c r="K48" s="6">
        <v>1</v>
      </c>
      <c r="L48" s="6">
        <v>1</v>
      </c>
      <c r="M48" s="6">
        <v>3</v>
      </c>
      <c r="N48" s="6">
        <v>0</v>
      </c>
      <c r="O48" s="6">
        <v>1</v>
      </c>
      <c r="P48" s="6">
        <v>0</v>
      </c>
      <c r="Q48" s="6">
        <v>0</v>
      </c>
      <c r="R48" s="6">
        <v>1</v>
      </c>
      <c r="S48" s="6">
        <v>1</v>
      </c>
      <c r="T48" s="6">
        <v>1</v>
      </c>
      <c r="U48" s="6">
        <v>0</v>
      </c>
      <c r="V48" s="6">
        <v>1</v>
      </c>
      <c r="W48" s="6">
        <v>0</v>
      </c>
      <c r="X48" s="6">
        <v>0</v>
      </c>
      <c r="Y48" s="6">
        <v>2</v>
      </c>
      <c r="Z48" s="6">
        <v>0</v>
      </c>
      <c r="AA48" s="6">
        <v>1</v>
      </c>
      <c r="AB48" s="6">
        <v>0</v>
      </c>
      <c r="AC48" s="6">
        <v>1</v>
      </c>
      <c r="AD48" s="6">
        <v>2</v>
      </c>
      <c r="AE48" s="6">
        <v>0</v>
      </c>
      <c r="AF48" s="6">
        <v>1</v>
      </c>
      <c r="AG48" s="6">
        <v>0</v>
      </c>
      <c r="AH48" s="6">
        <v>7</v>
      </c>
      <c r="AI48" s="6">
        <v>4</v>
      </c>
      <c r="AJ48" s="6">
        <v>3</v>
      </c>
      <c r="AK48" s="6">
        <v>4</v>
      </c>
      <c r="AL48" s="6">
        <v>1</v>
      </c>
      <c r="AM48" s="6">
        <v>0</v>
      </c>
      <c r="AN48" s="6">
        <v>1</v>
      </c>
      <c r="AO48" s="6">
        <v>0</v>
      </c>
      <c r="AP48" s="6">
        <v>0</v>
      </c>
      <c r="AQ48" s="6">
        <v>2</v>
      </c>
      <c r="AR48" s="6">
        <v>0</v>
      </c>
      <c r="AS48" s="6">
        <v>0</v>
      </c>
      <c r="AT48" s="6">
        <v>1</v>
      </c>
      <c r="AU48" s="6">
        <v>0</v>
      </c>
      <c r="AV48" s="5">
        <f t="shared" si="24"/>
        <v>42</v>
      </c>
    </row>
    <row r="49" spans="1:48" x14ac:dyDescent="0.4">
      <c r="A49" s="7"/>
      <c r="B49" s="47"/>
      <c r="C49" s="24" t="s">
        <v>113</v>
      </c>
      <c r="D49" s="24"/>
      <c r="E49" s="6">
        <v>1</v>
      </c>
      <c r="F49" s="6">
        <v>0</v>
      </c>
      <c r="G49" s="6">
        <v>0</v>
      </c>
      <c r="H49" s="6">
        <v>1</v>
      </c>
      <c r="I49" s="6">
        <v>0</v>
      </c>
      <c r="J49" s="6">
        <v>2</v>
      </c>
      <c r="K49" s="6">
        <v>1</v>
      </c>
      <c r="L49" s="6">
        <v>0</v>
      </c>
      <c r="M49" s="6">
        <v>1</v>
      </c>
      <c r="N49" s="6">
        <v>2</v>
      </c>
      <c r="O49" s="6">
        <v>1</v>
      </c>
      <c r="P49" s="6">
        <v>1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1</v>
      </c>
      <c r="Z49" s="6">
        <v>0</v>
      </c>
      <c r="AA49" s="6">
        <v>2</v>
      </c>
      <c r="AB49" s="6">
        <v>0</v>
      </c>
      <c r="AC49" s="6">
        <v>0</v>
      </c>
      <c r="AD49" s="6">
        <v>1</v>
      </c>
      <c r="AE49" s="6">
        <v>3</v>
      </c>
      <c r="AF49" s="6">
        <v>1</v>
      </c>
      <c r="AG49" s="6">
        <v>3</v>
      </c>
      <c r="AH49" s="6">
        <v>1</v>
      </c>
      <c r="AI49" s="6">
        <v>0</v>
      </c>
      <c r="AJ49" s="6">
        <v>1</v>
      </c>
      <c r="AK49" s="6">
        <v>1</v>
      </c>
      <c r="AL49" s="6">
        <v>0</v>
      </c>
      <c r="AM49" s="6">
        <v>2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1</v>
      </c>
      <c r="AT49" s="6">
        <v>1</v>
      </c>
      <c r="AU49" s="6">
        <v>0</v>
      </c>
      <c r="AV49" s="5">
        <f t="shared" si="24"/>
        <v>29</v>
      </c>
    </row>
    <row r="50" spans="1:48" x14ac:dyDescent="0.4">
      <c r="A50" s="7"/>
      <c r="B50" s="47"/>
      <c r="C50" s="24" t="s">
        <v>114</v>
      </c>
      <c r="D50" s="24"/>
      <c r="E50" s="6">
        <v>1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1</v>
      </c>
      <c r="R50" s="6">
        <v>3</v>
      </c>
      <c r="S50" s="6">
        <v>0</v>
      </c>
      <c r="T50" s="6">
        <v>0</v>
      </c>
      <c r="U50" s="6">
        <v>0</v>
      </c>
      <c r="V50" s="6">
        <v>1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6">
        <v>0</v>
      </c>
      <c r="AI50" s="6">
        <v>1</v>
      </c>
      <c r="AJ50" s="6">
        <v>0</v>
      </c>
      <c r="AK50" s="6">
        <v>0</v>
      </c>
      <c r="AL50" s="6">
        <v>1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1</v>
      </c>
      <c r="AS50" s="6">
        <v>0</v>
      </c>
      <c r="AT50" s="6">
        <v>0</v>
      </c>
      <c r="AU50" s="6">
        <v>0</v>
      </c>
      <c r="AV50" s="5">
        <f t="shared" si="24"/>
        <v>12</v>
      </c>
    </row>
    <row r="51" spans="1:48" x14ac:dyDescent="0.4">
      <c r="A51" s="7"/>
      <c r="B51" s="47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2</v>
      </c>
      <c r="J51" s="6">
        <v>0</v>
      </c>
      <c r="K51" s="6">
        <v>0</v>
      </c>
      <c r="L51" s="6">
        <v>1</v>
      </c>
      <c r="M51" s="6">
        <v>0</v>
      </c>
      <c r="N51" s="6">
        <v>1</v>
      </c>
      <c r="O51" s="6">
        <v>1</v>
      </c>
      <c r="P51" s="6">
        <v>2</v>
      </c>
      <c r="Q51" s="6">
        <v>0</v>
      </c>
      <c r="R51" s="6">
        <v>0</v>
      </c>
      <c r="S51" s="6">
        <v>0</v>
      </c>
      <c r="T51" s="6">
        <v>3</v>
      </c>
      <c r="U51" s="6">
        <v>0</v>
      </c>
      <c r="V51" s="6">
        <v>2</v>
      </c>
      <c r="W51" s="6">
        <v>1</v>
      </c>
      <c r="X51" s="6">
        <v>1</v>
      </c>
      <c r="Y51" s="6">
        <v>0</v>
      </c>
      <c r="Z51" s="6">
        <v>0</v>
      </c>
      <c r="AA51" s="6">
        <v>1</v>
      </c>
      <c r="AB51" s="6">
        <v>1</v>
      </c>
      <c r="AC51" s="6">
        <v>0</v>
      </c>
      <c r="AD51" s="6">
        <v>0</v>
      </c>
      <c r="AE51" s="6">
        <v>1</v>
      </c>
      <c r="AF51" s="6">
        <v>0</v>
      </c>
      <c r="AG51" s="6">
        <v>0</v>
      </c>
      <c r="AH51" s="6">
        <v>0</v>
      </c>
      <c r="AI51" s="6">
        <v>1</v>
      </c>
      <c r="AJ51" s="6">
        <v>0</v>
      </c>
      <c r="AK51" s="6">
        <v>1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5">
        <f t="shared" si="24"/>
        <v>20</v>
      </c>
    </row>
    <row r="52" spans="1:48" ht="13.15" customHeight="1" x14ac:dyDescent="0.4">
      <c r="A52" s="7"/>
      <c r="B52" s="47"/>
      <c r="C52" s="24" t="s">
        <v>116</v>
      </c>
      <c r="D52" s="24"/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1</v>
      </c>
      <c r="Q52" s="6">
        <v>1</v>
      </c>
      <c r="R52" s="6">
        <v>1</v>
      </c>
      <c r="S52" s="6">
        <v>0</v>
      </c>
      <c r="T52" s="6">
        <v>0</v>
      </c>
      <c r="U52" s="6">
        <v>1</v>
      </c>
      <c r="V52" s="6">
        <v>1</v>
      </c>
      <c r="W52" s="6">
        <v>1</v>
      </c>
      <c r="X52" s="6">
        <v>0</v>
      </c>
      <c r="Y52" s="6">
        <v>0</v>
      </c>
      <c r="Z52" s="6">
        <v>1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6">
        <v>0</v>
      </c>
      <c r="AO52" s="6">
        <v>1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5">
        <f t="shared" si="24"/>
        <v>13</v>
      </c>
    </row>
    <row r="53" spans="1:48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2</v>
      </c>
      <c r="AK53" s="6">
        <v>0</v>
      </c>
      <c r="AL53" s="6">
        <v>1</v>
      </c>
      <c r="AM53" s="6">
        <v>0</v>
      </c>
      <c r="AN53" s="6">
        <v>0</v>
      </c>
      <c r="AO53" s="6">
        <v>0</v>
      </c>
      <c r="AP53" s="6">
        <v>2</v>
      </c>
      <c r="AQ53" s="6">
        <v>0</v>
      </c>
      <c r="AR53" s="6">
        <v>0</v>
      </c>
      <c r="AS53" s="6">
        <v>1</v>
      </c>
      <c r="AT53" s="6">
        <v>0</v>
      </c>
      <c r="AU53" s="6">
        <v>0</v>
      </c>
      <c r="AV53" s="5">
        <f t="shared" si="24"/>
        <v>7</v>
      </c>
    </row>
    <row r="54" spans="1:48" ht="13.15" customHeight="1" x14ac:dyDescent="0.4">
      <c r="A54" s="7"/>
      <c r="B54" s="47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0</v>
      </c>
      <c r="K54" s="6">
        <v>1</v>
      </c>
      <c r="L54" s="6">
        <v>0</v>
      </c>
      <c r="M54" s="6">
        <v>1</v>
      </c>
      <c r="N54" s="6">
        <v>0</v>
      </c>
      <c r="O54" s="6">
        <v>1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6">
        <v>0</v>
      </c>
      <c r="AD54" s="6">
        <v>1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2</v>
      </c>
      <c r="AK54" s="6">
        <v>0</v>
      </c>
      <c r="AL54" s="6">
        <v>0</v>
      </c>
      <c r="AM54" s="6">
        <v>2</v>
      </c>
      <c r="AN54" s="6">
        <v>0</v>
      </c>
      <c r="AO54" s="6">
        <v>0</v>
      </c>
      <c r="AP54" s="6">
        <v>1</v>
      </c>
      <c r="AQ54" s="6">
        <v>1</v>
      </c>
      <c r="AR54" s="6">
        <v>0</v>
      </c>
      <c r="AS54" s="6">
        <v>1</v>
      </c>
      <c r="AT54" s="6">
        <v>0</v>
      </c>
      <c r="AU54" s="6">
        <v>0</v>
      </c>
      <c r="AV54" s="5">
        <f t="shared" si="24"/>
        <v>16</v>
      </c>
    </row>
    <row r="55" spans="1:48" x14ac:dyDescent="0.4">
      <c r="A55" s="6" t="s">
        <v>26</v>
      </c>
      <c r="B55" s="74" t="s">
        <v>51</v>
      </c>
      <c r="C55" s="54"/>
      <c r="D55" s="55"/>
      <c r="E55" s="6">
        <f>SUM(E45:E54)</f>
        <v>15</v>
      </c>
      <c r="F55" s="6">
        <f t="shared" ref="F55:S55" si="25">SUM(F45:F54)</f>
        <v>6</v>
      </c>
      <c r="G55" s="6">
        <f t="shared" si="25"/>
        <v>10</v>
      </c>
      <c r="H55" s="6">
        <f t="shared" si="25"/>
        <v>18</v>
      </c>
      <c r="I55" s="6">
        <f t="shared" si="25"/>
        <v>9</v>
      </c>
      <c r="J55" s="6">
        <f t="shared" si="25"/>
        <v>9</v>
      </c>
      <c r="K55" s="6">
        <f t="shared" si="25"/>
        <v>17</v>
      </c>
      <c r="L55" s="6">
        <f t="shared" si="25"/>
        <v>20</v>
      </c>
      <c r="M55" s="6">
        <f t="shared" si="25"/>
        <v>22</v>
      </c>
      <c r="N55" s="6">
        <f t="shared" si="25"/>
        <v>33</v>
      </c>
      <c r="O55" s="6">
        <f t="shared" si="25"/>
        <v>13</v>
      </c>
      <c r="P55" s="6">
        <f t="shared" si="25"/>
        <v>20</v>
      </c>
      <c r="Q55" s="6">
        <f t="shared" si="25"/>
        <v>11</v>
      </c>
      <c r="R55" s="6">
        <f t="shared" si="25"/>
        <v>23</v>
      </c>
      <c r="S55" s="6">
        <f t="shared" si="25"/>
        <v>13</v>
      </c>
      <c r="T55" s="6">
        <f t="shared" ref="T55:AG55" si="26">SUM(T45:T54)</f>
        <v>16</v>
      </c>
      <c r="U55" s="6">
        <f t="shared" si="26"/>
        <v>6</v>
      </c>
      <c r="V55" s="6">
        <f t="shared" si="26"/>
        <v>51</v>
      </c>
      <c r="W55" s="6">
        <f t="shared" si="26"/>
        <v>24</v>
      </c>
      <c r="X55" s="6">
        <f t="shared" si="26"/>
        <v>17</v>
      </c>
      <c r="Y55" s="6">
        <f t="shared" si="26"/>
        <v>23</v>
      </c>
      <c r="Z55" s="6">
        <f t="shared" si="26"/>
        <v>29</v>
      </c>
      <c r="AA55" s="6">
        <f t="shared" si="26"/>
        <v>25</v>
      </c>
      <c r="AB55" s="6">
        <f t="shared" si="26"/>
        <v>13</v>
      </c>
      <c r="AC55" s="6">
        <f t="shared" si="26"/>
        <v>14</v>
      </c>
      <c r="AD55" s="6">
        <f t="shared" si="26"/>
        <v>39</v>
      </c>
      <c r="AE55" s="6">
        <f t="shared" si="26"/>
        <v>36</v>
      </c>
      <c r="AF55" s="6">
        <f t="shared" si="26"/>
        <v>47</v>
      </c>
      <c r="AG55" s="6">
        <f t="shared" si="26"/>
        <v>20</v>
      </c>
      <c r="AH55" s="6">
        <f t="shared" ref="AH55:AV55" si="27">SUM(AH45:AH54)</f>
        <v>24</v>
      </c>
      <c r="AI55" s="6">
        <f t="shared" si="27"/>
        <v>27</v>
      </c>
      <c r="AJ55" s="6">
        <f t="shared" si="27"/>
        <v>44</v>
      </c>
      <c r="AK55" s="6">
        <f t="shared" si="27"/>
        <v>49</v>
      </c>
      <c r="AL55" s="6">
        <f t="shared" si="27"/>
        <v>11</v>
      </c>
      <c r="AM55" s="6">
        <f t="shared" si="27"/>
        <v>14</v>
      </c>
      <c r="AN55" s="6">
        <f t="shared" si="27"/>
        <v>13</v>
      </c>
      <c r="AO55" s="6">
        <f t="shared" si="27"/>
        <v>9</v>
      </c>
      <c r="AP55" s="6">
        <f t="shared" si="27"/>
        <v>19</v>
      </c>
      <c r="AQ55" s="6">
        <f t="shared" si="27"/>
        <v>14</v>
      </c>
      <c r="AR55" s="6">
        <f t="shared" si="27"/>
        <v>9</v>
      </c>
      <c r="AS55" s="6">
        <f t="shared" si="27"/>
        <v>11</v>
      </c>
      <c r="AT55" s="6">
        <f t="shared" si="27"/>
        <v>20</v>
      </c>
      <c r="AU55" s="6">
        <f t="shared" si="27"/>
        <v>11</v>
      </c>
      <c r="AV55" s="6">
        <f t="shared" si="27"/>
        <v>874</v>
      </c>
    </row>
    <row r="56" spans="1:48" x14ac:dyDescent="0.4">
      <c r="A56" s="81"/>
      <c r="B56" s="80"/>
      <c r="C56" s="80"/>
      <c r="D56" s="80"/>
      <c r="E56" s="80"/>
      <c r="AV56" s="5"/>
    </row>
    <row r="57" spans="1:48" x14ac:dyDescent="0.4">
      <c r="A57" s="11" t="s">
        <v>48</v>
      </c>
      <c r="B57" s="17" t="s">
        <v>30</v>
      </c>
      <c r="C57" s="83" t="s">
        <v>52</v>
      </c>
      <c r="D57" s="55"/>
      <c r="E57" s="6">
        <v>16</v>
      </c>
      <c r="F57" s="6">
        <v>12</v>
      </c>
      <c r="G57" s="6">
        <v>19</v>
      </c>
      <c r="H57" s="6">
        <v>9</v>
      </c>
      <c r="I57" s="6">
        <v>18</v>
      </c>
      <c r="J57" s="6">
        <v>10</v>
      </c>
      <c r="K57" s="6">
        <v>6</v>
      </c>
      <c r="L57" s="6">
        <v>15</v>
      </c>
      <c r="M57" s="6">
        <v>13</v>
      </c>
      <c r="N57" s="6">
        <v>18</v>
      </c>
      <c r="O57" s="6">
        <v>25</v>
      </c>
      <c r="P57" s="6">
        <v>19</v>
      </c>
      <c r="Q57" s="6">
        <v>12</v>
      </c>
      <c r="R57" s="6">
        <v>10</v>
      </c>
      <c r="S57" s="6">
        <v>18</v>
      </c>
      <c r="T57" s="6">
        <v>14</v>
      </c>
      <c r="U57" s="6">
        <v>14</v>
      </c>
      <c r="V57" s="6">
        <v>10</v>
      </c>
      <c r="W57" s="6">
        <v>18</v>
      </c>
      <c r="X57" s="6">
        <v>17</v>
      </c>
      <c r="Y57" s="6">
        <v>17</v>
      </c>
      <c r="Z57" s="6">
        <v>17</v>
      </c>
      <c r="AA57" s="6">
        <v>27</v>
      </c>
      <c r="AB57" s="6">
        <v>13</v>
      </c>
      <c r="AC57" s="6">
        <v>16</v>
      </c>
      <c r="AD57" s="6">
        <v>14</v>
      </c>
      <c r="AE57" s="6">
        <v>11</v>
      </c>
      <c r="AF57" s="6">
        <v>11</v>
      </c>
      <c r="AG57" s="6">
        <v>13</v>
      </c>
      <c r="AH57" s="6">
        <v>12</v>
      </c>
      <c r="AI57" s="6">
        <v>10</v>
      </c>
      <c r="AJ57" s="6">
        <v>13</v>
      </c>
      <c r="AK57" s="6">
        <v>11</v>
      </c>
      <c r="AL57" s="6">
        <v>10</v>
      </c>
      <c r="AM57" s="6">
        <v>13</v>
      </c>
      <c r="AN57" s="6">
        <v>11</v>
      </c>
      <c r="AO57" s="6">
        <v>8</v>
      </c>
      <c r="AP57" s="6">
        <v>15</v>
      </c>
      <c r="AQ57" s="6">
        <v>9</v>
      </c>
      <c r="AR57" s="6">
        <v>12</v>
      </c>
      <c r="AS57" s="6">
        <v>8</v>
      </c>
      <c r="AT57" s="6">
        <v>8</v>
      </c>
      <c r="AU57" s="6">
        <v>13</v>
      </c>
      <c r="AV57" s="5">
        <f t="shared" ref="AV57:AV66" si="28">SUM(E57:AU57)</f>
        <v>585</v>
      </c>
    </row>
    <row r="58" spans="1:48" x14ac:dyDescent="0.4">
      <c r="A58" s="11" t="s">
        <v>50</v>
      </c>
      <c r="B58" s="47"/>
      <c r="C58" s="24" t="s">
        <v>119</v>
      </c>
      <c r="D58" s="48"/>
      <c r="E58" s="6">
        <v>9</v>
      </c>
      <c r="F58" s="6">
        <v>4</v>
      </c>
      <c r="G58" s="6">
        <v>5</v>
      </c>
      <c r="H58" s="6">
        <v>4</v>
      </c>
      <c r="I58" s="6">
        <v>9</v>
      </c>
      <c r="J58" s="6">
        <v>3</v>
      </c>
      <c r="K58" s="6">
        <v>5</v>
      </c>
      <c r="L58" s="6">
        <v>5</v>
      </c>
      <c r="M58" s="6">
        <v>2</v>
      </c>
      <c r="N58" s="6">
        <v>7</v>
      </c>
      <c r="O58" s="6">
        <v>3</v>
      </c>
      <c r="P58" s="6">
        <v>7</v>
      </c>
      <c r="Q58" s="6">
        <v>4</v>
      </c>
      <c r="R58" s="6">
        <v>7</v>
      </c>
      <c r="S58" s="6">
        <v>5</v>
      </c>
      <c r="T58" s="6">
        <v>3</v>
      </c>
      <c r="U58" s="6">
        <v>7</v>
      </c>
      <c r="V58" s="6">
        <v>5</v>
      </c>
      <c r="W58" s="6">
        <v>8</v>
      </c>
      <c r="X58" s="6">
        <v>9</v>
      </c>
      <c r="Y58" s="6">
        <v>6</v>
      </c>
      <c r="Z58" s="6">
        <v>9</v>
      </c>
      <c r="AA58" s="6">
        <v>12</v>
      </c>
      <c r="AB58" s="6">
        <v>13</v>
      </c>
      <c r="AC58" s="6">
        <v>10</v>
      </c>
      <c r="AD58" s="6">
        <v>6</v>
      </c>
      <c r="AE58" s="6">
        <v>5</v>
      </c>
      <c r="AF58" s="6">
        <v>11</v>
      </c>
      <c r="AG58" s="6">
        <v>4</v>
      </c>
      <c r="AH58" s="6">
        <v>9</v>
      </c>
      <c r="AI58" s="6">
        <v>6</v>
      </c>
      <c r="AJ58" s="6">
        <v>7</v>
      </c>
      <c r="AK58" s="6">
        <v>5</v>
      </c>
      <c r="AL58" s="6">
        <v>3</v>
      </c>
      <c r="AM58" s="6">
        <v>5</v>
      </c>
      <c r="AN58" s="6">
        <v>5</v>
      </c>
      <c r="AO58" s="6">
        <v>5</v>
      </c>
      <c r="AP58" s="6">
        <v>2</v>
      </c>
      <c r="AQ58" s="6">
        <v>5</v>
      </c>
      <c r="AR58" s="6">
        <v>4</v>
      </c>
      <c r="AS58" s="6">
        <v>5</v>
      </c>
      <c r="AT58" s="6">
        <v>5</v>
      </c>
      <c r="AU58" s="6">
        <v>13</v>
      </c>
      <c r="AV58" s="5">
        <f t="shared" si="28"/>
        <v>266</v>
      </c>
    </row>
    <row r="59" spans="1:48" x14ac:dyDescent="0.4">
      <c r="A59" s="7"/>
      <c r="B59" s="47"/>
      <c r="C59" s="24" t="s">
        <v>120</v>
      </c>
      <c r="D59" s="48"/>
      <c r="E59" s="6">
        <v>7</v>
      </c>
      <c r="F59" s="6">
        <v>5</v>
      </c>
      <c r="G59" s="6">
        <v>12</v>
      </c>
      <c r="H59" s="6">
        <v>10</v>
      </c>
      <c r="I59" s="6">
        <v>15</v>
      </c>
      <c r="J59" s="6">
        <v>11</v>
      </c>
      <c r="K59" s="6">
        <v>5</v>
      </c>
      <c r="L59" s="6">
        <v>7</v>
      </c>
      <c r="M59" s="6">
        <v>3</v>
      </c>
      <c r="N59" s="6">
        <v>5</v>
      </c>
      <c r="O59" s="6">
        <v>8</v>
      </c>
      <c r="P59" s="6">
        <v>7</v>
      </c>
      <c r="Q59" s="6">
        <v>9</v>
      </c>
      <c r="R59" s="6">
        <v>9</v>
      </c>
      <c r="S59" s="6">
        <v>6</v>
      </c>
      <c r="T59" s="6">
        <v>3</v>
      </c>
      <c r="U59" s="6">
        <v>6</v>
      </c>
      <c r="V59" s="6">
        <v>7</v>
      </c>
      <c r="W59" s="6">
        <v>9</v>
      </c>
      <c r="X59" s="6">
        <v>11</v>
      </c>
      <c r="Y59" s="6">
        <v>12</v>
      </c>
      <c r="Z59" s="6">
        <v>9</v>
      </c>
      <c r="AA59" s="6">
        <v>7</v>
      </c>
      <c r="AB59" s="6">
        <v>6</v>
      </c>
      <c r="AC59" s="6">
        <v>14</v>
      </c>
      <c r="AD59" s="6">
        <v>3</v>
      </c>
      <c r="AE59" s="6">
        <v>7</v>
      </c>
      <c r="AF59" s="6">
        <v>13</v>
      </c>
      <c r="AG59" s="6">
        <v>8</v>
      </c>
      <c r="AH59" s="6">
        <v>5</v>
      </c>
      <c r="AI59" s="6">
        <v>9</v>
      </c>
      <c r="AJ59" s="6">
        <v>5</v>
      </c>
      <c r="AK59" s="6">
        <v>11</v>
      </c>
      <c r="AL59" s="6">
        <v>11</v>
      </c>
      <c r="AM59" s="6">
        <v>5</v>
      </c>
      <c r="AN59" s="6">
        <v>10</v>
      </c>
      <c r="AO59" s="6">
        <v>8</v>
      </c>
      <c r="AP59" s="6">
        <v>4</v>
      </c>
      <c r="AQ59" s="6">
        <v>3</v>
      </c>
      <c r="AR59" s="6">
        <v>10</v>
      </c>
      <c r="AS59" s="6">
        <v>22</v>
      </c>
      <c r="AT59" s="6">
        <v>12</v>
      </c>
      <c r="AU59" s="6">
        <v>8</v>
      </c>
      <c r="AV59" s="5">
        <f t="shared" si="28"/>
        <v>357</v>
      </c>
    </row>
    <row r="60" spans="1:48" x14ac:dyDescent="0.4">
      <c r="A60" s="7"/>
      <c r="B60" s="47"/>
      <c r="C60" s="24" t="s">
        <v>121</v>
      </c>
      <c r="D60" s="48"/>
      <c r="E60" s="6">
        <v>4</v>
      </c>
      <c r="F60" s="6">
        <v>1</v>
      </c>
      <c r="G60" s="6">
        <v>2</v>
      </c>
      <c r="H60" s="6">
        <v>4</v>
      </c>
      <c r="I60" s="6">
        <v>4</v>
      </c>
      <c r="J60" s="6">
        <v>5</v>
      </c>
      <c r="K60" s="6">
        <v>3</v>
      </c>
      <c r="L60" s="6">
        <v>4</v>
      </c>
      <c r="M60" s="6">
        <v>3</v>
      </c>
      <c r="N60" s="6">
        <v>3</v>
      </c>
      <c r="O60" s="6">
        <v>4</v>
      </c>
      <c r="P60" s="6">
        <v>3</v>
      </c>
      <c r="Q60" s="6">
        <v>5</v>
      </c>
      <c r="R60" s="6">
        <v>0</v>
      </c>
      <c r="S60" s="6">
        <v>0</v>
      </c>
      <c r="T60" s="6">
        <v>3</v>
      </c>
      <c r="U60" s="6">
        <v>0</v>
      </c>
      <c r="V60" s="6">
        <v>6</v>
      </c>
      <c r="W60" s="6">
        <v>4</v>
      </c>
      <c r="X60" s="6">
        <v>0</v>
      </c>
      <c r="Y60" s="6">
        <v>1</v>
      </c>
      <c r="Z60" s="6">
        <v>2</v>
      </c>
      <c r="AA60" s="6">
        <v>4</v>
      </c>
      <c r="AB60" s="6">
        <v>1</v>
      </c>
      <c r="AC60" s="6">
        <v>2</v>
      </c>
      <c r="AD60" s="6">
        <v>5</v>
      </c>
      <c r="AE60" s="6">
        <v>0</v>
      </c>
      <c r="AF60" s="6">
        <v>1</v>
      </c>
      <c r="AG60" s="6">
        <v>1</v>
      </c>
      <c r="AH60" s="6">
        <v>3</v>
      </c>
      <c r="AI60" s="6">
        <v>2</v>
      </c>
      <c r="AJ60" s="6">
        <v>1</v>
      </c>
      <c r="AK60" s="6">
        <v>4</v>
      </c>
      <c r="AL60" s="6">
        <v>1</v>
      </c>
      <c r="AM60" s="6">
        <v>1</v>
      </c>
      <c r="AN60" s="6">
        <v>4</v>
      </c>
      <c r="AO60" s="6">
        <v>1</v>
      </c>
      <c r="AP60" s="6">
        <v>1</v>
      </c>
      <c r="AQ60" s="6">
        <v>1</v>
      </c>
      <c r="AR60" s="6">
        <v>1</v>
      </c>
      <c r="AS60" s="6">
        <v>4</v>
      </c>
      <c r="AT60" s="6">
        <v>1</v>
      </c>
      <c r="AU60" s="6">
        <v>3</v>
      </c>
      <c r="AV60" s="5">
        <f t="shared" si="28"/>
        <v>103</v>
      </c>
    </row>
    <row r="61" spans="1:48" x14ac:dyDescent="0.4">
      <c r="A61" s="7"/>
      <c r="B61" s="47"/>
      <c r="C61" s="24" t="s">
        <v>122</v>
      </c>
      <c r="D61" s="48"/>
      <c r="E61" s="6">
        <v>3</v>
      </c>
      <c r="F61" s="6">
        <v>2</v>
      </c>
      <c r="G61" s="6">
        <v>2</v>
      </c>
      <c r="H61" s="6">
        <v>5</v>
      </c>
      <c r="I61" s="6">
        <v>2</v>
      </c>
      <c r="J61" s="6">
        <v>0</v>
      </c>
      <c r="K61" s="6">
        <v>1</v>
      </c>
      <c r="L61" s="6">
        <v>1</v>
      </c>
      <c r="M61" s="6">
        <v>4</v>
      </c>
      <c r="N61" s="6">
        <v>3</v>
      </c>
      <c r="O61" s="6">
        <v>3</v>
      </c>
      <c r="P61" s="6">
        <v>1</v>
      </c>
      <c r="Q61" s="6">
        <v>6</v>
      </c>
      <c r="R61" s="6">
        <v>3</v>
      </c>
      <c r="S61" s="6">
        <v>5</v>
      </c>
      <c r="T61" s="6">
        <v>0</v>
      </c>
      <c r="U61" s="6">
        <v>4</v>
      </c>
      <c r="V61" s="6">
        <v>3</v>
      </c>
      <c r="W61" s="6">
        <v>1</v>
      </c>
      <c r="X61" s="6">
        <v>1</v>
      </c>
      <c r="Y61" s="6">
        <v>2</v>
      </c>
      <c r="Z61" s="6">
        <v>1</v>
      </c>
      <c r="AA61" s="6">
        <v>7</v>
      </c>
      <c r="AB61" s="6">
        <v>0</v>
      </c>
      <c r="AC61" s="6">
        <v>1</v>
      </c>
      <c r="AD61" s="6">
        <v>3</v>
      </c>
      <c r="AE61" s="6">
        <v>3</v>
      </c>
      <c r="AF61" s="6">
        <v>5</v>
      </c>
      <c r="AG61" s="6">
        <v>3</v>
      </c>
      <c r="AH61" s="6">
        <v>5</v>
      </c>
      <c r="AI61" s="6">
        <v>18</v>
      </c>
      <c r="AJ61" s="6">
        <v>2</v>
      </c>
      <c r="AK61" s="6">
        <v>3</v>
      </c>
      <c r="AL61" s="6">
        <v>2</v>
      </c>
      <c r="AM61" s="6">
        <v>4</v>
      </c>
      <c r="AN61" s="6">
        <v>4</v>
      </c>
      <c r="AO61" s="6">
        <v>3</v>
      </c>
      <c r="AP61" s="6">
        <v>0</v>
      </c>
      <c r="AQ61" s="6">
        <v>5</v>
      </c>
      <c r="AR61" s="6">
        <v>1</v>
      </c>
      <c r="AS61" s="6">
        <v>1</v>
      </c>
      <c r="AT61" s="6">
        <v>7</v>
      </c>
      <c r="AU61" s="6">
        <v>5</v>
      </c>
      <c r="AV61" s="5">
        <f t="shared" si="28"/>
        <v>135</v>
      </c>
    </row>
    <row r="62" spans="1:48" x14ac:dyDescent="0.4">
      <c r="A62" s="7"/>
      <c r="B62" s="47"/>
      <c r="C62" s="24" t="s">
        <v>123</v>
      </c>
      <c r="D62" s="48"/>
      <c r="E62" s="6">
        <v>0</v>
      </c>
      <c r="F62" s="6">
        <v>2</v>
      </c>
      <c r="G62" s="6">
        <v>0</v>
      </c>
      <c r="H62" s="6">
        <v>2</v>
      </c>
      <c r="I62" s="6">
        <v>2</v>
      </c>
      <c r="J62" s="6">
        <v>1</v>
      </c>
      <c r="K62" s="6">
        <v>0</v>
      </c>
      <c r="L62" s="6">
        <v>2</v>
      </c>
      <c r="M62" s="6">
        <v>1</v>
      </c>
      <c r="N62" s="6">
        <v>0</v>
      </c>
      <c r="O62" s="6">
        <v>1</v>
      </c>
      <c r="P62" s="6">
        <v>1</v>
      </c>
      <c r="Q62" s="6">
        <v>3</v>
      </c>
      <c r="R62" s="6">
        <v>0</v>
      </c>
      <c r="S62" s="6">
        <v>1</v>
      </c>
      <c r="T62" s="6">
        <v>1</v>
      </c>
      <c r="U62" s="6">
        <v>3</v>
      </c>
      <c r="V62" s="6">
        <v>1</v>
      </c>
      <c r="W62" s="6">
        <v>2</v>
      </c>
      <c r="X62" s="6">
        <v>2</v>
      </c>
      <c r="Y62" s="6">
        <v>2</v>
      </c>
      <c r="Z62" s="6">
        <v>2</v>
      </c>
      <c r="AA62" s="6">
        <v>0</v>
      </c>
      <c r="AB62" s="6">
        <v>5</v>
      </c>
      <c r="AC62" s="6">
        <v>0</v>
      </c>
      <c r="AD62" s="6">
        <v>1</v>
      </c>
      <c r="AE62" s="6">
        <v>2</v>
      </c>
      <c r="AF62" s="6">
        <v>0</v>
      </c>
      <c r="AG62" s="6">
        <v>3</v>
      </c>
      <c r="AH62" s="6">
        <v>1</v>
      </c>
      <c r="AI62" s="6">
        <v>2</v>
      </c>
      <c r="AJ62" s="6">
        <v>0</v>
      </c>
      <c r="AK62" s="6">
        <v>1</v>
      </c>
      <c r="AL62" s="6">
        <v>1</v>
      </c>
      <c r="AM62" s="6">
        <v>1</v>
      </c>
      <c r="AN62" s="6">
        <v>0</v>
      </c>
      <c r="AO62" s="6">
        <v>2</v>
      </c>
      <c r="AP62" s="6">
        <v>1</v>
      </c>
      <c r="AQ62" s="6">
        <v>4</v>
      </c>
      <c r="AR62" s="6">
        <v>1</v>
      </c>
      <c r="AS62" s="6">
        <v>2</v>
      </c>
      <c r="AT62" s="6">
        <v>0</v>
      </c>
      <c r="AU62" s="6">
        <v>2</v>
      </c>
      <c r="AV62" s="5">
        <f t="shared" si="28"/>
        <v>58</v>
      </c>
    </row>
    <row r="63" spans="1:48" ht="13.15" customHeight="1" x14ac:dyDescent="0.4">
      <c r="A63" s="7"/>
      <c r="B63" s="47"/>
      <c r="C63" s="24" t="s">
        <v>124</v>
      </c>
      <c r="D63" s="45"/>
      <c r="E63" s="6">
        <v>2</v>
      </c>
      <c r="F63" s="6">
        <v>1</v>
      </c>
      <c r="G63" s="6">
        <v>1</v>
      </c>
      <c r="H63" s="6">
        <v>2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3</v>
      </c>
      <c r="O63" s="6">
        <v>2</v>
      </c>
      <c r="P63" s="6">
        <v>2</v>
      </c>
      <c r="Q63" s="6">
        <v>1</v>
      </c>
      <c r="R63" s="6">
        <v>0</v>
      </c>
      <c r="S63" s="6">
        <v>0</v>
      </c>
      <c r="T63" s="6">
        <v>0</v>
      </c>
      <c r="U63" s="6">
        <v>1</v>
      </c>
      <c r="V63" s="6">
        <v>1</v>
      </c>
      <c r="W63" s="6">
        <v>3</v>
      </c>
      <c r="X63" s="6">
        <v>3</v>
      </c>
      <c r="Y63" s="6">
        <v>0</v>
      </c>
      <c r="Z63" s="6">
        <v>1</v>
      </c>
      <c r="AA63" s="6">
        <v>3</v>
      </c>
      <c r="AB63" s="6">
        <v>2</v>
      </c>
      <c r="AC63" s="6">
        <v>1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2</v>
      </c>
      <c r="AJ63" s="6">
        <v>3</v>
      </c>
      <c r="AK63" s="6">
        <v>1</v>
      </c>
      <c r="AL63" s="6">
        <v>0</v>
      </c>
      <c r="AM63" s="6">
        <v>2</v>
      </c>
      <c r="AN63" s="6">
        <v>1</v>
      </c>
      <c r="AO63" s="6">
        <v>1</v>
      </c>
      <c r="AP63" s="6">
        <v>1</v>
      </c>
      <c r="AQ63" s="6">
        <v>0</v>
      </c>
      <c r="AR63" s="6">
        <v>0</v>
      </c>
      <c r="AS63" s="6">
        <v>0</v>
      </c>
      <c r="AT63" s="6">
        <v>2</v>
      </c>
      <c r="AU63" s="6">
        <v>0</v>
      </c>
      <c r="AV63" s="5">
        <f t="shared" si="28"/>
        <v>45</v>
      </c>
    </row>
    <row r="64" spans="1:48" x14ac:dyDescent="0.4">
      <c r="A64" s="7"/>
      <c r="B64" s="47"/>
      <c r="C64" s="24" t="s">
        <v>125</v>
      </c>
      <c r="D64" s="48"/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1</v>
      </c>
      <c r="O64" s="6">
        <v>1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1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1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2</v>
      </c>
      <c r="AP64" s="6">
        <v>0</v>
      </c>
      <c r="AQ64" s="6">
        <v>0</v>
      </c>
      <c r="AR64" s="6">
        <v>1</v>
      </c>
      <c r="AS64" s="6">
        <v>0</v>
      </c>
      <c r="AT64" s="6">
        <v>1</v>
      </c>
      <c r="AU64" s="6">
        <v>0</v>
      </c>
      <c r="AV64" s="5">
        <f t="shared" si="28"/>
        <v>12</v>
      </c>
    </row>
    <row r="65" spans="1:48" x14ac:dyDescent="0.4">
      <c r="A65" s="7"/>
      <c r="B65" s="47"/>
      <c r="C65" s="24" t="s">
        <v>126</v>
      </c>
      <c r="D65" s="48"/>
      <c r="E65" s="6">
        <v>1</v>
      </c>
      <c r="F65" s="6">
        <v>2</v>
      </c>
      <c r="G65" s="6">
        <v>0</v>
      </c>
      <c r="H65" s="6">
        <v>0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1</v>
      </c>
      <c r="AH65" s="6">
        <v>0</v>
      </c>
      <c r="AI65" s="6">
        <v>1</v>
      </c>
      <c r="AJ65" s="6">
        <v>0</v>
      </c>
      <c r="AK65" s="6">
        <v>0</v>
      </c>
      <c r="AL65" s="6">
        <v>1</v>
      </c>
      <c r="AM65" s="6">
        <v>0</v>
      </c>
      <c r="AN65" s="6">
        <v>1</v>
      </c>
      <c r="AO65" s="6">
        <v>0</v>
      </c>
      <c r="AP65" s="6">
        <v>0</v>
      </c>
      <c r="AQ65" s="6">
        <v>0</v>
      </c>
      <c r="AR65" s="6">
        <v>0</v>
      </c>
      <c r="AS65" s="6">
        <v>1</v>
      </c>
      <c r="AT65" s="6">
        <v>1</v>
      </c>
      <c r="AU65" s="6">
        <v>0</v>
      </c>
      <c r="AV65" s="5">
        <f t="shared" si="28"/>
        <v>16</v>
      </c>
    </row>
    <row r="66" spans="1:48" x14ac:dyDescent="0.4">
      <c r="A66" s="7"/>
      <c r="B66" s="47"/>
      <c r="C66" s="24" t="s">
        <v>127</v>
      </c>
      <c r="D66" s="48"/>
      <c r="E66" s="6">
        <v>0</v>
      </c>
      <c r="F66" s="6">
        <v>0</v>
      </c>
      <c r="G66" s="6">
        <v>1</v>
      </c>
      <c r="H66" s="6">
        <v>1</v>
      </c>
      <c r="I66" s="6">
        <v>0</v>
      </c>
      <c r="J66" s="6">
        <v>0</v>
      </c>
      <c r="K66" s="6">
        <v>1</v>
      </c>
      <c r="L66" s="6">
        <v>3</v>
      </c>
      <c r="M66" s="6">
        <v>0</v>
      </c>
      <c r="N66" s="6">
        <v>1</v>
      </c>
      <c r="O66" s="6">
        <v>1</v>
      </c>
      <c r="P66" s="6">
        <v>0</v>
      </c>
      <c r="Q66" s="6">
        <v>3</v>
      </c>
      <c r="R66" s="6">
        <v>0</v>
      </c>
      <c r="S66" s="6">
        <v>2</v>
      </c>
      <c r="T66" s="6">
        <v>0</v>
      </c>
      <c r="U66" s="6">
        <v>1</v>
      </c>
      <c r="V66" s="6">
        <v>1</v>
      </c>
      <c r="W66" s="6">
        <v>1</v>
      </c>
      <c r="X66" s="6">
        <v>0</v>
      </c>
      <c r="Y66" s="6">
        <v>0</v>
      </c>
      <c r="Z66" s="6">
        <v>0</v>
      </c>
      <c r="AA66" s="6">
        <v>1</v>
      </c>
      <c r="AB66" s="6">
        <v>0</v>
      </c>
      <c r="AC66" s="6">
        <v>0</v>
      </c>
      <c r="AD66" s="6">
        <v>1</v>
      </c>
      <c r="AE66" s="6">
        <v>0</v>
      </c>
      <c r="AF66" s="6">
        <v>0</v>
      </c>
      <c r="AG66" s="6">
        <v>5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0</v>
      </c>
      <c r="AN66" s="6">
        <v>1</v>
      </c>
      <c r="AO66" s="6">
        <v>1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2</v>
      </c>
      <c r="AV66" s="5">
        <f t="shared" si="28"/>
        <v>28</v>
      </c>
    </row>
    <row r="67" spans="1:48" x14ac:dyDescent="0.4">
      <c r="A67" s="6" t="s">
        <v>26</v>
      </c>
      <c r="B67" s="74" t="s">
        <v>51</v>
      </c>
      <c r="C67" s="54"/>
      <c r="D67" s="55"/>
      <c r="E67" s="6">
        <f t="shared" ref="E67:AV67" si="29">SUM(E57:E66)</f>
        <v>42</v>
      </c>
      <c r="F67" s="6">
        <f t="shared" si="29"/>
        <v>29</v>
      </c>
      <c r="G67" s="6">
        <f t="shared" si="29"/>
        <v>42</v>
      </c>
      <c r="H67" s="6">
        <f t="shared" si="29"/>
        <v>37</v>
      </c>
      <c r="I67" s="6">
        <f t="shared" si="29"/>
        <v>53</v>
      </c>
      <c r="J67" s="6">
        <f t="shared" si="29"/>
        <v>32</v>
      </c>
      <c r="K67" s="6">
        <f t="shared" si="29"/>
        <v>21</v>
      </c>
      <c r="L67" s="6">
        <f t="shared" si="29"/>
        <v>37</v>
      </c>
      <c r="M67" s="6">
        <f t="shared" si="29"/>
        <v>26</v>
      </c>
      <c r="N67" s="6">
        <f t="shared" si="29"/>
        <v>42</v>
      </c>
      <c r="O67" s="6">
        <f t="shared" si="29"/>
        <v>49</v>
      </c>
      <c r="P67" s="6">
        <f t="shared" si="29"/>
        <v>41</v>
      </c>
      <c r="Q67" s="6">
        <f t="shared" si="29"/>
        <v>45</v>
      </c>
      <c r="R67" s="6">
        <f t="shared" si="29"/>
        <v>30</v>
      </c>
      <c r="S67" s="6">
        <f t="shared" si="29"/>
        <v>37</v>
      </c>
      <c r="T67" s="6">
        <f t="shared" ref="T67:AG67" si="30">SUM(T57:T66)</f>
        <v>24</v>
      </c>
      <c r="U67" s="6">
        <f t="shared" si="30"/>
        <v>36</v>
      </c>
      <c r="V67" s="6">
        <f t="shared" si="30"/>
        <v>34</v>
      </c>
      <c r="W67" s="6">
        <f t="shared" si="30"/>
        <v>46</v>
      </c>
      <c r="X67" s="6">
        <f t="shared" si="30"/>
        <v>44</v>
      </c>
      <c r="Y67" s="6">
        <f t="shared" si="30"/>
        <v>40</v>
      </c>
      <c r="Z67" s="6">
        <f t="shared" si="30"/>
        <v>41</v>
      </c>
      <c r="AA67" s="6">
        <f t="shared" si="30"/>
        <v>62</v>
      </c>
      <c r="AB67" s="6">
        <f t="shared" si="30"/>
        <v>40</v>
      </c>
      <c r="AC67" s="6">
        <f t="shared" si="30"/>
        <v>45</v>
      </c>
      <c r="AD67" s="6">
        <f t="shared" si="30"/>
        <v>34</v>
      </c>
      <c r="AE67" s="6">
        <f t="shared" si="30"/>
        <v>28</v>
      </c>
      <c r="AF67" s="6">
        <f t="shared" si="30"/>
        <v>41</v>
      </c>
      <c r="AG67" s="6">
        <f t="shared" si="30"/>
        <v>38</v>
      </c>
      <c r="AH67" s="6">
        <f t="shared" si="29"/>
        <v>35</v>
      </c>
      <c r="AI67" s="6">
        <f t="shared" si="29"/>
        <v>51</v>
      </c>
      <c r="AJ67" s="6">
        <f t="shared" si="29"/>
        <v>31</v>
      </c>
      <c r="AK67" s="6">
        <f t="shared" si="29"/>
        <v>36</v>
      </c>
      <c r="AL67" s="6">
        <f t="shared" si="29"/>
        <v>30</v>
      </c>
      <c r="AM67" s="6">
        <f t="shared" si="29"/>
        <v>31</v>
      </c>
      <c r="AN67" s="6">
        <f t="shared" si="29"/>
        <v>37</v>
      </c>
      <c r="AO67" s="6">
        <f t="shared" si="29"/>
        <v>31</v>
      </c>
      <c r="AP67" s="6">
        <f t="shared" si="29"/>
        <v>24</v>
      </c>
      <c r="AQ67" s="6">
        <f t="shared" si="29"/>
        <v>27</v>
      </c>
      <c r="AR67" s="6">
        <f t="shared" si="29"/>
        <v>30</v>
      </c>
      <c r="AS67" s="6">
        <f t="shared" si="29"/>
        <v>43</v>
      </c>
      <c r="AT67" s="6">
        <f t="shared" si="29"/>
        <v>37</v>
      </c>
      <c r="AU67" s="6">
        <f t="shared" si="29"/>
        <v>46</v>
      </c>
      <c r="AV67" s="6">
        <f t="shared" si="29"/>
        <v>1605</v>
      </c>
    </row>
    <row r="68" spans="1:48" x14ac:dyDescent="0.4">
      <c r="A68" s="81"/>
      <c r="B68" s="80"/>
      <c r="C68" s="80"/>
      <c r="D68" s="80"/>
      <c r="E68" s="80"/>
    </row>
    <row r="69" spans="1:48" x14ac:dyDescent="0.4">
      <c r="A69" s="11" t="s">
        <v>48</v>
      </c>
      <c r="B69" s="17" t="s">
        <v>32</v>
      </c>
      <c r="C69" s="83" t="s">
        <v>53</v>
      </c>
      <c r="D69" s="55"/>
      <c r="E69" s="6">
        <v>49</v>
      </c>
      <c r="F69" s="6">
        <v>8</v>
      </c>
      <c r="G69" s="6">
        <v>13</v>
      </c>
      <c r="H69" s="6">
        <v>21</v>
      </c>
      <c r="I69" s="6">
        <v>13</v>
      </c>
      <c r="J69" s="6">
        <v>6</v>
      </c>
      <c r="K69" s="6">
        <v>14</v>
      </c>
      <c r="L69" s="6">
        <v>30</v>
      </c>
      <c r="M69" s="6">
        <v>12</v>
      </c>
      <c r="N69" s="6">
        <v>13</v>
      </c>
      <c r="O69" s="6">
        <v>12</v>
      </c>
      <c r="P69" s="6">
        <v>5</v>
      </c>
      <c r="Q69" s="6">
        <v>14</v>
      </c>
      <c r="R69" s="6">
        <v>9</v>
      </c>
      <c r="S69" s="6">
        <v>11</v>
      </c>
      <c r="T69" s="6">
        <v>12</v>
      </c>
      <c r="U69" s="6">
        <v>12</v>
      </c>
      <c r="V69" s="6">
        <v>10</v>
      </c>
      <c r="W69" s="6">
        <v>8</v>
      </c>
      <c r="X69" s="6">
        <v>8</v>
      </c>
      <c r="Y69" s="6">
        <v>7</v>
      </c>
      <c r="Z69" s="6">
        <v>7</v>
      </c>
      <c r="AA69" s="6">
        <v>4</v>
      </c>
      <c r="AB69" s="6">
        <v>8</v>
      </c>
      <c r="AC69" s="6">
        <v>4</v>
      </c>
      <c r="AD69" s="6">
        <v>9</v>
      </c>
      <c r="AE69" s="6">
        <v>12</v>
      </c>
      <c r="AF69" s="6">
        <v>9</v>
      </c>
      <c r="AG69" s="6">
        <v>10</v>
      </c>
      <c r="AH69" s="6">
        <v>7</v>
      </c>
      <c r="AI69" s="6">
        <v>9</v>
      </c>
      <c r="AJ69" s="6">
        <v>22</v>
      </c>
      <c r="AK69" s="6">
        <v>14</v>
      </c>
      <c r="AL69" s="6">
        <v>6</v>
      </c>
      <c r="AM69" s="6">
        <v>7</v>
      </c>
      <c r="AN69" s="6">
        <v>6</v>
      </c>
      <c r="AO69" s="6">
        <v>6</v>
      </c>
      <c r="AP69" s="6">
        <v>4</v>
      </c>
      <c r="AQ69" s="6">
        <v>4</v>
      </c>
      <c r="AR69" s="6">
        <v>12</v>
      </c>
      <c r="AS69" s="6">
        <v>6</v>
      </c>
      <c r="AT69" s="6">
        <v>10</v>
      </c>
      <c r="AU69" s="6">
        <v>4</v>
      </c>
      <c r="AV69" s="5">
        <f t="shared" ref="AV69:AV78" si="31">SUM(E69:AU69)</f>
        <v>467</v>
      </c>
    </row>
    <row r="70" spans="1:48" x14ac:dyDescent="0.4">
      <c r="A70" s="11" t="s">
        <v>50</v>
      </c>
      <c r="B70" s="47"/>
      <c r="C70" s="24" t="s">
        <v>128</v>
      </c>
      <c r="D70" s="45"/>
      <c r="E70" s="6">
        <v>11</v>
      </c>
      <c r="F70" s="6">
        <v>7</v>
      </c>
      <c r="G70" s="6">
        <v>4</v>
      </c>
      <c r="H70" s="6">
        <v>8</v>
      </c>
      <c r="I70" s="6">
        <v>9</v>
      </c>
      <c r="J70" s="6">
        <v>8</v>
      </c>
      <c r="K70" s="6">
        <v>3</v>
      </c>
      <c r="L70" s="6">
        <v>4</v>
      </c>
      <c r="M70" s="6">
        <v>5</v>
      </c>
      <c r="N70" s="6">
        <v>11</v>
      </c>
      <c r="O70" s="6">
        <v>5</v>
      </c>
      <c r="P70" s="6">
        <v>8</v>
      </c>
      <c r="Q70" s="6">
        <v>3</v>
      </c>
      <c r="R70" s="6">
        <v>4</v>
      </c>
      <c r="S70" s="6">
        <v>3</v>
      </c>
      <c r="T70" s="6">
        <v>1</v>
      </c>
      <c r="U70" s="6">
        <v>2</v>
      </c>
      <c r="V70" s="6">
        <v>9</v>
      </c>
      <c r="W70" s="6">
        <v>4</v>
      </c>
      <c r="X70" s="6">
        <v>5</v>
      </c>
      <c r="Y70" s="6">
        <v>2</v>
      </c>
      <c r="Z70" s="6">
        <v>3</v>
      </c>
      <c r="AA70" s="6">
        <v>3</v>
      </c>
      <c r="AB70" s="6">
        <v>1</v>
      </c>
      <c r="AC70" s="6">
        <v>9</v>
      </c>
      <c r="AD70" s="6">
        <v>2</v>
      </c>
      <c r="AE70" s="6">
        <v>5</v>
      </c>
      <c r="AF70" s="6">
        <v>2</v>
      </c>
      <c r="AG70" s="6">
        <v>3</v>
      </c>
      <c r="AH70" s="6">
        <v>4</v>
      </c>
      <c r="AI70" s="6">
        <v>6</v>
      </c>
      <c r="AJ70" s="6">
        <v>8</v>
      </c>
      <c r="AK70" s="6">
        <v>7</v>
      </c>
      <c r="AL70" s="6">
        <v>3</v>
      </c>
      <c r="AM70" s="6">
        <v>7</v>
      </c>
      <c r="AN70" s="6">
        <v>5</v>
      </c>
      <c r="AO70" s="6">
        <v>5</v>
      </c>
      <c r="AP70" s="6">
        <v>5</v>
      </c>
      <c r="AQ70" s="6">
        <v>9</v>
      </c>
      <c r="AR70" s="6">
        <v>5</v>
      </c>
      <c r="AS70" s="6">
        <v>6</v>
      </c>
      <c r="AT70" s="6">
        <v>2</v>
      </c>
      <c r="AU70" s="6">
        <v>8</v>
      </c>
      <c r="AV70" s="5">
        <f t="shared" si="31"/>
        <v>224</v>
      </c>
    </row>
    <row r="71" spans="1:48" x14ac:dyDescent="0.4">
      <c r="A71" s="7"/>
      <c r="B71" s="47"/>
      <c r="C71" s="24" t="s">
        <v>129</v>
      </c>
      <c r="D71" s="45"/>
      <c r="E71" s="6">
        <v>11</v>
      </c>
      <c r="F71" s="6">
        <v>10</v>
      </c>
      <c r="G71" s="6">
        <v>9</v>
      </c>
      <c r="H71" s="6">
        <v>7</v>
      </c>
      <c r="I71" s="6">
        <v>13</v>
      </c>
      <c r="J71" s="6">
        <v>7</v>
      </c>
      <c r="K71" s="6">
        <v>12</v>
      </c>
      <c r="L71" s="6">
        <v>10</v>
      </c>
      <c r="M71" s="6">
        <v>12</v>
      </c>
      <c r="N71" s="6">
        <v>17</v>
      </c>
      <c r="O71" s="6">
        <v>14</v>
      </c>
      <c r="P71" s="6">
        <v>14</v>
      </c>
      <c r="Q71" s="6">
        <v>14</v>
      </c>
      <c r="R71" s="6">
        <v>8</v>
      </c>
      <c r="S71" s="6">
        <v>6</v>
      </c>
      <c r="T71" s="6">
        <v>3</v>
      </c>
      <c r="U71" s="6">
        <v>5</v>
      </c>
      <c r="V71" s="6">
        <v>2</v>
      </c>
      <c r="W71" s="6">
        <v>8</v>
      </c>
      <c r="X71" s="6">
        <v>3</v>
      </c>
      <c r="Y71" s="6">
        <v>7</v>
      </c>
      <c r="Z71" s="6">
        <v>8</v>
      </c>
      <c r="AA71" s="6">
        <v>11</v>
      </c>
      <c r="AB71" s="6">
        <v>3</v>
      </c>
      <c r="AC71" s="6">
        <v>1</v>
      </c>
      <c r="AD71" s="6">
        <v>1</v>
      </c>
      <c r="AE71" s="6">
        <v>12</v>
      </c>
      <c r="AF71" s="6">
        <v>8</v>
      </c>
      <c r="AG71" s="6">
        <v>6</v>
      </c>
      <c r="AH71" s="6">
        <v>5</v>
      </c>
      <c r="AI71" s="6">
        <v>5</v>
      </c>
      <c r="AJ71" s="6">
        <v>7</v>
      </c>
      <c r="AK71" s="6">
        <v>2</v>
      </c>
      <c r="AL71" s="6">
        <v>6</v>
      </c>
      <c r="AM71" s="6">
        <v>12</v>
      </c>
      <c r="AN71" s="6">
        <v>9</v>
      </c>
      <c r="AO71" s="6">
        <v>9</v>
      </c>
      <c r="AP71" s="6">
        <v>10</v>
      </c>
      <c r="AQ71" s="6">
        <v>7</v>
      </c>
      <c r="AR71" s="6">
        <v>7</v>
      </c>
      <c r="AS71" s="6">
        <v>3</v>
      </c>
      <c r="AT71" s="6">
        <v>10</v>
      </c>
      <c r="AU71" s="6">
        <v>6</v>
      </c>
      <c r="AV71" s="5">
        <f t="shared" si="31"/>
        <v>340</v>
      </c>
    </row>
    <row r="72" spans="1:48" x14ac:dyDescent="0.4">
      <c r="A72" s="7"/>
      <c r="B72" s="47"/>
      <c r="C72" s="24" t="s">
        <v>130</v>
      </c>
      <c r="D72" s="45"/>
      <c r="E72" s="6">
        <v>8</v>
      </c>
      <c r="F72" s="6">
        <v>1</v>
      </c>
      <c r="G72" s="6">
        <v>4</v>
      </c>
      <c r="H72" s="6">
        <v>3</v>
      </c>
      <c r="I72" s="6">
        <v>4</v>
      </c>
      <c r="J72" s="6">
        <v>1</v>
      </c>
      <c r="K72" s="6">
        <v>2</v>
      </c>
      <c r="L72" s="6">
        <v>3</v>
      </c>
      <c r="M72" s="6">
        <v>3</v>
      </c>
      <c r="N72" s="6">
        <v>0</v>
      </c>
      <c r="O72" s="6">
        <v>1</v>
      </c>
      <c r="P72" s="6">
        <v>3</v>
      </c>
      <c r="Q72" s="6">
        <v>3</v>
      </c>
      <c r="R72" s="6">
        <v>3</v>
      </c>
      <c r="S72" s="6">
        <v>3</v>
      </c>
      <c r="T72" s="6">
        <v>2</v>
      </c>
      <c r="U72" s="6">
        <v>0</v>
      </c>
      <c r="V72" s="6">
        <v>2</v>
      </c>
      <c r="W72" s="6">
        <v>4</v>
      </c>
      <c r="X72" s="6">
        <v>1</v>
      </c>
      <c r="Y72" s="6">
        <v>3</v>
      </c>
      <c r="Z72" s="6">
        <v>3</v>
      </c>
      <c r="AA72" s="6">
        <v>3</v>
      </c>
      <c r="AB72" s="6">
        <v>3</v>
      </c>
      <c r="AC72" s="6">
        <v>2</v>
      </c>
      <c r="AD72" s="6">
        <v>3</v>
      </c>
      <c r="AE72" s="6">
        <v>1</v>
      </c>
      <c r="AF72" s="6">
        <v>1</v>
      </c>
      <c r="AG72" s="6">
        <v>2</v>
      </c>
      <c r="AH72" s="6">
        <v>1</v>
      </c>
      <c r="AI72" s="6">
        <v>2</v>
      </c>
      <c r="AJ72" s="6">
        <v>4</v>
      </c>
      <c r="AK72" s="6">
        <v>3</v>
      </c>
      <c r="AL72" s="6">
        <v>0</v>
      </c>
      <c r="AM72" s="6">
        <v>2</v>
      </c>
      <c r="AN72" s="6">
        <v>3</v>
      </c>
      <c r="AO72" s="6">
        <v>2</v>
      </c>
      <c r="AP72" s="6">
        <v>2</v>
      </c>
      <c r="AQ72" s="6">
        <v>4</v>
      </c>
      <c r="AR72" s="6">
        <v>1</v>
      </c>
      <c r="AS72" s="6">
        <v>4</v>
      </c>
      <c r="AT72" s="6">
        <v>2</v>
      </c>
      <c r="AU72" s="6">
        <v>0</v>
      </c>
      <c r="AV72" s="5">
        <f t="shared" si="31"/>
        <v>102</v>
      </c>
    </row>
    <row r="73" spans="1:48" x14ac:dyDescent="0.4">
      <c r="A73" s="7"/>
      <c r="B73" s="47"/>
      <c r="C73" s="24" t="s">
        <v>131</v>
      </c>
      <c r="D73" s="45"/>
      <c r="E73" s="6">
        <v>34</v>
      </c>
      <c r="F73" s="6">
        <v>11</v>
      </c>
      <c r="G73" s="6">
        <v>16</v>
      </c>
      <c r="H73" s="6">
        <v>24</v>
      </c>
      <c r="I73" s="6">
        <v>15</v>
      </c>
      <c r="J73" s="6">
        <v>3</v>
      </c>
      <c r="K73" s="6">
        <v>14</v>
      </c>
      <c r="L73" s="6">
        <v>10</v>
      </c>
      <c r="M73" s="6">
        <v>15</v>
      </c>
      <c r="N73" s="6">
        <v>30</v>
      </c>
      <c r="O73" s="6">
        <v>23</v>
      </c>
      <c r="P73" s="6">
        <v>9</v>
      </c>
      <c r="Q73" s="6">
        <v>20</v>
      </c>
      <c r="R73" s="6">
        <v>25</v>
      </c>
      <c r="S73" s="6">
        <v>4</v>
      </c>
      <c r="T73" s="6">
        <v>11</v>
      </c>
      <c r="U73" s="6">
        <v>14</v>
      </c>
      <c r="V73" s="6">
        <v>22</v>
      </c>
      <c r="W73" s="6">
        <v>9</v>
      </c>
      <c r="X73" s="6">
        <v>14</v>
      </c>
      <c r="Y73" s="6">
        <v>17</v>
      </c>
      <c r="Z73" s="6">
        <v>18</v>
      </c>
      <c r="AA73" s="6">
        <v>5</v>
      </c>
      <c r="AB73" s="6">
        <v>13</v>
      </c>
      <c r="AC73" s="6">
        <v>4</v>
      </c>
      <c r="AD73" s="6">
        <v>29</v>
      </c>
      <c r="AE73" s="6">
        <v>28</v>
      </c>
      <c r="AF73" s="6">
        <v>15</v>
      </c>
      <c r="AG73" s="6">
        <v>20</v>
      </c>
      <c r="AH73" s="6">
        <v>12</v>
      </c>
      <c r="AI73" s="6">
        <v>12</v>
      </c>
      <c r="AJ73" s="6">
        <v>22</v>
      </c>
      <c r="AK73" s="6">
        <v>23</v>
      </c>
      <c r="AL73" s="6">
        <v>3</v>
      </c>
      <c r="AM73" s="6">
        <v>9</v>
      </c>
      <c r="AN73" s="6">
        <v>3</v>
      </c>
      <c r="AO73" s="6">
        <v>5</v>
      </c>
      <c r="AP73" s="6">
        <v>10</v>
      </c>
      <c r="AQ73" s="6">
        <v>4</v>
      </c>
      <c r="AR73" s="6">
        <v>2</v>
      </c>
      <c r="AS73" s="6">
        <v>13</v>
      </c>
      <c r="AT73" s="6">
        <v>13</v>
      </c>
      <c r="AU73" s="6">
        <v>13</v>
      </c>
      <c r="AV73" s="5">
        <f t="shared" si="31"/>
        <v>616</v>
      </c>
    </row>
    <row r="74" spans="1:48" ht="13.15" customHeight="1" x14ac:dyDescent="0.4">
      <c r="A74" s="7"/>
      <c r="B74" s="47"/>
      <c r="C74" s="24" t="s">
        <v>132</v>
      </c>
      <c r="D74" s="45"/>
      <c r="E74" s="6">
        <v>3</v>
      </c>
      <c r="F74" s="6">
        <v>0</v>
      </c>
      <c r="G74" s="6">
        <v>2</v>
      </c>
      <c r="H74" s="6">
        <v>0</v>
      </c>
      <c r="I74" s="6">
        <v>0</v>
      </c>
      <c r="J74" s="6">
        <v>2</v>
      </c>
      <c r="K74" s="6">
        <v>2</v>
      </c>
      <c r="L74" s="6">
        <v>2</v>
      </c>
      <c r="M74" s="6">
        <v>3</v>
      </c>
      <c r="N74" s="6">
        <v>0</v>
      </c>
      <c r="O74" s="6">
        <v>1</v>
      </c>
      <c r="P74" s="6">
        <v>3</v>
      </c>
      <c r="Q74" s="6">
        <v>0</v>
      </c>
      <c r="R74" s="6">
        <v>1</v>
      </c>
      <c r="S74" s="6">
        <v>2</v>
      </c>
      <c r="T74" s="6">
        <v>1</v>
      </c>
      <c r="U74" s="6">
        <v>1</v>
      </c>
      <c r="V74" s="6">
        <v>1</v>
      </c>
      <c r="W74" s="6">
        <v>2</v>
      </c>
      <c r="X74" s="6">
        <v>2</v>
      </c>
      <c r="Y74" s="6">
        <v>0</v>
      </c>
      <c r="Z74" s="6">
        <v>2</v>
      </c>
      <c r="AA74" s="6">
        <v>3</v>
      </c>
      <c r="AB74" s="6">
        <v>4</v>
      </c>
      <c r="AC74" s="6">
        <v>5</v>
      </c>
      <c r="AD74" s="6">
        <v>0</v>
      </c>
      <c r="AE74" s="6">
        <v>1</v>
      </c>
      <c r="AF74" s="6">
        <v>1</v>
      </c>
      <c r="AG74" s="6">
        <v>0</v>
      </c>
      <c r="AH74" s="6">
        <v>1</v>
      </c>
      <c r="AI74" s="6">
        <v>1</v>
      </c>
      <c r="AJ74" s="6">
        <v>0</v>
      </c>
      <c r="AK74" s="6">
        <v>1</v>
      </c>
      <c r="AL74" s="6">
        <v>1</v>
      </c>
      <c r="AM74" s="6">
        <v>0</v>
      </c>
      <c r="AN74" s="6">
        <v>0</v>
      </c>
      <c r="AO74" s="6">
        <v>1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5">
        <f t="shared" si="31"/>
        <v>49</v>
      </c>
    </row>
    <row r="75" spans="1:48" x14ac:dyDescent="0.4">
      <c r="A75" s="7"/>
      <c r="B75" s="47"/>
      <c r="C75" s="24" t="s">
        <v>133</v>
      </c>
      <c r="D75" s="45"/>
      <c r="E75" s="6">
        <v>1</v>
      </c>
      <c r="F75" s="6">
        <v>2</v>
      </c>
      <c r="G75" s="6">
        <v>2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2</v>
      </c>
      <c r="N75" s="6">
        <v>1</v>
      </c>
      <c r="O75" s="6">
        <v>0</v>
      </c>
      <c r="P75" s="6">
        <v>1</v>
      </c>
      <c r="Q75" s="6">
        <v>1</v>
      </c>
      <c r="R75" s="6">
        <v>0</v>
      </c>
      <c r="S75" s="6">
        <v>2</v>
      </c>
      <c r="T75" s="6">
        <v>0</v>
      </c>
      <c r="U75" s="6">
        <v>1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1</v>
      </c>
      <c r="AE75" s="6">
        <v>0</v>
      </c>
      <c r="AF75" s="6">
        <v>1</v>
      </c>
      <c r="AG75" s="6">
        <v>2</v>
      </c>
      <c r="AH75" s="6">
        <v>0</v>
      </c>
      <c r="AI75" s="6">
        <v>1</v>
      </c>
      <c r="AJ75" s="6">
        <v>0</v>
      </c>
      <c r="AK75" s="6">
        <v>1</v>
      </c>
      <c r="AL75" s="6">
        <v>1</v>
      </c>
      <c r="AM75" s="6">
        <v>0</v>
      </c>
      <c r="AN75" s="6">
        <v>0</v>
      </c>
      <c r="AO75" s="6">
        <v>1</v>
      </c>
      <c r="AP75" s="6">
        <v>1</v>
      </c>
      <c r="AQ75" s="6">
        <v>1</v>
      </c>
      <c r="AR75" s="6">
        <v>2</v>
      </c>
      <c r="AS75" s="6">
        <v>2</v>
      </c>
      <c r="AT75" s="6">
        <v>2</v>
      </c>
      <c r="AU75" s="6">
        <v>3</v>
      </c>
      <c r="AV75" s="5">
        <f t="shared" si="31"/>
        <v>35</v>
      </c>
    </row>
    <row r="76" spans="1:48" x14ac:dyDescent="0.4">
      <c r="A76" s="7"/>
      <c r="B76" s="47"/>
      <c r="C76" s="24" t="s">
        <v>134</v>
      </c>
      <c r="D76" s="45"/>
      <c r="E76" s="6">
        <v>0</v>
      </c>
      <c r="F76" s="6">
        <v>1</v>
      </c>
      <c r="G76" s="6">
        <v>0</v>
      </c>
      <c r="H76" s="6">
        <v>0</v>
      </c>
      <c r="I76" s="6">
        <v>1</v>
      </c>
      <c r="J76" s="6">
        <v>0</v>
      </c>
      <c r="K76" s="6">
        <v>0</v>
      </c>
      <c r="L76" s="6">
        <v>2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1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5">
        <f t="shared" si="31"/>
        <v>6</v>
      </c>
    </row>
    <row r="77" spans="1:48" x14ac:dyDescent="0.4">
      <c r="A77" s="7"/>
      <c r="B77" s="47"/>
      <c r="C77" s="24" t="s">
        <v>135</v>
      </c>
      <c r="D77" s="45"/>
      <c r="E77" s="6">
        <v>2</v>
      </c>
      <c r="F77" s="6">
        <v>0</v>
      </c>
      <c r="G77" s="6">
        <v>0</v>
      </c>
      <c r="H77" s="6">
        <v>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2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1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2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1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5">
        <f t="shared" si="31"/>
        <v>10</v>
      </c>
    </row>
    <row r="78" spans="1:48" x14ac:dyDescent="0.4">
      <c r="A78" s="7"/>
      <c r="B78" s="47"/>
      <c r="C78" s="24" t="s">
        <v>136</v>
      </c>
      <c r="D78" s="45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6">
        <v>1</v>
      </c>
      <c r="M78" s="6">
        <v>2</v>
      </c>
      <c r="N78" s="6">
        <v>0</v>
      </c>
      <c r="O78" s="6">
        <v>0</v>
      </c>
      <c r="P78" s="6">
        <v>4</v>
      </c>
      <c r="Q78" s="6">
        <v>1</v>
      </c>
      <c r="R78" s="6">
        <v>1</v>
      </c>
      <c r="S78" s="6">
        <v>1</v>
      </c>
      <c r="T78" s="6">
        <v>0</v>
      </c>
      <c r="U78" s="6">
        <v>0</v>
      </c>
      <c r="V78" s="6">
        <v>1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1</v>
      </c>
      <c r="AI78" s="6">
        <v>1</v>
      </c>
      <c r="AJ78" s="6">
        <v>1</v>
      </c>
      <c r="AK78" s="6">
        <v>0</v>
      </c>
      <c r="AL78" s="6">
        <v>1</v>
      </c>
      <c r="AM78" s="6">
        <v>0</v>
      </c>
      <c r="AN78" s="6">
        <v>0</v>
      </c>
      <c r="AO78" s="6">
        <v>0</v>
      </c>
      <c r="AP78" s="6">
        <v>2</v>
      </c>
      <c r="AQ78" s="6">
        <v>0</v>
      </c>
      <c r="AR78" s="6">
        <v>0</v>
      </c>
      <c r="AS78" s="6">
        <v>0</v>
      </c>
      <c r="AT78" s="6">
        <v>0</v>
      </c>
      <c r="AU78" s="6">
        <v>2</v>
      </c>
      <c r="AV78" s="5">
        <f t="shared" si="31"/>
        <v>21</v>
      </c>
    </row>
    <row r="79" spans="1:48" x14ac:dyDescent="0.4">
      <c r="A79" s="6" t="s">
        <v>26</v>
      </c>
      <c r="B79" s="74" t="s">
        <v>51</v>
      </c>
      <c r="C79" s="54"/>
      <c r="D79" s="55"/>
      <c r="E79" s="6">
        <f t="shared" ref="E79:AV79" si="32">SUM(E69:E78)</f>
        <v>120</v>
      </c>
      <c r="F79" s="6">
        <f t="shared" si="32"/>
        <v>40</v>
      </c>
      <c r="G79" s="6">
        <f t="shared" si="32"/>
        <v>50</v>
      </c>
      <c r="H79" s="6">
        <f t="shared" si="32"/>
        <v>66</v>
      </c>
      <c r="I79" s="6">
        <f t="shared" si="32"/>
        <v>56</v>
      </c>
      <c r="J79" s="6">
        <f t="shared" si="32"/>
        <v>28</v>
      </c>
      <c r="K79" s="6">
        <f t="shared" si="32"/>
        <v>47</v>
      </c>
      <c r="L79" s="6">
        <f t="shared" si="32"/>
        <v>62</v>
      </c>
      <c r="M79" s="6">
        <f t="shared" si="32"/>
        <v>54</v>
      </c>
      <c r="N79" s="6">
        <f t="shared" si="32"/>
        <v>72</v>
      </c>
      <c r="O79" s="6">
        <f t="shared" si="32"/>
        <v>56</v>
      </c>
      <c r="P79" s="6">
        <f t="shared" si="32"/>
        <v>49</v>
      </c>
      <c r="Q79" s="6">
        <f t="shared" si="32"/>
        <v>56</v>
      </c>
      <c r="R79" s="6">
        <f t="shared" si="32"/>
        <v>51</v>
      </c>
      <c r="S79" s="6">
        <f t="shared" si="32"/>
        <v>32</v>
      </c>
      <c r="T79" s="6">
        <f t="shared" ref="T79:AG79" si="33">SUM(T69:T78)</f>
        <v>30</v>
      </c>
      <c r="U79" s="6">
        <f t="shared" si="33"/>
        <v>35</v>
      </c>
      <c r="V79" s="6">
        <f t="shared" si="33"/>
        <v>47</v>
      </c>
      <c r="W79" s="6">
        <f t="shared" si="33"/>
        <v>35</v>
      </c>
      <c r="X79" s="6">
        <f t="shared" si="33"/>
        <v>35</v>
      </c>
      <c r="Y79" s="6">
        <f t="shared" si="33"/>
        <v>36</v>
      </c>
      <c r="Z79" s="6">
        <f t="shared" si="33"/>
        <v>41</v>
      </c>
      <c r="AA79" s="6">
        <f t="shared" si="33"/>
        <v>29</v>
      </c>
      <c r="AB79" s="6">
        <f t="shared" si="33"/>
        <v>33</v>
      </c>
      <c r="AC79" s="6">
        <f t="shared" si="33"/>
        <v>25</v>
      </c>
      <c r="AD79" s="6">
        <f t="shared" si="33"/>
        <v>45</v>
      </c>
      <c r="AE79" s="6">
        <f t="shared" si="33"/>
        <v>59</v>
      </c>
      <c r="AF79" s="6">
        <f t="shared" si="33"/>
        <v>37</v>
      </c>
      <c r="AG79" s="6">
        <f t="shared" si="33"/>
        <v>43</v>
      </c>
      <c r="AH79" s="6">
        <f t="shared" si="32"/>
        <v>33</v>
      </c>
      <c r="AI79" s="6">
        <f t="shared" si="32"/>
        <v>37</v>
      </c>
      <c r="AJ79" s="6">
        <f t="shared" si="32"/>
        <v>65</v>
      </c>
      <c r="AK79" s="6">
        <f t="shared" si="32"/>
        <v>51</v>
      </c>
      <c r="AL79" s="6">
        <f t="shared" si="32"/>
        <v>21</v>
      </c>
      <c r="AM79" s="6">
        <f t="shared" si="32"/>
        <v>37</v>
      </c>
      <c r="AN79" s="6">
        <f t="shared" si="32"/>
        <v>27</v>
      </c>
      <c r="AO79" s="6">
        <f t="shared" si="32"/>
        <v>29</v>
      </c>
      <c r="AP79" s="6">
        <f t="shared" si="32"/>
        <v>34</v>
      </c>
      <c r="AQ79" s="6">
        <f t="shared" si="32"/>
        <v>29</v>
      </c>
      <c r="AR79" s="6">
        <f t="shared" si="32"/>
        <v>29</v>
      </c>
      <c r="AS79" s="6">
        <f t="shared" si="32"/>
        <v>34</v>
      </c>
      <c r="AT79" s="6">
        <f t="shared" si="32"/>
        <v>39</v>
      </c>
      <c r="AU79" s="6">
        <f t="shared" si="32"/>
        <v>36</v>
      </c>
      <c r="AV79" s="6">
        <f t="shared" si="32"/>
        <v>1870</v>
      </c>
    </row>
    <row r="80" spans="1:48" x14ac:dyDescent="0.4">
      <c r="A80" s="81"/>
      <c r="B80" s="80"/>
      <c r="C80" s="80"/>
      <c r="D80" s="80"/>
      <c r="E80" s="80"/>
    </row>
    <row r="81" spans="1:48" x14ac:dyDescent="0.4">
      <c r="A81" s="11" t="s">
        <v>48</v>
      </c>
      <c r="B81" s="17" t="s">
        <v>34</v>
      </c>
      <c r="C81" s="83" t="s">
        <v>54</v>
      </c>
      <c r="D81" s="55"/>
      <c r="E81" s="6">
        <v>1</v>
      </c>
      <c r="F81" s="6">
        <v>2</v>
      </c>
      <c r="G81" s="6">
        <v>4</v>
      </c>
      <c r="H81" s="6">
        <v>2</v>
      </c>
      <c r="I81" s="6">
        <v>6</v>
      </c>
      <c r="J81" s="6">
        <v>2</v>
      </c>
      <c r="K81" s="6">
        <v>1</v>
      </c>
      <c r="L81" s="6">
        <v>3</v>
      </c>
      <c r="M81" s="6">
        <v>1</v>
      </c>
      <c r="N81" s="6">
        <v>3</v>
      </c>
      <c r="O81" s="6">
        <v>3</v>
      </c>
      <c r="P81" s="6">
        <v>5</v>
      </c>
      <c r="Q81" s="6">
        <v>4</v>
      </c>
      <c r="R81" s="6">
        <v>6</v>
      </c>
      <c r="S81" s="6">
        <v>5</v>
      </c>
      <c r="T81" s="6">
        <v>4</v>
      </c>
      <c r="U81" s="6">
        <v>4</v>
      </c>
      <c r="V81" s="6">
        <v>5</v>
      </c>
      <c r="W81" s="6">
        <v>3</v>
      </c>
      <c r="X81" s="6">
        <v>8</v>
      </c>
      <c r="Y81" s="6">
        <v>5</v>
      </c>
      <c r="Z81" s="6">
        <v>4</v>
      </c>
      <c r="AA81" s="6">
        <v>5</v>
      </c>
      <c r="AB81" s="6">
        <v>12</v>
      </c>
      <c r="AC81" s="6">
        <v>3</v>
      </c>
      <c r="AD81" s="6">
        <v>2</v>
      </c>
      <c r="AE81" s="6">
        <v>4</v>
      </c>
      <c r="AF81" s="6">
        <v>7</v>
      </c>
      <c r="AG81" s="6">
        <v>8</v>
      </c>
      <c r="AH81" s="6">
        <v>5</v>
      </c>
      <c r="AI81" s="6">
        <v>5</v>
      </c>
      <c r="AJ81" s="6">
        <v>7</v>
      </c>
      <c r="AK81" s="6">
        <v>9</v>
      </c>
      <c r="AL81" s="6">
        <v>10</v>
      </c>
      <c r="AM81" s="6">
        <v>13</v>
      </c>
      <c r="AN81" s="6">
        <v>11</v>
      </c>
      <c r="AO81" s="6">
        <v>6</v>
      </c>
      <c r="AP81" s="6">
        <v>6</v>
      </c>
      <c r="AQ81" s="6">
        <v>20</v>
      </c>
      <c r="AR81" s="6">
        <v>17</v>
      </c>
      <c r="AS81" s="6">
        <v>11</v>
      </c>
      <c r="AT81" s="6">
        <v>17</v>
      </c>
      <c r="AU81" s="6">
        <v>14</v>
      </c>
      <c r="AV81" s="5">
        <f t="shared" ref="AV81:AV90" si="34">SUM(E81:AU81)</f>
        <v>273</v>
      </c>
    </row>
    <row r="82" spans="1:48" x14ac:dyDescent="0.4">
      <c r="A82" s="11" t="s">
        <v>50</v>
      </c>
      <c r="B82" s="47"/>
      <c r="C82" s="24" t="s">
        <v>137</v>
      </c>
      <c r="D82" s="45"/>
      <c r="E82" s="6">
        <v>1</v>
      </c>
      <c r="F82" s="6">
        <v>1</v>
      </c>
      <c r="G82" s="6">
        <v>1</v>
      </c>
      <c r="H82" s="6">
        <v>2</v>
      </c>
      <c r="I82" s="6">
        <v>5</v>
      </c>
      <c r="J82" s="6">
        <v>0</v>
      </c>
      <c r="K82" s="6">
        <v>2</v>
      </c>
      <c r="L82" s="6">
        <v>2</v>
      </c>
      <c r="M82" s="6">
        <v>1</v>
      </c>
      <c r="N82" s="6">
        <v>1</v>
      </c>
      <c r="O82" s="6">
        <v>0</v>
      </c>
      <c r="P82" s="6">
        <v>1</v>
      </c>
      <c r="Q82" s="6">
        <v>1</v>
      </c>
      <c r="R82" s="6">
        <v>2</v>
      </c>
      <c r="S82" s="6">
        <v>1</v>
      </c>
      <c r="T82" s="6">
        <v>0</v>
      </c>
      <c r="U82" s="6">
        <v>2</v>
      </c>
      <c r="V82" s="6">
        <v>0</v>
      </c>
      <c r="W82" s="6">
        <v>8</v>
      </c>
      <c r="X82" s="6">
        <v>11</v>
      </c>
      <c r="Y82" s="6">
        <v>4</v>
      </c>
      <c r="Z82" s="6">
        <v>3</v>
      </c>
      <c r="AA82" s="6">
        <v>6</v>
      </c>
      <c r="AB82" s="6">
        <v>16</v>
      </c>
      <c r="AC82" s="6">
        <v>6</v>
      </c>
      <c r="AD82" s="6">
        <v>9</v>
      </c>
      <c r="AE82" s="6">
        <v>1</v>
      </c>
      <c r="AF82" s="6">
        <v>6</v>
      </c>
      <c r="AG82" s="6">
        <v>6</v>
      </c>
      <c r="AH82" s="6">
        <v>4</v>
      </c>
      <c r="AI82" s="6">
        <v>3</v>
      </c>
      <c r="AJ82" s="6">
        <v>6</v>
      </c>
      <c r="AK82" s="6">
        <v>4</v>
      </c>
      <c r="AL82" s="6">
        <v>6</v>
      </c>
      <c r="AM82" s="6">
        <v>5</v>
      </c>
      <c r="AN82" s="6">
        <v>8</v>
      </c>
      <c r="AO82" s="6">
        <v>1</v>
      </c>
      <c r="AP82" s="6">
        <v>9</v>
      </c>
      <c r="AQ82" s="6">
        <v>7</v>
      </c>
      <c r="AR82" s="6">
        <v>4</v>
      </c>
      <c r="AS82" s="6">
        <v>6</v>
      </c>
      <c r="AT82" s="6">
        <v>2</v>
      </c>
      <c r="AU82" s="6">
        <v>3</v>
      </c>
      <c r="AV82" s="5">
        <f t="shared" si="34"/>
        <v>167</v>
      </c>
    </row>
    <row r="83" spans="1:48" x14ac:dyDescent="0.4">
      <c r="A83" s="7"/>
      <c r="B83" s="47"/>
      <c r="C83" s="24" t="s">
        <v>138</v>
      </c>
      <c r="D83" s="45"/>
      <c r="E83" s="6">
        <v>2</v>
      </c>
      <c r="F83" s="6">
        <v>2</v>
      </c>
      <c r="G83" s="6">
        <v>1</v>
      </c>
      <c r="H83" s="6">
        <v>2</v>
      </c>
      <c r="I83" s="6">
        <v>1</v>
      </c>
      <c r="J83" s="6">
        <v>2</v>
      </c>
      <c r="K83" s="6">
        <v>4</v>
      </c>
      <c r="L83" s="6">
        <v>1</v>
      </c>
      <c r="M83" s="6">
        <v>4</v>
      </c>
      <c r="N83" s="6">
        <v>2</v>
      </c>
      <c r="O83" s="6">
        <v>0</v>
      </c>
      <c r="P83" s="6">
        <v>0</v>
      </c>
      <c r="Q83" s="6">
        <v>1</v>
      </c>
      <c r="R83" s="6">
        <v>1</v>
      </c>
      <c r="S83" s="6">
        <v>1</v>
      </c>
      <c r="T83" s="6">
        <v>1</v>
      </c>
      <c r="U83" s="6">
        <v>2</v>
      </c>
      <c r="V83" s="6">
        <v>2</v>
      </c>
      <c r="W83" s="6">
        <v>4</v>
      </c>
      <c r="X83" s="6">
        <v>4</v>
      </c>
      <c r="Y83" s="6">
        <v>2</v>
      </c>
      <c r="Z83" s="6">
        <v>2</v>
      </c>
      <c r="AA83" s="6">
        <v>4</v>
      </c>
      <c r="AB83" s="6">
        <v>8</v>
      </c>
      <c r="AC83" s="6">
        <v>4</v>
      </c>
      <c r="AD83" s="6">
        <v>0</v>
      </c>
      <c r="AE83" s="6">
        <v>1</v>
      </c>
      <c r="AF83" s="6">
        <v>0</v>
      </c>
      <c r="AG83" s="6">
        <v>2</v>
      </c>
      <c r="AH83" s="6">
        <v>5</v>
      </c>
      <c r="AI83" s="6">
        <v>1</v>
      </c>
      <c r="AJ83" s="6">
        <v>6</v>
      </c>
      <c r="AK83" s="6">
        <v>8</v>
      </c>
      <c r="AL83" s="6">
        <v>1</v>
      </c>
      <c r="AM83" s="6">
        <v>6</v>
      </c>
      <c r="AN83" s="6">
        <v>9</v>
      </c>
      <c r="AO83" s="6">
        <v>2</v>
      </c>
      <c r="AP83" s="6">
        <v>1</v>
      </c>
      <c r="AQ83" s="6">
        <v>9</v>
      </c>
      <c r="AR83" s="6">
        <v>4</v>
      </c>
      <c r="AS83" s="6">
        <v>7</v>
      </c>
      <c r="AT83" s="6">
        <v>9</v>
      </c>
      <c r="AU83" s="6">
        <v>6</v>
      </c>
      <c r="AV83" s="5">
        <f t="shared" si="34"/>
        <v>134</v>
      </c>
    </row>
    <row r="84" spans="1:48" x14ac:dyDescent="0.4">
      <c r="A84" s="7"/>
      <c r="B84" s="47"/>
      <c r="C84" s="24" t="s">
        <v>139</v>
      </c>
      <c r="D84" s="45"/>
      <c r="E84" s="6">
        <v>0</v>
      </c>
      <c r="F84" s="6">
        <v>1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1</v>
      </c>
      <c r="Q84" s="6">
        <v>0</v>
      </c>
      <c r="R84" s="6">
        <v>0</v>
      </c>
      <c r="S84" s="6">
        <v>3</v>
      </c>
      <c r="T84" s="6">
        <v>0</v>
      </c>
      <c r="U84" s="6">
        <v>0</v>
      </c>
      <c r="V84" s="6">
        <v>0</v>
      </c>
      <c r="W84" s="6">
        <v>3</v>
      </c>
      <c r="X84" s="6">
        <v>0</v>
      </c>
      <c r="Y84" s="6">
        <v>2</v>
      </c>
      <c r="Z84" s="6">
        <v>0</v>
      </c>
      <c r="AA84" s="6">
        <v>1</v>
      </c>
      <c r="AB84" s="6">
        <v>1</v>
      </c>
      <c r="AC84" s="6">
        <v>1</v>
      </c>
      <c r="AD84" s="6">
        <v>1</v>
      </c>
      <c r="AE84" s="6">
        <v>0</v>
      </c>
      <c r="AF84" s="6">
        <v>3</v>
      </c>
      <c r="AG84" s="6">
        <v>1</v>
      </c>
      <c r="AH84" s="6">
        <v>0</v>
      </c>
      <c r="AI84" s="6">
        <v>0</v>
      </c>
      <c r="AJ84" s="6">
        <v>1</v>
      </c>
      <c r="AK84" s="6">
        <v>4</v>
      </c>
      <c r="AL84" s="6">
        <v>0</v>
      </c>
      <c r="AM84" s="6">
        <v>0</v>
      </c>
      <c r="AN84" s="6">
        <v>2</v>
      </c>
      <c r="AO84" s="6">
        <v>3</v>
      </c>
      <c r="AP84" s="6">
        <v>2</v>
      </c>
      <c r="AQ84" s="6">
        <v>4</v>
      </c>
      <c r="AR84" s="6">
        <v>2</v>
      </c>
      <c r="AS84" s="6">
        <v>0</v>
      </c>
      <c r="AT84" s="6">
        <v>3</v>
      </c>
      <c r="AU84" s="6">
        <v>1</v>
      </c>
      <c r="AV84" s="5">
        <f t="shared" si="34"/>
        <v>42</v>
      </c>
    </row>
    <row r="85" spans="1:48" ht="13.15" customHeight="1" x14ac:dyDescent="0.4">
      <c r="A85" s="7"/>
      <c r="B85" s="47"/>
      <c r="C85" s="24" t="s">
        <v>140</v>
      </c>
      <c r="D85" s="45"/>
      <c r="E85" s="6">
        <v>0</v>
      </c>
      <c r="F85" s="6">
        <v>1</v>
      </c>
      <c r="G85" s="6">
        <v>1</v>
      </c>
      <c r="H85" s="6">
        <v>0</v>
      </c>
      <c r="I85" s="6">
        <v>2</v>
      </c>
      <c r="J85" s="6">
        <v>1</v>
      </c>
      <c r="K85" s="6">
        <v>1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1</v>
      </c>
      <c r="R85" s="6">
        <v>1</v>
      </c>
      <c r="S85" s="6">
        <v>3</v>
      </c>
      <c r="T85" s="6">
        <v>0</v>
      </c>
      <c r="U85" s="6">
        <v>2</v>
      </c>
      <c r="V85" s="6">
        <v>0</v>
      </c>
      <c r="W85" s="6">
        <v>4</v>
      </c>
      <c r="X85" s="6">
        <v>4</v>
      </c>
      <c r="Y85" s="6">
        <v>3</v>
      </c>
      <c r="Z85" s="6">
        <v>0</v>
      </c>
      <c r="AA85" s="6">
        <v>3</v>
      </c>
      <c r="AB85" s="6">
        <v>3</v>
      </c>
      <c r="AC85" s="6">
        <v>3</v>
      </c>
      <c r="AD85" s="6">
        <v>3</v>
      </c>
      <c r="AE85" s="6">
        <v>1</v>
      </c>
      <c r="AF85" s="6">
        <v>0</v>
      </c>
      <c r="AG85" s="6">
        <v>0</v>
      </c>
      <c r="AH85" s="6">
        <v>3</v>
      </c>
      <c r="AI85" s="6">
        <v>1</v>
      </c>
      <c r="AJ85" s="6">
        <v>2</v>
      </c>
      <c r="AK85" s="6">
        <v>3</v>
      </c>
      <c r="AL85" s="6">
        <v>3</v>
      </c>
      <c r="AM85" s="6">
        <v>4</v>
      </c>
      <c r="AN85" s="6">
        <v>3</v>
      </c>
      <c r="AO85" s="6">
        <v>1</v>
      </c>
      <c r="AP85" s="6">
        <v>4</v>
      </c>
      <c r="AQ85" s="6">
        <v>4</v>
      </c>
      <c r="AR85" s="6">
        <v>10</v>
      </c>
      <c r="AS85" s="6">
        <v>3</v>
      </c>
      <c r="AT85" s="6">
        <v>3</v>
      </c>
      <c r="AU85" s="6">
        <v>2</v>
      </c>
      <c r="AV85" s="5">
        <f t="shared" si="34"/>
        <v>84</v>
      </c>
    </row>
    <row r="86" spans="1:48" x14ac:dyDescent="0.4">
      <c r="A86" s="7"/>
      <c r="B86" s="47"/>
      <c r="C86" s="24" t="s">
        <v>141</v>
      </c>
      <c r="D86" s="45"/>
      <c r="E86" s="6">
        <v>0</v>
      </c>
      <c r="F86" s="6">
        <v>0</v>
      </c>
      <c r="G86" s="6">
        <v>0</v>
      </c>
      <c r="H86" s="6">
        <v>1</v>
      </c>
      <c r="I86" s="6">
        <v>2</v>
      </c>
      <c r="J86" s="6">
        <v>0</v>
      </c>
      <c r="K86" s="6">
        <v>1</v>
      </c>
      <c r="L86" s="6">
        <v>2</v>
      </c>
      <c r="M86" s="6">
        <v>0</v>
      </c>
      <c r="N86" s="6">
        <v>0</v>
      </c>
      <c r="O86" s="6">
        <v>0</v>
      </c>
      <c r="P86" s="6">
        <v>0</v>
      </c>
      <c r="Q86" s="6">
        <v>3</v>
      </c>
      <c r="R86" s="6">
        <v>0</v>
      </c>
      <c r="S86" s="6">
        <v>0</v>
      </c>
      <c r="T86" s="6">
        <v>0</v>
      </c>
      <c r="U86" s="6">
        <v>1</v>
      </c>
      <c r="V86" s="6">
        <v>4</v>
      </c>
      <c r="W86" s="6">
        <v>0</v>
      </c>
      <c r="X86" s="6">
        <v>2</v>
      </c>
      <c r="Y86" s="6">
        <v>2</v>
      </c>
      <c r="Z86" s="6">
        <v>1</v>
      </c>
      <c r="AA86" s="6">
        <v>0</v>
      </c>
      <c r="AB86" s="6">
        <v>4</v>
      </c>
      <c r="AC86" s="6">
        <v>3</v>
      </c>
      <c r="AD86" s="6">
        <v>1</v>
      </c>
      <c r="AE86" s="6">
        <v>4</v>
      </c>
      <c r="AF86" s="6">
        <v>1</v>
      </c>
      <c r="AG86" s="6">
        <v>1</v>
      </c>
      <c r="AH86" s="6">
        <v>15</v>
      </c>
      <c r="AI86" s="6">
        <v>0</v>
      </c>
      <c r="AJ86" s="6">
        <v>0</v>
      </c>
      <c r="AK86" s="6">
        <v>0</v>
      </c>
      <c r="AL86" s="6">
        <v>2</v>
      </c>
      <c r="AM86" s="6">
        <v>1</v>
      </c>
      <c r="AN86" s="6">
        <v>3</v>
      </c>
      <c r="AO86" s="6">
        <v>4</v>
      </c>
      <c r="AP86" s="6">
        <v>1</v>
      </c>
      <c r="AQ86" s="6">
        <v>1</v>
      </c>
      <c r="AR86" s="6">
        <v>1</v>
      </c>
      <c r="AS86" s="6">
        <v>0</v>
      </c>
      <c r="AT86" s="6">
        <v>0</v>
      </c>
      <c r="AU86" s="6">
        <v>4</v>
      </c>
      <c r="AV86" s="5">
        <f t="shared" si="34"/>
        <v>65</v>
      </c>
    </row>
    <row r="87" spans="1:48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1</v>
      </c>
      <c r="O87" s="6">
        <v>1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1</v>
      </c>
      <c r="AB87" s="6">
        <v>1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1</v>
      </c>
      <c r="AL87" s="6">
        <v>1</v>
      </c>
      <c r="AM87" s="6">
        <v>0</v>
      </c>
      <c r="AN87" s="6">
        <v>1</v>
      </c>
      <c r="AO87" s="6">
        <v>2</v>
      </c>
      <c r="AP87" s="6">
        <v>2</v>
      </c>
      <c r="AQ87" s="6">
        <v>1</v>
      </c>
      <c r="AR87" s="6">
        <v>0</v>
      </c>
      <c r="AS87" s="6">
        <v>0</v>
      </c>
      <c r="AT87" s="6">
        <v>0</v>
      </c>
      <c r="AU87" s="6">
        <v>0</v>
      </c>
      <c r="AV87" s="5">
        <f t="shared" si="34"/>
        <v>16</v>
      </c>
    </row>
    <row r="88" spans="1:48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6">
        <v>1</v>
      </c>
      <c r="AO88" s="6">
        <v>0</v>
      </c>
      <c r="AP88" s="6">
        <v>0</v>
      </c>
      <c r="AQ88" s="6">
        <v>0</v>
      </c>
      <c r="AR88" s="6">
        <v>1</v>
      </c>
      <c r="AS88" s="6">
        <v>2</v>
      </c>
      <c r="AT88" s="6">
        <v>0</v>
      </c>
      <c r="AU88" s="6">
        <v>0</v>
      </c>
      <c r="AV88" s="5">
        <f t="shared" si="34"/>
        <v>9</v>
      </c>
    </row>
    <row r="89" spans="1:48" x14ac:dyDescent="0.4">
      <c r="A89" s="7"/>
      <c r="B89" s="47"/>
      <c r="C89" s="24" t="s">
        <v>144</v>
      </c>
      <c r="D89" s="45"/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1</v>
      </c>
      <c r="AD89" s="6">
        <v>0</v>
      </c>
      <c r="AE89" s="6">
        <v>0</v>
      </c>
      <c r="AF89" s="6">
        <v>0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1</v>
      </c>
      <c r="AP89" s="6">
        <v>3</v>
      </c>
      <c r="AQ89" s="6">
        <v>1</v>
      </c>
      <c r="AR89" s="6">
        <v>1</v>
      </c>
      <c r="AS89" s="6">
        <v>0</v>
      </c>
      <c r="AT89" s="6">
        <v>1</v>
      </c>
      <c r="AU89" s="6">
        <v>0</v>
      </c>
      <c r="AV89" s="5">
        <f t="shared" si="34"/>
        <v>10</v>
      </c>
    </row>
    <row r="90" spans="1:48" x14ac:dyDescent="0.4">
      <c r="A90" s="7"/>
      <c r="B90" s="47"/>
      <c r="C90" s="24" t="s">
        <v>145</v>
      </c>
      <c r="D90" s="45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1</v>
      </c>
      <c r="W90" s="6">
        <v>3</v>
      </c>
      <c r="X90" s="6">
        <v>2</v>
      </c>
      <c r="Y90" s="6">
        <v>1</v>
      </c>
      <c r="Z90" s="6">
        <v>0</v>
      </c>
      <c r="AA90" s="6">
        <v>0</v>
      </c>
      <c r="AB90" s="6">
        <v>1</v>
      </c>
      <c r="AC90" s="6">
        <v>3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6">
        <v>1</v>
      </c>
      <c r="AO90" s="6">
        <v>1</v>
      </c>
      <c r="AP90" s="6">
        <v>0</v>
      </c>
      <c r="AQ90" s="6">
        <v>1</v>
      </c>
      <c r="AR90" s="6">
        <v>0</v>
      </c>
      <c r="AS90" s="6">
        <v>1</v>
      </c>
      <c r="AT90" s="6">
        <v>0</v>
      </c>
      <c r="AU90" s="6">
        <v>0</v>
      </c>
      <c r="AV90" s="5">
        <f t="shared" si="34"/>
        <v>19</v>
      </c>
    </row>
    <row r="91" spans="1:48" x14ac:dyDescent="0.4">
      <c r="A91" s="6" t="s">
        <v>26</v>
      </c>
      <c r="B91" s="74" t="s">
        <v>51</v>
      </c>
      <c r="C91" s="54"/>
      <c r="D91" s="55"/>
      <c r="E91" s="6">
        <f t="shared" ref="E91:AV91" si="35">SUM(E81:E90)</f>
        <v>5</v>
      </c>
      <c r="F91" s="6">
        <f t="shared" si="35"/>
        <v>7</v>
      </c>
      <c r="G91" s="6">
        <f t="shared" si="35"/>
        <v>7</v>
      </c>
      <c r="H91" s="6">
        <f t="shared" si="35"/>
        <v>7</v>
      </c>
      <c r="I91" s="6">
        <f t="shared" si="35"/>
        <v>18</v>
      </c>
      <c r="J91" s="6">
        <f t="shared" si="35"/>
        <v>5</v>
      </c>
      <c r="K91" s="6">
        <f t="shared" si="35"/>
        <v>11</v>
      </c>
      <c r="L91" s="6">
        <f t="shared" si="35"/>
        <v>8</v>
      </c>
      <c r="M91" s="6">
        <f t="shared" si="35"/>
        <v>7</v>
      </c>
      <c r="N91" s="6">
        <f t="shared" si="35"/>
        <v>7</v>
      </c>
      <c r="O91" s="6">
        <f t="shared" si="35"/>
        <v>5</v>
      </c>
      <c r="P91" s="6">
        <f t="shared" si="35"/>
        <v>7</v>
      </c>
      <c r="Q91" s="6">
        <f t="shared" si="35"/>
        <v>12</v>
      </c>
      <c r="R91" s="6">
        <f t="shared" si="35"/>
        <v>10</v>
      </c>
      <c r="S91" s="6">
        <f t="shared" si="35"/>
        <v>13</v>
      </c>
      <c r="T91" s="6">
        <f t="shared" ref="T91:AG91" si="36">SUM(T81:T90)</f>
        <v>5</v>
      </c>
      <c r="U91" s="6">
        <f t="shared" si="36"/>
        <v>12</v>
      </c>
      <c r="V91" s="6">
        <f t="shared" si="36"/>
        <v>13</v>
      </c>
      <c r="W91" s="6">
        <f t="shared" si="36"/>
        <v>25</v>
      </c>
      <c r="X91" s="6">
        <f t="shared" si="36"/>
        <v>31</v>
      </c>
      <c r="Y91" s="6">
        <f t="shared" si="36"/>
        <v>19</v>
      </c>
      <c r="Z91" s="6">
        <f t="shared" si="36"/>
        <v>11</v>
      </c>
      <c r="AA91" s="6">
        <f t="shared" si="36"/>
        <v>21</v>
      </c>
      <c r="AB91" s="6">
        <f t="shared" si="36"/>
        <v>46</v>
      </c>
      <c r="AC91" s="6">
        <f t="shared" si="36"/>
        <v>24</v>
      </c>
      <c r="AD91" s="6">
        <f t="shared" si="36"/>
        <v>16</v>
      </c>
      <c r="AE91" s="6">
        <f t="shared" si="36"/>
        <v>11</v>
      </c>
      <c r="AF91" s="6">
        <f t="shared" si="36"/>
        <v>17</v>
      </c>
      <c r="AG91" s="6">
        <f t="shared" si="36"/>
        <v>20</v>
      </c>
      <c r="AH91" s="6">
        <f t="shared" si="35"/>
        <v>33</v>
      </c>
      <c r="AI91" s="6">
        <f t="shared" si="35"/>
        <v>10</v>
      </c>
      <c r="AJ91" s="6">
        <f t="shared" si="35"/>
        <v>22</v>
      </c>
      <c r="AK91" s="6">
        <f t="shared" si="35"/>
        <v>30</v>
      </c>
      <c r="AL91" s="6">
        <f t="shared" si="35"/>
        <v>24</v>
      </c>
      <c r="AM91" s="6">
        <f t="shared" si="35"/>
        <v>29</v>
      </c>
      <c r="AN91" s="6">
        <f t="shared" si="35"/>
        <v>39</v>
      </c>
      <c r="AO91" s="6">
        <f t="shared" si="35"/>
        <v>21</v>
      </c>
      <c r="AP91" s="6">
        <f t="shared" si="35"/>
        <v>28</v>
      </c>
      <c r="AQ91" s="6">
        <f t="shared" si="35"/>
        <v>48</v>
      </c>
      <c r="AR91" s="6">
        <f t="shared" si="35"/>
        <v>40</v>
      </c>
      <c r="AS91" s="6">
        <f t="shared" si="35"/>
        <v>30</v>
      </c>
      <c r="AT91" s="6">
        <f t="shared" si="35"/>
        <v>35</v>
      </c>
      <c r="AU91" s="6">
        <f t="shared" si="35"/>
        <v>30</v>
      </c>
      <c r="AV91" s="6">
        <f t="shared" si="35"/>
        <v>819</v>
      </c>
    </row>
    <row r="92" spans="1:48" x14ac:dyDescent="0.4">
      <c r="A92" s="81"/>
      <c r="B92" s="80"/>
      <c r="C92" s="80"/>
      <c r="D92" s="80"/>
      <c r="E92" s="80"/>
    </row>
    <row r="93" spans="1:48" x14ac:dyDescent="0.4">
      <c r="A93" s="11" t="s">
        <v>48</v>
      </c>
      <c r="B93" s="17" t="s">
        <v>55</v>
      </c>
      <c r="C93" s="83" t="s">
        <v>56</v>
      </c>
      <c r="D93" s="55"/>
      <c r="E93" s="6">
        <v>0</v>
      </c>
      <c r="F93" s="6">
        <v>1</v>
      </c>
      <c r="G93" s="6">
        <v>3</v>
      </c>
      <c r="H93" s="6">
        <v>0</v>
      </c>
      <c r="I93" s="6">
        <v>0</v>
      </c>
      <c r="J93" s="6">
        <v>3</v>
      </c>
      <c r="K93" s="6">
        <v>0</v>
      </c>
      <c r="L93" s="6">
        <v>0</v>
      </c>
      <c r="M93" s="6">
        <v>1</v>
      </c>
      <c r="N93" s="6">
        <v>1</v>
      </c>
      <c r="O93" s="6">
        <v>4</v>
      </c>
      <c r="P93" s="6">
        <v>2</v>
      </c>
      <c r="Q93" s="6">
        <v>0</v>
      </c>
      <c r="R93" s="6">
        <v>1</v>
      </c>
      <c r="S93" s="6">
        <v>3</v>
      </c>
      <c r="T93" s="6">
        <v>3</v>
      </c>
      <c r="U93" s="6">
        <v>2</v>
      </c>
      <c r="V93" s="6">
        <v>2</v>
      </c>
      <c r="W93" s="6">
        <v>2</v>
      </c>
      <c r="X93" s="6">
        <v>0</v>
      </c>
      <c r="Y93" s="6">
        <v>1</v>
      </c>
      <c r="Z93" s="6">
        <v>1</v>
      </c>
      <c r="AA93" s="6">
        <v>0</v>
      </c>
      <c r="AB93" s="6">
        <v>0</v>
      </c>
      <c r="AC93" s="6">
        <v>1</v>
      </c>
      <c r="AD93" s="6">
        <v>0</v>
      </c>
      <c r="AE93" s="6">
        <v>2</v>
      </c>
      <c r="AF93" s="6">
        <v>0</v>
      </c>
      <c r="AG93" s="6">
        <v>0</v>
      </c>
      <c r="AH93" s="6">
        <v>1</v>
      </c>
      <c r="AI93" s="6">
        <v>2</v>
      </c>
      <c r="AJ93" s="6">
        <v>0</v>
      </c>
      <c r="AK93" s="6">
        <v>1</v>
      </c>
      <c r="AL93" s="6">
        <v>0</v>
      </c>
      <c r="AM93" s="6">
        <v>4</v>
      </c>
      <c r="AN93" s="6">
        <v>3</v>
      </c>
      <c r="AO93" s="6">
        <v>4</v>
      </c>
      <c r="AP93" s="6">
        <v>1</v>
      </c>
      <c r="AQ93" s="6">
        <v>1</v>
      </c>
      <c r="AR93" s="6">
        <v>0</v>
      </c>
      <c r="AS93" s="6">
        <v>11</v>
      </c>
      <c r="AT93" s="6">
        <v>2</v>
      </c>
      <c r="AU93" s="6">
        <v>1</v>
      </c>
      <c r="AV93" s="5">
        <f t="shared" ref="AV93:AV102" si="37">SUM(E93:AU93)</f>
        <v>64</v>
      </c>
    </row>
    <row r="94" spans="1:48" x14ac:dyDescent="0.4">
      <c r="A94" s="11" t="s">
        <v>50</v>
      </c>
      <c r="B94" s="47"/>
      <c r="C94" s="24" t="s">
        <v>146</v>
      </c>
      <c r="D94" s="45"/>
      <c r="E94" s="6">
        <v>0</v>
      </c>
      <c r="F94" s="6">
        <v>0</v>
      </c>
      <c r="G94" s="6">
        <v>0</v>
      </c>
      <c r="H94" s="6">
        <v>4</v>
      </c>
      <c r="I94" s="6">
        <v>1</v>
      </c>
      <c r="J94" s="6">
        <v>1</v>
      </c>
      <c r="K94" s="6">
        <v>0</v>
      </c>
      <c r="L94" s="6">
        <v>5</v>
      </c>
      <c r="M94" s="6">
        <v>1</v>
      </c>
      <c r="N94" s="6">
        <v>1</v>
      </c>
      <c r="O94" s="6">
        <v>0</v>
      </c>
      <c r="P94" s="6">
        <v>4</v>
      </c>
      <c r="Q94" s="6">
        <v>4</v>
      </c>
      <c r="R94" s="6">
        <v>1</v>
      </c>
      <c r="S94" s="6">
        <v>1</v>
      </c>
      <c r="T94" s="6">
        <v>0</v>
      </c>
      <c r="U94" s="6">
        <v>3</v>
      </c>
      <c r="V94" s="6">
        <v>0</v>
      </c>
      <c r="W94" s="6">
        <v>3</v>
      </c>
      <c r="X94" s="6">
        <v>1</v>
      </c>
      <c r="Y94" s="6">
        <v>0</v>
      </c>
      <c r="Z94" s="6">
        <v>4</v>
      </c>
      <c r="AA94" s="6">
        <v>2</v>
      </c>
      <c r="AB94" s="6">
        <v>0</v>
      </c>
      <c r="AC94" s="6">
        <v>3</v>
      </c>
      <c r="AD94" s="6">
        <v>0</v>
      </c>
      <c r="AE94" s="6">
        <v>2</v>
      </c>
      <c r="AF94" s="6">
        <v>0</v>
      </c>
      <c r="AG94" s="6">
        <v>0</v>
      </c>
      <c r="AH94" s="6">
        <v>0</v>
      </c>
      <c r="AI94" s="6">
        <v>4</v>
      </c>
      <c r="AJ94" s="6">
        <v>1</v>
      </c>
      <c r="AK94" s="6">
        <v>0</v>
      </c>
      <c r="AL94" s="6">
        <v>4</v>
      </c>
      <c r="AM94" s="6">
        <v>1</v>
      </c>
      <c r="AN94" s="6">
        <v>1</v>
      </c>
      <c r="AO94" s="6">
        <v>3</v>
      </c>
      <c r="AP94" s="6">
        <v>3</v>
      </c>
      <c r="AQ94" s="6">
        <v>1</v>
      </c>
      <c r="AR94" s="6">
        <v>3</v>
      </c>
      <c r="AS94" s="6">
        <v>0</v>
      </c>
      <c r="AT94" s="6">
        <v>0</v>
      </c>
      <c r="AU94" s="6">
        <v>2</v>
      </c>
      <c r="AV94" s="5">
        <f t="shared" si="37"/>
        <v>64</v>
      </c>
    </row>
    <row r="95" spans="1:48" x14ac:dyDescent="0.4">
      <c r="A95" s="7"/>
      <c r="B95" s="47"/>
      <c r="C95" s="24" t="s">
        <v>147</v>
      </c>
      <c r="D95" s="45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1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0</v>
      </c>
      <c r="R95" s="6">
        <v>1</v>
      </c>
      <c r="S95" s="6">
        <v>1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1</v>
      </c>
      <c r="AM95" s="6">
        <v>0</v>
      </c>
      <c r="AN95" s="6">
        <v>1</v>
      </c>
      <c r="AO95" s="6">
        <v>1</v>
      </c>
      <c r="AP95" s="6">
        <v>0</v>
      </c>
      <c r="AQ95" s="6">
        <v>0</v>
      </c>
      <c r="AR95" s="6">
        <v>0</v>
      </c>
      <c r="AS95" s="6">
        <v>0</v>
      </c>
      <c r="AT95" s="6">
        <v>1</v>
      </c>
      <c r="AU95" s="6">
        <v>0</v>
      </c>
      <c r="AV95" s="5">
        <f t="shared" si="37"/>
        <v>11</v>
      </c>
    </row>
    <row r="96" spans="1:48" ht="13.15" customHeight="1" x14ac:dyDescent="0.4">
      <c r="A96" s="7"/>
      <c r="B96" s="47"/>
      <c r="C96" s="24" t="s">
        <v>148</v>
      </c>
      <c r="D96" s="45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2</v>
      </c>
      <c r="Z96" s="6">
        <v>1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1</v>
      </c>
      <c r="AM96" s="6">
        <v>0</v>
      </c>
      <c r="AN96" s="6">
        <v>1</v>
      </c>
      <c r="AO96" s="6">
        <v>0</v>
      </c>
      <c r="AP96" s="6">
        <v>1</v>
      </c>
      <c r="AQ96" s="6">
        <v>0</v>
      </c>
      <c r="AR96" s="6">
        <v>1</v>
      </c>
      <c r="AS96" s="6">
        <v>0</v>
      </c>
      <c r="AT96" s="6">
        <v>0</v>
      </c>
      <c r="AU96" s="6">
        <v>0</v>
      </c>
      <c r="AV96" s="5">
        <f t="shared" si="37"/>
        <v>9</v>
      </c>
    </row>
    <row r="97" spans="1:48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2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6">
        <v>1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1</v>
      </c>
      <c r="AK97" s="6">
        <v>1</v>
      </c>
      <c r="AL97" s="6">
        <v>0</v>
      </c>
      <c r="AM97" s="6">
        <v>1</v>
      </c>
      <c r="AN97" s="6">
        <v>1</v>
      </c>
      <c r="AO97" s="6">
        <v>1</v>
      </c>
      <c r="AP97" s="6">
        <v>0</v>
      </c>
      <c r="AQ97" s="6">
        <v>0</v>
      </c>
      <c r="AR97" s="6">
        <v>0</v>
      </c>
      <c r="AS97" s="6">
        <v>1</v>
      </c>
      <c r="AT97" s="6">
        <v>0</v>
      </c>
      <c r="AU97" s="6">
        <v>0</v>
      </c>
      <c r="AV97" s="5">
        <f t="shared" si="37"/>
        <v>12</v>
      </c>
    </row>
    <row r="98" spans="1:48" x14ac:dyDescent="0.4">
      <c r="A98" s="7"/>
      <c r="B98" s="47"/>
      <c r="C98" s="24" t="s">
        <v>150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1</v>
      </c>
      <c r="AA98" s="6">
        <v>0</v>
      </c>
      <c r="AB98" s="6">
        <v>0</v>
      </c>
      <c r="AC98" s="6">
        <v>0</v>
      </c>
      <c r="AD98" s="6">
        <v>2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6">
        <v>1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5">
        <f t="shared" si="37"/>
        <v>6</v>
      </c>
    </row>
    <row r="99" spans="1:48" x14ac:dyDescent="0.4">
      <c r="A99" s="7"/>
      <c r="B99" s="47"/>
      <c r="C99" s="24" t="s">
        <v>151</v>
      </c>
      <c r="D99" s="45"/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3</v>
      </c>
      <c r="Y99" s="6">
        <v>0</v>
      </c>
      <c r="Z99" s="6">
        <v>0</v>
      </c>
      <c r="AA99" s="6">
        <v>0</v>
      </c>
      <c r="AB99" s="6">
        <v>0</v>
      </c>
      <c r="AC99" s="6">
        <v>1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0</v>
      </c>
      <c r="AJ99" s="6">
        <v>1</v>
      </c>
      <c r="AK99" s="6">
        <v>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5">
        <f t="shared" si="37"/>
        <v>11</v>
      </c>
    </row>
    <row r="100" spans="1:48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5">
        <f t="shared" si="37"/>
        <v>0</v>
      </c>
    </row>
    <row r="101" spans="1:48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1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2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5">
        <f t="shared" si="37"/>
        <v>5</v>
      </c>
    </row>
    <row r="102" spans="1:48" x14ac:dyDescent="0.4">
      <c r="A102" s="7"/>
      <c r="B102" s="47"/>
      <c r="C102" s="24" t="s">
        <v>154</v>
      </c>
      <c r="D102" s="45"/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1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1</v>
      </c>
      <c r="AU102" s="6">
        <v>0</v>
      </c>
      <c r="AV102" s="5">
        <f t="shared" si="37"/>
        <v>3</v>
      </c>
    </row>
    <row r="103" spans="1:48" x14ac:dyDescent="0.4">
      <c r="A103" s="6" t="s">
        <v>26</v>
      </c>
      <c r="B103" s="74" t="s">
        <v>51</v>
      </c>
      <c r="C103" s="54"/>
      <c r="D103" s="55"/>
      <c r="E103" s="6">
        <f t="shared" ref="E103:AV103" si="38">SUM(E93:E102)</f>
        <v>1</v>
      </c>
      <c r="F103" s="6">
        <f t="shared" si="38"/>
        <v>1</v>
      </c>
      <c r="G103" s="6">
        <f t="shared" si="38"/>
        <v>3</v>
      </c>
      <c r="H103" s="6">
        <f t="shared" si="38"/>
        <v>5</v>
      </c>
      <c r="I103" s="6">
        <f t="shared" si="38"/>
        <v>2</v>
      </c>
      <c r="J103" s="6">
        <f t="shared" si="38"/>
        <v>6</v>
      </c>
      <c r="K103" s="6">
        <f t="shared" si="38"/>
        <v>4</v>
      </c>
      <c r="L103" s="6">
        <f t="shared" si="38"/>
        <v>5</v>
      </c>
      <c r="M103" s="6">
        <f t="shared" si="38"/>
        <v>2</v>
      </c>
      <c r="N103" s="6">
        <f t="shared" si="38"/>
        <v>3</v>
      </c>
      <c r="O103" s="6">
        <f t="shared" si="38"/>
        <v>4</v>
      </c>
      <c r="P103" s="6">
        <f t="shared" si="38"/>
        <v>8</v>
      </c>
      <c r="Q103" s="6">
        <f t="shared" si="38"/>
        <v>5</v>
      </c>
      <c r="R103" s="6">
        <f t="shared" si="38"/>
        <v>3</v>
      </c>
      <c r="S103" s="6">
        <f t="shared" si="38"/>
        <v>7</v>
      </c>
      <c r="T103" s="6">
        <f t="shared" ref="T103:AG103" si="39">SUM(T93:T102)</f>
        <v>5</v>
      </c>
      <c r="U103" s="6">
        <f t="shared" si="39"/>
        <v>5</v>
      </c>
      <c r="V103" s="6">
        <f t="shared" si="39"/>
        <v>2</v>
      </c>
      <c r="W103" s="6">
        <f t="shared" si="39"/>
        <v>5</v>
      </c>
      <c r="X103" s="6">
        <f t="shared" si="39"/>
        <v>5</v>
      </c>
      <c r="Y103" s="6">
        <f t="shared" si="39"/>
        <v>3</v>
      </c>
      <c r="Z103" s="6">
        <f t="shared" si="39"/>
        <v>7</v>
      </c>
      <c r="AA103" s="6">
        <f t="shared" si="39"/>
        <v>3</v>
      </c>
      <c r="AB103" s="6">
        <f t="shared" si="39"/>
        <v>0</v>
      </c>
      <c r="AC103" s="6">
        <f t="shared" si="39"/>
        <v>5</v>
      </c>
      <c r="AD103" s="6">
        <f t="shared" si="39"/>
        <v>2</v>
      </c>
      <c r="AE103" s="6">
        <f t="shared" si="39"/>
        <v>4</v>
      </c>
      <c r="AF103" s="6">
        <f t="shared" si="39"/>
        <v>1</v>
      </c>
      <c r="AG103" s="6">
        <f t="shared" si="39"/>
        <v>0</v>
      </c>
      <c r="AH103" s="6">
        <f t="shared" si="38"/>
        <v>1</v>
      </c>
      <c r="AI103" s="6">
        <f t="shared" si="38"/>
        <v>6</v>
      </c>
      <c r="AJ103" s="6">
        <f t="shared" si="38"/>
        <v>4</v>
      </c>
      <c r="AK103" s="6">
        <f t="shared" si="38"/>
        <v>6</v>
      </c>
      <c r="AL103" s="6">
        <f t="shared" si="38"/>
        <v>7</v>
      </c>
      <c r="AM103" s="6">
        <f t="shared" si="38"/>
        <v>7</v>
      </c>
      <c r="AN103" s="6">
        <f t="shared" si="38"/>
        <v>7</v>
      </c>
      <c r="AO103" s="6">
        <f t="shared" si="38"/>
        <v>11</v>
      </c>
      <c r="AP103" s="6">
        <f t="shared" si="38"/>
        <v>5</v>
      </c>
      <c r="AQ103" s="6">
        <f t="shared" si="38"/>
        <v>2</v>
      </c>
      <c r="AR103" s="6">
        <f t="shared" si="38"/>
        <v>4</v>
      </c>
      <c r="AS103" s="6">
        <f t="shared" si="38"/>
        <v>12</v>
      </c>
      <c r="AT103" s="6">
        <f t="shared" si="38"/>
        <v>4</v>
      </c>
      <c r="AU103" s="6">
        <f t="shared" si="38"/>
        <v>3</v>
      </c>
      <c r="AV103" s="6">
        <f t="shared" si="38"/>
        <v>185</v>
      </c>
    </row>
    <row r="104" spans="1:48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x14ac:dyDescent="0.4">
      <c r="A105" s="11" t="s">
        <v>48</v>
      </c>
      <c r="B105" s="17" t="s">
        <v>57</v>
      </c>
      <c r="C105" s="83" t="s">
        <v>58</v>
      </c>
      <c r="D105" s="55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</v>
      </c>
      <c r="K105" s="6">
        <v>1</v>
      </c>
      <c r="L105" s="6">
        <v>0</v>
      </c>
      <c r="M105" s="6">
        <v>3</v>
      </c>
      <c r="N105" s="6">
        <v>0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  <c r="U105" s="6">
        <v>2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1</v>
      </c>
      <c r="AB105" s="6">
        <v>0</v>
      </c>
      <c r="AC105" s="6">
        <v>0</v>
      </c>
      <c r="AD105" s="6">
        <v>0</v>
      </c>
      <c r="AE105" s="6">
        <v>0</v>
      </c>
      <c r="AF105" s="6">
        <v>1</v>
      </c>
      <c r="AG105" s="6">
        <v>0</v>
      </c>
      <c r="AH105" s="6">
        <v>0</v>
      </c>
      <c r="AI105" s="6">
        <v>1</v>
      </c>
      <c r="AJ105" s="6">
        <v>0</v>
      </c>
      <c r="AK105" s="6">
        <v>2</v>
      </c>
      <c r="AL105" s="6">
        <v>0</v>
      </c>
      <c r="AM105" s="6">
        <v>1</v>
      </c>
      <c r="AN105" s="6">
        <v>4</v>
      </c>
      <c r="AO105" s="6">
        <v>2</v>
      </c>
      <c r="AP105" s="6">
        <v>0</v>
      </c>
      <c r="AQ105" s="6">
        <v>1</v>
      </c>
      <c r="AR105" s="6">
        <v>2</v>
      </c>
      <c r="AS105" s="6">
        <v>0</v>
      </c>
      <c r="AT105" s="6">
        <v>0</v>
      </c>
      <c r="AU105" s="6">
        <v>0</v>
      </c>
      <c r="AV105" s="5">
        <f>SUM(E105:AU105)</f>
        <v>24</v>
      </c>
    </row>
    <row r="106" spans="1:48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2</v>
      </c>
      <c r="N106" s="6">
        <v>0</v>
      </c>
      <c r="O106" s="6">
        <v>1</v>
      </c>
      <c r="P106" s="6">
        <v>2</v>
      </c>
      <c r="Q106" s="6">
        <v>0</v>
      </c>
      <c r="R106" s="6">
        <v>1</v>
      </c>
      <c r="S106" s="6">
        <v>2</v>
      </c>
      <c r="T106" s="6">
        <v>0</v>
      </c>
      <c r="U106" s="6">
        <v>0</v>
      </c>
      <c r="V106" s="6">
        <v>0</v>
      </c>
      <c r="W106" s="6">
        <v>0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1</v>
      </c>
      <c r="AQ106" s="6">
        <v>1</v>
      </c>
      <c r="AR106" s="6">
        <v>0</v>
      </c>
      <c r="AS106" s="6">
        <v>0</v>
      </c>
      <c r="AT106" s="6">
        <v>1</v>
      </c>
      <c r="AU106" s="6">
        <v>0</v>
      </c>
      <c r="AV106" s="5">
        <f>SUM(E106:AU106)</f>
        <v>13</v>
      </c>
    </row>
    <row r="107" spans="1:48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1</v>
      </c>
      <c r="L107" s="6">
        <v>0</v>
      </c>
      <c r="M107" s="6">
        <v>0</v>
      </c>
      <c r="N107" s="6">
        <v>0</v>
      </c>
      <c r="O107" s="6">
        <v>3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1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1</v>
      </c>
      <c r="AG107" s="6">
        <v>2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1</v>
      </c>
      <c r="AR107" s="6">
        <v>0</v>
      </c>
      <c r="AS107" s="6">
        <v>2</v>
      </c>
      <c r="AT107" s="6">
        <v>0</v>
      </c>
      <c r="AU107" s="6">
        <v>0</v>
      </c>
      <c r="AV107" s="5">
        <f>SUM(E107:AU107)</f>
        <v>13</v>
      </c>
    </row>
    <row r="108" spans="1:48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AV108" si="40">SUM(E105:E107)</f>
        <v>0</v>
      </c>
      <c r="F108" s="6">
        <f t="shared" si="40"/>
        <v>0</v>
      </c>
      <c r="G108" s="6">
        <f t="shared" si="40"/>
        <v>0</v>
      </c>
      <c r="H108" s="6">
        <f t="shared" si="40"/>
        <v>0</v>
      </c>
      <c r="I108" s="6">
        <f t="shared" si="40"/>
        <v>0</v>
      </c>
      <c r="J108" s="6">
        <f t="shared" si="40"/>
        <v>3</v>
      </c>
      <c r="K108" s="6">
        <f t="shared" si="40"/>
        <v>2</v>
      </c>
      <c r="L108" s="6">
        <f t="shared" si="40"/>
        <v>0</v>
      </c>
      <c r="M108" s="6">
        <f t="shared" si="40"/>
        <v>5</v>
      </c>
      <c r="N108" s="6">
        <f t="shared" si="40"/>
        <v>0</v>
      </c>
      <c r="O108" s="6">
        <f t="shared" si="40"/>
        <v>4</v>
      </c>
      <c r="P108" s="6">
        <f t="shared" si="40"/>
        <v>2</v>
      </c>
      <c r="Q108" s="6">
        <f t="shared" si="40"/>
        <v>0</v>
      </c>
      <c r="R108" s="6">
        <f t="shared" si="40"/>
        <v>2</v>
      </c>
      <c r="S108" s="6">
        <f t="shared" si="40"/>
        <v>2</v>
      </c>
      <c r="T108" s="6">
        <f t="shared" si="40"/>
        <v>0</v>
      </c>
      <c r="U108" s="6">
        <f t="shared" si="40"/>
        <v>2</v>
      </c>
      <c r="V108" s="6">
        <f t="shared" si="40"/>
        <v>0</v>
      </c>
      <c r="W108" s="6">
        <f t="shared" si="40"/>
        <v>0</v>
      </c>
      <c r="X108" s="6">
        <f t="shared" si="40"/>
        <v>1</v>
      </c>
      <c r="Y108" s="6">
        <f t="shared" si="40"/>
        <v>1</v>
      </c>
      <c r="Z108" s="6">
        <f t="shared" si="40"/>
        <v>0</v>
      </c>
      <c r="AA108" s="6">
        <f t="shared" si="40"/>
        <v>1</v>
      </c>
      <c r="AB108" s="6">
        <f t="shared" si="40"/>
        <v>0</v>
      </c>
      <c r="AC108" s="6">
        <f t="shared" si="40"/>
        <v>0</v>
      </c>
      <c r="AD108" s="6">
        <f t="shared" si="40"/>
        <v>1</v>
      </c>
      <c r="AE108" s="6">
        <f t="shared" si="40"/>
        <v>0</v>
      </c>
      <c r="AF108" s="6">
        <f t="shared" si="40"/>
        <v>2</v>
      </c>
      <c r="AG108" s="6">
        <f t="shared" si="40"/>
        <v>2</v>
      </c>
      <c r="AH108" s="6">
        <f t="shared" si="40"/>
        <v>0</v>
      </c>
      <c r="AI108" s="6">
        <f t="shared" si="40"/>
        <v>1</v>
      </c>
      <c r="AJ108" s="6">
        <f t="shared" si="40"/>
        <v>0</v>
      </c>
      <c r="AK108" s="6">
        <f t="shared" si="40"/>
        <v>3</v>
      </c>
      <c r="AL108" s="6">
        <f t="shared" si="40"/>
        <v>0</v>
      </c>
      <c r="AM108" s="6">
        <f t="shared" si="40"/>
        <v>1</v>
      </c>
      <c r="AN108" s="6">
        <f t="shared" si="40"/>
        <v>4</v>
      </c>
      <c r="AO108" s="6">
        <f t="shared" si="40"/>
        <v>2</v>
      </c>
      <c r="AP108" s="6">
        <f t="shared" si="40"/>
        <v>1</v>
      </c>
      <c r="AQ108" s="6">
        <f t="shared" si="40"/>
        <v>3</v>
      </c>
      <c r="AR108" s="6">
        <f t="shared" si="40"/>
        <v>2</v>
      </c>
      <c r="AS108" s="6">
        <f t="shared" si="40"/>
        <v>2</v>
      </c>
      <c r="AT108" s="6">
        <f t="shared" si="40"/>
        <v>1</v>
      </c>
      <c r="AU108" s="6">
        <f t="shared" si="40"/>
        <v>0</v>
      </c>
      <c r="AV108" s="6">
        <f t="shared" si="40"/>
        <v>50</v>
      </c>
    </row>
    <row r="109" spans="1:48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5"/>
    </row>
    <row r="110" spans="1:48" x14ac:dyDescent="0.4">
      <c r="A110" s="11" t="s">
        <v>48</v>
      </c>
      <c r="B110" s="17" t="s">
        <v>59</v>
      </c>
      <c r="C110" s="83" t="s">
        <v>60</v>
      </c>
      <c r="D110" s="55"/>
      <c r="E110" s="6">
        <v>2</v>
      </c>
      <c r="F110" s="6">
        <v>0</v>
      </c>
      <c r="G110" s="6">
        <v>0</v>
      </c>
      <c r="H110" s="6">
        <v>0</v>
      </c>
      <c r="I110" s="6">
        <v>0</v>
      </c>
      <c r="J110" s="6">
        <v>1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1</v>
      </c>
      <c r="AA110" s="6">
        <v>1</v>
      </c>
      <c r="AB110" s="6">
        <v>0</v>
      </c>
      <c r="AC110" s="6">
        <v>0</v>
      </c>
      <c r="AD110" s="6">
        <v>0</v>
      </c>
      <c r="AE110" s="6">
        <v>1</v>
      </c>
      <c r="AF110" s="6">
        <v>1</v>
      </c>
      <c r="AG110" s="6">
        <v>2</v>
      </c>
      <c r="AH110" s="6">
        <v>0</v>
      </c>
      <c r="AI110" s="6">
        <v>0</v>
      </c>
      <c r="AJ110" s="6">
        <v>0</v>
      </c>
      <c r="AK110" s="6">
        <v>1</v>
      </c>
      <c r="AL110" s="6">
        <v>0</v>
      </c>
      <c r="AM110" s="6">
        <v>0</v>
      </c>
      <c r="AN110" s="6">
        <v>0</v>
      </c>
      <c r="AO110" s="6">
        <v>3</v>
      </c>
      <c r="AP110" s="6">
        <v>0</v>
      </c>
      <c r="AQ110" s="6">
        <v>1</v>
      </c>
      <c r="AR110" s="6">
        <v>0</v>
      </c>
      <c r="AS110" s="6">
        <v>0</v>
      </c>
      <c r="AT110" s="6">
        <v>0</v>
      </c>
      <c r="AU110" s="6">
        <v>0</v>
      </c>
      <c r="AV110" s="5">
        <f t="shared" ref="AV110:AV115" si="41">SUM(E110:AU110)</f>
        <v>16</v>
      </c>
    </row>
    <row r="111" spans="1:48" x14ac:dyDescent="0.4">
      <c r="A111" s="11" t="s">
        <v>50</v>
      </c>
      <c r="B111" s="47"/>
      <c r="C111" s="24" t="s">
        <v>157</v>
      </c>
      <c r="D111" s="45"/>
      <c r="E111" s="6">
        <v>1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1</v>
      </c>
      <c r="T111" s="6">
        <v>0</v>
      </c>
      <c r="U111" s="6">
        <v>0</v>
      </c>
      <c r="V111" s="6">
        <v>0</v>
      </c>
      <c r="W111" s="6">
        <v>0</v>
      </c>
      <c r="X111" s="6">
        <v>1</v>
      </c>
      <c r="Y111" s="6">
        <v>0</v>
      </c>
      <c r="Z111" s="6">
        <v>0</v>
      </c>
      <c r="AA111" s="6">
        <v>0</v>
      </c>
      <c r="AB111" s="6">
        <v>0</v>
      </c>
      <c r="AC111" s="6">
        <v>1</v>
      </c>
      <c r="AD111" s="6">
        <v>0</v>
      </c>
      <c r="AE111" s="6">
        <v>0</v>
      </c>
      <c r="AF111" s="6">
        <v>0</v>
      </c>
      <c r="AG111" s="6">
        <v>1</v>
      </c>
      <c r="AH111" s="6">
        <v>0</v>
      </c>
      <c r="AI111" s="6">
        <v>2</v>
      </c>
      <c r="AJ111" s="6">
        <v>0</v>
      </c>
      <c r="AK111" s="6">
        <v>0</v>
      </c>
      <c r="AL111" s="6">
        <v>0</v>
      </c>
      <c r="AM111" s="6">
        <v>1</v>
      </c>
      <c r="AN111" s="6">
        <v>1</v>
      </c>
      <c r="AO111" s="6">
        <v>1</v>
      </c>
      <c r="AP111" s="6">
        <v>1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5">
        <f t="shared" si="41"/>
        <v>14</v>
      </c>
    </row>
    <row r="112" spans="1:48" x14ac:dyDescent="0.4">
      <c r="A112" s="7"/>
      <c r="B112" s="47"/>
      <c r="C112" s="24" t="s">
        <v>158</v>
      </c>
      <c r="D112" s="45"/>
      <c r="E112" s="6">
        <v>0</v>
      </c>
      <c r="F112" s="6">
        <v>0</v>
      </c>
      <c r="G112" s="6">
        <v>0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3</v>
      </c>
      <c r="AI112" s="6">
        <v>1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5">
        <f t="shared" si="41"/>
        <v>6</v>
      </c>
    </row>
    <row r="113" spans="1:48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1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1</v>
      </c>
      <c r="AE113" s="6">
        <v>0</v>
      </c>
      <c r="AF113" s="6">
        <v>0</v>
      </c>
      <c r="AG113" s="6">
        <v>0</v>
      </c>
      <c r="AH113" s="6">
        <v>0</v>
      </c>
      <c r="AI113" s="6">
        <v>1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5">
        <f t="shared" si="41"/>
        <v>4</v>
      </c>
    </row>
    <row r="114" spans="1:48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5">
        <f t="shared" si="41"/>
        <v>0</v>
      </c>
    </row>
    <row r="115" spans="1:48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1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1</v>
      </c>
      <c r="Y115" s="6">
        <v>0</v>
      </c>
      <c r="Z115" s="6">
        <v>1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1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5">
        <f t="shared" si="41"/>
        <v>5</v>
      </c>
    </row>
    <row r="116" spans="1:48" x14ac:dyDescent="0.4">
      <c r="A116" s="6" t="s">
        <v>26</v>
      </c>
      <c r="B116" s="74" t="s">
        <v>51</v>
      </c>
      <c r="C116" s="84"/>
      <c r="D116" s="85"/>
      <c r="E116" s="6">
        <f t="shared" ref="E116:AV116" si="42">SUM(E110:E115)</f>
        <v>3</v>
      </c>
      <c r="F116" s="6">
        <f t="shared" si="42"/>
        <v>0</v>
      </c>
      <c r="G116" s="6">
        <f t="shared" si="42"/>
        <v>1</v>
      </c>
      <c r="H116" s="6">
        <f t="shared" si="42"/>
        <v>2</v>
      </c>
      <c r="I116" s="6">
        <f t="shared" si="42"/>
        <v>0</v>
      </c>
      <c r="J116" s="6">
        <f t="shared" si="42"/>
        <v>1</v>
      </c>
      <c r="K116" s="6">
        <f t="shared" si="42"/>
        <v>2</v>
      </c>
      <c r="L116" s="6">
        <f t="shared" si="42"/>
        <v>0</v>
      </c>
      <c r="M116" s="6">
        <f t="shared" si="42"/>
        <v>0</v>
      </c>
      <c r="N116" s="6">
        <f t="shared" si="42"/>
        <v>2</v>
      </c>
      <c r="O116" s="6">
        <f t="shared" si="42"/>
        <v>0</v>
      </c>
      <c r="P116" s="6">
        <f t="shared" si="42"/>
        <v>0</v>
      </c>
      <c r="Q116" s="6">
        <f t="shared" si="42"/>
        <v>2</v>
      </c>
      <c r="R116" s="6">
        <f t="shared" si="42"/>
        <v>0</v>
      </c>
      <c r="S116" s="6">
        <f t="shared" si="42"/>
        <v>2</v>
      </c>
      <c r="T116" s="6">
        <f t="shared" si="42"/>
        <v>0</v>
      </c>
      <c r="U116" s="6">
        <f t="shared" si="42"/>
        <v>1</v>
      </c>
      <c r="V116" s="6">
        <f t="shared" si="42"/>
        <v>0</v>
      </c>
      <c r="W116" s="6">
        <f t="shared" si="42"/>
        <v>0</v>
      </c>
      <c r="X116" s="6">
        <f t="shared" si="42"/>
        <v>2</v>
      </c>
      <c r="Y116" s="6">
        <f t="shared" si="42"/>
        <v>0</v>
      </c>
      <c r="Z116" s="6">
        <f t="shared" si="42"/>
        <v>2</v>
      </c>
      <c r="AA116" s="6">
        <f t="shared" si="42"/>
        <v>1</v>
      </c>
      <c r="AB116" s="6">
        <f t="shared" si="42"/>
        <v>0</v>
      </c>
      <c r="AC116" s="6">
        <f t="shared" si="42"/>
        <v>1</v>
      </c>
      <c r="AD116" s="6">
        <f t="shared" si="42"/>
        <v>1</v>
      </c>
      <c r="AE116" s="6">
        <f t="shared" si="42"/>
        <v>1</v>
      </c>
      <c r="AF116" s="6">
        <f t="shared" si="42"/>
        <v>1</v>
      </c>
      <c r="AG116" s="6">
        <f t="shared" si="42"/>
        <v>3</v>
      </c>
      <c r="AH116" s="6">
        <f t="shared" si="42"/>
        <v>3</v>
      </c>
      <c r="AI116" s="6">
        <f t="shared" si="42"/>
        <v>5</v>
      </c>
      <c r="AJ116" s="6">
        <f t="shared" si="42"/>
        <v>0</v>
      </c>
      <c r="AK116" s="6">
        <f t="shared" si="42"/>
        <v>1</v>
      </c>
      <c r="AL116" s="6">
        <f t="shared" si="42"/>
        <v>0</v>
      </c>
      <c r="AM116" s="6">
        <f t="shared" si="42"/>
        <v>1</v>
      </c>
      <c r="AN116" s="6">
        <f t="shared" si="42"/>
        <v>1</v>
      </c>
      <c r="AO116" s="6">
        <f t="shared" si="42"/>
        <v>4</v>
      </c>
      <c r="AP116" s="6">
        <f t="shared" si="42"/>
        <v>1</v>
      </c>
      <c r="AQ116" s="6">
        <f t="shared" si="42"/>
        <v>1</v>
      </c>
      <c r="AR116" s="6">
        <f t="shared" si="42"/>
        <v>0</v>
      </c>
      <c r="AS116" s="6">
        <f t="shared" si="42"/>
        <v>0</v>
      </c>
      <c r="AT116" s="6">
        <f t="shared" si="42"/>
        <v>0</v>
      </c>
      <c r="AU116" s="6">
        <f t="shared" si="42"/>
        <v>0</v>
      </c>
      <c r="AV116" s="6">
        <f t="shared" si="42"/>
        <v>45</v>
      </c>
    </row>
    <row r="117" spans="1:48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 x14ac:dyDescent="0.4">
      <c r="A118" s="11" t="s">
        <v>48</v>
      </c>
      <c r="B118" s="17" t="s">
        <v>61</v>
      </c>
      <c r="C118" s="83" t="s">
        <v>62</v>
      </c>
      <c r="D118" s="55"/>
      <c r="E118" s="6">
        <v>1</v>
      </c>
      <c r="F118" s="6">
        <v>9</v>
      </c>
      <c r="G118" s="6">
        <v>4</v>
      </c>
      <c r="H118" s="6">
        <v>1</v>
      </c>
      <c r="I118" s="6">
        <v>2</v>
      </c>
      <c r="J118" s="6">
        <v>7</v>
      </c>
      <c r="K118" s="6">
        <v>7</v>
      </c>
      <c r="L118" s="6">
        <v>1</v>
      </c>
      <c r="M118" s="6">
        <v>2</v>
      </c>
      <c r="N118" s="6">
        <v>2</v>
      </c>
      <c r="O118" s="6">
        <v>1</v>
      </c>
      <c r="P118" s="6">
        <v>4</v>
      </c>
      <c r="Q118" s="6">
        <v>3</v>
      </c>
      <c r="R118" s="6">
        <v>1</v>
      </c>
      <c r="S118" s="6">
        <v>3</v>
      </c>
      <c r="T118" s="6">
        <v>5</v>
      </c>
      <c r="U118" s="6">
        <v>0</v>
      </c>
      <c r="V118" s="6">
        <v>0</v>
      </c>
      <c r="W118" s="6">
        <v>1</v>
      </c>
      <c r="X118" s="6">
        <v>3</v>
      </c>
      <c r="Y118" s="6">
        <v>2</v>
      </c>
      <c r="Z118" s="6">
        <v>1</v>
      </c>
      <c r="AA118" s="6">
        <v>0</v>
      </c>
      <c r="AB118" s="6">
        <v>1</v>
      </c>
      <c r="AC118" s="6">
        <v>0</v>
      </c>
      <c r="AD118" s="6">
        <v>2</v>
      </c>
      <c r="AE118" s="6">
        <v>4</v>
      </c>
      <c r="AF118" s="6">
        <v>5</v>
      </c>
      <c r="AG118" s="6">
        <v>3</v>
      </c>
      <c r="AH118" s="6">
        <v>4</v>
      </c>
      <c r="AI118" s="6">
        <v>5</v>
      </c>
      <c r="AJ118" s="6">
        <v>0</v>
      </c>
      <c r="AK118" s="6">
        <v>0</v>
      </c>
      <c r="AL118" s="6">
        <v>1</v>
      </c>
      <c r="AM118" s="6">
        <v>8</v>
      </c>
      <c r="AN118" s="6">
        <v>9</v>
      </c>
      <c r="AO118" s="6">
        <v>1</v>
      </c>
      <c r="AP118" s="6">
        <v>5</v>
      </c>
      <c r="AQ118" s="6">
        <v>1</v>
      </c>
      <c r="AR118" s="6">
        <v>7</v>
      </c>
      <c r="AS118" s="6">
        <v>2</v>
      </c>
      <c r="AT118" s="6">
        <v>0</v>
      </c>
      <c r="AU118" s="6">
        <v>2</v>
      </c>
      <c r="AV118" s="5">
        <f t="shared" ref="AV118:AV127" si="43">SUM(E118:AU118)</f>
        <v>120</v>
      </c>
    </row>
    <row r="119" spans="1:48" ht="13.15" customHeight="1" x14ac:dyDescent="0.4">
      <c r="A119" s="11" t="s">
        <v>50</v>
      </c>
      <c r="B119" s="47"/>
      <c r="C119" s="24" t="s">
        <v>162</v>
      </c>
      <c r="D119" s="48"/>
      <c r="E119" s="6">
        <v>2</v>
      </c>
      <c r="F119" s="6">
        <v>6</v>
      </c>
      <c r="G119" s="6">
        <v>0</v>
      </c>
      <c r="H119" s="6">
        <v>0</v>
      </c>
      <c r="I119" s="6">
        <v>6</v>
      </c>
      <c r="J119" s="6">
        <v>12</v>
      </c>
      <c r="K119" s="6">
        <v>5</v>
      </c>
      <c r="L119" s="6">
        <v>2</v>
      </c>
      <c r="M119" s="6">
        <v>7</v>
      </c>
      <c r="N119" s="6">
        <v>1</v>
      </c>
      <c r="O119" s="6">
        <v>2</v>
      </c>
      <c r="P119" s="6">
        <v>3</v>
      </c>
      <c r="Q119" s="6">
        <v>4</v>
      </c>
      <c r="R119" s="6">
        <v>3</v>
      </c>
      <c r="S119" s="6">
        <v>5</v>
      </c>
      <c r="T119" s="6">
        <v>0</v>
      </c>
      <c r="U119" s="6">
        <v>1</v>
      </c>
      <c r="V119" s="6">
        <v>2</v>
      </c>
      <c r="W119" s="6">
        <v>2</v>
      </c>
      <c r="X119" s="6">
        <v>4</v>
      </c>
      <c r="Y119" s="6">
        <v>4</v>
      </c>
      <c r="Z119" s="6">
        <v>4</v>
      </c>
      <c r="AA119" s="6">
        <v>1</v>
      </c>
      <c r="AB119" s="6">
        <v>1</v>
      </c>
      <c r="AC119" s="6">
        <v>3</v>
      </c>
      <c r="AD119" s="6">
        <v>1</v>
      </c>
      <c r="AE119" s="6">
        <v>2</v>
      </c>
      <c r="AF119" s="6">
        <v>2</v>
      </c>
      <c r="AG119" s="6">
        <v>5</v>
      </c>
      <c r="AH119" s="6">
        <v>6</v>
      </c>
      <c r="AI119" s="6">
        <v>4</v>
      </c>
      <c r="AJ119" s="6">
        <v>3</v>
      </c>
      <c r="AK119" s="6">
        <v>1</v>
      </c>
      <c r="AL119" s="6">
        <v>1</v>
      </c>
      <c r="AM119" s="6">
        <v>2</v>
      </c>
      <c r="AN119" s="6">
        <v>0</v>
      </c>
      <c r="AO119" s="6">
        <v>4</v>
      </c>
      <c r="AP119" s="6">
        <v>5</v>
      </c>
      <c r="AQ119" s="6">
        <v>4</v>
      </c>
      <c r="AR119" s="6">
        <v>5</v>
      </c>
      <c r="AS119" s="6">
        <v>6</v>
      </c>
      <c r="AT119" s="6">
        <v>2</v>
      </c>
      <c r="AU119" s="6">
        <v>4</v>
      </c>
      <c r="AV119" s="5">
        <f t="shared" si="43"/>
        <v>137</v>
      </c>
    </row>
    <row r="120" spans="1:48" x14ac:dyDescent="0.4">
      <c r="A120" s="7"/>
      <c r="B120" s="47"/>
      <c r="C120" s="24" t="s">
        <v>163</v>
      </c>
      <c r="D120" s="48"/>
      <c r="E120" s="6">
        <v>1</v>
      </c>
      <c r="F120" s="6">
        <v>3</v>
      </c>
      <c r="G120" s="6">
        <v>0</v>
      </c>
      <c r="H120" s="6">
        <v>0</v>
      </c>
      <c r="I120" s="6">
        <v>0</v>
      </c>
      <c r="J120" s="6">
        <v>2</v>
      </c>
      <c r="K120" s="6">
        <v>1</v>
      </c>
      <c r="L120" s="6">
        <v>0</v>
      </c>
      <c r="M120" s="6">
        <v>1</v>
      </c>
      <c r="N120" s="6">
        <v>1</v>
      </c>
      <c r="O120" s="6">
        <v>2</v>
      </c>
      <c r="P120" s="6">
        <v>1</v>
      </c>
      <c r="Q120" s="6">
        <v>0</v>
      </c>
      <c r="R120" s="6">
        <v>0</v>
      </c>
      <c r="S120" s="6">
        <v>0</v>
      </c>
      <c r="T120" s="6">
        <v>1</v>
      </c>
      <c r="U120" s="6">
        <v>2</v>
      </c>
      <c r="V120" s="6">
        <v>0</v>
      </c>
      <c r="W120" s="6">
        <v>0</v>
      </c>
      <c r="X120" s="6">
        <v>2</v>
      </c>
      <c r="Y120" s="6">
        <v>0</v>
      </c>
      <c r="Z120" s="6">
        <v>0</v>
      </c>
      <c r="AA120" s="6">
        <v>0</v>
      </c>
      <c r="AB120" s="6">
        <v>0</v>
      </c>
      <c r="AC120" s="6">
        <v>1</v>
      </c>
      <c r="AD120" s="6">
        <v>1</v>
      </c>
      <c r="AE120" s="6">
        <v>4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1</v>
      </c>
      <c r="AM120" s="6">
        <v>1</v>
      </c>
      <c r="AN120" s="6">
        <v>1</v>
      </c>
      <c r="AO120" s="6">
        <v>0</v>
      </c>
      <c r="AP120" s="6">
        <v>0</v>
      </c>
      <c r="AQ120" s="6">
        <v>1</v>
      </c>
      <c r="AR120" s="6">
        <v>1</v>
      </c>
      <c r="AS120" s="6">
        <v>0</v>
      </c>
      <c r="AT120" s="6">
        <v>0</v>
      </c>
      <c r="AU120" s="6">
        <v>0</v>
      </c>
      <c r="AV120" s="5">
        <f t="shared" si="43"/>
        <v>29</v>
      </c>
    </row>
    <row r="121" spans="1:48" x14ac:dyDescent="0.4">
      <c r="A121" s="7"/>
      <c r="B121" s="47"/>
      <c r="C121" s="24" t="s">
        <v>164</v>
      </c>
      <c r="D121" s="48"/>
      <c r="E121" s="6">
        <v>0</v>
      </c>
      <c r="F121" s="6">
        <v>1</v>
      </c>
      <c r="G121" s="6">
        <v>1</v>
      </c>
      <c r="H121" s="6">
        <v>0</v>
      </c>
      <c r="I121" s="6">
        <v>0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1</v>
      </c>
      <c r="S121" s="6">
        <v>0</v>
      </c>
      <c r="T121" s="6">
        <v>1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1</v>
      </c>
      <c r="AD121" s="6">
        <v>0</v>
      </c>
      <c r="AE121" s="6">
        <v>0</v>
      </c>
      <c r="AF121" s="6">
        <v>1</v>
      </c>
      <c r="AG121" s="6">
        <v>0</v>
      </c>
      <c r="AH121" s="6">
        <v>1</v>
      </c>
      <c r="AI121" s="6">
        <v>1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1</v>
      </c>
      <c r="AT121" s="6">
        <v>2</v>
      </c>
      <c r="AU121" s="6">
        <v>1</v>
      </c>
      <c r="AV121" s="5">
        <f t="shared" si="43"/>
        <v>15</v>
      </c>
    </row>
    <row r="122" spans="1:48" x14ac:dyDescent="0.4">
      <c r="A122" s="7"/>
      <c r="B122" s="47"/>
      <c r="C122" s="24" t="s">
        <v>165</v>
      </c>
      <c r="D122" s="48"/>
      <c r="E122" s="6">
        <v>0</v>
      </c>
      <c r="F122" s="6">
        <v>1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1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1</v>
      </c>
      <c r="AA122" s="6">
        <v>0</v>
      </c>
      <c r="AB122" s="6">
        <v>0</v>
      </c>
      <c r="AC122" s="6">
        <v>2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1</v>
      </c>
      <c r="AM122" s="6">
        <v>0</v>
      </c>
      <c r="AN122" s="6">
        <v>0</v>
      </c>
      <c r="AO122" s="6">
        <v>2</v>
      </c>
      <c r="AP122" s="6">
        <v>0</v>
      </c>
      <c r="AQ122" s="6">
        <v>1</v>
      </c>
      <c r="AR122" s="6">
        <v>1</v>
      </c>
      <c r="AS122" s="6">
        <v>2</v>
      </c>
      <c r="AT122" s="6">
        <v>0</v>
      </c>
      <c r="AU122" s="6">
        <v>0</v>
      </c>
      <c r="AV122" s="5">
        <f t="shared" si="43"/>
        <v>13</v>
      </c>
    </row>
    <row r="123" spans="1:48" x14ac:dyDescent="0.4">
      <c r="A123" s="7"/>
      <c r="B123" s="47"/>
      <c r="C123" s="24" t="s">
        <v>166</v>
      </c>
      <c r="D123" s="48"/>
      <c r="E123" s="6">
        <v>6</v>
      </c>
      <c r="F123" s="6">
        <v>0</v>
      </c>
      <c r="G123" s="6">
        <v>0</v>
      </c>
      <c r="H123" s="6">
        <v>0</v>
      </c>
      <c r="I123" s="6">
        <v>1</v>
      </c>
      <c r="J123" s="6">
        <v>2</v>
      </c>
      <c r="K123" s="6">
        <v>11</v>
      </c>
      <c r="L123" s="6">
        <v>0</v>
      </c>
      <c r="M123" s="6">
        <v>0</v>
      </c>
      <c r="N123" s="6">
        <v>2</v>
      </c>
      <c r="O123" s="6">
        <v>1</v>
      </c>
      <c r="P123" s="6">
        <v>3</v>
      </c>
      <c r="Q123" s="6">
        <v>8</v>
      </c>
      <c r="R123" s="6">
        <v>0</v>
      </c>
      <c r="S123" s="6">
        <v>1</v>
      </c>
      <c r="T123" s="6">
        <v>0</v>
      </c>
      <c r="U123" s="6">
        <v>4</v>
      </c>
      <c r="V123" s="6">
        <v>0</v>
      </c>
      <c r="W123" s="6">
        <v>1</v>
      </c>
      <c r="X123" s="6">
        <v>1</v>
      </c>
      <c r="Y123" s="6">
        <v>0</v>
      </c>
      <c r="Z123" s="6">
        <v>0</v>
      </c>
      <c r="AA123" s="6">
        <v>0</v>
      </c>
      <c r="AB123" s="6">
        <v>1</v>
      </c>
      <c r="AC123" s="6">
        <v>2</v>
      </c>
      <c r="AD123" s="6">
        <v>7</v>
      </c>
      <c r="AE123" s="6">
        <v>5</v>
      </c>
      <c r="AF123" s="6">
        <v>0</v>
      </c>
      <c r="AG123" s="6">
        <v>1</v>
      </c>
      <c r="AH123" s="6">
        <v>1</v>
      </c>
      <c r="AI123" s="6">
        <v>1</v>
      </c>
      <c r="AJ123" s="6">
        <v>0</v>
      </c>
      <c r="AK123" s="6">
        <v>0</v>
      </c>
      <c r="AL123" s="6">
        <v>0</v>
      </c>
      <c r="AM123" s="6">
        <v>2</v>
      </c>
      <c r="AN123" s="6">
        <v>6</v>
      </c>
      <c r="AO123" s="6">
        <v>1</v>
      </c>
      <c r="AP123" s="6">
        <v>1</v>
      </c>
      <c r="AQ123" s="6">
        <v>2</v>
      </c>
      <c r="AR123" s="6">
        <v>0</v>
      </c>
      <c r="AS123" s="6">
        <v>4</v>
      </c>
      <c r="AT123" s="6">
        <v>1</v>
      </c>
      <c r="AU123" s="6">
        <v>3</v>
      </c>
      <c r="AV123" s="5">
        <f t="shared" si="43"/>
        <v>79</v>
      </c>
    </row>
    <row r="124" spans="1:48" x14ac:dyDescent="0.4">
      <c r="A124" s="7"/>
      <c r="B124" s="47"/>
      <c r="C124" s="24" t="s">
        <v>167</v>
      </c>
      <c r="D124" s="45"/>
      <c r="E124" s="6">
        <v>0</v>
      </c>
      <c r="F124" s="6">
        <v>15</v>
      </c>
      <c r="G124" s="6">
        <v>0</v>
      </c>
      <c r="H124" s="6">
        <v>1</v>
      </c>
      <c r="I124" s="6">
        <v>3</v>
      </c>
      <c r="J124" s="6">
        <v>4</v>
      </c>
      <c r="K124" s="6">
        <v>1</v>
      </c>
      <c r="L124" s="6">
        <v>0</v>
      </c>
      <c r="M124" s="6">
        <v>2</v>
      </c>
      <c r="N124" s="6">
        <v>0</v>
      </c>
      <c r="O124" s="6">
        <v>7</v>
      </c>
      <c r="P124" s="6">
        <v>3</v>
      </c>
      <c r="Q124" s="6">
        <v>7</v>
      </c>
      <c r="R124" s="6">
        <v>7</v>
      </c>
      <c r="S124" s="6">
        <v>12</v>
      </c>
      <c r="T124" s="6">
        <v>21</v>
      </c>
      <c r="U124" s="6">
        <v>32</v>
      </c>
      <c r="V124" s="6">
        <v>1</v>
      </c>
      <c r="W124" s="6">
        <v>1</v>
      </c>
      <c r="X124" s="6">
        <v>1</v>
      </c>
      <c r="Y124" s="6">
        <v>0</v>
      </c>
      <c r="Z124" s="6">
        <v>0</v>
      </c>
      <c r="AA124" s="6">
        <v>1</v>
      </c>
      <c r="AB124" s="6">
        <v>0</v>
      </c>
      <c r="AC124" s="6">
        <v>1</v>
      </c>
      <c r="AD124" s="6">
        <v>0</v>
      </c>
      <c r="AE124" s="6">
        <v>0</v>
      </c>
      <c r="AF124" s="6">
        <v>5</v>
      </c>
      <c r="AG124" s="6">
        <v>0</v>
      </c>
      <c r="AH124" s="6">
        <v>2</v>
      </c>
      <c r="AI124" s="6">
        <v>1</v>
      </c>
      <c r="AJ124" s="6">
        <v>0</v>
      </c>
      <c r="AK124" s="6">
        <v>1</v>
      </c>
      <c r="AL124" s="6">
        <v>0</v>
      </c>
      <c r="AM124" s="6">
        <v>3</v>
      </c>
      <c r="AN124" s="6">
        <v>1</v>
      </c>
      <c r="AO124" s="6">
        <v>2</v>
      </c>
      <c r="AP124" s="6">
        <v>7</v>
      </c>
      <c r="AQ124" s="6">
        <v>1</v>
      </c>
      <c r="AR124" s="6">
        <v>1</v>
      </c>
      <c r="AS124" s="6">
        <v>7</v>
      </c>
      <c r="AT124" s="6">
        <v>2</v>
      </c>
      <c r="AU124" s="6">
        <v>0</v>
      </c>
      <c r="AV124" s="5">
        <f t="shared" si="43"/>
        <v>153</v>
      </c>
    </row>
    <row r="125" spans="1:48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1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1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1</v>
      </c>
      <c r="Y125" s="6">
        <v>1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1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1</v>
      </c>
      <c r="AU125" s="6">
        <v>0</v>
      </c>
      <c r="AV125" s="5">
        <f t="shared" si="43"/>
        <v>6</v>
      </c>
    </row>
    <row r="126" spans="1:48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1</v>
      </c>
      <c r="K126" s="6">
        <v>0</v>
      </c>
      <c r="L126" s="6">
        <v>0</v>
      </c>
      <c r="M126" s="6">
        <v>0</v>
      </c>
      <c r="N126" s="6">
        <v>1</v>
      </c>
      <c r="O126" s="6">
        <v>2</v>
      </c>
      <c r="P126" s="6">
        <v>0</v>
      </c>
      <c r="Q126" s="6">
        <v>1</v>
      </c>
      <c r="R126" s="6">
        <v>0</v>
      </c>
      <c r="S126" s="6">
        <v>0</v>
      </c>
      <c r="T126" s="6">
        <v>0</v>
      </c>
      <c r="U126" s="6">
        <v>0</v>
      </c>
      <c r="V126" s="6">
        <v>1</v>
      </c>
      <c r="W126" s="6">
        <v>1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0</v>
      </c>
      <c r="AG126" s="6">
        <v>0</v>
      </c>
      <c r="AH126" s="6">
        <v>0</v>
      </c>
      <c r="AI126" s="6">
        <v>1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1</v>
      </c>
      <c r="AU126" s="6">
        <v>0</v>
      </c>
      <c r="AV126" s="5">
        <f t="shared" si="43"/>
        <v>10</v>
      </c>
    </row>
    <row r="127" spans="1:48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1</v>
      </c>
      <c r="T127" s="6">
        <v>0</v>
      </c>
      <c r="U127" s="6">
        <v>0</v>
      </c>
      <c r="V127" s="6">
        <v>0</v>
      </c>
      <c r="W127" s="6">
        <v>0</v>
      </c>
      <c r="X127" s="6">
        <v>2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1</v>
      </c>
      <c r="AP127" s="6">
        <v>0</v>
      </c>
      <c r="AQ127" s="6">
        <v>0</v>
      </c>
      <c r="AR127" s="6">
        <v>0</v>
      </c>
      <c r="AS127" s="6">
        <v>0</v>
      </c>
      <c r="AT127" s="6">
        <v>1</v>
      </c>
      <c r="AU127" s="6">
        <v>0</v>
      </c>
      <c r="AV127" s="5">
        <f t="shared" si="43"/>
        <v>6</v>
      </c>
    </row>
    <row r="128" spans="1:48" x14ac:dyDescent="0.4">
      <c r="A128" s="6" t="s">
        <v>26</v>
      </c>
      <c r="B128" s="74" t="s">
        <v>51</v>
      </c>
      <c r="C128" s="84"/>
      <c r="D128" s="85"/>
      <c r="E128" s="6">
        <f t="shared" ref="E128:AV128" si="44">SUM(E118:E127)</f>
        <v>10</v>
      </c>
      <c r="F128" s="6">
        <f t="shared" si="44"/>
        <v>35</v>
      </c>
      <c r="G128" s="6">
        <f t="shared" si="44"/>
        <v>5</v>
      </c>
      <c r="H128" s="6">
        <f t="shared" si="44"/>
        <v>2</v>
      </c>
      <c r="I128" s="6">
        <f t="shared" si="44"/>
        <v>12</v>
      </c>
      <c r="J128" s="6">
        <f t="shared" si="44"/>
        <v>30</v>
      </c>
      <c r="K128" s="6">
        <f t="shared" si="44"/>
        <v>25</v>
      </c>
      <c r="L128" s="6">
        <f t="shared" si="44"/>
        <v>3</v>
      </c>
      <c r="M128" s="6">
        <f t="shared" si="44"/>
        <v>13</v>
      </c>
      <c r="N128" s="6">
        <f t="shared" si="44"/>
        <v>7</v>
      </c>
      <c r="O128" s="6">
        <f t="shared" si="44"/>
        <v>16</v>
      </c>
      <c r="P128" s="6">
        <f t="shared" si="44"/>
        <v>14</v>
      </c>
      <c r="Q128" s="6">
        <f t="shared" si="44"/>
        <v>24</v>
      </c>
      <c r="R128" s="6">
        <f t="shared" si="44"/>
        <v>13</v>
      </c>
      <c r="S128" s="6">
        <f t="shared" si="44"/>
        <v>22</v>
      </c>
      <c r="T128" s="6">
        <f t="shared" ref="T128:AG128" si="45">SUM(T118:T127)</f>
        <v>28</v>
      </c>
      <c r="U128" s="6">
        <f t="shared" si="45"/>
        <v>39</v>
      </c>
      <c r="V128" s="6">
        <f t="shared" si="45"/>
        <v>4</v>
      </c>
      <c r="W128" s="6">
        <f t="shared" si="45"/>
        <v>7</v>
      </c>
      <c r="X128" s="6">
        <f t="shared" si="45"/>
        <v>14</v>
      </c>
      <c r="Y128" s="6">
        <f t="shared" si="45"/>
        <v>7</v>
      </c>
      <c r="Z128" s="6">
        <f t="shared" si="45"/>
        <v>6</v>
      </c>
      <c r="AA128" s="6">
        <f t="shared" si="45"/>
        <v>2</v>
      </c>
      <c r="AB128" s="6">
        <f t="shared" si="45"/>
        <v>3</v>
      </c>
      <c r="AC128" s="6">
        <f t="shared" si="45"/>
        <v>10</v>
      </c>
      <c r="AD128" s="6">
        <f t="shared" si="45"/>
        <v>11</v>
      </c>
      <c r="AE128" s="6">
        <f t="shared" si="45"/>
        <v>16</v>
      </c>
      <c r="AF128" s="6">
        <f t="shared" si="45"/>
        <v>13</v>
      </c>
      <c r="AG128" s="6">
        <f t="shared" si="45"/>
        <v>9</v>
      </c>
      <c r="AH128" s="6">
        <f t="shared" si="44"/>
        <v>15</v>
      </c>
      <c r="AI128" s="6">
        <f t="shared" si="44"/>
        <v>13</v>
      </c>
      <c r="AJ128" s="6">
        <f t="shared" si="44"/>
        <v>3</v>
      </c>
      <c r="AK128" s="6">
        <f t="shared" si="44"/>
        <v>2</v>
      </c>
      <c r="AL128" s="6">
        <f t="shared" si="44"/>
        <v>4</v>
      </c>
      <c r="AM128" s="6">
        <f t="shared" si="44"/>
        <v>16</v>
      </c>
      <c r="AN128" s="6">
        <f t="shared" si="44"/>
        <v>18</v>
      </c>
      <c r="AO128" s="6">
        <f t="shared" si="44"/>
        <v>11</v>
      </c>
      <c r="AP128" s="6">
        <f t="shared" si="44"/>
        <v>19</v>
      </c>
      <c r="AQ128" s="6">
        <f t="shared" si="44"/>
        <v>10</v>
      </c>
      <c r="AR128" s="6">
        <f t="shared" si="44"/>
        <v>15</v>
      </c>
      <c r="AS128" s="6">
        <f t="shared" si="44"/>
        <v>22</v>
      </c>
      <c r="AT128" s="6">
        <f t="shared" si="44"/>
        <v>10</v>
      </c>
      <c r="AU128" s="6">
        <f t="shared" si="44"/>
        <v>10</v>
      </c>
      <c r="AV128" s="6">
        <f t="shared" si="44"/>
        <v>568</v>
      </c>
    </row>
    <row r="129" spans="1:48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2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5">
        <f>SUM(E130:AU130)</f>
        <v>4</v>
      </c>
    </row>
    <row r="131" spans="1:48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5">
        <f>SUM(E131:AU131)</f>
        <v>2</v>
      </c>
    </row>
    <row r="132" spans="1:48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1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5">
        <f>SUM(E132:AU132)</f>
        <v>2</v>
      </c>
    </row>
    <row r="133" spans="1:48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5">
        <f>SUM(E133:AU133)</f>
        <v>2</v>
      </c>
    </row>
    <row r="134" spans="1:48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AV134" si="46">SUM(E130:E133)</f>
        <v>0</v>
      </c>
      <c r="F134" s="6">
        <f t="shared" si="46"/>
        <v>0</v>
      </c>
      <c r="G134" s="6">
        <f t="shared" si="46"/>
        <v>0</v>
      </c>
      <c r="H134" s="6">
        <f t="shared" si="46"/>
        <v>1</v>
      </c>
      <c r="I134" s="6">
        <f t="shared" si="46"/>
        <v>0</v>
      </c>
      <c r="J134" s="6">
        <f t="shared" si="46"/>
        <v>2</v>
      </c>
      <c r="K134" s="6">
        <f t="shared" si="46"/>
        <v>1</v>
      </c>
      <c r="L134" s="6">
        <f t="shared" si="46"/>
        <v>1</v>
      </c>
      <c r="M134" s="6">
        <f t="shared" si="46"/>
        <v>1</v>
      </c>
      <c r="N134" s="6">
        <f t="shared" si="46"/>
        <v>0</v>
      </c>
      <c r="O134" s="6">
        <f t="shared" si="46"/>
        <v>0</v>
      </c>
      <c r="P134" s="6">
        <f t="shared" si="46"/>
        <v>0</v>
      </c>
      <c r="Q134" s="6">
        <f t="shared" si="46"/>
        <v>0</v>
      </c>
      <c r="R134" s="6">
        <f t="shared" si="46"/>
        <v>0</v>
      </c>
      <c r="S134" s="6">
        <f t="shared" si="46"/>
        <v>0</v>
      </c>
      <c r="T134" s="6">
        <f t="shared" si="46"/>
        <v>0</v>
      </c>
      <c r="U134" s="6">
        <f t="shared" si="46"/>
        <v>1</v>
      </c>
      <c r="V134" s="6">
        <f t="shared" si="46"/>
        <v>0</v>
      </c>
      <c r="W134" s="6">
        <f t="shared" si="46"/>
        <v>0</v>
      </c>
      <c r="X134" s="6">
        <f t="shared" si="46"/>
        <v>1</v>
      </c>
      <c r="Y134" s="6">
        <f t="shared" si="46"/>
        <v>0</v>
      </c>
      <c r="Z134" s="6">
        <f t="shared" si="46"/>
        <v>0</v>
      </c>
      <c r="AA134" s="6">
        <f t="shared" si="46"/>
        <v>0</v>
      </c>
      <c r="AB134" s="6">
        <f t="shared" si="46"/>
        <v>0</v>
      </c>
      <c r="AC134" s="6">
        <f t="shared" si="46"/>
        <v>0</v>
      </c>
      <c r="AD134" s="6">
        <f t="shared" si="46"/>
        <v>0</v>
      </c>
      <c r="AE134" s="6">
        <f t="shared" si="46"/>
        <v>0</v>
      </c>
      <c r="AF134" s="6">
        <f t="shared" si="46"/>
        <v>0</v>
      </c>
      <c r="AG134" s="6">
        <f t="shared" si="46"/>
        <v>2</v>
      </c>
      <c r="AH134" s="6">
        <f t="shared" si="46"/>
        <v>0</v>
      </c>
      <c r="AI134" s="6">
        <f t="shared" si="46"/>
        <v>0</v>
      </c>
      <c r="AJ134" s="6">
        <f t="shared" si="46"/>
        <v>0</v>
      </c>
      <c r="AK134" s="6">
        <f t="shared" si="46"/>
        <v>0</v>
      </c>
      <c r="AL134" s="6">
        <f t="shared" si="46"/>
        <v>0</v>
      </c>
      <c r="AM134" s="6">
        <f t="shared" si="46"/>
        <v>0</v>
      </c>
      <c r="AN134" s="6">
        <f t="shared" si="46"/>
        <v>0</v>
      </c>
      <c r="AO134" s="6">
        <f t="shared" si="46"/>
        <v>0</v>
      </c>
      <c r="AP134" s="6">
        <f t="shared" si="46"/>
        <v>0</v>
      </c>
      <c r="AQ134" s="6">
        <f t="shared" si="46"/>
        <v>0</v>
      </c>
      <c r="AR134" s="6">
        <f t="shared" si="46"/>
        <v>0</v>
      </c>
      <c r="AS134" s="6">
        <f t="shared" si="46"/>
        <v>0</v>
      </c>
      <c r="AT134" s="6">
        <f t="shared" si="46"/>
        <v>0</v>
      </c>
      <c r="AU134" s="6">
        <f t="shared" si="46"/>
        <v>0</v>
      </c>
      <c r="AV134" s="6">
        <f t="shared" si="46"/>
        <v>10</v>
      </c>
    </row>
    <row r="135" spans="1:48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5"/>
    </row>
    <row r="136" spans="1:48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1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2</v>
      </c>
      <c r="AA136" s="6">
        <v>2</v>
      </c>
      <c r="AB136" s="6">
        <v>2</v>
      </c>
      <c r="AC136" s="6">
        <v>3</v>
      </c>
      <c r="AD136" s="6">
        <v>0</v>
      </c>
      <c r="AE136" s="6">
        <v>0</v>
      </c>
      <c r="AF136" s="6">
        <v>1</v>
      </c>
      <c r="AG136" s="6">
        <v>0</v>
      </c>
      <c r="AH136" s="6">
        <v>0</v>
      </c>
      <c r="AI136" s="6">
        <v>0</v>
      </c>
      <c r="AJ136" s="6">
        <v>1</v>
      </c>
      <c r="AK136" s="6">
        <v>1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1</v>
      </c>
      <c r="AV136" s="5">
        <f t="shared" ref="AV136:AV143" si="47">SUM(E136:AU136)</f>
        <v>17</v>
      </c>
    </row>
    <row r="137" spans="1:48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2</v>
      </c>
      <c r="M137" s="6">
        <v>2</v>
      </c>
      <c r="N137" s="6">
        <v>0</v>
      </c>
      <c r="O137" s="6">
        <v>0</v>
      </c>
      <c r="P137" s="6">
        <v>0</v>
      </c>
      <c r="Q137" s="6">
        <v>0</v>
      </c>
      <c r="R137" s="6">
        <v>2</v>
      </c>
      <c r="S137" s="6">
        <v>0</v>
      </c>
      <c r="T137" s="6">
        <v>0</v>
      </c>
      <c r="U137" s="6">
        <v>0</v>
      </c>
      <c r="V137" s="6">
        <v>0</v>
      </c>
      <c r="W137" s="6">
        <v>2</v>
      </c>
      <c r="X137" s="6">
        <v>0</v>
      </c>
      <c r="Y137" s="6">
        <v>0</v>
      </c>
      <c r="Z137" s="6">
        <v>2</v>
      </c>
      <c r="AA137" s="6">
        <v>3</v>
      </c>
      <c r="AB137" s="6">
        <v>2</v>
      </c>
      <c r="AC137" s="6">
        <v>4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1</v>
      </c>
      <c r="AK137" s="6">
        <v>1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1</v>
      </c>
      <c r="AR137" s="6">
        <v>0</v>
      </c>
      <c r="AS137" s="6">
        <v>0</v>
      </c>
      <c r="AT137" s="6">
        <v>0</v>
      </c>
      <c r="AU137" s="6">
        <v>0</v>
      </c>
      <c r="AV137" s="5">
        <f t="shared" si="47"/>
        <v>22</v>
      </c>
    </row>
    <row r="138" spans="1:48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1</v>
      </c>
      <c r="M138" s="6">
        <v>4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1</v>
      </c>
      <c r="AA138" s="6">
        <v>0</v>
      </c>
      <c r="AB138" s="6">
        <v>1</v>
      </c>
      <c r="AC138" s="6">
        <v>1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1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5">
        <f t="shared" si="47"/>
        <v>11</v>
      </c>
    </row>
    <row r="139" spans="1:48" x14ac:dyDescent="0.4">
      <c r="A139" s="7"/>
      <c r="B139" s="51"/>
      <c r="C139" s="24" t="s">
        <v>176</v>
      </c>
      <c r="D139" s="52"/>
      <c r="E139" s="50">
        <v>0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2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1</v>
      </c>
      <c r="X139" s="6">
        <v>0</v>
      </c>
      <c r="Y139" s="6">
        <v>0</v>
      </c>
      <c r="Z139" s="6">
        <v>1</v>
      </c>
      <c r="AA139" s="6">
        <v>1</v>
      </c>
      <c r="AB139" s="6">
        <v>1</v>
      </c>
      <c r="AC139" s="6">
        <v>0</v>
      </c>
      <c r="AD139" s="6">
        <v>1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1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1</v>
      </c>
      <c r="AT139" s="6">
        <v>0</v>
      </c>
      <c r="AU139" s="6">
        <v>0</v>
      </c>
      <c r="AV139" s="5">
        <f t="shared" si="47"/>
        <v>11</v>
      </c>
    </row>
    <row r="140" spans="1:48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1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5">
        <f t="shared" si="47"/>
        <v>1</v>
      </c>
    </row>
    <row r="141" spans="1:48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5">
        <f t="shared" si="47"/>
        <v>0</v>
      </c>
    </row>
    <row r="142" spans="1:48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5">
        <f t="shared" si="47"/>
        <v>0</v>
      </c>
    </row>
    <row r="143" spans="1:48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5">
        <f t="shared" si="47"/>
        <v>2</v>
      </c>
    </row>
    <row r="144" spans="1:48" x14ac:dyDescent="0.4">
      <c r="A144" s="6" t="s">
        <v>26</v>
      </c>
      <c r="B144" s="88" t="s">
        <v>51</v>
      </c>
      <c r="C144" s="89"/>
      <c r="D144" s="90"/>
      <c r="E144" s="6">
        <f t="shared" ref="E144:AV144" si="48">SUM(E136:E143)</f>
        <v>0</v>
      </c>
      <c r="F144" s="6">
        <f t="shared" si="48"/>
        <v>1</v>
      </c>
      <c r="G144" s="6">
        <f t="shared" si="48"/>
        <v>1</v>
      </c>
      <c r="H144" s="6">
        <f t="shared" si="48"/>
        <v>0</v>
      </c>
      <c r="I144" s="6">
        <f t="shared" si="48"/>
        <v>0</v>
      </c>
      <c r="J144" s="6">
        <f t="shared" si="48"/>
        <v>0</v>
      </c>
      <c r="K144" s="6">
        <f t="shared" si="48"/>
        <v>2</v>
      </c>
      <c r="L144" s="6">
        <f t="shared" si="48"/>
        <v>4</v>
      </c>
      <c r="M144" s="6">
        <f t="shared" si="48"/>
        <v>7</v>
      </c>
      <c r="N144" s="6">
        <f t="shared" si="48"/>
        <v>2</v>
      </c>
      <c r="O144" s="6">
        <f t="shared" si="48"/>
        <v>0</v>
      </c>
      <c r="P144" s="6">
        <f t="shared" si="48"/>
        <v>0</v>
      </c>
      <c r="Q144" s="6">
        <f t="shared" si="48"/>
        <v>0</v>
      </c>
      <c r="R144" s="6">
        <f t="shared" si="48"/>
        <v>3</v>
      </c>
      <c r="S144" s="6">
        <f t="shared" si="48"/>
        <v>0</v>
      </c>
      <c r="T144" s="6">
        <f t="shared" si="48"/>
        <v>0</v>
      </c>
      <c r="U144" s="6">
        <f t="shared" si="48"/>
        <v>0</v>
      </c>
      <c r="V144" s="6">
        <f t="shared" si="48"/>
        <v>0</v>
      </c>
      <c r="W144" s="6">
        <f t="shared" si="48"/>
        <v>3</v>
      </c>
      <c r="X144" s="6">
        <f t="shared" si="48"/>
        <v>0</v>
      </c>
      <c r="Y144" s="6">
        <f t="shared" si="48"/>
        <v>0</v>
      </c>
      <c r="Z144" s="6">
        <f t="shared" si="48"/>
        <v>7</v>
      </c>
      <c r="AA144" s="6">
        <f t="shared" si="48"/>
        <v>6</v>
      </c>
      <c r="AB144" s="6">
        <f t="shared" si="48"/>
        <v>6</v>
      </c>
      <c r="AC144" s="6">
        <f t="shared" si="48"/>
        <v>8</v>
      </c>
      <c r="AD144" s="6">
        <f t="shared" si="48"/>
        <v>2</v>
      </c>
      <c r="AE144" s="6">
        <f t="shared" si="48"/>
        <v>0</v>
      </c>
      <c r="AF144" s="6">
        <f t="shared" si="48"/>
        <v>2</v>
      </c>
      <c r="AG144" s="6">
        <f t="shared" si="48"/>
        <v>0</v>
      </c>
      <c r="AH144" s="6">
        <f t="shared" si="48"/>
        <v>0</v>
      </c>
      <c r="AI144" s="6">
        <f t="shared" si="48"/>
        <v>0</v>
      </c>
      <c r="AJ144" s="6">
        <f t="shared" si="48"/>
        <v>4</v>
      </c>
      <c r="AK144" s="6">
        <f t="shared" si="48"/>
        <v>2</v>
      </c>
      <c r="AL144" s="6">
        <f t="shared" si="48"/>
        <v>1</v>
      </c>
      <c r="AM144" s="6">
        <f t="shared" si="48"/>
        <v>0</v>
      </c>
      <c r="AN144" s="6">
        <f t="shared" si="48"/>
        <v>0</v>
      </c>
      <c r="AO144" s="6">
        <f t="shared" si="48"/>
        <v>0</v>
      </c>
      <c r="AP144" s="6">
        <f t="shared" si="48"/>
        <v>0</v>
      </c>
      <c r="AQ144" s="6">
        <f t="shared" si="48"/>
        <v>1</v>
      </c>
      <c r="AR144" s="6">
        <f t="shared" si="48"/>
        <v>0</v>
      </c>
      <c r="AS144" s="6">
        <f t="shared" si="48"/>
        <v>1</v>
      </c>
      <c r="AT144" s="6">
        <f t="shared" si="48"/>
        <v>0</v>
      </c>
      <c r="AU144" s="6">
        <f t="shared" si="48"/>
        <v>1</v>
      </c>
      <c r="AV144" s="6">
        <f t="shared" si="48"/>
        <v>64</v>
      </c>
    </row>
    <row r="145" spans="1:48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</row>
    <row r="146" spans="1:48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2</v>
      </c>
      <c r="M146" s="6">
        <v>1</v>
      </c>
      <c r="N146" s="6">
        <v>0</v>
      </c>
      <c r="O146" s="6">
        <v>0</v>
      </c>
      <c r="P146" s="6">
        <v>0</v>
      </c>
      <c r="Q146" s="6">
        <v>0</v>
      </c>
      <c r="R146" s="6">
        <v>1</v>
      </c>
      <c r="S146" s="6">
        <v>0</v>
      </c>
      <c r="T146" s="6">
        <v>1</v>
      </c>
      <c r="U146" s="6">
        <v>1</v>
      </c>
      <c r="V146" s="6">
        <v>0</v>
      </c>
      <c r="W146" s="6">
        <v>0</v>
      </c>
      <c r="X146" s="6">
        <v>1</v>
      </c>
      <c r="Y146" s="6">
        <v>0</v>
      </c>
      <c r="Z146" s="6">
        <v>2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2</v>
      </c>
      <c r="AN146" s="6">
        <v>2</v>
      </c>
      <c r="AO146" s="6">
        <v>0</v>
      </c>
      <c r="AP146" s="6">
        <v>0</v>
      </c>
      <c r="AQ146" s="6">
        <v>0</v>
      </c>
      <c r="AR146" s="6">
        <v>0</v>
      </c>
      <c r="AS146" s="6">
        <v>1</v>
      </c>
      <c r="AT146" s="6">
        <v>0</v>
      </c>
      <c r="AU146" s="6">
        <v>0</v>
      </c>
      <c r="AV146" s="5">
        <f>SUM(E146:AU146)</f>
        <v>16</v>
      </c>
    </row>
    <row r="147" spans="1:48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1</v>
      </c>
      <c r="P147" s="6">
        <v>1</v>
      </c>
      <c r="Q147" s="6">
        <v>1</v>
      </c>
      <c r="R147" s="6">
        <v>0</v>
      </c>
      <c r="S147" s="6">
        <v>1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1</v>
      </c>
      <c r="AD147" s="6">
        <v>0</v>
      </c>
      <c r="AE147" s="6">
        <v>1</v>
      </c>
      <c r="AF147" s="6">
        <v>0</v>
      </c>
      <c r="AG147" s="6">
        <v>0</v>
      </c>
      <c r="AH147" s="6">
        <v>0</v>
      </c>
      <c r="AI147" s="6">
        <v>1</v>
      </c>
      <c r="AJ147" s="6">
        <v>0</v>
      </c>
      <c r="AK147" s="6">
        <v>0</v>
      </c>
      <c r="AL147" s="6">
        <v>0</v>
      </c>
      <c r="AM147" s="6">
        <v>1</v>
      </c>
      <c r="AN147" s="6">
        <v>3</v>
      </c>
      <c r="AO147" s="6">
        <v>2</v>
      </c>
      <c r="AP147" s="6">
        <v>0</v>
      </c>
      <c r="AQ147" s="6">
        <v>1</v>
      </c>
      <c r="AR147" s="6">
        <v>0</v>
      </c>
      <c r="AS147" s="6">
        <v>3</v>
      </c>
      <c r="AT147" s="6">
        <v>0</v>
      </c>
      <c r="AU147" s="6">
        <v>0</v>
      </c>
      <c r="AV147" s="5">
        <f>SUM(E147:AU147)</f>
        <v>17</v>
      </c>
    </row>
    <row r="148" spans="1:48" x14ac:dyDescent="0.4">
      <c r="A148" s="6" t="s">
        <v>26</v>
      </c>
      <c r="B148" s="74" t="s">
        <v>51</v>
      </c>
      <c r="C148" s="84"/>
      <c r="D148" s="85"/>
      <c r="E148" s="6">
        <f t="shared" ref="E148:AV148" si="49">SUM(E146:E147)</f>
        <v>0</v>
      </c>
      <c r="F148" s="6">
        <f t="shared" si="49"/>
        <v>0</v>
      </c>
      <c r="G148" s="6">
        <f t="shared" si="49"/>
        <v>0</v>
      </c>
      <c r="H148" s="6">
        <f t="shared" si="49"/>
        <v>0</v>
      </c>
      <c r="I148" s="6">
        <f t="shared" si="49"/>
        <v>0</v>
      </c>
      <c r="J148" s="6">
        <f t="shared" si="49"/>
        <v>1</v>
      </c>
      <c r="K148" s="6">
        <f t="shared" si="49"/>
        <v>0</v>
      </c>
      <c r="L148" s="6">
        <f t="shared" si="49"/>
        <v>2</v>
      </c>
      <c r="M148" s="6">
        <f t="shared" si="49"/>
        <v>1</v>
      </c>
      <c r="N148" s="6">
        <f t="shared" si="49"/>
        <v>0</v>
      </c>
      <c r="O148" s="6">
        <f t="shared" si="49"/>
        <v>1</v>
      </c>
      <c r="P148" s="6">
        <f t="shared" si="49"/>
        <v>1</v>
      </c>
      <c r="Q148" s="6">
        <f t="shared" si="49"/>
        <v>1</v>
      </c>
      <c r="R148" s="6">
        <f t="shared" si="49"/>
        <v>1</v>
      </c>
      <c r="S148" s="6">
        <f t="shared" si="49"/>
        <v>1</v>
      </c>
      <c r="T148" s="6">
        <f t="shared" si="49"/>
        <v>1</v>
      </c>
      <c r="U148" s="6">
        <f t="shared" si="49"/>
        <v>1</v>
      </c>
      <c r="V148" s="6">
        <f t="shared" si="49"/>
        <v>0</v>
      </c>
      <c r="W148" s="6">
        <f t="shared" si="49"/>
        <v>0</v>
      </c>
      <c r="X148" s="6">
        <f t="shared" si="49"/>
        <v>1</v>
      </c>
      <c r="Y148" s="6">
        <f t="shared" si="49"/>
        <v>0</v>
      </c>
      <c r="Z148" s="6">
        <f t="shared" si="49"/>
        <v>2</v>
      </c>
      <c r="AA148" s="6">
        <f t="shared" si="49"/>
        <v>0</v>
      </c>
      <c r="AB148" s="6">
        <f t="shared" si="49"/>
        <v>0</v>
      </c>
      <c r="AC148" s="6">
        <f t="shared" si="49"/>
        <v>1</v>
      </c>
      <c r="AD148" s="6">
        <f t="shared" si="49"/>
        <v>0</v>
      </c>
      <c r="AE148" s="6">
        <f t="shared" si="49"/>
        <v>1</v>
      </c>
      <c r="AF148" s="6">
        <f t="shared" si="49"/>
        <v>0</v>
      </c>
      <c r="AG148" s="6">
        <f t="shared" si="49"/>
        <v>0</v>
      </c>
      <c r="AH148" s="6">
        <f t="shared" si="49"/>
        <v>0</v>
      </c>
      <c r="AI148" s="6">
        <f t="shared" si="49"/>
        <v>1</v>
      </c>
      <c r="AJ148" s="6">
        <f t="shared" si="49"/>
        <v>0</v>
      </c>
      <c r="AK148" s="6">
        <f t="shared" si="49"/>
        <v>1</v>
      </c>
      <c r="AL148" s="6">
        <f t="shared" si="49"/>
        <v>0</v>
      </c>
      <c r="AM148" s="6">
        <f t="shared" si="49"/>
        <v>3</v>
      </c>
      <c r="AN148" s="6">
        <f t="shared" si="49"/>
        <v>5</v>
      </c>
      <c r="AO148" s="6">
        <f t="shared" si="49"/>
        <v>2</v>
      </c>
      <c r="AP148" s="6">
        <f t="shared" si="49"/>
        <v>0</v>
      </c>
      <c r="AQ148" s="6">
        <f t="shared" si="49"/>
        <v>1</v>
      </c>
      <c r="AR148" s="6">
        <f t="shared" si="49"/>
        <v>0</v>
      </c>
      <c r="AS148" s="6">
        <f t="shared" si="49"/>
        <v>4</v>
      </c>
      <c r="AT148" s="6">
        <f t="shared" si="49"/>
        <v>0</v>
      </c>
      <c r="AU148" s="6">
        <f t="shared" si="49"/>
        <v>0</v>
      </c>
      <c r="AV148" s="6">
        <f t="shared" si="49"/>
        <v>33</v>
      </c>
    </row>
    <row r="149" spans="1:48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</row>
    <row r="150" spans="1:48" x14ac:dyDescent="0.4">
      <c r="A150" s="11" t="s">
        <v>48</v>
      </c>
      <c r="B150" s="17" t="s">
        <v>69</v>
      </c>
      <c r="C150" s="83" t="s">
        <v>70</v>
      </c>
      <c r="D150" s="55"/>
      <c r="E150" s="6">
        <v>3</v>
      </c>
      <c r="F150" s="6">
        <v>1</v>
      </c>
      <c r="G150" s="6">
        <v>3</v>
      </c>
      <c r="H150" s="6">
        <v>1</v>
      </c>
      <c r="I150" s="6">
        <v>0</v>
      </c>
      <c r="J150" s="6">
        <v>3</v>
      </c>
      <c r="K150" s="6">
        <v>4</v>
      </c>
      <c r="L150" s="6">
        <v>1</v>
      </c>
      <c r="M150" s="6">
        <v>0</v>
      </c>
      <c r="N150" s="6">
        <v>2</v>
      </c>
      <c r="O150" s="6">
        <v>3</v>
      </c>
      <c r="P150" s="6">
        <v>1</v>
      </c>
      <c r="Q150" s="6">
        <v>1</v>
      </c>
      <c r="R150" s="6">
        <v>5</v>
      </c>
      <c r="S150" s="6">
        <v>2</v>
      </c>
      <c r="T150" s="6">
        <v>1</v>
      </c>
      <c r="U150" s="6">
        <v>0</v>
      </c>
      <c r="V150" s="6">
        <v>5</v>
      </c>
      <c r="W150" s="6">
        <v>2</v>
      </c>
      <c r="X150" s="6">
        <v>1</v>
      </c>
      <c r="Y150" s="6">
        <v>3</v>
      </c>
      <c r="Z150" s="6">
        <v>0</v>
      </c>
      <c r="AA150" s="6">
        <v>0</v>
      </c>
      <c r="AB150" s="6">
        <v>0</v>
      </c>
      <c r="AC150" s="6">
        <v>5</v>
      </c>
      <c r="AD150" s="6">
        <v>1</v>
      </c>
      <c r="AE150" s="6">
        <v>2</v>
      </c>
      <c r="AF150" s="6">
        <v>3</v>
      </c>
      <c r="AG150" s="6">
        <v>1</v>
      </c>
      <c r="AH150" s="6">
        <v>2</v>
      </c>
      <c r="AI150" s="6">
        <v>1</v>
      </c>
      <c r="AJ150" s="6">
        <v>1</v>
      </c>
      <c r="AK150" s="6">
        <v>2</v>
      </c>
      <c r="AL150" s="6">
        <v>0</v>
      </c>
      <c r="AM150" s="6">
        <v>3</v>
      </c>
      <c r="AN150" s="6">
        <v>0</v>
      </c>
      <c r="AO150" s="6">
        <v>2</v>
      </c>
      <c r="AP150" s="6">
        <v>1</v>
      </c>
      <c r="AQ150" s="6">
        <v>1</v>
      </c>
      <c r="AR150" s="6">
        <v>1</v>
      </c>
      <c r="AS150" s="6">
        <v>3</v>
      </c>
      <c r="AT150" s="6">
        <v>3</v>
      </c>
      <c r="AU150" s="6">
        <v>0</v>
      </c>
      <c r="AV150" s="5">
        <f t="shared" ref="AV150:AV159" si="50">SUM(E150:AU150)</f>
        <v>74</v>
      </c>
    </row>
    <row r="151" spans="1:48" x14ac:dyDescent="0.4">
      <c r="A151" s="11" t="s">
        <v>50</v>
      </c>
      <c r="B151" s="47"/>
      <c r="C151" s="24" t="s">
        <v>182</v>
      </c>
      <c r="D151" s="45"/>
      <c r="E151" s="6">
        <v>0</v>
      </c>
      <c r="F151" s="6">
        <v>3</v>
      </c>
      <c r="G151" s="6">
        <v>0</v>
      </c>
      <c r="H151" s="6">
        <v>2</v>
      </c>
      <c r="I151" s="6">
        <v>1</v>
      </c>
      <c r="J151" s="6">
        <v>4</v>
      </c>
      <c r="K151" s="6">
        <v>5</v>
      </c>
      <c r="L151" s="6">
        <v>1</v>
      </c>
      <c r="M151" s="6">
        <v>2</v>
      </c>
      <c r="N151" s="6">
        <v>1</v>
      </c>
      <c r="O151" s="6">
        <v>1</v>
      </c>
      <c r="P151" s="6">
        <v>0</v>
      </c>
      <c r="Q151" s="6">
        <v>6</v>
      </c>
      <c r="R151" s="6">
        <v>0</v>
      </c>
      <c r="S151" s="6">
        <v>2</v>
      </c>
      <c r="T151" s="6">
        <v>2</v>
      </c>
      <c r="U151" s="6">
        <v>1</v>
      </c>
      <c r="V151" s="6">
        <v>1</v>
      </c>
      <c r="W151" s="6">
        <v>2</v>
      </c>
      <c r="X151" s="6">
        <v>0</v>
      </c>
      <c r="Y151" s="6">
        <v>20</v>
      </c>
      <c r="Z151" s="6">
        <v>17</v>
      </c>
      <c r="AA151" s="6">
        <v>7</v>
      </c>
      <c r="AB151" s="6">
        <v>1</v>
      </c>
      <c r="AC151" s="6">
        <v>2</v>
      </c>
      <c r="AD151" s="6">
        <v>15</v>
      </c>
      <c r="AE151" s="6">
        <v>9</v>
      </c>
      <c r="AF151" s="6">
        <v>6</v>
      </c>
      <c r="AG151" s="6">
        <v>4</v>
      </c>
      <c r="AH151" s="6">
        <v>0</v>
      </c>
      <c r="AI151" s="6">
        <v>2</v>
      </c>
      <c r="AJ151" s="6">
        <v>4</v>
      </c>
      <c r="AK151" s="6">
        <v>3</v>
      </c>
      <c r="AL151" s="6">
        <v>2</v>
      </c>
      <c r="AM151" s="6">
        <v>2</v>
      </c>
      <c r="AN151" s="6">
        <v>2</v>
      </c>
      <c r="AO151" s="6">
        <v>1</v>
      </c>
      <c r="AP151" s="6">
        <v>3</v>
      </c>
      <c r="AQ151" s="6">
        <v>8</v>
      </c>
      <c r="AR151" s="6">
        <v>0</v>
      </c>
      <c r="AS151" s="6">
        <v>1</v>
      </c>
      <c r="AT151" s="6">
        <v>5</v>
      </c>
      <c r="AU151" s="6">
        <v>0</v>
      </c>
      <c r="AV151" s="5">
        <f t="shared" si="50"/>
        <v>148</v>
      </c>
    </row>
    <row r="152" spans="1:48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1</v>
      </c>
      <c r="H152" s="6">
        <v>0</v>
      </c>
      <c r="I152" s="6">
        <v>1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1</v>
      </c>
      <c r="W152" s="6">
        <v>0</v>
      </c>
      <c r="X152" s="6">
        <v>0</v>
      </c>
      <c r="Y152" s="6">
        <v>1</v>
      </c>
      <c r="Z152" s="6">
        <v>1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1</v>
      </c>
      <c r="AH152" s="6">
        <v>0</v>
      </c>
      <c r="AI152" s="6">
        <v>0</v>
      </c>
      <c r="AJ152" s="6">
        <v>0</v>
      </c>
      <c r="AK152" s="6">
        <v>1</v>
      </c>
      <c r="AL152" s="6">
        <v>1</v>
      </c>
      <c r="AM152" s="6">
        <v>0</v>
      </c>
      <c r="AN152" s="6">
        <v>1</v>
      </c>
      <c r="AO152" s="6">
        <v>0</v>
      </c>
      <c r="AP152" s="6">
        <v>1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5">
        <f t="shared" si="50"/>
        <v>11</v>
      </c>
    </row>
    <row r="153" spans="1:48" x14ac:dyDescent="0.4">
      <c r="A153" s="7"/>
      <c r="B153" s="47"/>
      <c r="C153" s="24" t="s">
        <v>184</v>
      </c>
      <c r="D153" s="45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1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2</v>
      </c>
      <c r="R153" s="6">
        <v>0</v>
      </c>
      <c r="S153" s="6">
        <v>0</v>
      </c>
      <c r="T153" s="6">
        <v>1</v>
      </c>
      <c r="U153" s="6">
        <v>1</v>
      </c>
      <c r="V153" s="6">
        <v>0</v>
      </c>
      <c r="W153" s="6">
        <v>1</v>
      </c>
      <c r="X153" s="6">
        <v>1</v>
      </c>
      <c r="Y153" s="6">
        <v>1</v>
      </c>
      <c r="Z153" s="6">
        <v>2</v>
      </c>
      <c r="AA153" s="6">
        <v>1</v>
      </c>
      <c r="AB153" s="6">
        <v>2</v>
      </c>
      <c r="AC153" s="6">
        <v>2</v>
      </c>
      <c r="AD153" s="6">
        <v>1</v>
      </c>
      <c r="AE153" s="6">
        <v>1</v>
      </c>
      <c r="AF153" s="6">
        <v>0</v>
      </c>
      <c r="AG153" s="6">
        <v>1</v>
      </c>
      <c r="AH153" s="6">
        <v>0</v>
      </c>
      <c r="AI153" s="6">
        <v>2</v>
      </c>
      <c r="AJ153" s="6">
        <v>0</v>
      </c>
      <c r="AK153" s="6">
        <v>0</v>
      </c>
      <c r="AL153" s="6">
        <v>2</v>
      </c>
      <c r="AM153" s="6">
        <v>1</v>
      </c>
      <c r="AN153" s="6">
        <v>0</v>
      </c>
      <c r="AO153" s="6">
        <v>1</v>
      </c>
      <c r="AP153" s="6">
        <v>2</v>
      </c>
      <c r="AQ153" s="6">
        <v>1</v>
      </c>
      <c r="AR153" s="6">
        <v>1</v>
      </c>
      <c r="AS153" s="6">
        <v>0</v>
      </c>
      <c r="AT153" s="6">
        <v>1</v>
      </c>
      <c r="AU153" s="6">
        <v>1</v>
      </c>
      <c r="AV153" s="5">
        <f t="shared" si="50"/>
        <v>32</v>
      </c>
    </row>
    <row r="154" spans="1:48" x14ac:dyDescent="0.4">
      <c r="A154" s="7"/>
      <c r="B154" s="47"/>
      <c r="C154" s="24" t="s">
        <v>185</v>
      </c>
      <c r="D154" s="45"/>
      <c r="E154" s="6">
        <v>1</v>
      </c>
      <c r="F154" s="6">
        <v>2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  <c r="M154" s="6">
        <v>1</v>
      </c>
      <c r="N154" s="6">
        <v>0</v>
      </c>
      <c r="O154" s="6">
        <v>1</v>
      </c>
      <c r="P154" s="6">
        <v>0</v>
      </c>
      <c r="Q154" s="6">
        <v>0</v>
      </c>
      <c r="R154" s="6">
        <v>1</v>
      </c>
      <c r="S154" s="6">
        <v>1</v>
      </c>
      <c r="T154" s="6">
        <v>1</v>
      </c>
      <c r="U154" s="6">
        <v>0</v>
      </c>
      <c r="V154" s="6">
        <v>0</v>
      </c>
      <c r="W154" s="6">
        <v>0</v>
      </c>
      <c r="X154" s="6">
        <v>0</v>
      </c>
      <c r="Y154" s="6">
        <v>2</v>
      </c>
      <c r="Z154" s="6">
        <v>0</v>
      </c>
      <c r="AA154" s="6">
        <v>2</v>
      </c>
      <c r="AB154" s="6">
        <v>1</v>
      </c>
      <c r="AC154" s="6">
        <v>1</v>
      </c>
      <c r="AD154" s="6">
        <v>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1</v>
      </c>
      <c r="AK154" s="6">
        <v>0</v>
      </c>
      <c r="AL154" s="6">
        <v>0</v>
      </c>
      <c r="AM154" s="6">
        <v>1</v>
      </c>
      <c r="AN154" s="6">
        <v>2</v>
      </c>
      <c r="AO154" s="6">
        <v>2</v>
      </c>
      <c r="AP154" s="6">
        <v>1</v>
      </c>
      <c r="AQ154" s="6">
        <v>7</v>
      </c>
      <c r="AR154" s="6">
        <v>1</v>
      </c>
      <c r="AS154" s="6">
        <v>1</v>
      </c>
      <c r="AT154" s="6">
        <v>0</v>
      </c>
      <c r="AU154" s="6">
        <v>0</v>
      </c>
      <c r="AV154" s="5">
        <f t="shared" si="50"/>
        <v>33</v>
      </c>
    </row>
    <row r="155" spans="1:48" x14ac:dyDescent="0.4">
      <c r="A155" s="7"/>
      <c r="B155" s="47"/>
      <c r="C155" s="24" t="s">
        <v>186</v>
      </c>
      <c r="D155" s="45"/>
      <c r="E155" s="6">
        <v>0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2</v>
      </c>
      <c r="AH155" s="6">
        <v>0</v>
      </c>
      <c r="AI155" s="6">
        <v>1</v>
      </c>
      <c r="AJ155" s="6">
        <v>0</v>
      </c>
      <c r="AK155" s="6">
        <v>0</v>
      </c>
      <c r="AL155" s="6">
        <v>0</v>
      </c>
      <c r="AM155" s="6">
        <v>1</v>
      </c>
      <c r="AN155" s="6">
        <v>0</v>
      </c>
      <c r="AO155" s="6">
        <v>0</v>
      </c>
      <c r="AP155" s="6">
        <v>1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5">
        <f t="shared" si="50"/>
        <v>10</v>
      </c>
    </row>
    <row r="156" spans="1:48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1</v>
      </c>
      <c r="AV156" s="5">
        <f t="shared" si="50"/>
        <v>5</v>
      </c>
    </row>
    <row r="157" spans="1:48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5">
        <f t="shared" si="50"/>
        <v>0</v>
      </c>
    </row>
    <row r="158" spans="1:48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6">
        <v>1</v>
      </c>
      <c r="V158" s="6">
        <v>0</v>
      </c>
      <c r="W158" s="6">
        <v>1</v>
      </c>
      <c r="X158" s="6">
        <v>0</v>
      </c>
      <c r="Y158" s="6">
        <v>1</v>
      </c>
      <c r="Z158" s="6">
        <v>1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1</v>
      </c>
      <c r="AG158" s="6">
        <v>0</v>
      </c>
      <c r="AH158" s="6">
        <v>0</v>
      </c>
      <c r="AI158" s="6">
        <v>1</v>
      </c>
      <c r="AJ158" s="6">
        <v>0</v>
      </c>
      <c r="AK158" s="6">
        <v>0</v>
      </c>
      <c r="AL158" s="6">
        <v>1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5">
        <f t="shared" si="50"/>
        <v>9</v>
      </c>
    </row>
    <row r="159" spans="1:48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1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5">
        <f t="shared" si="50"/>
        <v>2</v>
      </c>
    </row>
    <row r="160" spans="1:48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:AG160" si="51">SUM(E150:E159)</f>
        <v>4</v>
      </c>
      <c r="F160" s="6">
        <f t="shared" ref="F160:S160" si="52">SUM(F150:F159)</f>
        <v>7</v>
      </c>
      <c r="G160" s="6">
        <f t="shared" si="52"/>
        <v>5</v>
      </c>
      <c r="H160" s="6">
        <f t="shared" si="52"/>
        <v>3</v>
      </c>
      <c r="I160" s="6">
        <f t="shared" si="52"/>
        <v>4</v>
      </c>
      <c r="J160" s="6">
        <f t="shared" si="52"/>
        <v>9</v>
      </c>
      <c r="K160" s="6">
        <f t="shared" si="52"/>
        <v>10</v>
      </c>
      <c r="L160" s="6">
        <f t="shared" si="52"/>
        <v>5</v>
      </c>
      <c r="M160" s="6">
        <f t="shared" si="52"/>
        <v>4</v>
      </c>
      <c r="N160" s="6">
        <f t="shared" si="52"/>
        <v>3</v>
      </c>
      <c r="O160" s="6">
        <f t="shared" si="52"/>
        <v>5</v>
      </c>
      <c r="P160" s="6">
        <f t="shared" si="52"/>
        <v>2</v>
      </c>
      <c r="Q160" s="6">
        <f t="shared" si="52"/>
        <v>9</v>
      </c>
      <c r="R160" s="6">
        <f t="shared" si="52"/>
        <v>6</v>
      </c>
      <c r="S160" s="6">
        <f t="shared" si="52"/>
        <v>6</v>
      </c>
      <c r="T160" s="6">
        <f t="shared" si="51"/>
        <v>5</v>
      </c>
      <c r="U160" s="6">
        <f t="shared" si="51"/>
        <v>3</v>
      </c>
      <c r="V160" s="6">
        <f t="shared" si="51"/>
        <v>7</v>
      </c>
      <c r="W160" s="6">
        <f t="shared" si="51"/>
        <v>6</v>
      </c>
      <c r="X160" s="6">
        <f t="shared" si="51"/>
        <v>3</v>
      </c>
      <c r="Y160" s="6">
        <f t="shared" si="51"/>
        <v>29</v>
      </c>
      <c r="Z160" s="6">
        <f t="shared" si="51"/>
        <v>21</v>
      </c>
      <c r="AA160" s="6">
        <f t="shared" si="51"/>
        <v>10</v>
      </c>
      <c r="AB160" s="6">
        <f t="shared" si="51"/>
        <v>4</v>
      </c>
      <c r="AC160" s="6">
        <f t="shared" si="51"/>
        <v>10</v>
      </c>
      <c r="AD160" s="6">
        <f t="shared" si="51"/>
        <v>18</v>
      </c>
      <c r="AE160" s="6">
        <f t="shared" si="51"/>
        <v>13</v>
      </c>
      <c r="AF160" s="6">
        <f t="shared" si="51"/>
        <v>10</v>
      </c>
      <c r="AG160" s="6">
        <f t="shared" si="51"/>
        <v>10</v>
      </c>
      <c r="AH160" s="6">
        <f t="shared" ref="AH160" si="53">SUM(AH150:AH159)</f>
        <v>2</v>
      </c>
      <c r="AI160" s="6">
        <f t="shared" ref="AI160" si="54">SUM(AI150:AI159)</f>
        <v>7</v>
      </c>
      <c r="AJ160" s="6">
        <f t="shared" ref="AJ160" si="55">SUM(AJ150:AJ159)</f>
        <v>6</v>
      </c>
      <c r="AK160" s="6">
        <f t="shared" ref="AK160" si="56">SUM(AK150:AK159)</f>
        <v>7</v>
      </c>
      <c r="AL160" s="6">
        <f t="shared" ref="AL160" si="57">SUM(AL150:AL159)</f>
        <v>6</v>
      </c>
      <c r="AM160" s="6">
        <f t="shared" ref="AM160" si="58">SUM(AM150:AM159)</f>
        <v>8</v>
      </c>
      <c r="AN160" s="6">
        <f t="shared" ref="AN160" si="59">SUM(AN150:AN159)</f>
        <v>6</v>
      </c>
      <c r="AO160" s="6">
        <f t="shared" ref="AO160" si="60">SUM(AO150:AO159)</f>
        <v>6</v>
      </c>
      <c r="AP160" s="6">
        <f t="shared" ref="AP160" si="61">SUM(AP150:AP159)</f>
        <v>9</v>
      </c>
      <c r="AQ160" s="6">
        <f t="shared" ref="AQ160" si="62">SUM(AQ150:AQ159)</f>
        <v>17</v>
      </c>
      <c r="AR160" s="6">
        <f t="shared" ref="AR160" si="63">SUM(AR150:AR159)</f>
        <v>3</v>
      </c>
      <c r="AS160" s="6">
        <f t="shared" ref="AS160" si="64">SUM(AS150:AS159)</f>
        <v>5</v>
      </c>
      <c r="AT160" s="6">
        <f t="shared" ref="AT160" si="65">SUM(AT150:AT159)</f>
        <v>9</v>
      </c>
      <c r="AU160" s="6">
        <f t="shared" ref="AU160" si="66">SUM(AU150:AU159)</f>
        <v>2</v>
      </c>
      <c r="AV160" s="6">
        <f t="shared" ref="AV160" si="67">SUM(AV150:AV159)</f>
        <v>324</v>
      </c>
    </row>
    <row r="161" spans="1:48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T161" s="18"/>
      <c r="U161" s="18"/>
      <c r="V161" s="18"/>
      <c r="W161" s="18"/>
      <c r="X161" s="18"/>
      <c r="Y161" s="18"/>
      <c r="Z161" s="18"/>
      <c r="AA161" s="18"/>
      <c r="AB161" s="18"/>
      <c r="AH161" s="18"/>
      <c r="AI161" s="18"/>
      <c r="AJ161" s="18"/>
      <c r="AK161" s="18"/>
      <c r="AL161" s="18"/>
      <c r="AM161" s="18"/>
      <c r="AN161" s="18"/>
      <c r="AO161" s="18"/>
      <c r="AP161" s="18"/>
      <c r="AV161" s="5"/>
    </row>
    <row r="162" spans="1:48" x14ac:dyDescent="0.4">
      <c r="A162" s="11" t="s">
        <v>48</v>
      </c>
      <c r="B162" s="17" t="s">
        <v>71</v>
      </c>
      <c r="C162" s="83" t="s">
        <v>72</v>
      </c>
      <c r="D162" s="55"/>
      <c r="E162" s="6">
        <v>1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1</v>
      </c>
      <c r="S162" s="6">
        <v>0</v>
      </c>
      <c r="T162" s="6">
        <v>0</v>
      </c>
      <c r="U162" s="6">
        <v>0</v>
      </c>
      <c r="V162" s="6">
        <v>1</v>
      </c>
      <c r="W162" s="6">
        <v>0</v>
      </c>
      <c r="X162" s="6">
        <v>2</v>
      </c>
      <c r="Y162" s="6">
        <v>0</v>
      </c>
      <c r="Z162" s="6">
        <v>0</v>
      </c>
      <c r="AA162" s="6">
        <v>0</v>
      </c>
      <c r="AB162" s="6">
        <v>0</v>
      </c>
      <c r="AC162" s="6">
        <v>1</v>
      </c>
      <c r="AD162" s="6">
        <v>0</v>
      </c>
      <c r="AE162" s="6">
        <v>0</v>
      </c>
      <c r="AF162" s="6">
        <v>1</v>
      </c>
      <c r="AG162" s="6">
        <v>0</v>
      </c>
      <c r="AH162" s="6">
        <v>1</v>
      </c>
      <c r="AI162" s="6">
        <v>0</v>
      </c>
      <c r="AJ162" s="6">
        <v>0</v>
      </c>
      <c r="AK162" s="6">
        <v>0</v>
      </c>
      <c r="AL162" s="6">
        <v>1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1</v>
      </c>
      <c r="AS162" s="6">
        <v>0</v>
      </c>
      <c r="AT162" s="6">
        <v>0</v>
      </c>
      <c r="AU162" s="6">
        <v>0</v>
      </c>
      <c r="AV162" s="5">
        <f t="shared" ref="AV162:AV171" si="68">SUM(E162:AU162)</f>
        <v>10</v>
      </c>
    </row>
    <row r="163" spans="1:48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1</v>
      </c>
      <c r="S163" s="6">
        <v>0</v>
      </c>
      <c r="T163" s="6">
        <v>0</v>
      </c>
      <c r="U163" s="6">
        <v>0</v>
      </c>
      <c r="V163" s="6">
        <v>0</v>
      </c>
      <c r="W163" s="6">
        <v>1</v>
      </c>
      <c r="X163" s="6">
        <v>0</v>
      </c>
      <c r="Y163" s="6">
        <v>0</v>
      </c>
      <c r="Z163" s="6">
        <v>0</v>
      </c>
      <c r="AA163" s="6">
        <v>2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1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4</v>
      </c>
      <c r="AP163" s="6">
        <v>0</v>
      </c>
      <c r="AQ163" s="6">
        <v>0</v>
      </c>
      <c r="AR163" s="6">
        <v>1</v>
      </c>
      <c r="AS163" s="6">
        <v>0</v>
      </c>
      <c r="AT163" s="6">
        <v>0</v>
      </c>
      <c r="AU163" s="6">
        <v>0</v>
      </c>
      <c r="AV163" s="5">
        <f t="shared" si="68"/>
        <v>10</v>
      </c>
    </row>
    <row r="164" spans="1:48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1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1</v>
      </c>
      <c r="T164" s="6">
        <v>0</v>
      </c>
      <c r="U164" s="6">
        <v>0</v>
      </c>
      <c r="V164" s="6">
        <v>0</v>
      </c>
      <c r="W164" s="6">
        <v>2</v>
      </c>
      <c r="X164" s="6">
        <v>0</v>
      </c>
      <c r="Y164" s="6">
        <v>0</v>
      </c>
      <c r="Z164" s="6">
        <v>0</v>
      </c>
      <c r="AA164" s="6">
        <v>0</v>
      </c>
      <c r="AB164" s="6">
        <v>2</v>
      </c>
      <c r="AC164" s="6">
        <v>0</v>
      </c>
      <c r="AD164" s="6">
        <v>0</v>
      </c>
      <c r="AE164" s="6">
        <v>1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1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5">
        <f t="shared" si="68"/>
        <v>9</v>
      </c>
    </row>
    <row r="165" spans="1:48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5">
        <f t="shared" si="68"/>
        <v>1</v>
      </c>
    </row>
    <row r="166" spans="1:48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5">
        <f t="shared" si="68"/>
        <v>0</v>
      </c>
    </row>
    <row r="167" spans="1:48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1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5">
        <f t="shared" si="68"/>
        <v>2</v>
      </c>
    </row>
    <row r="168" spans="1:48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5">
        <f t="shared" si="68"/>
        <v>1</v>
      </c>
    </row>
    <row r="169" spans="1:48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5">
        <f t="shared" si="68"/>
        <v>0</v>
      </c>
    </row>
    <row r="170" spans="1:48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5">
        <f t="shared" si="68"/>
        <v>1</v>
      </c>
    </row>
    <row r="171" spans="1:48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1</v>
      </c>
      <c r="AV171" s="5">
        <f t="shared" si="68"/>
        <v>2</v>
      </c>
    </row>
    <row r="172" spans="1:48" x14ac:dyDescent="0.4">
      <c r="A172" s="6" t="s">
        <v>26</v>
      </c>
      <c r="B172" s="74" t="s">
        <v>51</v>
      </c>
      <c r="C172" s="84"/>
      <c r="D172" s="85"/>
      <c r="E172" s="6">
        <f t="shared" ref="E172:AG172" si="69">SUM(E162:E171)</f>
        <v>1</v>
      </c>
      <c r="F172" s="6">
        <f t="shared" ref="F172:S172" si="70">SUM(F162:F171)</f>
        <v>0</v>
      </c>
      <c r="G172" s="6">
        <f t="shared" si="70"/>
        <v>0</v>
      </c>
      <c r="H172" s="6">
        <f t="shared" si="70"/>
        <v>0</v>
      </c>
      <c r="I172" s="6">
        <f t="shared" si="70"/>
        <v>0</v>
      </c>
      <c r="J172" s="6">
        <f t="shared" si="70"/>
        <v>1</v>
      </c>
      <c r="K172" s="6">
        <f t="shared" si="70"/>
        <v>3</v>
      </c>
      <c r="L172" s="6">
        <f t="shared" si="70"/>
        <v>1</v>
      </c>
      <c r="M172" s="6">
        <f t="shared" si="70"/>
        <v>0</v>
      </c>
      <c r="N172" s="6">
        <f t="shared" si="70"/>
        <v>0</v>
      </c>
      <c r="O172" s="6">
        <f t="shared" si="70"/>
        <v>1</v>
      </c>
      <c r="P172" s="6">
        <f t="shared" si="70"/>
        <v>0</v>
      </c>
      <c r="Q172" s="6">
        <f t="shared" si="70"/>
        <v>0</v>
      </c>
      <c r="R172" s="6">
        <f t="shared" si="70"/>
        <v>2</v>
      </c>
      <c r="S172" s="6">
        <f t="shared" si="70"/>
        <v>1</v>
      </c>
      <c r="T172" s="6">
        <f t="shared" si="69"/>
        <v>0</v>
      </c>
      <c r="U172" s="6">
        <f t="shared" si="69"/>
        <v>0</v>
      </c>
      <c r="V172" s="6">
        <f t="shared" si="69"/>
        <v>2</v>
      </c>
      <c r="W172" s="6">
        <f t="shared" si="69"/>
        <v>3</v>
      </c>
      <c r="X172" s="6">
        <f t="shared" si="69"/>
        <v>2</v>
      </c>
      <c r="Y172" s="6">
        <f t="shared" si="69"/>
        <v>0</v>
      </c>
      <c r="Z172" s="6">
        <f t="shared" si="69"/>
        <v>0</v>
      </c>
      <c r="AA172" s="6">
        <f t="shared" si="69"/>
        <v>2</v>
      </c>
      <c r="AB172" s="6">
        <f t="shared" si="69"/>
        <v>2</v>
      </c>
      <c r="AC172" s="6">
        <f t="shared" si="69"/>
        <v>1</v>
      </c>
      <c r="AD172" s="6">
        <f t="shared" si="69"/>
        <v>0</v>
      </c>
      <c r="AE172" s="6">
        <f t="shared" si="69"/>
        <v>1</v>
      </c>
      <c r="AF172" s="6">
        <f t="shared" si="69"/>
        <v>1</v>
      </c>
      <c r="AG172" s="6">
        <f t="shared" si="69"/>
        <v>0</v>
      </c>
      <c r="AH172" s="6">
        <f t="shared" ref="AH172:AU172" si="71">SUM(AH162:AH171)</f>
        <v>2</v>
      </c>
      <c r="AI172" s="6">
        <f t="shared" si="71"/>
        <v>1</v>
      </c>
      <c r="AJ172" s="6">
        <f t="shared" si="71"/>
        <v>0</v>
      </c>
      <c r="AK172" s="6">
        <f t="shared" si="71"/>
        <v>1</v>
      </c>
      <c r="AL172" s="6">
        <f t="shared" si="71"/>
        <v>1</v>
      </c>
      <c r="AM172" s="6">
        <f t="shared" si="71"/>
        <v>0</v>
      </c>
      <c r="AN172" s="6">
        <f t="shared" si="71"/>
        <v>0</v>
      </c>
      <c r="AO172" s="6">
        <f t="shared" si="71"/>
        <v>4</v>
      </c>
      <c r="AP172" s="6">
        <f t="shared" si="71"/>
        <v>0</v>
      </c>
      <c r="AQ172" s="6">
        <f t="shared" si="71"/>
        <v>0</v>
      </c>
      <c r="AR172" s="6">
        <f t="shared" si="71"/>
        <v>2</v>
      </c>
      <c r="AS172" s="6">
        <f t="shared" si="71"/>
        <v>0</v>
      </c>
      <c r="AT172" s="6">
        <f t="shared" si="71"/>
        <v>0</v>
      </c>
      <c r="AU172" s="6">
        <f t="shared" si="71"/>
        <v>1</v>
      </c>
      <c r="AV172" s="6">
        <f t="shared" ref="AV172" si="72">SUM(AV162:AV171)</f>
        <v>36</v>
      </c>
    </row>
    <row r="173" spans="1:48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</row>
    <row r="174" spans="1:48" x14ac:dyDescent="0.4">
      <c r="A174" s="11" t="s">
        <v>48</v>
      </c>
      <c r="B174" s="17" t="s">
        <v>73</v>
      </c>
      <c r="C174" s="83" t="s">
        <v>74</v>
      </c>
      <c r="D174" s="55"/>
      <c r="E174" s="6">
        <v>1</v>
      </c>
      <c r="F174" s="6">
        <v>3</v>
      </c>
      <c r="G174" s="6">
        <v>4</v>
      </c>
      <c r="H174" s="6">
        <v>3</v>
      </c>
      <c r="I174" s="6">
        <v>1</v>
      </c>
      <c r="J174" s="6">
        <v>4</v>
      </c>
      <c r="K174" s="6">
        <v>4</v>
      </c>
      <c r="L174" s="6">
        <v>1</v>
      </c>
      <c r="M174" s="6">
        <v>7</v>
      </c>
      <c r="N174" s="6">
        <v>4</v>
      </c>
      <c r="O174" s="6">
        <v>5</v>
      </c>
      <c r="P174" s="6">
        <v>5</v>
      </c>
      <c r="Q174" s="6">
        <v>4</v>
      </c>
      <c r="R174" s="6">
        <v>5</v>
      </c>
      <c r="S174" s="6">
        <v>6</v>
      </c>
      <c r="T174" s="6">
        <v>13</v>
      </c>
      <c r="U174" s="6">
        <v>4</v>
      </c>
      <c r="V174" s="6">
        <v>4</v>
      </c>
      <c r="W174" s="6">
        <v>3</v>
      </c>
      <c r="X174" s="6">
        <v>3</v>
      </c>
      <c r="Y174" s="6">
        <v>2</v>
      </c>
      <c r="Z174" s="6">
        <v>2</v>
      </c>
      <c r="AA174" s="6">
        <v>1</v>
      </c>
      <c r="AB174" s="6">
        <v>2</v>
      </c>
      <c r="AC174" s="6">
        <v>7</v>
      </c>
      <c r="AD174" s="6">
        <v>0</v>
      </c>
      <c r="AE174" s="6">
        <v>1</v>
      </c>
      <c r="AF174" s="6">
        <v>3</v>
      </c>
      <c r="AG174" s="6">
        <v>2</v>
      </c>
      <c r="AH174" s="6">
        <v>3</v>
      </c>
      <c r="AI174" s="6">
        <v>2</v>
      </c>
      <c r="AJ174" s="6">
        <v>3</v>
      </c>
      <c r="AK174" s="6">
        <v>7</v>
      </c>
      <c r="AL174" s="6">
        <v>6</v>
      </c>
      <c r="AM174" s="6">
        <v>5</v>
      </c>
      <c r="AN174" s="6">
        <v>5</v>
      </c>
      <c r="AO174" s="6">
        <v>3</v>
      </c>
      <c r="AP174" s="6">
        <v>3</v>
      </c>
      <c r="AQ174" s="6">
        <v>4</v>
      </c>
      <c r="AR174" s="6">
        <v>2</v>
      </c>
      <c r="AS174" s="6">
        <v>3</v>
      </c>
      <c r="AT174" s="6">
        <v>10</v>
      </c>
      <c r="AU174" s="6">
        <v>4</v>
      </c>
      <c r="AV174" s="5">
        <f t="shared" ref="AV174:AV183" si="73">SUM(E174:AU174)</f>
        <v>164</v>
      </c>
    </row>
    <row r="175" spans="1:48" x14ac:dyDescent="0.4">
      <c r="A175" s="11" t="s">
        <v>50</v>
      </c>
      <c r="B175" s="47"/>
      <c r="C175" s="24" t="s">
        <v>200</v>
      </c>
      <c r="D175" s="45"/>
      <c r="E175" s="6">
        <v>1</v>
      </c>
      <c r="F175" s="6">
        <v>1</v>
      </c>
      <c r="G175" s="6">
        <v>2</v>
      </c>
      <c r="H175" s="6">
        <v>1</v>
      </c>
      <c r="I175" s="6">
        <v>1</v>
      </c>
      <c r="J175" s="6">
        <v>2</v>
      </c>
      <c r="K175" s="6">
        <v>6</v>
      </c>
      <c r="L175" s="6">
        <v>1</v>
      </c>
      <c r="M175" s="6">
        <v>2</v>
      </c>
      <c r="N175" s="6">
        <v>6</v>
      </c>
      <c r="O175" s="6">
        <v>5</v>
      </c>
      <c r="P175" s="6">
        <v>5</v>
      </c>
      <c r="Q175" s="6">
        <v>1</v>
      </c>
      <c r="R175" s="6">
        <v>4</v>
      </c>
      <c r="S175" s="6">
        <v>3</v>
      </c>
      <c r="T175" s="6">
        <v>8</v>
      </c>
      <c r="U175" s="6">
        <v>1</v>
      </c>
      <c r="V175" s="6">
        <v>2</v>
      </c>
      <c r="W175" s="6">
        <v>2</v>
      </c>
      <c r="X175" s="6">
        <v>2</v>
      </c>
      <c r="Y175" s="6">
        <v>5</v>
      </c>
      <c r="Z175" s="6">
        <v>3</v>
      </c>
      <c r="AA175" s="6">
        <v>6</v>
      </c>
      <c r="AB175" s="6">
        <v>38</v>
      </c>
      <c r="AC175" s="6">
        <v>23</v>
      </c>
      <c r="AD175" s="6">
        <v>4</v>
      </c>
      <c r="AE175" s="6">
        <v>3</v>
      </c>
      <c r="AF175" s="6">
        <v>7</v>
      </c>
      <c r="AG175" s="6">
        <v>10</v>
      </c>
      <c r="AH175" s="6">
        <v>3</v>
      </c>
      <c r="AI175" s="6">
        <v>3</v>
      </c>
      <c r="AJ175" s="6">
        <v>5</v>
      </c>
      <c r="AK175" s="6">
        <v>1</v>
      </c>
      <c r="AL175" s="6">
        <v>5</v>
      </c>
      <c r="AM175" s="6">
        <v>2</v>
      </c>
      <c r="AN175" s="6">
        <v>9</v>
      </c>
      <c r="AO175" s="6">
        <v>5</v>
      </c>
      <c r="AP175" s="6">
        <v>7</v>
      </c>
      <c r="AQ175" s="6">
        <v>5</v>
      </c>
      <c r="AR175" s="6">
        <v>7</v>
      </c>
      <c r="AS175" s="6">
        <v>6</v>
      </c>
      <c r="AT175" s="6">
        <v>1</v>
      </c>
      <c r="AU175" s="6">
        <v>1</v>
      </c>
      <c r="AV175" s="5">
        <f t="shared" si="73"/>
        <v>215</v>
      </c>
    </row>
    <row r="176" spans="1:48" x14ac:dyDescent="0.4">
      <c r="A176" s="7"/>
      <c r="B176" s="47"/>
      <c r="C176" s="24" t="s">
        <v>201</v>
      </c>
      <c r="D176" s="45"/>
      <c r="E176" s="6">
        <v>1</v>
      </c>
      <c r="F176" s="6">
        <v>2</v>
      </c>
      <c r="G176" s="6">
        <v>3</v>
      </c>
      <c r="H176" s="6">
        <v>1</v>
      </c>
      <c r="I176" s="6">
        <v>3</v>
      </c>
      <c r="J176" s="6">
        <v>1</v>
      </c>
      <c r="K176" s="6">
        <v>0</v>
      </c>
      <c r="L176" s="6">
        <v>2</v>
      </c>
      <c r="M176" s="6">
        <v>2</v>
      </c>
      <c r="N176" s="6">
        <v>1</v>
      </c>
      <c r="O176" s="6">
        <v>3</v>
      </c>
      <c r="P176" s="6">
        <v>5</v>
      </c>
      <c r="Q176" s="6">
        <v>4</v>
      </c>
      <c r="R176" s="6">
        <v>2</v>
      </c>
      <c r="S176" s="6">
        <v>10</v>
      </c>
      <c r="T176" s="6">
        <v>10</v>
      </c>
      <c r="U176" s="6">
        <v>4</v>
      </c>
      <c r="V176" s="6">
        <v>2</v>
      </c>
      <c r="W176" s="6">
        <v>0</v>
      </c>
      <c r="X176" s="6">
        <v>0</v>
      </c>
      <c r="Y176" s="6">
        <v>3</v>
      </c>
      <c r="Z176" s="6">
        <v>0</v>
      </c>
      <c r="AA176" s="6">
        <v>1</v>
      </c>
      <c r="AB176" s="6">
        <v>2</v>
      </c>
      <c r="AC176" s="6">
        <v>0</v>
      </c>
      <c r="AD176" s="6">
        <v>2</v>
      </c>
      <c r="AE176" s="6">
        <v>4</v>
      </c>
      <c r="AF176" s="6">
        <v>2</v>
      </c>
      <c r="AG176" s="6">
        <v>2</v>
      </c>
      <c r="AH176" s="6">
        <v>1</v>
      </c>
      <c r="AI176" s="6">
        <v>2</v>
      </c>
      <c r="AJ176" s="6">
        <v>3</v>
      </c>
      <c r="AK176" s="6">
        <v>1</v>
      </c>
      <c r="AL176" s="6">
        <v>2</v>
      </c>
      <c r="AM176" s="6">
        <v>3</v>
      </c>
      <c r="AN176" s="6">
        <v>5</v>
      </c>
      <c r="AO176" s="6">
        <v>4</v>
      </c>
      <c r="AP176" s="6">
        <v>2</v>
      </c>
      <c r="AQ176" s="6">
        <v>1</v>
      </c>
      <c r="AR176" s="6">
        <v>1</v>
      </c>
      <c r="AS176" s="6">
        <v>1</v>
      </c>
      <c r="AT176" s="6">
        <v>5</v>
      </c>
      <c r="AU176" s="6">
        <v>7</v>
      </c>
      <c r="AV176" s="5">
        <f t="shared" si="73"/>
        <v>110</v>
      </c>
    </row>
    <row r="177" spans="1:48" x14ac:dyDescent="0.4">
      <c r="A177" s="7"/>
      <c r="B177" s="47"/>
      <c r="C177" s="24" t="s">
        <v>202</v>
      </c>
      <c r="D177" s="45"/>
      <c r="E177" s="6">
        <v>0</v>
      </c>
      <c r="F177" s="6">
        <v>1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1</v>
      </c>
      <c r="Q177" s="6">
        <v>3</v>
      </c>
      <c r="R177" s="6">
        <v>0</v>
      </c>
      <c r="S177" s="6">
        <v>1</v>
      </c>
      <c r="T177" s="6">
        <v>3</v>
      </c>
      <c r="U177" s="6">
        <v>0</v>
      </c>
      <c r="V177" s="6">
        <v>0</v>
      </c>
      <c r="W177" s="6">
        <v>1</v>
      </c>
      <c r="X177" s="6">
        <v>1</v>
      </c>
      <c r="Y177" s="6">
        <v>0</v>
      </c>
      <c r="Z177" s="6">
        <v>0</v>
      </c>
      <c r="AA177" s="6">
        <v>0</v>
      </c>
      <c r="AB177" s="6">
        <v>1</v>
      </c>
      <c r="AC177" s="6">
        <v>1</v>
      </c>
      <c r="AD177" s="6">
        <v>0</v>
      </c>
      <c r="AE177" s="6">
        <v>1</v>
      </c>
      <c r="AF177" s="6">
        <v>1</v>
      </c>
      <c r="AG177" s="6">
        <v>0</v>
      </c>
      <c r="AH177" s="6">
        <v>2</v>
      </c>
      <c r="AI177" s="6">
        <v>0</v>
      </c>
      <c r="AJ177" s="6">
        <v>0</v>
      </c>
      <c r="AK177" s="6">
        <v>1</v>
      </c>
      <c r="AL177" s="6">
        <v>1</v>
      </c>
      <c r="AM177" s="6">
        <v>0</v>
      </c>
      <c r="AN177" s="6">
        <v>1</v>
      </c>
      <c r="AO177" s="6">
        <v>1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5">
        <f t="shared" si="73"/>
        <v>23</v>
      </c>
    </row>
    <row r="178" spans="1:48" x14ac:dyDescent="0.4">
      <c r="A178" s="7"/>
      <c r="B178" s="47"/>
      <c r="C178" s="24" t="s">
        <v>203</v>
      </c>
      <c r="D178" s="45"/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1</v>
      </c>
      <c r="T178" s="6">
        <v>5</v>
      </c>
      <c r="U178" s="6">
        <v>0</v>
      </c>
      <c r="V178" s="6">
        <v>0</v>
      </c>
      <c r="W178" s="6">
        <v>0</v>
      </c>
      <c r="X178" s="6">
        <v>1</v>
      </c>
      <c r="Y178" s="6">
        <v>1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1</v>
      </c>
      <c r="AF178" s="6">
        <v>0</v>
      </c>
      <c r="AG178" s="6">
        <v>2</v>
      </c>
      <c r="AH178" s="6">
        <v>0</v>
      </c>
      <c r="AI178" s="6">
        <v>0</v>
      </c>
      <c r="AJ178" s="6">
        <v>1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1</v>
      </c>
      <c r="AS178" s="6">
        <v>0</v>
      </c>
      <c r="AT178" s="6">
        <v>0</v>
      </c>
      <c r="AU178" s="6">
        <v>0</v>
      </c>
      <c r="AV178" s="5">
        <f t="shared" si="73"/>
        <v>13</v>
      </c>
    </row>
    <row r="179" spans="1:48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2</v>
      </c>
      <c r="AN179" s="6">
        <v>0</v>
      </c>
      <c r="AO179" s="6">
        <v>2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5">
        <f t="shared" si="73"/>
        <v>9</v>
      </c>
    </row>
    <row r="180" spans="1:48" ht="13.15" customHeight="1" x14ac:dyDescent="0.4">
      <c r="A180" s="7"/>
      <c r="B180" s="47"/>
      <c r="C180" s="24" t="s">
        <v>205</v>
      </c>
      <c r="D180" s="45"/>
      <c r="E180" s="6">
        <v>1</v>
      </c>
      <c r="F180" s="6">
        <v>2</v>
      </c>
      <c r="G180" s="6">
        <v>2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1</v>
      </c>
      <c r="P180" s="6">
        <v>0</v>
      </c>
      <c r="Q180" s="6">
        <v>1</v>
      </c>
      <c r="R180" s="6">
        <v>0</v>
      </c>
      <c r="S180" s="6">
        <v>2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2</v>
      </c>
      <c r="AH180" s="6">
        <v>0</v>
      </c>
      <c r="AI180" s="6">
        <v>1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1</v>
      </c>
      <c r="AU180" s="6">
        <v>0</v>
      </c>
      <c r="AV180" s="5">
        <f t="shared" si="73"/>
        <v>15</v>
      </c>
    </row>
    <row r="181" spans="1:48" x14ac:dyDescent="0.4">
      <c r="A181" s="7"/>
      <c r="B181" s="47"/>
      <c r="C181" s="24" t="s">
        <v>206</v>
      </c>
      <c r="D181" s="45"/>
      <c r="E181" s="6">
        <v>0</v>
      </c>
      <c r="F181" s="6">
        <v>2</v>
      </c>
      <c r="G181" s="6">
        <v>0</v>
      </c>
      <c r="H181" s="6">
        <v>0</v>
      </c>
      <c r="I181" s="6">
        <v>2</v>
      </c>
      <c r="J181" s="6">
        <v>0</v>
      </c>
      <c r="K181" s="6">
        <v>0</v>
      </c>
      <c r="L181" s="6">
        <v>0</v>
      </c>
      <c r="M181" s="6">
        <v>1</v>
      </c>
      <c r="N181" s="6">
        <v>0</v>
      </c>
      <c r="O181" s="6">
        <v>0</v>
      </c>
      <c r="P181" s="6">
        <v>0</v>
      </c>
      <c r="Q181" s="6">
        <v>1</v>
      </c>
      <c r="R181" s="6">
        <v>1</v>
      </c>
      <c r="S181" s="6">
        <v>2</v>
      </c>
      <c r="T181" s="6">
        <v>1</v>
      </c>
      <c r="U181" s="6">
        <v>0</v>
      </c>
      <c r="V181" s="6">
        <v>0</v>
      </c>
      <c r="W181" s="6">
        <v>1</v>
      </c>
      <c r="X181" s="6">
        <v>0</v>
      </c>
      <c r="Y181" s="6">
        <v>1</v>
      </c>
      <c r="Z181" s="6">
        <v>0</v>
      </c>
      <c r="AA181" s="6">
        <v>0</v>
      </c>
      <c r="AB181" s="6">
        <v>0</v>
      </c>
      <c r="AC181" s="6">
        <v>1</v>
      </c>
      <c r="AD181" s="6">
        <v>0</v>
      </c>
      <c r="AE181" s="6">
        <v>2</v>
      </c>
      <c r="AF181" s="6">
        <v>1</v>
      </c>
      <c r="AG181" s="6">
        <v>0</v>
      </c>
      <c r="AH181" s="6">
        <v>1</v>
      </c>
      <c r="AI181" s="6">
        <v>1</v>
      </c>
      <c r="AJ181" s="6">
        <v>0</v>
      </c>
      <c r="AK181" s="6">
        <v>0</v>
      </c>
      <c r="AL181" s="6">
        <v>0</v>
      </c>
      <c r="AM181" s="6">
        <v>1</v>
      </c>
      <c r="AN181" s="6">
        <v>2</v>
      </c>
      <c r="AO181" s="6">
        <v>0</v>
      </c>
      <c r="AP181" s="6">
        <v>1</v>
      </c>
      <c r="AQ181" s="6">
        <v>0</v>
      </c>
      <c r="AR181" s="6">
        <v>0</v>
      </c>
      <c r="AS181" s="6">
        <v>0</v>
      </c>
      <c r="AT181" s="6">
        <v>2</v>
      </c>
      <c r="AU181" s="6">
        <v>0</v>
      </c>
      <c r="AV181" s="5">
        <f t="shared" si="73"/>
        <v>24</v>
      </c>
    </row>
    <row r="182" spans="1:48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5">
        <f t="shared" si="73"/>
        <v>0</v>
      </c>
    </row>
    <row r="183" spans="1:48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1</v>
      </c>
      <c r="AD183" s="6">
        <v>0</v>
      </c>
      <c r="AE183" s="6">
        <v>1</v>
      </c>
      <c r="AF183" s="6">
        <v>0</v>
      </c>
      <c r="AG183" s="6">
        <v>1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5">
        <f t="shared" si="73"/>
        <v>5</v>
      </c>
    </row>
    <row r="184" spans="1:48" x14ac:dyDescent="0.4">
      <c r="A184" s="6" t="s">
        <v>26</v>
      </c>
      <c r="B184" s="74" t="s">
        <v>51</v>
      </c>
      <c r="C184" s="84"/>
      <c r="D184" s="85"/>
      <c r="E184" s="6">
        <f t="shared" ref="E184:AG184" si="74">SUM(E174:E183)</f>
        <v>4</v>
      </c>
      <c r="F184" s="6">
        <f t="shared" ref="F184:S184" si="75">SUM(F174:F183)</f>
        <v>11</v>
      </c>
      <c r="G184" s="6">
        <f t="shared" si="75"/>
        <v>11</v>
      </c>
      <c r="H184" s="6">
        <f t="shared" si="75"/>
        <v>5</v>
      </c>
      <c r="I184" s="6">
        <f t="shared" si="75"/>
        <v>7</v>
      </c>
      <c r="J184" s="6">
        <f t="shared" si="75"/>
        <v>10</v>
      </c>
      <c r="K184" s="6">
        <f t="shared" si="75"/>
        <v>10</v>
      </c>
      <c r="L184" s="6">
        <f t="shared" si="75"/>
        <v>4</v>
      </c>
      <c r="M184" s="6">
        <f t="shared" si="75"/>
        <v>13</v>
      </c>
      <c r="N184" s="6">
        <f t="shared" si="75"/>
        <v>11</v>
      </c>
      <c r="O184" s="6">
        <f t="shared" si="75"/>
        <v>16</v>
      </c>
      <c r="P184" s="6">
        <f t="shared" si="75"/>
        <v>16</v>
      </c>
      <c r="Q184" s="6">
        <f t="shared" si="75"/>
        <v>15</v>
      </c>
      <c r="R184" s="6">
        <f t="shared" si="75"/>
        <v>12</v>
      </c>
      <c r="S184" s="6">
        <f t="shared" si="75"/>
        <v>25</v>
      </c>
      <c r="T184" s="6">
        <f t="shared" si="74"/>
        <v>40</v>
      </c>
      <c r="U184" s="6">
        <f t="shared" si="74"/>
        <v>9</v>
      </c>
      <c r="V184" s="6">
        <f t="shared" si="74"/>
        <v>9</v>
      </c>
      <c r="W184" s="6">
        <f t="shared" si="74"/>
        <v>7</v>
      </c>
      <c r="X184" s="6">
        <f t="shared" si="74"/>
        <v>7</v>
      </c>
      <c r="Y184" s="6">
        <f t="shared" si="74"/>
        <v>12</v>
      </c>
      <c r="Z184" s="6">
        <f t="shared" si="74"/>
        <v>5</v>
      </c>
      <c r="AA184" s="6">
        <f t="shared" si="74"/>
        <v>8</v>
      </c>
      <c r="AB184" s="6">
        <f t="shared" si="74"/>
        <v>43</v>
      </c>
      <c r="AC184" s="6">
        <f t="shared" si="74"/>
        <v>33</v>
      </c>
      <c r="AD184" s="6">
        <f t="shared" si="74"/>
        <v>6</v>
      </c>
      <c r="AE184" s="6">
        <f t="shared" si="74"/>
        <v>13</v>
      </c>
      <c r="AF184" s="6">
        <f t="shared" si="74"/>
        <v>14</v>
      </c>
      <c r="AG184" s="6">
        <f t="shared" si="74"/>
        <v>20</v>
      </c>
      <c r="AH184" s="6">
        <f t="shared" ref="AH184" si="76">SUM(AH174:AH183)</f>
        <v>10</v>
      </c>
      <c r="AI184" s="6">
        <f t="shared" ref="AI184" si="77">SUM(AI174:AI183)</f>
        <v>9</v>
      </c>
      <c r="AJ184" s="6">
        <f t="shared" ref="AJ184" si="78">SUM(AJ174:AJ183)</f>
        <v>12</v>
      </c>
      <c r="AK184" s="6">
        <f t="shared" ref="AK184" si="79">SUM(AK174:AK183)</f>
        <v>11</v>
      </c>
      <c r="AL184" s="6">
        <f t="shared" ref="AL184" si="80">SUM(AL174:AL183)</f>
        <v>14</v>
      </c>
      <c r="AM184" s="6">
        <f t="shared" ref="AM184" si="81">SUM(AM174:AM183)</f>
        <v>13</v>
      </c>
      <c r="AN184" s="6">
        <f t="shared" ref="AN184" si="82">SUM(AN174:AN183)</f>
        <v>22</v>
      </c>
      <c r="AO184" s="6">
        <f t="shared" ref="AO184" si="83">SUM(AO174:AO183)</f>
        <v>16</v>
      </c>
      <c r="AP184" s="6">
        <f t="shared" ref="AP184" si="84">SUM(AP174:AP183)</f>
        <v>13</v>
      </c>
      <c r="AQ184" s="6">
        <f t="shared" ref="AQ184" si="85">SUM(AQ174:AQ183)</f>
        <v>10</v>
      </c>
      <c r="AR184" s="6">
        <f t="shared" ref="AR184" si="86">SUM(AR174:AR183)</f>
        <v>11</v>
      </c>
      <c r="AS184" s="6">
        <f t="shared" ref="AS184" si="87">SUM(AS174:AS183)</f>
        <v>10</v>
      </c>
      <c r="AT184" s="6">
        <f t="shared" ref="AT184" si="88">SUM(AT174:AT183)</f>
        <v>19</v>
      </c>
      <c r="AU184" s="6">
        <f t="shared" ref="AU184" si="89">SUM(AU174:AU183)</f>
        <v>12</v>
      </c>
      <c r="AV184" s="6">
        <f t="shared" ref="AV184" si="90">SUM(AV174:AV183)</f>
        <v>578</v>
      </c>
    </row>
    <row r="185" spans="1:48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</row>
    <row r="186" spans="1:48" x14ac:dyDescent="0.4">
      <c r="A186" s="11" t="s">
        <v>48</v>
      </c>
      <c r="B186" s="17" t="s">
        <v>75</v>
      </c>
      <c r="C186" s="83" t="s">
        <v>76</v>
      </c>
      <c r="D186" s="55"/>
      <c r="E186" s="6">
        <v>3</v>
      </c>
      <c r="F186" s="6">
        <v>1</v>
      </c>
      <c r="G186" s="6">
        <v>3</v>
      </c>
      <c r="H186" s="6">
        <v>2</v>
      </c>
      <c r="I186" s="6">
        <v>3</v>
      </c>
      <c r="J186" s="6">
        <v>6</v>
      </c>
      <c r="K186" s="6">
        <v>3</v>
      </c>
      <c r="L186" s="6">
        <v>0</v>
      </c>
      <c r="M186" s="6">
        <v>2</v>
      </c>
      <c r="N186" s="6">
        <v>4</v>
      </c>
      <c r="O186" s="6">
        <v>5</v>
      </c>
      <c r="P186" s="6">
        <v>4</v>
      </c>
      <c r="Q186" s="6">
        <v>3</v>
      </c>
      <c r="R186" s="6">
        <v>3</v>
      </c>
      <c r="S186" s="6">
        <v>4</v>
      </c>
      <c r="T186" s="6">
        <v>4</v>
      </c>
      <c r="U186" s="6">
        <v>7</v>
      </c>
      <c r="V186" s="6">
        <v>6</v>
      </c>
      <c r="W186" s="6">
        <v>1</v>
      </c>
      <c r="X186" s="6">
        <v>2</v>
      </c>
      <c r="Y186" s="6">
        <v>5</v>
      </c>
      <c r="Z186" s="6">
        <v>2</v>
      </c>
      <c r="AA186" s="6">
        <v>0</v>
      </c>
      <c r="AB186" s="6">
        <v>3</v>
      </c>
      <c r="AC186" s="6">
        <v>0</v>
      </c>
      <c r="AD186" s="6">
        <v>3</v>
      </c>
      <c r="AE186" s="6">
        <v>0</v>
      </c>
      <c r="AF186" s="6">
        <v>2</v>
      </c>
      <c r="AG186" s="6">
        <v>3</v>
      </c>
      <c r="AH186" s="6">
        <v>1</v>
      </c>
      <c r="AI186" s="6">
        <v>4</v>
      </c>
      <c r="AJ186" s="6">
        <v>1</v>
      </c>
      <c r="AK186" s="6">
        <v>2</v>
      </c>
      <c r="AL186" s="6">
        <v>1</v>
      </c>
      <c r="AM186" s="6">
        <v>5</v>
      </c>
      <c r="AN186" s="6">
        <v>4</v>
      </c>
      <c r="AO186" s="6">
        <v>0</v>
      </c>
      <c r="AP186" s="6">
        <v>2</v>
      </c>
      <c r="AQ186" s="6">
        <v>2</v>
      </c>
      <c r="AR186" s="6">
        <v>6</v>
      </c>
      <c r="AS186" s="6">
        <v>4</v>
      </c>
      <c r="AT186" s="6">
        <v>2</v>
      </c>
      <c r="AU186" s="6">
        <v>4</v>
      </c>
      <c r="AV186" s="5">
        <f>SUM(E186:AU186)</f>
        <v>122</v>
      </c>
    </row>
    <row r="187" spans="1:48" x14ac:dyDescent="0.4">
      <c r="A187" s="11" t="s">
        <v>50</v>
      </c>
      <c r="B187" s="47"/>
      <c r="C187" s="24" t="s">
        <v>209</v>
      </c>
      <c r="D187" s="48"/>
      <c r="E187" s="6">
        <v>1</v>
      </c>
      <c r="F187" s="6">
        <v>0</v>
      </c>
      <c r="G187" s="6">
        <v>1</v>
      </c>
      <c r="H187" s="6">
        <v>2</v>
      </c>
      <c r="I187" s="6">
        <v>2</v>
      </c>
      <c r="J187" s="6">
        <v>2</v>
      </c>
      <c r="K187" s="6">
        <v>3</v>
      </c>
      <c r="L187" s="6">
        <v>1</v>
      </c>
      <c r="M187" s="6">
        <v>1</v>
      </c>
      <c r="N187" s="6">
        <v>0</v>
      </c>
      <c r="O187" s="6">
        <v>0</v>
      </c>
      <c r="P187" s="6">
        <v>2</v>
      </c>
      <c r="Q187" s="6">
        <v>1</v>
      </c>
      <c r="R187" s="6">
        <v>1</v>
      </c>
      <c r="S187" s="6">
        <v>1</v>
      </c>
      <c r="T187" s="6">
        <v>3</v>
      </c>
      <c r="U187" s="6">
        <v>4</v>
      </c>
      <c r="V187" s="6">
        <v>2</v>
      </c>
      <c r="W187" s="6">
        <v>3</v>
      </c>
      <c r="X187" s="6">
        <v>2</v>
      </c>
      <c r="Y187" s="6">
        <v>1</v>
      </c>
      <c r="Z187" s="6">
        <v>4</v>
      </c>
      <c r="AA187" s="6">
        <v>0</v>
      </c>
      <c r="AB187" s="6">
        <v>1</v>
      </c>
      <c r="AC187" s="6">
        <v>1</v>
      </c>
      <c r="AD187" s="6">
        <v>0</v>
      </c>
      <c r="AE187" s="6">
        <v>2</v>
      </c>
      <c r="AF187" s="6">
        <v>1</v>
      </c>
      <c r="AG187" s="6">
        <v>1</v>
      </c>
      <c r="AH187" s="6">
        <v>3</v>
      </c>
      <c r="AI187" s="6">
        <v>0</v>
      </c>
      <c r="AJ187" s="6">
        <v>1</v>
      </c>
      <c r="AK187" s="6">
        <v>2</v>
      </c>
      <c r="AL187" s="6">
        <v>1</v>
      </c>
      <c r="AM187" s="6">
        <v>0</v>
      </c>
      <c r="AN187" s="6">
        <v>0</v>
      </c>
      <c r="AO187" s="6">
        <v>2</v>
      </c>
      <c r="AP187" s="6">
        <v>2</v>
      </c>
      <c r="AQ187" s="6">
        <v>0</v>
      </c>
      <c r="AR187" s="6">
        <v>3</v>
      </c>
      <c r="AS187" s="6">
        <v>3</v>
      </c>
      <c r="AT187" s="6">
        <v>1</v>
      </c>
      <c r="AU187" s="6">
        <v>2</v>
      </c>
      <c r="AV187" s="5">
        <f>SUM(E187:AU187)</f>
        <v>63</v>
      </c>
    </row>
    <row r="188" spans="1:48" x14ac:dyDescent="0.4">
      <c r="A188" s="7"/>
      <c r="B188" s="47"/>
      <c r="C188" s="24" t="s">
        <v>210</v>
      </c>
      <c r="D188" s="48"/>
      <c r="E188" s="6">
        <v>2</v>
      </c>
      <c r="F188" s="6">
        <v>0</v>
      </c>
      <c r="G188" s="6">
        <v>1</v>
      </c>
      <c r="H188" s="6">
        <v>1</v>
      </c>
      <c r="I188" s="6">
        <v>5</v>
      </c>
      <c r="J188" s="6">
        <v>3</v>
      </c>
      <c r="K188" s="6">
        <v>2</v>
      </c>
      <c r="L188" s="6">
        <v>2</v>
      </c>
      <c r="M188" s="6">
        <v>3</v>
      </c>
      <c r="N188" s="6">
        <v>0</v>
      </c>
      <c r="O188" s="6">
        <v>7</v>
      </c>
      <c r="P188" s="6">
        <v>2</v>
      </c>
      <c r="Q188" s="6">
        <v>2</v>
      </c>
      <c r="R188" s="6">
        <v>5</v>
      </c>
      <c r="S188" s="6">
        <v>2</v>
      </c>
      <c r="T188" s="6">
        <v>1</v>
      </c>
      <c r="U188" s="6">
        <v>0</v>
      </c>
      <c r="V188" s="6">
        <v>4</v>
      </c>
      <c r="W188" s="6">
        <v>0</v>
      </c>
      <c r="X188" s="6">
        <v>1</v>
      </c>
      <c r="Y188" s="6">
        <v>3</v>
      </c>
      <c r="Z188" s="6">
        <v>0</v>
      </c>
      <c r="AA188" s="6">
        <v>1</v>
      </c>
      <c r="AB188" s="6">
        <v>1</v>
      </c>
      <c r="AC188" s="6">
        <v>0</v>
      </c>
      <c r="AD188" s="6">
        <v>3</v>
      </c>
      <c r="AE188" s="6">
        <v>1</v>
      </c>
      <c r="AF188" s="6">
        <v>2</v>
      </c>
      <c r="AG188" s="6">
        <v>3</v>
      </c>
      <c r="AH188" s="6">
        <v>3</v>
      </c>
      <c r="AI188" s="6">
        <v>1</v>
      </c>
      <c r="AJ188" s="6">
        <v>1</v>
      </c>
      <c r="AK188" s="6">
        <v>2</v>
      </c>
      <c r="AL188" s="6">
        <v>1</v>
      </c>
      <c r="AM188" s="6">
        <v>0</v>
      </c>
      <c r="AN188" s="6">
        <v>2</v>
      </c>
      <c r="AO188" s="6">
        <v>2</v>
      </c>
      <c r="AP188" s="6">
        <v>4</v>
      </c>
      <c r="AQ188" s="6">
        <v>1</v>
      </c>
      <c r="AR188" s="6">
        <v>2</v>
      </c>
      <c r="AS188" s="6">
        <v>2</v>
      </c>
      <c r="AT188" s="6">
        <v>2</v>
      </c>
      <c r="AU188" s="6">
        <v>1</v>
      </c>
      <c r="AV188" s="5">
        <f>SUM(E188:AU188)</f>
        <v>81</v>
      </c>
    </row>
    <row r="189" spans="1:48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3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1</v>
      </c>
      <c r="P189" s="6">
        <v>1</v>
      </c>
      <c r="Q189" s="6">
        <v>1</v>
      </c>
      <c r="R189" s="6">
        <v>0</v>
      </c>
      <c r="S189" s="6">
        <v>0</v>
      </c>
      <c r="T189" s="6">
        <v>0</v>
      </c>
      <c r="U189" s="6">
        <v>0</v>
      </c>
      <c r="V189" s="6">
        <v>1</v>
      </c>
      <c r="W189" s="6">
        <v>1</v>
      </c>
      <c r="X189" s="6">
        <v>0</v>
      </c>
      <c r="Y189" s="6">
        <v>2</v>
      </c>
      <c r="Z189" s="6">
        <v>0</v>
      </c>
      <c r="AA189" s="6">
        <v>0</v>
      </c>
      <c r="AB189" s="6">
        <v>0</v>
      </c>
      <c r="AC189" s="6">
        <v>0</v>
      </c>
      <c r="AD189" s="6">
        <v>1</v>
      </c>
      <c r="AE189" s="6">
        <v>0</v>
      </c>
      <c r="AF189" s="6">
        <v>0</v>
      </c>
      <c r="AG189" s="6">
        <v>1</v>
      </c>
      <c r="AH189" s="6">
        <v>0</v>
      </c>
      <c r="AI189" s="6">
        <v>0</v>
      </c>
      <c r="AJ189" s="6">
        <v>0</v>
      </c>
      <c r="AK189" s="6">
        <v>0</v>
      </c>
      <c r="AL189" s="6">
        <v>1</v>
      </c>
      <c r="AM189" s="6">
        <v>0</v>
      </c>
      <c r="AN189" s="6">
        <v>1</v>
      </c>
      <c r="AO189" s="6">
        <v>0</v>
      </c>
      <c r="AP189" s="6">
        <v>1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5">
        <f>SUM(E189:AU189)</f>
        <v>15</v>
      </c>
    </row>
    <row r="190" spans="1:48" x14ac:dyDescent="0.4">
      <c r="A190" s="6" t="s">
        <v>26</v>
      </c>
      <c r="B190" s="74" t="s">
        <v>51</v>
      </c>
      <c r="C190" s="84"/>
      <c r="D190" s="85"/>
      <c r="E190" s="6">
        <f t="shared" ref="E190:AV190" si="91">SUM(E186:E189)</f>
        <v>6</v>
      </c>
      <c r="F190" s="6">
        <f t="shared" si="91"/>
        <v>1</v>
      </c>
      <c r="G190" s="6">
        <f t="shared" si="91"/>
        <v>5</v>
      </c>
      <c r="H190" s="6">
        <f t="shared" si="91"/>
        <v>5</v>
      </c>
      <c r="I190" s="6">
        <f t="shared" si="91"/>
        <v>13</v>
      </c>
      <c r="J190" s="6">
        <f t="shared" si="91"/>
        <v>11</v>
      </c>
      <c r="K190" s="6">
        <f t="shared" si="91"/>
        <v>8</v>
      </c>
      <c r="L190" s="6">
        <f t="shared" si="91"/>
        <v>3</v>
      </c>
      <c r="M190" s="6">
        <f t="shared" si="91"/>
        <v>6</v>
      </c>
      <c r="N190" s="6">
        <f t="shared" si="91"/>
        <v>4</v>
      </c>
      <c r="O190" s="6">
        <f t="shared" si="91"/>
        <v>13</v>
      </c>
      <c r="P190" s="6">
        <f t="shared" si="91"/>
        <v>9</v>
      </c>
      <c r="Q190" s="6">
        <f t="shared" si="91"/>
        <v>7</v>
      </c>
      <c r="R190" s="6">
        <f t="shared" si="91"/>
        <v>9</v>
      </c>
      <c r="S190" s="6">
        <f t="shared" si="91"/>
        <v>7</v>
      </c>
      <c r="T190" s="6">
        <f t="shared" si="91"/>
        <v>8</v>
      </c>
      <c r="U190" s="6">
        <f t="shared" si="91"/>
        <v>11</v>
      </c>
      <c r="V190" s="6">
        <f t="shared" si="91"/>
        <v>13</v>
      </c>
      <c r="W190" s="6">
        <f t="shared" si="91"/>
        <v>5</v>
      </c>
      <c r="X190" s="6">
        <f t="shared" si="91"/>
        <v>5</v>
      </c>
      <c r="Y190" s="6">
        <f t="shared" si="91"/>
        <v>11</v>
      </c>
      <c r="Z190" s="6">
        <f t="shared" si="91"/>
        <v>6</v>
      </c>
      <c r="AA190" s="6">
        <f t="shared" si="91"/>
        <v>1</v>
      </c>
      <c r="AB190" s="6">
        <f t="shared" si="91"/>
        <v>5</v>
      </c>
      <c r="AC190" s="6">
        <f t="shared" si="91"/>
        <v>1</v>
      </c>
      <c r="AD190" s="6">
        <f t="shared" si="91"/>
        <v>7</v>
      </c>
      <c r="AE190" s="6">
        <f t="shared" si="91"/>
        <v>3</v>
      </c>
      <c r="AF190" s="6">
        <f t="shared" si="91"/>
        <v>5</v>
      </c>
      <c r="AG190" s="6">
        <f t="shared" si="91"/>
        <v>8</v>
      </c>
      <c r="AH190" s="6">
        <f t="shared" si="91"/>
        <v>7</v>
      </c>
      <c r="AI190" s="6">
        <f t="shared" si="91"/>
        <v>5</v>
      </c>
      <c r="AJ190" s="6">
        <f t="shared" si="91"/>
        <v>3</v>
      </c>
      <c r="AK190" s="6">
        <f t="shared" si="91"/>
        <v>6</v>
      </c>
      <c r="AL190" s="6">
        <f t="shared" si="91"/>
        <v>4</v>
      </c>
      <c r="AM190" s="6">
        <f t="shared" si="91"/>
        <v>5</v>
      </c>
      <c r="AN190" s="6">
        <f t="shared" si="91"/>
        <v>7</v>
      </c>
      <c r="AO190" s="6">
        <f t="shared" si="91"/>
        <v>4</v>
      </c>
      <c r="AP190" s="6">
        <f t="shared" si="91"/>
        <v>9</v>
      </c>
      <c r="AQ190" s="6">
        <f t="shared" si="91"/>
        <v>3</v>
      </c>
      <c r="AR190" s="6">
        <f t="shared" si="91"/>
        <v>11</v>
      </c>
      <c r="AS190" s="6">
        <f t="shared" si="91"/>
        <v>9</v>
      </c>
      <c r="AT190" s="6">
        <f t="shared" si="91"/>
        <v>5</v>
      </c>
      <c r="AU190" s="6">
        <f t="shared" si="91"/>
        <v>7</v>
      </c>
      <c r="AV190" s="6">
        <f t="shared" si="91"/>
        <v>281</v>
      </c>
    </row>
    <row r="191" spans="1:48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</row>
    <row r="192" spans="1:48" x14ac:dyDescent="0.4">
      <c r="A192" s="11" t="s">
        <v>48</v>
      </c>
      <c r="B192" s="17" t="s">
        <v>77</v>
      </c>
      <c r="C192" s="83" t="s">
        <v>78</v>
      </c>
      <c r="D192" s="55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1</v>
      </c>
      <c r="M192" s="6">
        <v>2</v>
      </c>
      <c r="N192" s="6">
        <v>1</v>
      </c>
      <c r="O192" s="6">
        <v>1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1</v>
      </c>
      <c r="AA192" s="6">
        <v>0</v>
      </c>
      <c r="AB192" s="6">
        <v>0</v>
      </c>
      <c r="AC192" s="6">
        <v>1</v>
      </c>
      <c r="AD192" s="6">
        <v>0</v>
      </c>
      <c r="AE192" s="6">
        <v>0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1</v>
      </c>
      <c r="AN192" s="6">
        <v>2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5">
        <f>SUM(E192:AU192)</f>
        <v>13</v>
      </c>
    </row>
    <row r="193" spans="1:48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1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5">
        <f>SUM(E193:AU193)</f>
        <v>1</v>
      </c>
    </row>
    <row r="194" spans="1:48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1</v>
      </c>
      <c r="I194" s="6">
        <v>1</v>
      </c>
      <c r="J194" s="6">
        <v>0</v>
      </c>
      <c r="K194" s="6">
        <v>1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1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1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5">
        <f>SUM(E194:AU194)</f>
        <v>6</v>
      </c>
    </row>
    <row r="195" spans="1:48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1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1</v>
      </c>
      <c r="AR195" s="6">
        <v>0</v>
      </c>
      <c r="AS195" s="6">
        <v>0</v>
      </c>
      <c r="AT195" s="6">
        <v>0</v>
      </c>
      <c r="AU195" s="6">
        <v>0</v>
      </c>
      <c r="AV195" s="5">
        <f>SUM(E195:AU195)</f>
        <v>4</v>
      </c>
    </row>
    <row r="196" spans="1:48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1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6">
        <v>1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5">
        <f>SUM(E196:AU196)</f>
        <v>4</v>
      </c>
    </row>
    <row r="197" spans="1:48" x14ac:dyDescent="0.4">
      <c r="A197" s="6" t="s">
        <v>26</v>
      </c>
      <c r="B197" s="74" t="s">
        <v>51</v>
      </c>
      <c r="C197" s="84"/>
      <c r="D197" s="85"/>
      <c r="E197" s="6">
        <f t="shared" ref="E197:AV197" si="92">SUM(E192:E196)</f>
        <v>0</v>
      </c>
      <c r="F197" s="6">
        <f t="shared" si="92"/>
        <v>0</v>
      </c>
      <c r="G197" s="6">
        <f t="shared" si="92"/>
        <v>1</v>
      </c>
      <c r="H197" s="6">
        <f t="shared" si="92"/>
        <v>1</v>
      </c>
      <c r="I197" s="6">
        <f t="shared" si="92"/>
        <v>1</v>
      </c>
      <c r="J197" s="6">
        <f t="shared" si="92"/>
        <v>0</v>
      </c>
      <c r="K197" s="6">
        <f t="shared" si="92"/>
        <v>1</v>
      </c>
      <c r="L197" s="6">
        <f t="shared" si="92"/>
        <v>1</v>
      </c>
      <c r="M197" s="6">
        <f t="shared" si="92"/>
        <v>2</v>
      </c>
      <c r="N197" s="6">
        <f t="shared" si="92"/>
        <v>2</v>
      </c>
      <c r="O197" s="6">
        <f t="shared" si="92"/>
        <v>1</v>
      </c>
      <c r="P197" s="6">
        <f t="shared" si="92"/>
        <v>0</v>
      </c>
      <c r="Q197" s="6">
        <f t="shared" si="92"/>
        <v>0</v>
      </c>
      <c r="R197" s="6">
        <f t="shared" si="92"/>
        <v>1</v>
      </c>
      <c r="S197" s="6">
        <f t="shared" si="92"/>
        <v>1</v>
      </c>
      <c r="T197" s="6">
        <f t="shared" si="92"/>
        <v>0</v>
      </c>
      <c r="U197" s="6">
        <f t="shared" si="92"/>
        <v>0</v>
      </c>
      <c r="V197" s="6">
        <f t="shared" si="92"/>
        <v>1</v>
      </c>
      <c r="W197" s="6">
        <f t="shared" si="92"/>
        <v>0</v>
      </c>
      <c r="X197" s="6">
        <f t="shared" si="92"/>
        <v>0</v>
      </c>
      <c r="Y197" s="6">
        <f t="shared" si="92"/>
        <v>1</v>
      </c>
      <c r="Z197" s="6">
        <f t="shared" si="92"/>
        <v>1</v>
      </c>
      <c r="AA197" s="6">
        <f t="shared" si="92"/>
        <v>0</v>
      </c>
      <c r="AB197" s="6">
        <f t="shared" si="92"/>
        <v>0</v>
      </c>
      <c r="AC197" s="6">
        <f t="shared" si="92"/>
        <v>1</v>
      </c>
      <c r="AD197" s="6">
        <f t="shared" si="92"/>
        <v>0</v>
      </c>
      <c r="AE197" s="6">
        <f t="shared" si="92"/>
        <v>1</v>
      </c>
      <c r="AF197" s="6">
        <f t="shared" si="92"/>
        <v>2</v>
      </c>
      <c r="AG197" s="6">
        <f t="shared" si="92"/>
        <v>0</v>
      </c>
      <c r="AH197" s="6">
        <f t="shared" si="92"/>
        <v>1</v>
      </c>
      <c r="AI197" s="6">
        <f t="shared" si="92"/>
        <v>0</v>
      </c>
      <c r="AJ197" s="6">
        <f t="shared" si="92"/>
        <v>0</v>
      </c>
      <c r="AK197" s="6">
        <f t="shared" si="92"/>
        <v>1</v>
      </c>
      <c r="AL197" s="6">
        <f t="shared" si="92"/>
        <v>1</v>
      </c>
      <c r="AM197" s="6">
        <f t="shared" si="92"/>
        <v>1</v>
      </c>
      <c r="AN197" s="6">
        <f t="shared" si="92"/>
        <v>3</v>
      </c>
      <c r="AO197" s="6">
        <f t="shared" si="92"/>
        <v>1</v>
      </c>
      <c r="AP197" s="6">
        <f t="shared" si="92"/>
        <v>0</v>
      </c>
      <c r="AQ197" s="6">
        <f t="shared" si="92"/>
        <v>1</v>
      </c>
      <c r="AR197" s="6">
        <f t="shared" si="92"/>
        <v>0</v>
      </c>
      <c r="AS197" s="6">
        <f t="shared" si="92"/>
        <v>0</v>
      </c>
      <c r="AT197" s="6">
        <f t="shared" si="92"/>
        <v>0</v>
      </c>
      <c r="AU197" s="6">
        <f t="shared" si="92"/>
        <v>0</v>
      </c>
      <c r="AV197" s="6">
        <f t="shared" si="92"/>
        <v>28</v>
      </c>
    </row>
    <row r="198" spans="1:48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</row>
    <row r="199" spans="1:48" x14ac:dyDescent="0.4">
      <c r="A199" s="11" t="s">
        <v>48</v>
      </c>
      <c r="B199" s="17" t="s">
        <v>79</v>
      </c>
      <c r="C199" s="83" t="s">
        <v>80</v>
      </c>
      <c r="D199" s="55"/>
      <c r="E199" s="6">
        <v>10</v>
      </c>
      <c r="F199" s="6">
        <v>11</v>
      </c>
      <c r="G199" s="6">
        <v>0</v>
      </c>
      <c r="H199" s="6">
        <v>38</v>
      </c>
      <c r="I199" s="6">
        <v>13</v>
      </c>
      <c r="J199" s="6">
        <v>6</v>
      </c>
      <c r="K199" s="6">
        <v>11</v>
      </c>
      <c r="L199" s="6">
        <v>1</v>
      </c>
      <c r="M199" s="6">
        <v>5</v>
      </c>
      <c r="N199" s="6">
        <v>1</v>
      </c>
      <c r="O199" s="6">
        <v>2</v>
      </c>
      <c r="P199" s="6">
        <v>1</v>
      </c>
      <c r="Q199" s="6">
        <v>3</v>
      </c>
      <c r="R199" s="6">
        <v>0</v>
      </c>
      <c r="S199" s="6">
        <v>1</v>
      </c>
      <c r="T199" s="6">
        <v>0</v>
      </c>
      <c r="U199" s="6">
        <v>1</v>
      </c>
      <c r="V199" s="6">
        <v>1</v>
      </c>
      <c r="W199" s="6">
        <v>2</v>
      </c>
      <c r="X199" s="6">
        <v>7</v>
      </c>
      <c r="Y199" s="6">
        <v>2</v>
      </c>
      <c r="Z199" s="6">
        <v>2</v>
      </c>
      <c r="AA199" s="6">
        <v>2</v>
      </c>
      <c r="AB199" s="6">
        <v>1</v>
      </c>
      <c r="AC199" s="6">
        <v>0</v>
      </c>
      <c r="AD199" s="6">
        <v>2</v>
      </c>
      <c r="AE199" s="6">
        <v>1</v>
      </c>
      <c r="AF199" s="6">
        <v>1</v>
      </c>
      <c r="AG199" s="6">
        <v>1</v>
      </c>
      <c r="AH199" s="6">
        <v>1</v>
      </c>
      <c r="AI199" s="6">
        <v>6</v>
      </c>
      <c r="AJ199" s="6">
        <v>4</v>
      </c>
      <c r="AK199" s="6">
        <v>0</v>
      </c>
      <c r="AL199" s="6">
        <v>0</v>
      </c>
      <c r="AM199" s="6">
        <v>0</v>
      </c>
      <c r="AN199" s="6">
        <v>1</v>
      </c>
      <c r="AO199" s="6">
        <v>0</v>
      </c>
      <c r="AP199" s="6">
        <v>1</v>
      </c>
      <c r="AQ199" s="6">
        <v>2</v>
      </c>
      <c r="AR199" s="6">
        <v>0</v>
      </c>
      <c r="AS199" s="6">
        <v>5</v>
      </c>
      <c r="AT199" s="6">
        <v>0</v>
      </c>
      <c r="AU199" s="6">
        <v>0</v>
      </c>
      <c r="AV199" s="5">
        <f t="shared" ref="AV199:AV208" si="93">SUM(E199:AU199)</f>
        <v>146</v>
      </c>
    </row>
    <row r="200" spans="1:48" x14ac:dyDescent="0.4">
      <c r="A200" s="11" t="s">
        <v>50</v>
      </c>
      <c r="B200" s="47"/>
      <c r="C200" s="24" t="s">
        <v>216</v>
      </c>
      <c r="D200" s="45"/>
      <c r="E200" s="6">
        <v>3</v>
      </c>
      <c r="F200" s="6">
        <v>2</v>
      </c>
      <c r="G200" s="6">
        <v>0</v>
      </c>
      <c r="H200" s="6">
        <v>6</v>
      </c>
      <c r="I200" s="6">
        <v>2</v>
      </c>
      <c r="J200" s="6">
        <v>3</v>
      </c>
      <c r="K200" s="6">
        <v>2</v>
      </c>
      <c r="L200" s="6">
        <v>5</v>
      </c>
      <c r="M200" s="6">
        <v>1</v>
      </c>
      <c r="N200" s="6">
        <v>3</v>
      </c>
      <c r="O200" s="6">
        <v>0</v>
      </c>
      <c r="P200" s="6">
        <v>0</v>
      </c>
      <c r="Q200" s="6">
        <v>1</v>
      </c>
      <c r="R200" s="6">
        <v>1</v>
      </c>
      <c r="S200" s="6">
        <v>0</v>
      </c>
      <c r="T200" s="6">
        <v>1</v>
      </c>
      <c r="U200" s="6">
        <v>1</v>
      </c>
      <c r="V200" s="6">
        <v>1</v>
      </c>
      <c r="W200" s="6">
        <v>1</v>
      </c>
      <c r="X200" s="6">
        <v>4</v>
      </c>
      <c r="Y200" s="6">
        <v>3</v>
      </c>
      <c r="Z200" s="6">
        <v>9</v>
      </c>
      <c r="AA200" s="6">
        <v>7</v>
      </c>
      <c r="AB200" s="6">
        <v>2</v>
      </c>
      <c r="AC200" s="6">
        <v>1</v>
      </c>
      <c r="AD200" s="6">
        <v>7</v>
      </c>
      <c r="AE200" s="6">
        <v>1</v>
      </c>
      <c r="AF200" s="6">
        <v>1</v>
      </c>
      <c r="AG200" s="6">
        <v>5</v>
      </c>
      <c r="AH200" s="6">
        <v>3</v>
      </c>
      <c r="AI200" s="6">
        <v>3</v>
      </c>
      <c r="AJ200" s="6">
        <v>1</v>
      </c>
      <c r="AK200" s="6">
        <v>2</v>
      </c>
      <c r="AL200" s="6">
        <v>1</v>
      </c>
      <c r="AM200" s="6">
        <v>0</v>
      </c>
      <c r="AN200" s="6">
        <v>0</v>
      </c>
      <c r="AO200" s="6">
        <v>0</v>
      </c>
      <c r="AP200" s="6">
        <v>1</v>
      </c>
      <c r="AQ200" s="6">
        <v>1</v>
      </c>
      <c r="AR200" s="6">
        <v>0</v>
      </c>
      <c r="AS200" s="6">
        <v>0</v>
      </c>
      <c r="AT200" s="6">
        <v>1</v>
      </c>
      <c r="AU200" s="6">
        <v>3</v>
      </c>
      <c r="AV200" s="5">
        <f t="shared" si="93"/>
        <v>89</v>
      </c>
    </row>
    <row r="201" spans="1:48" x14ac:dyDescent="0.4">
      <c r="A201" s="7"/>
      <c r="B201" s="47"/>
      <c r="C201" s="24" t="s">
        <v>217</v>
      </c>
      <c r="D201" s="45"/>
      <c r="E201" s="6">
        <v>9</v>
      </c>
      <c r="F201" s="6">
        <v>3</v>
      </c>
      <c r="G201" s="6">
        <v>4</v>
      </c>
      <c r="H201" s="6">
        <v>14</v>
      </c>
      <c r="I201" s="6">
        <v>6</v>
      </c>
      <c r="J201" s="6">
        <v>19</v>
      </c>
      <c r="K201" s="6">
        <v>11</v>
      </c>
      <c r="L201" s="6">
        <v>9</v>
      </c>
      <c r="M201" s="6">
        <v>12</v>
      </c>
      <c r="N201" s="6">
        <v>3</v>
      </c>
      <c r="O201" s="6">
        <v>1</v>
      </c>
      <c r="P201" s="6">
        <v>3</v>
      </c>
      <c r="Q201" s="6">
        <v>3</v>
      </c>
      <c r="R201" s="6">
        <v>1</v>
      </c>
      <c r="S201" s="6">
        <v>3</v>
      </c>
      <c r="T201" s="6">
        <v>0</v>
      </c>
      <c r="U201" s="6">
        <v>4</v>
      </c>
      <c r="V201" s="6">
        <v>1</v>
      </c>
      <c r="W201" s="6">
        <v>12</v>
      </c>
      <c r="X201" s="6">
        <v>8</v>
      </c>
      <c r="Y201" s="6">
        <v>1</v>
      </c>
      <c r="Z201" s="6">
        <v>6</v>
      </c>
      <c r="AA201" s="6">
        <v>3</v>
      </c>
      <c r="AB201" s="6">
        <v>4</v>
      </c>
      <c r="AC201" s="6">
        <v>1</v>
      </c>
      <c r="AD201" s="6">
        <v>0</v>
      </c>
      <c r="AE201" s="6">
        <v>0</v>
      </c>
      <c r="AF201" s="6">
        <v>0</v>
      </c>
      <c r="AG201" s="6">
        <v>0</v>
      </c>
      <c r="AH201" s="6">
        <v>7</v>
      </c>
      <c r="AI201" s="6">
        <v>6</v>
      </c>
      <c r="AJ201" s="6">
        <v>2</v>
      </c>
      <c r="AK201" s="6">
        <v>1</v>
      </c>
      <c r="AL201" s="6">
        <v>1</v>
      </c>
      <c r="AM201" s="6">
        <v>0</v>
      </c>
      <c r="AN201" s="6">
        <v>0</v>
      </c>
      <c r="AO201" s="6">
        <v>2</v>
      </c>
      <c r="AP201" s="6">
        <v>0</v>
      </c>
      <c r="AQ201" s="6">
        <v>0</v>
      </c>
      <c r="AR201" s="6">
        <v>0</v>
      </c>
      <c r="AS201" s="6">
        <v>1</v>
      </c>
      <c r="AT201" s="6">
        <v>0</v>
      </c>
      <c r="AU201" s="6">
        <v>0</v>
      </c>
      <c r="AV201" s="5">
        <f t="shared" si="93"/>
        <v>161</v>
      </c>
    </row>
    <row r="202" spans="1:48" ht="13.15" customHeight="1" x14ac:dyDescent="0.4">
      <c r="A202" s="7"/>
      <c r="B202" s="47"/>
      <c r="C202" s="24" t="s">
        <v>218</v>
      </c>
      <c r="D202" s="45"/>
      <c r="E202" s="6">
        <v>2</v>
      </c>
      <c r="F202" s="6">
        <v>0</v>
      </c>
      <c r="G202" s="6">
        <v>0</v>
      </c>
      <c r="H202" s="6">
        <v>0</v>
      </c>
      <c r="I202" s="6">
        <v>1</v>
      </c>
      <c r="J202" s="6">
        <v>2</v>
      </c>
      <c r="K202" s="6">
        <v>0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1</v>
      </c>
      <c r="T202" s="6">
        <v>0</v>
      </c>
      <c r="U202" s="6">
        <v>0</v>
      </c>
      <c r="V202" s="6">
        <v>1</v>
      </c>
      <c r="W202" s="6">
        <v>1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1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1</v>
      </c>
      <c r="AR202" s="6">
        <v>0</v>
      </c>
      <c r="AS202" s="6">
        <v>0</v>
      </c>
      <c r="AT202" s="6">
        <v>0</v>
      </c>
      <c r="AU202" s="6">
        <v>0</v>
      </c>
      <c r="AV202" s="5">
        <f t="shared" si="93"/>
        <v>11</v>
      </c>
    </row>
    <row r="203" spans="1:48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1</v>
      </c>
      <c r="L203" s="6">
        <v>0</v>
      </c>
      <c r="M203" s="6">
        <v>1</v>
      </c>
      <c r="N203" s="6">
        <v>0</v>
      </c>
      <c r="O203" s="6">
        <v>1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1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2</v>
      </c>
      <c r="AD203" s="6">
        <v>1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5">
        <f t="shared" si="93"/>
        <v>7</v>
      </c>
    </row>
    <row r="204" spans="1:48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0</v>
      </c>
      <c r="K204" s="6">
        <v>3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1</v>
      </c>
      <c r="S204" s="6">
        <v>1</v>
      </c>
      <c r="T204" s="6">
        <v>0</v>
      </c>
      <c r="U204" s="6">
        <v>1</v>
      </c>
      <c r="V204" s="6">
        <v>2</v>
      </c>
      <c r="W204" s="6">
        <v>2</v>
      </c>
      <c r="X204" s="6">
        <v>1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1</v>
      </c>
      <c r="AI204" s="6">
        <v>2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1</v>
      </c>
      <c r="AR204" s="6">
        <v>0</v>
      </c>
      <c r="AS204" s="6">
        <v>0</v>
      </c>
      <c r="AT204" s="6">
        <v>0</v>
      </c>
      <c r="AU204" s="6">
        <v>0</v>
      </c>
      <c r="AV204" s="5">
        <f t="shared" si="93"/>
        <v>17</v>
      </c>
    </row>
    <row r="205" spans="1:48" x14ac:dyDescent="0.4">
      <c r="A205" s="7"/>
      <c r="B205" s="47"/>
      <c r="C205" s="24" t="s">
        <v>221</v>
      </c>
      <c r="D205" s="45"/>
      <c r="E205" s="6">
        <v>1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>
        <v>0</v>
      </c>
      <c r="U205" s="6">
        <v>2</v>
      </c>
      <c r="V205" s="6">
        <v>0</v>
      </c>
      <c r="W205" s="6">
        <v>1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1</v>
      </c>
      <c r="AD205" s="6">
        <v>0</v>
      </c>
      <c r="AE205" s="6">
        <v>0</v>
      </c>
      <c r="AF205" s="6">
        <v>1</v>
      </c>
      <c r="AG205" s="6">
        <v>0</v>
      </c>
      <c r="AH205" s="6">
        <v>0</v>
      </c>
      <c r="AI205" s="6">
        <v>0</v>
      </c>
      <c r="AJ205" s="6">
        <v>1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5">
        <f t="shared" si="93"/>
        <v>8</v>
      </c>
    </row>
    <row r="206" spans="1:48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5">
        <f t="shared" si="93"/>
        <v>1</v>
      </c>
    </row>
    <row r="207" spans="1:48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1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1</v>
      </c>
      <c r="AU207" s="6">
        <v>0</v>
      </c>
      <c r="AV207" s="5">
        <f t="shared" si="93"/>
        <v>3</v>
      </c>
    </row>
    <row r="208" spans="1:48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1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2</v>
      </c>
      <c r="Q208" s="6">
        <v>0</v>
      </c>
      <c r="R208" s="6">
        <v>0</v>
      </c>
      <c r="S208" s="6">
        <v>1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1</v>
      </c>
      <c r="AF208" s="6">
        <v>1</v>
      </c>
      <c r="AG208" s="6">
        <v>0</v>
      </c>
      <c r="AH208" s="6">
        <v>3</v>
      </c>
      <c r="AI208" s="6">
        <v>1</v>
      </c>
      <c r="AJ208" s="6">
        <v>1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6</v>
      </c>
      <c r="AR208" s="6">
        <v>1</v>
      </c>
      <c r="AS208" s="6">
        <v>0</v>
      </c>
      <c r="AT208" s="6">
        <v>0</v>
      </c>
      <c r="AU208" s="6">
        <v>0</v>
      </c>
      <c r="AV208" s="5">
        <f t="shared" si="93"/>
        <v>19</v>
      </c>
    </row>
    <row r="209" spans="1:48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:AG209" si="94">SUM(E199:E208)</f>
        <v>25</v>
      </c>
      <c r="F209" s="6">
        <f t="shared" ref="F209:S209" si="95">SUM(F199:F208)</f>
        <v>16</v>
      </c>
      <c r="G209" s="6">
        <f t="shared" si="95"/>
        <v>5</v>
      </c>
      <c r="H209" s="6">
        <f t="shared" si="95"/>
        <v>59</v>
      </c>
      <c r="I209" s="6">
        <f t="shared" si="95"/>
        <v>24</v>
      </c>
      <c r="J209" s="6">
        <f t="shared" si="95"/>
        <v>30</v>
      </c>
      <c r="K209" s="6">
        <f t="shared" si="95"/>
        <v>28</v>
      </c>
      <c r="L209" s="6">
        <f t="shared" si="95"/>
        <v>15</v>
      </c>
      <c r="M209" s="6">
        <f t="shared" si="95"/>
        <v>19</v>
      </c>
      <c r="N209" s="6">
        <f t="shared" si="95"/>
        <v>8</v>
      </c>
      <c r="O209" s="6">
        <f t="shared" si="95"/>
        <v>4</v>
      </c>
      <c r="P209" s="6">
        <f t="shared" si="95"/>
        <v>7</v>
      </c>
      <c r="Q209" s="6">
        <f t="shared" si="95"/>
        <v>8</v>
      </c>
      <c r="R209" s="6">
        <f t="shared" si="95"/>
        <v>3</v>
      </c>
      <c r="S209" s="6">
        <f t="shared" si="95"/>
        <v>7</v>
      </c>
      <c r="T209" s="6">
        <f t="shared" si="94"/>
        <v>1</v>
      </c>
      <c r="U209" s="6">
        <f t="shared" si="94"/>
        <v>10</v>
      </c>
      <c r="V209" s="6">
        <f t="shared" si="94"/>
        <v>6</v>
      </c>
      <c r="W209" s="6">
        <f t="shared" si="94"/>
        <v>20</v>
      </c>
      <c r="X209" s="6">
        <f t="shared" si="94"/>
        <v>20</v>
      </c>
      <c r="Y209" s="6">
        <f t="shared" si="94"/>
        <v>7</v>
      </c>
      <c r="Z209" s="6">
        <f t="shared" si="94"/>
        <v>17</v>
      </c>
      <c r="AA209" s="6">
        <f t="shared" si="94"/>
        <v>12</v>
      </c>
      <c r="AB209" s="6">
        <f t="shared" si="94"/>
        <v>7</v>
      </c>
      <c r="AC209" s="6">
        <f t="shared" si="94"/>
        <v>5</v>
      </c>
      <c r="AD209" s="6">
        <f t="shared" si="94"/>
        <v>11</v>
      </c>
      <c r="AE209" s="6">
        <f t="shared" si="94"/>
        <v>3</v>
      </c>
      <c r="AF209" s="6">
        <f t="shared" si="94"/>
        <v>4</v>
      </c>
      <c r="AG209" s="6">
        <f t="shared" si="94"/>
        <v>6</v>
      </c>
      <c r="AH209" s="6">
        <f t="shared" ref="AH209" si="96">SUM(AH199:AH208)</f>
        <v>15</v>
      </c>
      <c r="AI209" s="6">
        <f t="shared" ref="AI209" si="97">SUM(AI199:AI208)</f>
        <v>18</v>
      </c>
      <c r="AJ209" s="6">
        <f t="shared" ref="AJ209" si="98">SUM(AJ199:AJ208)</f>
        <v>9</v>
      </c>
      <c r="AK209" s="6">
        <f t="shared" ref="AK209" si="99">SUM(AK199:AK208)</f>
        <v>3</v>
      </c>
      <c r="AL209" s="6">
        <f t="shared" ref="AL209" si="100">SUM(AL199:AL208)</f>
        <v>2</v>
      </c>
      <c r="AM209" s="6">
        <f t="shared" ref="AM209" si="101">SUM(AM199:AM208)</f>
        <v>0</v>
      </c>
      <c r="AN209" s="6">
        <f t="shared" ref="AN209" si="102">SUM(AN199:AN208)</f>
        <v>1</v>
      </c>
      <c r="AO209" s="6">
        <f t="shared" ref="AO209" si="103">SUM(AO199:AO208)</f>
        <v>2</v>
      </c>
      <c r="AP209" s="6">
        <f t="shared" ref="AP209" si="104">SUM(AP199:AP208)</f>
        <v>2</v>
      </c>
      <c r="AQ209" s="6">
        <f t="shared" ref="AQ209" si="105">SUM(AQ199:AQ208)</f>
        <v>11</v>
      </c>
      <c r="AR209" s="6">
        <f t="shared" ref="AR209" si="106">SUM(AR199:AR208)</f>
        <v>1</v>
      </c>
      <c r="AS209" s="6">
        <f t="shared" ref="AS209" si="107">SUM(AS199:AS208)</f>
        <v>6</v>
      </c>
      <c r="AT209" s="6">
        <f t="shared" ref="AT209" si="108">SUM(AT199:AT208)</f>
        <v>2</v>
      </c>
      <c r="AU209" s="6">
        <f t="shared" ref="AU209" si="109">SUM(AU199:AU208)</f>
        <v>3</v>
      </c>
      <c r="AV209" s="6">
        <f t="shared" ref="AV209" si="110">SUM(AV199:AV208)</f>
        <v>462</v>
      </c>
    </row>
    <row r="210" spans="1:48" x14ac:dyDescent="0.4">
      <c r="A210" s="53"/>
      <c r="B210" s="75"/>
      <c r="C210" s="75"/>
      <c r="D210" s="75"/>
      <c r="E210" s="86"/>
    </row>
    <row r="211" spans="1:48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1</v>
      </c>
      <c r="P211" s="6">
        <v>1</v>
      </c>
      <c r="Q211" s="6">
        <v>0</v>
      </c>
      <c r="R211" s="6">
        <v>0</v>
      </c>
      <c r="S211" s="6">
        <v>0</v>
      </c>
      <c r="T211" s="6">
        <v>3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1</v>
      </c>
      <c r="AA211" s="6">
        <v>1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1</v>
      </c>
      <c r="AH211" s="6">
        <v>0</v>
      </c>
      <c r="AI211" s="6">
        <v>0</v>
      </c>
      <c r="AJ211" s="6">
        <v>1</v>
      </c>
      <c r="AK211" s="6">
        <v>1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1</v>
      </c>
      <c r="AR211" s="6">
        <v>0</v>
      </c>
      <c r="AS211" s="6">
        <v>0</v>
      </c>
      <c r="AT211" s="6">
        <v>0</v>
      </c>
      <c r="AU211" s="6">
        <v>0</v>
      </c>
      <c r="AV211" s="5">
        <f>SUM(E211:AU211)</f>
        <v>13</v>
      </c>
    </row>
    <row r="212" spans="1:48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1</v>
      </c>
      <c r="G212" s="6">
        <v>0</v>
      </c>
      <c r="H212" s="6">
        <v>1</v>
      </c>
      <c r="I212" s="6">
        <v>0</v>
      </c>
      <c r="J212" s="6">
        <v>1</v>
      </c>
      <c r="K212" s="6">
        <v>0</v>
      </c>
      <c r="L212" s="6">
        <v>0</v>
      </c>
      <c r="M212" s="6">
        <v>1</v>
      </c>
      <c r="N212" s="6">
        <v>0</v>
      </c>
      <c r="O212" s="6">
        <v>1</v>
      </c>
      <c r="P212" s="6">
        <v>1</v>
      </c>
      <c r="Q212" s="6">
        <v>0</v>
      </c>
      <c r="R212" s="6">
        <v>0</v>
      </c>
      <c r="S212" s="6">
        <v>1</v>
      </c>
      <c r="T212" s="6">
        <v>0</v>
      </c>
      <c r="U212" s="6">
        <v>0</v>
      </c>
      <c r="V212" s="6">
        <v>0</v>
      </c>
      <c r="W212" s="6">
        <v>0</v>
      </c>
      <c r="X212" s="6">
        <v>1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1</v>
      </c>
      <c r="AM212" s="6">
        <v>3</v>
      </c>
      <c r="AN212" s="6">
        <v>0</v>
      </c>
      <c r="AO212" s="6">
        <v>0</v>
      </c>
      <c r="AP212" s="6">
        <v>7</v>
      </c>
      <c r="AQ212" s="6">
        <v>2</v>
      </c>
      <c r="AR212" s="6">
        <v>0</v>
      </c>
      <c r="AS212" s="6">
        <v>2</v>
      </c>
      <c r="AT212" s="6">
        <v>3</v>
      </c>
      <c r="AU212" s="6">
        <v>2</v>
      </c>
      <c r="AV212" s="5">
        <f>SUM(E212:AU212)</f>
        <v>28</v>
      </c>
    </row>
    <row r="213" spans="1:48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5">
        <f>SUM(E213:AU213)</f>
        <v>0</v>
      </c>
    </row>
    <row r="214" spans="1:48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1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5">
        <f>SUM(E214:AU214)</f>
        <v>2</v>
      </c>
    </row>
    <row r="215" spans="1:48" x14ac:dyDescent="0.4">
      <c r="A215" s="6" t="s">
        <v>26</v>
      </c>
      <c r="B215" s="74" t="s">
        <v>51</v>
      </c>
      <c r="C215" s="84"/>
      <c r="D215" s="85"/>
      <c r="E215" s="6">
        <f t="shared" ref="E215:AV215" si="111">SUM(E211:E214)</f>
        <v>0</v>
      </c>
      <c r="F215" s="6">
        <f t="shared" si="111"/>
        <v>2</v>
      </c>
      <c r="G215" s="6">
        <f t="shared" si="111"/>
        <v>0</v>
      </c>
      <c r="H215" s="6">
        <f t="shared" si="111"/>
        <v>1</v>
      </c>
      <c r="I215" s="6">
        <f t="shared" si="111"/>
        <v>0</v>
      </c>
      <c r="J215" s="6">
        <f t="shared" si="111"/>
        <v>1</v>
      </c>
      <c r="K215" s="6">
        <f t="shared" si="111"/>
        <v>1</v>
      </c>
      <c r="L215" s="6">
        <f t="shared" si="111"/>
        <v>0</v>
      </c>
      <c r="M215" s="6">
        <f t="shared" si="111"/>
        <v>1</v>
      </c>
      <c r="N215" s="6">
        <f t="shared" si="111"/>
        <v>0</v>
      </c>
      <c r="O215" s="6">
        <f t="shared" si="111"/>
        <v>3</v>
      </c>
      <c r="P215" s="6">
        <f t="shared" si="111"/>
        <v>2</v>
      </c>
      <c r="Q215" s="6">
        <f t="shared" si="111"/>
        <v>0</v>
      </c>
      <c r="R215" s="6">
        <f t="shared" si="111"/>
        <v>0</v>
      </c>
      <c r="S215" s="6">
        <f t="shared" si="111"/>
        <v>1</v>
      </c>
      <c r="T215" s="6">
        <f t="shared" si="111"/>
        <v>3</v>
      </c>
      <c r="U215" s="6">
        <f t="shared" si="111"/>
        <v>0</v>
      </c>
      <c r="V215" s="6">
        <f t="shared" si="111"/>
        <v>0</v>
      </c>
      <c r="W215" s="6">
        <f t="shared" si="111"/>
        <v>0</v>
      </c>
      <c r="X215" s="6">
        <f t="shared" si="111"/>
        <v>1</v>
      </c>
      <c r="Y215" s="6">
        <f t="shared" si="111"/>
        <v>0</v>
      </c>
      <c r="Z215" s="6">
        <f t="shared" si="111"/>
        <v>1</v>
      </c>
      <c r="AA215" s="6">
        <f t="shared" si="111"/>
        <v>1</v>
      </c>
      <c r="AB215" s="6">
        <f t="shared" si="111"/>
        <v>0</v>
      </c>
      <c r="AC215" s="6">
        <f t="shared" si="111"/>
        <v>0</v>
      </c>
      <c r="AD215" s="6">
        <f t="shared" si="111"/>
        <v>0</v>
      </c>
      <c r="AE215" s="6">
        <f t="shared" si="111"/>
        <v>0</v>
      </c>
      <c r="AF215" s="6">
        <f t="shared" si="111"/>
        <v>0</v>
      </c>
      <c r="AG215" s="6">
        <f t="shared" si="111"/>
        <v>1</v>
      </c>
      <c r="AH215" s="6">
        <f t="shared" si="111"/>
        <v>0</v>
      </c>
      <c r="AI215" s="6">
        <f t="shared" si="111"/>
        <v>1</v>
      </c>
      <c r="AJ215" s="6">
        <f t="shared" si="111"/>
        <v>1</v>
      </c>
      <c r="AK215" s="6">
        <f t="shared" si="111"/>
        <v>1</v>
      </c>
      <c r="AL215" s="6">
        <f t="shared" si="111"/>
        <v>1</v>
      </c>
      <c r="AM215" s="6">
        <f t="shared" si="111"/>
        <v>3</v>
      </c>
      <c r="AN215" s="6">
        <f t="shared" si="111"/>
        <v>0</v>
      </c>
      <c r="AO215" s="6">
        <f t="shared" si="111"/>
        <v>0</v>
      </c>
      <c r="AP215" s="6">
        <f t="shared" si="111"/>
        <v>7</v>
      </c>
      <c r="AQ215" s="6">
        <f t="shared" si="111"/>
        <v>3</v>
      </c>
      <c r="AR215" s="6">
        <f t="shared" si="111"/>
        <v>0</v>
      </c>
      <c r="AS215" s="6">
        <f t="shared" si="111"/>
        <v>2</v>
      </c>
      <c r="AT215" s="6">
        <f t="shared" si="111"/>
        <v>3</v>
      </c>
      <c r="AU215" s="6">
        <f t="shared" si="111"/>
        <v>2</v>
      </c>
      <c r="AV215" s="6">
        <f t="shared" si="111"/>
        <v>43</v>
      </c>
    </row>
    <row r="217" spans="1:48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15"/>
      <c r="P217" s="15"/>
      <c r="Q217" s="15"/>
      <c r="R217" s="15"/>
      <c r="S217" s="15"/>
      <c r="T217" s="5"/>
      <c r="U217" s="5"/>
      <c r="V217" s="5"/>
      <c r="W217" s="5"/>
      <c r="X217" s="5"/>
      <c r="Y217" s="5"/>
      <c r="Z217" s="5"/>
      <c r="AA217" s="5"/>
      <c r="AB217" s="15"/>
      <c r="AC217" s="15"/>
      <c r="AD217" s="15"/>
      <c r="AE217" s="15"/>
      <c r="AF217" s="15"/>
      <c r="AG217" s="15"/>
      <c r="AH217" s="5"/>
      <c r="AI217" s="99"/>
      <c r="AJ217" s="99"/>
      <c r="AK217" s="99"/>
      <c r="AL217" s="99"/>
      <c r="AM217" s="99"/>
      <c r="AN217" s="99"/>
      <c r="AO217" s="99"/>
      <c r="AP217" s="100"/>
      <c r="AQ217" s="100"/>
      <c r="AR217" s="100"/>
      <c r="AS217" s="15"/>
      <c r="AT217" s="15"/>
      <c r="AU217" s="15"/>
      <c r="AV217" s="5"/>
    </row>
    <row r="218" spans="1:48" x14ac:dyDescent="0.4">
      <c r="A218" s="16"/>
      <c r="B218" s="19" t="s">
        <v>85</v>
      </c>
      <c r="C218" s="91" t="s">
        <v>86</v>
      </c>
      <c r="D218" s="92"/>
      <c r="E218" s="6">
        <f t="shared" ref="E218:AU218" si="112">E55+E67+E79+E91+E103+E108+E116+E128+E134+E144+E148+E160+E172+E184+E190+E197+E209+E215</f>
        <v>236</v>
      </c>
      <c r="F218" s="6">
        <f t="shared" si="112"/>
        <v>156</v>
      </c>
      <c r="G218" s="6">
        <f t="shared" si="112"/>
        <v>146</v>
      </c>
      <c r="H218" s="6">
        <f t="shared" si="112"/>
        <v>212</v>
      </c>
      <c r="I218" s="6">
        <f t="shared" si="112"/>
        <v>199</v>
      </c>
      <c r="J218" s="6">
        <f t="shared" si="112"/>
        <v>179</v>
      </c>
      <c r="K218" s="6">
        <f t="shared" si="112"/>
        <v>193</v>
      </c>
      <c r="L218" s="6">
        <f t="shared" si="112"/>
        <v>171</v>
      </c>
      <c r="M218" s="6">
        <f t="shared" si="112"/>
        <v>183</v>
      </c>
      <c r="N218" s="6">
        <f t="shared" si="112"/>
        <v>196</v>
      </c>
      <c r="O218" s="6">
        <f t="shared" si="112"/>
        <v>191</v>
      </c>
      <c r="P218" s="6">
        <f t="shared" si="112"/>
        <v>178</v>
      </c>
      <c r="Q218" s="6">
        <f t="shared" si="112"/>
        <v>195</v>
      </c>
      <c r="R218" s="6">
        <f t="shared" si="112"/>
        <v>169</v>
      </c>
      <c r="S218" s="6">
        <f t="shared" si="112"/>
        <v>177</v>
      </c>
      <c r="T218" s="6">
        <f t="shared" si="112"/>
        <v>166</v>
      </c>
      <c r="U218" s="6">
        <f t="shared" si="112"/>
        <v>171</v>
      </c>
      <c r="V218" s="6">
        <f t="shared" si="112"/>
        <v>189</v>
      </c>
      <c r="W218" s="6">
        <f t="shared" si="112"/>
        <v>186</v>
      </c>
      <c r="X218" s="6">
        <f t="shared" si="112"/>
        <v>189</v>
      </c>
      <c r="Y218" s="6">
        <f t="shared" si="112"/>
        <v>189</v>
      </c>
      <c r="Z218" s="6">
        <f t="shared" si="112"/>
        <v>197</v>
      </c>
      <c r="AA218" s="6">
        <f t="shared" si="112"/>
        <v>184</v>
      </c>
      <c r="AB218" s="6">
        <f t="shared" si="112"/>
        <v>202</v>
      </c>
      <c r="AC218" s="6">
        <f t="shared" si="112"/>
        <v>184</v>
      </c>
      <c r="AD218" s="6">
        <f t="shared" si="112"/>
        <v>193</v>
      </c>
      <c r="AE218" s="6">
        <f t="shared" si="112"/>
        <v>190</v>
      </c>
      <c r="AF218" s="6">
        <f t="shared" si="112"/>
        <v>197</v>
      </c>
      <c r="AG218" s="6">
        <f t="shared" si="112"/>
        <v>182</v>
      </c>
      <c r="AH218" s="6">
        <f t="shared" si="112"/>
        <v>181</v>
      </c>
      <c r="AI218" s="101">
        <f t="shared" si="112"/>
        <v>192</v>
      </c>
      <c r="AJ218" s="101">
        <f t="shared" si="112"/>
        <v>204</v>
      </c>
      <c r="AK218" s="101">
        <f t="shared" si="112"/>
        <v>211</v>
      </c>
      <c r="AL218" s="101">
        <f t="shared" si="112"/>
        <v>127</v>
      </c>
      <c r="AM218" s="101">
        <f t="shared" si="112"/>
        <v>169</v>
      </c>
      <c r="AN218" s="101">
        <f t="shared" si="112"/>
        <v>190</v>
      </c>
      <c r="AO218" s="101">
        <f t="shared" si="112"/>
        <v>153</v>
      </c>
      <c r="AP218" s="101">
        <f t="shared" si="112"/>
        <v>171</v>
      </c>
      <c r="AQ218" s="101">
        <f t="shared" si="112"/>
        <v>181</v>
      </c>
      <c r="AR218" s="101">
        <f t="shared" si="112"/>
        <v>157</v>
      </c>
      <c r="AS218" s="6">
        <f t="shared" si="112"/>
        <v>191</v>
      </c>
      <c r="AT218" s="6">
        <f t="shared" si="112"/>
        <v>184</v>
      </c>
      <c r="AU218" s="6">
        <f t="shared" si="112"/>
        <v>164</v>
      </c>
      <c r="AV218" s="5">
        <f>SUM(E218:AU218)</f>
        <v>7875</v>
      </c>
    </row>
    <row r="219" spans="1:48" x14ac:dyDescent="0.4">
      <c r="A219" s="13"/>
      <c r="B219" s="19" t="s">
        <v>87</v>
      </c>
      <c r="C219" s="91" t="s">
        <v>88</v>
      </c>
      <c r="D219" s="92"/>
      <c r="E219" s="6">
        <v>15</v>
      </c>
      <c r="F219" s="6">
        <v>30</v>
      </c>
      <c r="G219" s="6">
        <v>30</v>
      </c>
      <c r="H219" s="6">
        <v>20</v>
      </c>
      <c r="I219" s="6">
        <v>27</v>
      </c>
      <c r="J219" s="6">
        <v>34</v>
      </c>
      <c r="K219" s="6">
        <v>35</v>
      </c>
      <c r="L219" s="6">
        <v>43</v>
      </c>
      <c r="M219" s="6">
        <v>28</v>
      </c>
      <c r="N219" s="6">
        <v>31</v>
      </c>
      <c r="O219" s="6">
        <v>17</v>
      </c>
      <c r="P219" s="6">
        <v>35</v>
      </c>
      <c r="Q219" s="6">
        <v>14</v>
      </c>
      <c r="R219" s="6">
        <v>40</v>
      </c>
      <c r="S219" s="6">
        <v>26</v>
      </c>
      <c r="T219" s="6">
        <v>50</v>
      </c>
      <c r="U219" s="6">
        <v>38</v>
      </c>
      <c r="V219" s="6">
        <v>24</v>
      </c>
      <c r="W219" s="6">
        <v>42</v>
      </c>
      <c r="X219" s="6">
        <v>37</v>
      </c>
      <c r="Y219" s="6">
        <v>28</v>
      </c>
      <c r="Z219" s="6">
        <v>29</v>
      </c>
      <c r="AA219" s="6">
        <v>42</v>
      </c>
      <c r="AB219" s="6">
        <v>25</v>
      </c>
      <c r="AC219" s="6">
        <v>35</v>
      </c>
      <c r="AD219" s="6">
        <v>21</v>
      </c>
      <c r="AE219" s="6">
        <v>31</v>
      </c>
      <c r="AF219" s="6">
        <v>31</v>
      </c>
      <c r="AG219" s="6">
        <v>24</v>
      </c>
      <c r="AH219" s="6">
        <v>34</v>
      </c>
      <c r="AI219" s="6">
        <v>23</v>
      </c>
      <c r="AJ219" s="6">
        <v>26</v>
      </c>
      <c r="AK219" s="6">
        <v>23</v>
      </c>
      <c r="AL219" s="6">
        <v>18</v>
      </c>
      <c r="AM219" s="6">
        <v>20</v>
      </c>
      <c r="AN219" s="6">
        <v>18</v>
      </c>
      <c r="AO219" s="6">
        <v>37</v>
      </c>
      <c r="AP219" s="6">
        <v>46</v>
      </c>
      <c r="AQ219" s="6">
        <v>25</v>
      </c>
      <c r="AR219" s="6">
        <v>15</v>
      </c>
      <c r="AS219" s="6">
        <v>16</v>
      </c>
      <c r="AT219" s="6">
        <v>29</v>
      </c>
      <c r="AU219" s="6">
        <v>19</v>
      </c>
      <c r="AV219" s="5">
        <f>SUM(E219:AU219)</f>
        <v>1231</v>
      </c>
    </row>
    <row r="220" spans="1:48" x14ac:dyDescent="0.4">
      <c r="A220" s="14"/>
      <c r="B220" s="19" t="s">
        <v>89</v>
      </c>
      <c r="C220" s="91" t="s">
        <v>90</v>
      </c>
      <c r="D220" s="92"/>
      <c r="E220" s="5">
        <f>SUM(E218:E219)</f>
        <v>251</v>
      </c>
      <c r="F220" s="5">
        <f t="shared" ref="F220:S220" si="113">SUM(F218:F219)</f>
        <v>186</v>
      </c>
      <c r="G220" s="5">
        <f t="shared" si="113"/>
        <v>176</v>
      </c>
      <c r="H220" s="5">
        <f t="shared" si="113"/>
        <v>232</v>
      </c>
      <c r="I220" s="5">
        <f t="shared" si="113"/>
        <v>226</v>
      </c>
      <c r="J220" s="5">
        <f t="shared" si="113"/>
        <v>213</v>
      </c>
      <c r="K220" s="5">
        <f t="shared" si="113"/>
        <v>228</v>
      </c>
      <c r="L220" s="5">
        <f t="shared" si="113"/>
        <v>214</v>
      </c>
      <c r="M220" s="5">
        <f t="shared" si="113"/>
        <v>211</v>
      </c>
      <c r="N220" s="5">
        <f t="shared" si="113"/>
        <v>227</v>
      </c>
      <c r="O220" s="5">
        <f t="shared" si="113"/>
        <v>208</v>
      </c>
      <c r="P220" s="5">
        <f t="shared" si="113"/>
        <v>213</v>
      </c>
      <c r="Q220" s="5">
        <f t="shared" si="113"/>
        <v>209</v>
      </c>
      <c r="R220" s="5">
        <f t="shared" si="113"/>
        <v>209</v>
      </c>
      <c r="S220" s="5">
        <f t="shared" si="113"/>
        <v>203</v>
      </c>
      <c r="T220" s="5">
        <f t="shared" ref="T220:AG220" si="114">SUM(T218:T219)</f>
        <v>216</v>
      </c>
      <c r="U220" s="5">
        <f t="shared" si="114"/>
        <v>209</v>
      </c>
      <c r="V220" s="5">
        <f t="shared" si="114"/>
        <v>213</v>
      </c>
      <c r="W220" s="5">
        <f t="shared" si="114"/>
        <v>228</v>
      </c>
      <c r="X220" s="5">
        <f t="shared" si="114"/>
        <v>226</v>
      </c>
      <c r="Y220" s="5">
        <f t="shared" si="114"/>
        <v>217</v>
      </c>
      <c r="Z220" s="5">
        <f t="shared" si="114"/>
        <v>226</v>
      </c>
      <c r="AA220" s="5">
        <f t="shared" si="114"/>
        <v>226</v>
      </c>
      <c r="AB220" s="5">
        <f t="shared" si="114"/>
        <v>227</v>
      </c>
      <c r="AC220" s="5">
        <f t="shared" si="114"/>
        <v>219</v>
      </c>
      <c r="AD220" s="5">
        <f t="shared" si="114"/>
        <v>214</v>
      </c>
      <c r="AE220" s="5">
        <f t="shared" si="114"/>
        <v>221</v>
      </c>
      <c r="AF220" s="5">
        <f t="shared" si="114"/>
        <v>228</v>
      </c>
      <c r="AG220" s="5">
        <f t="shared" si="114"/>
        <v>206</v>
      </c>
      <c r="AH220" s="5">
        <f t="shared" ref="AH220:AU220" si="115">SUM(AH218:AH219)</f>
        <v>215</v>
      </c>
      <c r="AI220" s="5">
        <f t="shared" si="115"/>
        <v>215</v>
      </c>
      <c r="AJ220" s="5">
        <f t="shared" si="115"/>
        <v>230</v>
      </c>
      <c r="AK220" s="5">
        <f t="shared" si="115"/>
        <v>234</v>
      </c>
      <c r="AL220" s="5">
        <f t="shared" si="115"/>
        <v>145</v>
      </c>
      <c r="AM220" s="5">
        <f t="shared" si="115"/>
        <v>189</v>
      </c>
      <c r="AN220" s="5">
        <f t="shared" si="115"/>
        <v>208</v>
      </c>
      <c r="AO220" s="5">
        <f t="shared" si="115"/>
        <v>190</v>
      </c>
      <c r="AP220" s="5">
        <f t="shared" si="115"/>
        <v>217</v>
      </c>
      <c r="AQ220" s="5">
        <f t="shared" si="115"/>
        <v>206</v>
      </c>
      <c r="AR220" s="5">
        <f t="shared" si="115"/>
        <v>172</v>
      </c>
      <c r="AS220" s="5">
        <f t="shared" si="115"/>
        <v>207</v>
      </c>
      <c r="AT220" s="5">
        <f t="shared" si="115"/>
        <v>213</v>
      </c>
      <c r="AU220" s="5">
        <f t="shared" si="115"/>
        <v>183</v>
      </c>
      <c r="AV220" s="5">
        <f>SUM(E220:AU220)</f>
        <v>9106</v>
      </c>
    </row>
  </sheetData>
  <mergeCells count="86">
    <mergeCell ref="A17:D17"/>
    <mergeCell ref="B18:D18"/>
    <mergeCell ref="B19:B21"/>
    <mergeCell ref="C19:C21"/>
    <mergeCell ref="B22:B24"/>
    <mergeCell ref="C22:C24"/>
    <mergeCell ref="B12:D12"/>
    <mergeCell ref="E12:AU12"/>
    <mergeCell ref="AV12:AV13"/>
    <mergeCell ref="B13:D13"/>
    <mergeCell ref="B14:C16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E37:AK37"/>
    <mergeCell ref="B38:D38"/>
    <mergeCell ref="A42:D42"/>
    <mergeCell ref="E42:AK42"/>
    <mergeCell ref="B43:D43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130:D130"/>
    <mergeCell ref="B103:D103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62:D162"/>
    <mergeCell ref="B134:D134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99:D199"/>
    <mergeCell ref="B172:D172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219:D219"/>
    <mergeCell ref="C220:D220"/>
    <mergeCell ref="B209:D209"/>
    <mergeCell ref="A210:E210"/>
    <mergeCell ref="C211:D211"/>
    <mergeCell ref="B215:D215"/>
    <mergeCell ref="B217:D217"/>
    <mergeCell ref="C218:D218"/>
  </mergeCells>
  <phoneticPr fontId="8" type="noConversion"/>
  <conditionalFormatting sqref="E14:AU15">
    <cfRule type="containsBlanks" dxfId="85" priority="21">
      <formula>LEN(TRIM(E14))=0</formula>
    </cfRule>
  </conditionalFormatting>
  <conditionalFormatting sqref="E19:AU20">
    <cfRule type="containsBlanks" dxfId="84" priority="24">
      <formula>LEN(TRIM(E19))=0</formula>
    </cfRule>
  </conditionalFormatting>
  <conditionalFormatting sqref="E22:AU23 E25:AU26 E33:AU33 E35:AU35 E39:AU40">
    <cfRule type="containsBlanks" dxfId="83" priority="25">
      <formula>LEN(TRIM(E22))=0</formula>
    </cfRule>
  </conditionalFormatting>
  <conditionalFormatting sqref="E30:AU30">
    <cfRule type="expression" dxfId="82" priority="26">
      <formula>E30&lt;&gt;E47</formula>
    </cfRule>
    <cfRule type="expression" dxfId="81" priority="27">
      <formula>E30&lt;&gt;E34</formula>
    </cfRule>
  </conditionalFormatting>
  <conditionalFormatting sqref="E34:AU34">
    <cfRule type="expression" dxfId="80" priority="22">
      <formula>E30&lt;&gt;E34</formula>
    </cfRule>
    <cfRule type="expression" dxfId="79" priority="23">
      <formula>E30=E34</formula>
    </cfRule>
    <cfRule type="expression" dxfId="78" priority="28">
      <formula>E34&lt;&gt;E30</formula>
    </cfRule>
    <cfRule type="expression" dxfId="77" priority="30">
      <formula>E34&lt;&gt;E64</formula>
    </cfRule>
  </conditionalFormatting>
  <conditionalFormatting sqref="E45:AU54">
    <cfRule type="containsBlanks" dxfId="76" priority="20">
      <formula>LEN(TRIM(E45))=0</formula>
    </cfRule>
  </conditionalFormatting>
  <conditionalFormatting sqref="E57:AU66">
    <cfRule type="containsBlanks" dxfId="75" priority="19">
      <formula>LEN(TRIM(E57))=0</formula>
    </cfRule>
  </conditionalFormatting>
  <conditionalFormatting sqref="E69:AU78">
    <cfRule type="containsBlanks" dxfId="74" priority="18">
      <formula>LEN(TRIM(E69))=0</formula>
    </cfRule>
  </conditionalFormatting>
  <conditionalFormatting sqref="E81:AU90">
    <cfRule type="containsBlanks" dxfId="73" priority="17">
      <formula>LEN(TRIM(E81))=0</formula>
    </cfRule>
  </conditionalFormatting>
  <conditionalFormatting sqref="E93:AU102">
    <cfRule type="containsBlanks" dxfId="72" priority="16">
      <formula>LEN(TRIM(E93))=0</formula>
    </cfRule>
  </conditionalFormatting>
  <conditionalFormatting sqref="E105:AU107">
    <cfRule type="containsBlanks" dxfId="71" priority="15">
      <formula>LEN(TRIM(E105))=0</formula>
    </cfRule>
  </conditionalFormatting>
  <conditionalFormatting sqref="E110:AU115">
    <cfRule type="containsBlanks" dxfId="70" priority="1">
      <formula>LEN(TRIM(E110))=0</formula>
    </cfRule>
  </conditionalFormatting>
  <conditionalFormatting sqref="E118:AU127">
    <cfRule type="containsBlanks" dxfId="69" priority="14">
      <formula>LEN(TRIM(E118))=0</formula>
    </cfRule>
  </conditionalFormatting>
  <conditionalFormatting sqref="E130:AU133">
    <cfRule type="containsBlanks" dxfId="68" priority="13">
      <formula>LEN(TRIM(E130))=0</formula>
    </cfRule>
  </conditionalFormatting>
  <conditionalFormatting sqref="E136:AU143">
    <cfRule type="containsBlanks" dxfId="67" priority="3">
      <formula>LEN(TRIM(E136))=0</formula>
    </cfRule>
  </conditionalFormatting>
  <conditionalFormatting sqref="E146:AU147">
    <cfRule type="containsBlanks" dxfId="66" priority="12">
      <formula>LEN(TRIM(E146))=0</formula>
    </cfRule>
  </conditionalFormatting>
  <conditionalFormatting sqref="E150:AU159">
    <cfRule type="containsBlanks" dxfId="65" priority="11">
      <formula>LEN(TRIM(E150))=0</formula>
    </cfRule>
  </conditionalFormatting>
  <conditionalFormatting sqref="E162:AU171">
    <cfRule type="containsBlanks" dxfId="64" priority="10">
      <formula>LEN(TRIM(E162))=0</formula>
    </cfRule>
  </conditionalFormatting>
  <conditionalFormatting sqref="E174:AU183">
    <cfRule type="containsBlanks" dxfId="63" priority="9">
      <formula>LEN(TRIM(E174))=0</formula>
    </cfRule>
  </conditionalFormatting>
  <conditionalFormatting sqref="E186:AU189">
    <cfRule type="containsBlanks" dxfId="62" priority="8">
      <formula>LEN(TRIM(E186))=0</formula>
    </cfRule>
  </conditionalFormatting>
  <conditionalFormatting sqref="E192:AU196">
    <cfRule type="containsBlanks" dxfId="61" priority="7">
      <formula>LEN(TRIM(E192))=0</formula>
    </cfRule>
  </conditionalFormatting>
  <conditionalFormatting sqref="E199:AU208">
    <cfRule type="containsBlanks" dxfId="60" priority="6">
      <formula>LEN(TRIM(E199))=0</formula>
    </cfRule>
  </conditionalFormatting>
  <conditionalFormatting sqref="E211:AU214">
    <cfRule type="containsBlanks" dxfId="59" priority="4">
      <formula>LEN(TRIM(E211))=0</formula>
    </cfRule>
  </conditionalFormatting>
  <conditionalFormatting sqref="E218:AU219">
    <cfRule type="containsBlanks" dxfId="58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sheetPr>
    <tabColor rgb="FF92D050"/>
  </sheetPr>
  <dimension ref="A2:R220"/>
  <sheetViews>
    <sheetView topLeftCell="A13" zoomScale="85" zoomScaleNormal="85" workbookViewId="0">
      <pane ySplit="1" topLeftCell="A212" activePane="bottomLeft" state="frozen"/>
      <selection activeCell="T219" sqref="T219"/>
      <selection pane="bottomLeft" activeCell="T219" sqref="T219"/>
    </sheetView>
  </sheetViews>
  <sheetFormatPr defaultRowHeight="13.15" x14ac:dyDescent="0.4"/>
  <cols>
    <col min="3" max="3" width="67.140625" bestFit="1" customWidth="1"/>
    <col min="4" max="4" width="5.85546875" bestFit="1" customWidth="1"/>
    <col min="15" max="15" width="9.140625" customWidth="1"/>
    <col min="18" max="18" width="13.28515625" customWidth="1"/>
  </cols>
  <sheetData>
    <row r="2" spans="1:18" x14ac:dyDescent="0.4">
      <c r="C2" s="43" t="s">
        <v>104</v>
      </c>
      <c r="D2" s="43" t="s">
        <v>232</v>
      </c>
    </row>
    <row r="3" spans="1:18" x14ac:dyDescent="0.4">
      <c r="C3" s="43" t="s">
        <v>105</v>
      </c>
      <c r="D3" s="43" t="s">
        <v>106</v>
      </c>
    </row>
    <row r="4" spans="1:18" x14ac:dyDescent="0.4">
      <c r="C4" s="43" t="s">
        <v>107</v>
      </c>
      <c r="D4" s="43" t="s">
        <v>108</v>
      </c>
    </row>
    <row r="5" spans="1:18" x14ac:dyDescent="0.4">
      <c r="C5" s="43"/>
      <c r="D5" s="43"/>
    </row>
    <row r="6" spans="1:18" x14ac:dyDescent="0.4">
      <c r="C6" s="43"/>
      <c r="D6" s="43"/>
    </row>
    <row r="7" spans="1:18" x14ac:dyDescent="0.4">
      <c r="C7" s="43"/>
      <c r="D7" s="43"/>
    </row>
    <row r="8" spans="1:18" x14ac:dyDescent="0.4">
      <c r="C8" s="43"/>
      <c r="D8" s="43"/>
    </row>
    <row r="9" spans="1:18" x14ac:dyDescent="0.4">
      <c r="C9" s="43" t="s">
        <v>109</v>
      </c>
      <c r="D9" s="43" t="s">
        <v>257</v>
      </c>
    </row>
    <row r="11" spans="1:18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3"/>
    </row>
    <row r="12" spans="1:18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9" t="s">
        <v>103</v>
      </c>
    </row>
    <row r="13" spans="1:18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60"/>
    </row>
    <row r="14" spans="1:18" x14ac:dyDescent="0.4">
      <c r="A14" s="7"/>
      <c r="B14" s="62" t="s">
        <v>22</v>
      </c>
      <c r="C14" s="63"/>
      <c r="D14" s="6" t="s">
        <v>23</v>
      </c>
      <c r="E14" s="6">
        <v>130</v>
      </c>
      <c r="F14" s="6">
        <v>128</v>
      </c>
      <c r="G14" s="6">
        <v>120</v>
      </c>
      <c r="H14" s="6">
        <v>102</v>
      </c>
      <c r="I14" s="6">
        <v>109</v>
      </c>
      <c r="J14" s="6">
        <v>127</v>
      </c>
      <c r="K14" s="6">
        <v>138</v>
      </c>
      <c r="L14" s="6">
        <v>139</v>
      </c>
      <c r="M14" s="6">
        <v>142</v>
      </c>
      <c r="N14" s="6">
        <v>146</v>
      </c>
      <c r="O14" s="6">
        <v>142</v>
      </c>
      <c r="P14" s="6">
        <v>137</v>
      </c>
      <c r="Q14" s="6">
        <v>129</v>
      </c>
      <c r="R14" s="5">
        <f>SUM(E14:Q14)</f>
        <v>1689</v>
      </c>
    </row>
    <row r="15" spans="1:18" x14ac:dyDescent="0.4">
      <c r="A15" s="7"/>
      <c r="B15" s="64"/>
      <c r="C15" s="65"/>
      <c r="D15" s="6" t="s">
        <v>24</v>
      </c>
      <c r="E15" s="6">
        <v>119</v>
      </c>
      <c r="F15" s="6">
        <v>135</v>
      </c>
      <c r="G15" s="6">
        <v>117</v>
      </c>
      <c r="H15" s="6">
        <v>111</v>
      </c>
      <c r="I15" s="6">
        <v>109</v>
      </c>
      <c r="J15" s="6">
        <v>121</v>
      </c>
      <c r="K15" s="6">
        <v>137</v>
      </c>
      <c r="L15" s="6">
        <v>143</v>
      </c>
      <c r="M15" s="6">
        <v>146</v>
      </c>
      <c r="N15" s="6">
        <v>140</v>
      </c>
      <c r="O15" s="6">
        <v>144</v>
      </c>
      <c r="P15" s="6">
        <v>138</v>
      </c>
      <c r="Q15" s="6">
        <v>147</v>
      </c>
      <c r="R15" s="5">
        <f>SUM(E15:Q15)</f>
        <v>1707</v>
      </c>
    </row>
    <row r="16" spans="1:18" x14ac:dyDescent="0.4">
      <c r="A16" s="8"/>
      <c r="B16" s="66"/>
      <c r="C16" s="67"/>
      <c r="D16" s="5" t="s">
        <v>25</v>
      </c>
      <c r="E16" s="5">
        <f t="shared" ref="E16:Q16" si="0">SUM(E14:E15)</f>
        <v>249</v>
      </c>
      <c r="F16" s="5">
        <f t="shared" si="0"/>
        <v>263</v>
      </c>
      <c r="G16" s="5">
        <f t="shared" si="0"/>
        <v>237</v>
      </c>
      <c r="H16" s="5">
        <f t="shared" si="0"/>
        <v>213</v>
      </c>
      <c r="I16" s="5">
        <f t="shared" si="0"/>
        <v>218</v>
      </c>
      <c r="J16" s="5">
        <f t="shared" si="0"/>
        <v>248</v>
      </c>
      <c r="K16" s="5">
        <f t="shared" si="0"/>
        <v>275</v>
      </c>
      <c r="L16" s="5">
        <f t="shared" si="0"/>
        <v>282</v>
      </c>
      <c r="M16" s="5">
        <f t="shared" ref="M16:N16" si="1">SUM(M14:M15)</f>
        <v>288</v>
      </c>
      <c r="N16" s="5">
        <f t="shared" si="1"/>
        <v>286</v>
      </c>
      <c r="O16" s="5">
        <f t="shared" si="0"/>
        <v>286</v>
      </c>
      <c r="P16" s="5">
        <f t="shared" si="0"/>
        <v>275</v>
      </c>
      <c r="Q16" s="5">
        <f t="shared" si="0"/>
        <v>276</v>
      </c>
      <c r="R16" s="5">
        <f>SUM(E16:Q16)</f>
        <v>3396</v>
      </c>
    </row>
    <row r="17" spans="1:18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10"/>
      <c r="Q17" s="10"/>
      <c r="R17" s="28"/>
    </row>
    <row r="18" spans="1:18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10"/>
      <c r="Q18" s="10"/>
      <c r="R18" s="28"/>
    </row>
    <row r="19" spans="1:18" x14ac:dyDescent="0.4">
      <c r="A19" s="11"/>
      <c r="B19" s="68" t="s">
        <v>28</v>
      </c>
      <c r="C19" s="69" t="s">
        <v>29</v>
      </c>
      <c r="D19" s="6" t="s">
        <v>23</v>
      </c>
      <c r="E19" s="6">
        <v>97</v>
      </c>
      <c r="F19" s="6">
        <v>88</v>
      </c>
      <c r="G19" s="6">
        <v>92</v>
      </c>
      <c r="H19" s="6">
        <v>76</v>
      </c>
      <c r="I19" s="6">
        <v>87</v>
      </c>
      <c r="J19" s="6">
        <v>104</v>
      </c>
      <c r="K19" s="6">
        <v>114</v>
      </c>
      <c r="L19" s="6">
        <v>109</v>
      </c>
      <c r="M19" s="6">
        <v>118</v>
      </c>
      <c r="N19" s="6">
        <v>102</v>
      </c>
      <c r="O19" s="6">
        <v>110</v>
      </c>
      <c r="P19" s="6">
        <v>103</v>
      </c>
      <c r="Q19" s="6">
        <v>113</v>
      </c>
      <c r="R19" s="5">
        <f t="shared" ref="R19:R30" si="2">SUM(E19:Q19)</f>
        <v>1313</v>
      </c>
    </row>
    <row r="20" spans="1:18" x14ac:dyDescent="0.4">
      <c r="A20" s="12"/>
      <c r="B20" s="65"/>
      <c r="C20" s="70"/>
      <c r="D20" s="6" t="s">
        <v>24</v>
      </c>
      <c r="E20" s="6">
        <v>102</v>
      </c>
      <c r="F20" s="6">
        <v>111</v>
      </c>
      <c r="G20" s="6">
        <v>102</v>
      </c>
      <c r="H20" s="6">
        <v>88</v>
      </c>
      <c r="I20" s="6">
        <v>88</v>
      </c>
      <c r="J20" s="6">
        <v>93</v>
      </c>
      <c r="K20" s="6">
        <v>109</v>
      </c>
      <c r="L20" s="6">
        <v>120</v>
      </c>
      <c r="M20" s="6">
        <v>132</v>
      </c>
      <c r="N20" s="6">
        <v>120</v>
      </c>
      <c r="O20" s="6">
        <v>121</v>
      </c>
      <c r="P20" s="6">
        <v>115</v>
      </c>
      <c r="Q20" s="6">
        <v>129</v>
      </c>
      <c r="R20" s="5">
        <f t="shared" si="2"/>
        <v>1430</v>
      </c>
    </row>
    <row r="21" spans="1:18" x14ac:dyDescent="0.4">
      <c r="A21" s="13"/>
      <c r="B21" s="67"/>
      <c r="C21" s="71"/>
      <c r="D21" s="5" t="s">
        <v>25</v>
      </c>
      <c r="E21" s="5">
        <f t="shared" ref="E21:Q21" si="3">SUM(E19:E20)</f>
        <v>199</v>
      </c>
      <c r="F21" s="5">
        <f t="shared" si="3"/>
        <v>199</v>
      </c>
      <c r="G21" s="5">
        <f t="shared" si="3"/>
        <v>194</v>
      </c>
      <c r="H21" s="5">
        <f t="shared" si="3"/>
        <v>164</v>
      </c>
      <c r="I21" s="5">
        <f t="shared" si="3"/>
        <v>175</v>
      </c>
      <c r="J21" s="5">
        <f t="shared" si="3"/>
        <v>197</v>
      </c>
      <c r="K21" s="5">
        <f t="shared" si="3"/>
        <v>223</v>
      </c>
      <c r="L21" s="5">
        <f t="shared" si="3"/>
        <v>229</v>
      </c>
      <c r="M21" s="5">
        <f t="shared" ref="M21:N21" si="4">SUM(M19:M20)</f>
        <v>250</v>
      </c>
      <c r="N21" s="5">
        <f t="shared" si="4"/>
        <v>222</v>
      </c>
      <c r="O21" s="5">
        <f t="shared" si="3"/>
        <v>231</v>
      </c>
      <c r="P21" s="5">
        <f t="shared" si="3"/>
        <v>218</v>
      </c>
      <c r="Q21" s="5">
        <f t="shared" si="3"/>
        <v>242</v>
      </c>
      <c r="R21" s="5">
        <f t="shared" si="2"/>
        <v>2743</v>
      </c>
    </row>
    <row r="22" spans="1:18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1</v>
      </c>
      <c r="G22" s="6">
        <v>0</v>
      </c>
      <c r="H22" s="6">
        <v>1</v>
      </c>
      <c r="I22" s="6">
        <v>0</v>
      </c>
      <c r="J22" s="6">
        <v>1</v>
      </c>
      <c r="K22" s="6">
        <v>0</v>
      </c>
      <c r="L22" s="6">
        <v>1</v>
      </c>
      <c r="M22" s="6">
        <v>1</v>
      </c>
      <c r="N22" s="6">
        <v>1</v>
      </c>
      <c r="O22" s="6">
        <v>1</v>
      </c>
      <c r="P22" s="6">
        <v>0</v>
      </c>
      <c r="Q22" s="6">
        <v>1</v>
      </c>
      <c r="R22" s="5">
        <f t="shared" si="2"/>
        <v>8</v>
      </c>
    </row>
    <row r="23" spans="1:18" x14ac:dyDescent="0.4">
      <c r="A23" s="12"/>
      <c r="B23" s="65"/>
      <c r="C23" s="70"/>
      <c r="D23" s="6" t="s">
        <v>24</v>
      </c>
      <c r="E23" s="6">
        <v>0</v>
      </c>
      <c r="F23" s="6">
        <v>0</v>
      </c>
      <c r="G23" s="6">
        <v>1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5">
        <f t="shared" si="2"/>
        <v>2</v>
      </c>
    </row>
    <row r="24" spans="1:18" x14ac:dyDescent="0.4">
      <c r="A24" s="13"/>
      <c r="B24" s="67"/>
      <c r="C24" s="71"/>
      <c r="D24" s="5" t="s">
        <v>25</v>
      </c>
      <c r="E24" s="5">
        <f t="shared" ref="E24:Q24" si="5">SUM(E22:E23)</f>
        <v>0</v>
      </c>
      <c r="F24" s="5">
        <f t="shared" si="5"/>
        <v>1</v>
      </c>
      <c r="G24" s="5">
        <f t="shared" si="5"/>
        <v>1</v>
      </c>
      <c r="H24" s="5">
        <f t="shared" si="5"/>
        <v>1</v>
      </c>
      <c r="I24" s="5">
        <f t="shared" si="5"/>
        <v>1</v>
      </c>
      <c r="J24" s="5">
        <f t="shared" si="5"/>
        <v>1</v>
      </c>
      <c r="K24" s="5">
        <f t="shared" si="5"/>
        <v>0</v>
      </c>
      <c r="L24" s="5">
        <f t="shared" si="5"/>
        <v>1</v>
      </c>
      <c r="M24" s="5">
        <f t="shared" ref="M24:N24" si="6">SUM(M22:M23)</f>
        <v>1</v>
      </c>
      <c r="N24" s="5">
        <f t="shared" si="6"/>
        <v>1</v>
      </c>
      <c r="O24" s="5">
        <f t="shared" si="5"/>
        <v>1</v>
      </c>
      <c r="P24" s="5">
        <f t="shared" si="5"/>
        <v>0</v>
      </c>
      <c r="Q24" s="5">
        <f t="shared" si="5"/>
        <v>1</v>
      </c>
      <c r="R24" s="5">
        <f t="shared" si="2"/>
        <v>10</v>
      </c>
    </row>
    <row r="25" spans="1:18" x14ac:dyDescent="0.4">
      <c r="A25" s="12"/>
      <c r="B25" s="68" t="s">
        <v>32</v>
      </c>
      <c r="C25" s="69" t="s">
        <v>33</v>
      </c>
      <c r="D25" s="6" t="s">
        <v>23</v>
      </c>
      <c r="E25" s="6">
        <v>0</v>
      </c>
      <c r="F25" s="6">
        <v>1</v>
      </c>
      <c r="G25" s="6">
        <v>1</v>
      </c>
      <c r="H25" s="6">
        <v>0</v>
      </c>
      <c r="I25" s="6">
        <v>0</v>
      </c>
      <c r="J25" s="6">
        <v>1</v>
      </c>
      <c r="K25" s="6">
        <v>2</v>
      </c>
      <c r="L25" s="6">
        <v>3</v>
      </c>
      <c r="M25" s="6">
        <v>0</v>
      </c>
      <c r="N25" s="6">
        <v>1</v>
      </c>
      <c r="O25" s="6">
        <v>2</v>
      </c>
      <c r="P25" s="6">
        <v>1</v>
      </c>
      <c r="Q25" s="6">
        <v>3</v>
      </c>
      <c r="R25" s="5">
        <f t="shared" si="2"/>
        <v>15</v>
      </c>
    </row>
    <row r="26" spans="1:18" x14ac:dyDescent="0.4">
      <c r="A26" s="12"/>
      <c r="B26" s="65"/>
      <c r="C26" s="70"/>
      <c r="D26" s="6" t="s">
        <v>24</v>
      </c>
      <c r="E26" s="6">
        <v>2</v>
      </c>
      <c r="F26" s="6">
        <v>1</v>
      </c>
      <c r="G26" s="6">
        <v>4</v>
      </c>
      <c r="H26" s="6">
        <v>1</v>
      </c>
      <c r="I26" s="6">
        <v>1</v>
      </c>
      <c r="J26" s="6">
        <v>3</v>
      </c>
      <c r="K26" s="6">
        <v>4</v>
      </c>
      <c r="L26" s="6">
        <v>2</v>
      </c>
      <c r="M26" s="6">
        <v>1</v>
      </c>
      <c r="N26" s="6">
        <v>0</v>
      </c>
      <c r="O26" s="6">
        <v>1</v>
      </c>
      <c r="P26" s="6">
        <v>4</v>
      </c>
      <c r="Q26" s="6">
        <v>1</v>
      </c>
      <c r="R26" s="5">
        <f t="shared" si="2"/>
        <v>25</v>
      </c>
    </row>
    <row r="27" spans="1:18" x14ac:dyDescent="0.4">
      <c r="A27" s="13"/>
      <c r="B27" s="67"/>
      <c r="C27" s="71"/>
      <c r="D27" s="5" t="s">
        <v>25</v>
      </c>
      <c r="E27" s="5">
        <f t="shared" ref="E27:Q27" si="7">SUM(E25:E26)</f>
        <v>2</v>
      </c>
      <c r="F27" s="5">
        <f t="shared" si="7"/>
        <v>2</v>
      </c>
      <c r="G27" s="5">
        <f t="shared" si="7"/>
        <v>5</v>
      </c>
      <c r="H27" s="5">
        <f t="shared" si="7"/>
        <v>1</v>
      </c>
      <c r="I27" s="5">
        <f t="shared" si="7"/>
        <v>1</v>
      </c>
      <c r="J27" s="5">
        <f t="shared" si="7"/>
        <v>4</v>
      </c>
      <c r="K27" s="5">
        <f t="shared" si="7"/>
        <v>6</v>
      </c>
      <c r="L27" s="5">
        <f t="shared" si="7"/>
        <v>5</v>
      </c>
      <c r="M27" s="5">
        <f t="shared" ref="M27:N27" si="8">SUM(M25:M26)</f>
        <v>1</v>
      </c>
      <c r="N27" s="5">
        <f t="shared" si="8"/>
        <v>1</v>
      </c>
      <c r="O27" s="5">
        <f t="shared" si="7"/>
        <v>3</v>
      </c>
      <c r="P27" s="5">
        <f t="shared" si="7"/>
        <v>5</v>
      </c>
      <c r="Q27" s="5">
        <f t="shared" si="7"/>
        <v>4</v>
      </c>
      <c r="R27" s="5">
        <f t="shared" si="2"/>
        <v>40</v>
      </c>
    </row>
    <row r="28" spans="1:18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97</v>
      </c>
      <c r="F28" s="5">
        <f t="shared" ref="F28:Q29" si="9">SUM(F19,F22,F25)</f>
        <v>90</v>
      </c>
      <c r="G28" s="5">
        <f t="shared" si="9"/>
        <v>93</v>
      </c>
      <c r="H28" s="5">
        <f t="shared" si="9"/>
        <v>77</v>
      </c>
      <c r="I28" s="5">
        <f t="shared" si="9"/>
        <v>87</v>
      </c>
      <c r="J28" s="5">
        <f t="shared" si="9"/>
        <v>106</v>
      </c>
      <c r="K28" s="5">
        <f t="shared" si="9"/>
        <v>116</v>
      </c>
      <c r="L28" s="5">
        <f t="shared" si="9"/>
        <v>113</v>
      </c>
      <c r="M28" s="5">
        <f t="shared" ref="M28:N28" si="10">SUM(M19,M22,M25)</f>
        <v>119</v>
      </c>
      <c r="N28" s="5">
        <f t="shared" si="10"/>
        <v>104</v>
      </c>
      <c r="O28" s="5">
        <f t="shared" si="9"/>
        <v>113</v>
      </c>
      <c r="P28" s="5">
        <f t="shared" si="9"/>
        <v>104</v>
      </c>
      <c r="Q28" s="5">
        <f t="shared" si="9"/>
        <v>117</v>
      </c>
      <c r="R28" s="5">
        <f t="shared" si="2"/>
        <v>1336</v>
      </c>
    </row>
    <row r="29" spans="1:18" x14ac:dyDescent="0.4">
      <c r="A29" s="13"/>
      <c r="B29" s="65"/>
      <c r="C29" s="70"/>
      <c r="D29" s="5" t="s">
        <v>24</v>
      </c>
      <c r="E29" s="5">
        <f>SUM(E20,E23,E26)</f>
        <v>104</v>
      </c>
      <c r="F29" s="5">
        <f t="shared" si="9"/>
        <v>112</v>
      </c>
      <c r="G29" s="5">
        <f t="shared" si="9"/>
        <v>107</v>
      </c>
      <c r="H29" s="5">
        <f t="shared" si="9"/>
        <v>89</v>
      </c>
      <c r="I29" s="5">
        <f t="shared" si="9"/>
        <v>90</v>
      </c>
      <c r="J29" s="5">
        <f t="shared" si="9"/>
        <v>96</v>
      </c>
      <c r="K29" s="5">
        <f t="shared" si="9"/>
        <v>113</v>
      </c>
      <c r="L29" s="5">
        <f t="shared" si="9"/>
        <v>122</v>
      </c>
      <c r="M29" s="5">
        <f t="shared" ref="M29:N29" si="11">SUM(M20,M23,M26)</f>
        <v>133</v>
      </c>
      <c r="N29" s="5">
        <f t="shared" si="11"/>
        <v>120</v>
      </c>
      <c r="O29" s="5">
        <f t="shared" si="9"/>
        <v>122</v>
      </c>
      <c r="P29" s="5">
        <f t="shared" si="9"/>
        <v>119</v>
      </c>
      <c r="Q29" s="5">
        <f t="shared" si="9"/>
        <v>130</v>
      </c>
      <c r="R29" s="5">
        <f t="shared" si="2"/>
        <v>1457</v>
      </c>
    </row>
    <row r="30" spans="1:18" x14ac:dyDescent="0.4">
      <c r="A30" s="13"/>
      <c r="B30" s="67"/>
      <c r="C30" s="71"/>
      <c r="D30" s="5" t="s">
        <v>25</v>
      </c>
      <c r="E30" s="5">
        <f t="shared" ref="E30" si="12">SUM(E28:E29)</f>
        <v>201</v>
      </c>
      <c r="F30" s="5">
        <f t="shared" ref="F30:Q30" si="13">SUM(F28:F29)</f>
        <v>202</v>
      </c>
      <c r="G30" s="5">
        <f t="shared" si="13"/>
        <v>200</v>
      </c>
      <c r="H30" s="5">
        <f t="shared" si="13"/>
        <v>166</v>
      </c>
      <c r="I30" s="5">
        <f t="shared" si="13"/>
        <v>177</v>
      </c>
      <c r="J30" s="5">
        <f t="shared" si="13"/>
        <v>202</v>
      </c>
      <c r="K30" s="5">
        <f t="shared" si="13"/>
        <v>229</v>
      </c>
      <c r="L30" s="5">
        <f t="shared" si="13"/>
        <v>235</v>
      </c>
      <c r="M30" s="5">
        <f t="shared" ref="M30:N30" si="14">SUM(M28:M29)</f>
        <v>252</v>
      </c>
      <c r="N30" s="5">
        <f t="shared" si="14"/>
        <v>224</v>
      </c>
      <c r="O30" s="5">
        <f t="shared" si="13"/>
        <v>235</v>
      </c>
      <c r="P30" s="5">
        <f t="shared" si="13"/>
        <v>223</v>
      </c>
      <c r="Q30" s="5">
        <f t="shared" si="13"/>
        <v>247</v>
      </c>
      <c r="R30" s="5">
        <f t="shared" si="2"/>
        <v>2793</v>
      </c>
    </row>
    <row r="31" spans="1:18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10"/>
      <c r="Q31" s="10"/>
      <c r="R31" s="28"/>
    </row>
    <row r="32" spans="1:18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15"/>
      <c r="Q32" s="15"/>
      <c r="R32" s="28"/>
    </row>
    <row r="33" spans="1:18" x14ac:dyDescent="0.4">
      <c r="A33" s="6">
        <v>1</v>
      </c>
      <c r="B33" s="61" t="s">
        <v>38</v>
      </c>
      <c r="C33" s="54"/>
      <c r="D33" s="55"/>
      <c r="E33" s="6">
        <v>254</v>
      </c>
      <c r="F33" s="6">
        <v>269</v>
      </c>
      <c r="G33" s="6">
        <v>242</v>
      </c>
      <c r="H33" s="6">
        <v>218</v>
      </c>
      <c r="I33" s="6">
        <v>223</v>
      </c>
      <c r="J33" s="6">
        <v>253</v>
      </c>
      <c r="K33" s="6">
        <v>280</v>
      </c>
      <c r="L33" s="6">
        <v>288</v>
      </c>
      <c r="M33" s="6">
        <v>294</v>
      </c>
      <c r="N33" s="6">
        <v>292</v>
      </c>
      <c r="O33" s="6">
        <v>293</v>
      </c>
      <c r="P33" s="6">
        <v>281</v>
      </c>
      <c r="Q33" s="6">
        <v>282</v>
      </c>
      <c r="R33" s="5">
        <f>SUM(E33:Q33)</f>
        <v>3469</v>
      </c>
    </row>
    <row r="34" spans="1:18" x14ac:dyDescent="0.4">
      <c r="A34" s="6">
        <v>2</v>
      </c>
      <c r="B34" s="61" t="s">
        <v>39</v>
      </c>
      <c r="C34" s="54"/>
      <c r="D34" s="55"/>
      <c r="E34" s="5">
        <v>201</v>
      </c>
      <c r="F34" s="5">
        <v>202</v>
      </c>
      <c r="G34" s="5">
        <v>200</v>
      </c>
      <c r="H34" s="5">
        <v>166</v>
      </c>
      <c r="I34" s="5">
        <v>177</v>
      </c>
      <c r="J34" s="5">
        <v>202</v>
      </c>
      <c r="K34" s="5">
        <v>229</v>
      </c>
      <c r="L34" s="5">
        <v>235</v>
      </c>
      <c r="M34" s="5">
        <v>252</v>
      </c>
      <c r="N34" s="5">
        <v>224</v>
      </c>
      <c r="O34" s="5">
        <v>235</v>
      </c>
      <c r="P34" s="5">
        <v>223</v>
      </c>
      <c r="Q34" s="5">
        <v>247</v>
      </c>
      <c r="R34" s="5">
        <f>SUM(E34:Q34)</f>
        <v>2793</v>
      </c>
    </row>
    <row r="35" spans="1:18" x14ac:dyDescent="0.4">
      <c r="A35" s="6">
        <v>3</v>
      </c>
      <c r="B35" s="61" t="s">
        <v>40</v>
      </c>
      <c r="C35" s="54"/>
      <c r="D35" s="55"/>
      <c r="E35" s="6">
        <v>1</v>
      </c>
      <c r="F35" s="6"/>
      <c r="G35" s="6"/>
      <c r="H35" s="6"/>
      <c r="I35" s="6"/>
      <c r="J35" s="6"/>
      <c r="K35" s="6"/>
      <c r="L35" s="6"/>
      <c r="M35" s="6">
        <v>1</v>
      </c>
      <c r="N35" s="6">
        <v>2</v>
      </c>
      <c r="O35" s="6"/>
      <c r="P35" s="6"/>
      <c r="Q35" s="6">
        <v>1</v>
      </c>
      <c r="R35" s="5">
        <f>SUM(E35:Q35)</f>
        <v>5</v>
      </c>
    </row>
    <row r="36" spans="1:18" x14ac:dyDescent="0.4">
      <c r="A36" s="6">
        <v>4</v>
      </c>
      <c r="B36" s="61" t="s">
        <v>41</v>
      </c>
      <c r="C36" s="54"/>
      <c r="D36" s="55"/>
      <c r="E36" s="5">
        <f t="shared" ref="E36:Q36" si="15">E33-(E34+E35)</f>
        <v>52</v>
      </c>
      <c r="F36" s="5">
        <f t="shared" si="15"/>
        <v>67</v>
      </c>
      <c r="G36" s="5">
        <f t="shared" si="15"/>
        <v>42</v>
      </c>
      <c r="H36" s="5">
        <f t="shared" si="15"/>
        <v>52</v>
      </c>
      <c r="I36" s="5">
        <f t="shared" si="15"/>
        <v>46</v>
      </c>
      <c r="J36" s="5">
        <f t="shared" si="15"/>
        <v>51</v>
      </c>
      <c r="K36" s="5">
        <f t="shared" si="15"/>
        <v>51</v>
      </c>
      <c r="L36" s="5">
        <f t="shared" si="15"/>
        <v>53</v>
      </c>
      <c r="M36" s="5">
        <f t="shared" ref="M36:N36" si="16">M33-(M34+M35)</f>
        <v>41</v>
      </c>
      <c r="N36" s="5">
        <f t="shared" si="16"/>
        <v>66</v>
      </c>
      <c r="O36" s="5">
        <f t="shared" si="15"/>
        <v>58</v>
      </c>
      <c r="P36" s="5">
        <f t="shared" si="15"/>
        <v>58</v>
      </c>
      <c r="Q36" s="5">
        <f t="shared" si="15"/>
        <v>34</v>
      </c>
      <c r="R36" s="5">
        <f>SUM(E36:Q36)</f>
        <v>671</v>
      </c>
    </row>
    <row r="37" spans="1:18" x14ac:dyDescent="0.4">
      <c r="A37" s="53"/>
      <c r="B37" s="54"/>
      <c r="C37" s="54"/>
      <c r="D37" s="54"/>
      <c r="E37" s="53"/>
      <c r="F37" s="76"/>
      <c r="G37" s="76"/>
      <c r="H37" s="76"/>
      <c r="I37" s="77"/>
      <c r="J37" s="6"/>
      <c r="K37" s="6"/>
      <c r="L37" s="6"/>
      <c r="M37" s="6"/>
      <c r="N37" s="10"/>
      <c r="O37" s="6"/>
      <c r="P37" s="10"/>
      <c r="Q37" s="26"/>
      <c r="R37" s="28"/>
    </row>
    <row r="38" spans="1:18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15"/>
      <c r="Q38" s="15"/>
      <c r="R38" s="28"/>
    </row>
    <row r="39" spans="1:18" x14ac:dyDescent="0.4">
      <c r="A39" s="11"/>
      <c r="B39" s="78" t="s">
        <v>44</v>
      </c>
      <c r="C39" s="63"/>
      <c r="D39" s="6" t="s">
        <v>23</v>
      </c>
      <c r="E39" s="6"/>
      <c r="F39" s="6">
        <v>2</v>
      </c>
      <c r="G39" s="6"/>
      <c r="H39" s="6"/>
      <c r="I39" s="6"/>
      <c r="J39" s="6"/>
      <c r="K39" s="6">
        <v>1</v>
      </c>
      <c r="L39" s="6"/>
      <c r="M39" s="6"/>
      <c r="N39" s="6"/>
      <c r="O39" s="6"/>
      <c r="P39" s="6"/>
      <c r="Q39" s="6">
        <v>2</v>
      </c>
      <c r="R39" s="5">
        <f>SUM(E39:Q39)</f>
        <v>5</v>
      </c>
    </row>
    <row r="40" spans="1:18" x14ac:dyDescent="0.4">
      <c r="A40" s="12"/>
      <c r="B40" s="79"/>
      <c r="C40" s="65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>
        <v>3</v>
      </c>
      <c r="R40" s="5">
        <f>SUM(E40:Q40)</f>
        <v>3</v>
      </c>
    </row>
    <row r="41" spans="1:18" x14ac:dyDescent="0.4">
      <c r="A41" s="14"/>
      <c r="B41" s="80"/>
      <c r="C41" s="67"/>
      <c r="D41" s="5" t="s">
        <v>25</v>
      </c>
      <c r="E41" s="5">
        <f t="shared" ref="E41:Q41" si="17">SUM(E39:E40)</f>
        <v>0</v>
      </c>
      <c r="F41" s="5">
        <f t="shared" si="17"/>
        <v>2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1</v>
      </c>
      <c r="L41" s="5">
        <f t="shared" si="17"/>
        <v>0</v>
      </c>
      <c r="M41" s="5">
        <f t="shared" ref="M41:N41" si="18">SUM(M39:M40)</f>
        <v>0</v>
      </c>
      <c r="N41" s="5">
        <f t="shared" si="18"/>
        <v>0</v>
      </c>
      <c r="O41" s="5">
        <f t="shared" si="17"/>
        <v>0</v>
      </c>
      <c r="P41" s="5">
        <f t="shared" si="17"/>
        <v>0</v>
      </c>
      <c r="Q41" s="5">
        <f t="shared" si="17"/>
        <v>5</v>
      </c>
      <c r="R41" s="5">
        <f>SUM(E41:Q41)</f>
        <v>8</v>
      </c>
    </row>
    <row r="42" spans="1:18" x14ac:dyDescent="0.4">
      <c r="A42" s="81"/>
      <c r="B42" s="80"/>
      <c r="C42" s="80"/>
      <c r="D42" s="67"/>
      <c r="E42" s="53"/>
      <c r="F42" s="54"/>
      <c r="G42" s="54"/>
      <c r="H42" s="54"/>
      <c r="I42" s="55"/>
      <c r="J42" s="6"/>
      <c r="K42" s="6"/>
      <c r="L42" s="6"/>
      <c r="M42" s="6"/>
      <c r="N42" s="10"/>
      <c r="O42" s="6"/>
      <c r="P42" s="10"/>
      <c r="Q42" s="6"/>
      <c r="R42" s="5"/>
    </row>
    <row r="43" spans="1:18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</row>
    <row r="44" spans="1:18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5"/>
    </row>
    <row r="45" spans="1:18" x14ac:dyDescent="0.4">
      <c r="A45" s="11" t="s">
        <v>48</v>
      </c>
      <c r="B45" s="17" t="s">
        <v>28</v>
      </c>
      <c r="C45" s="83" t="s">
        <v>49</v>
      </c>
      <c r="D45" s="55"/>
      <c r="E45" s="6">
        <v>4</v>
      </c>
      <c r="F45" s="6">
        <v>14</v>
      </c>
      <c r="G45" s="6">
        <v>6</v>
      </c>
      <c r="H45" s="6">
        <v>9</v>
      </c>
      <c r="I45" s="6">
        <v>8</v>
      </c>
      <c r="J45" s="6">
        <v>10</v>
      </c>
      <c r="K45" s="6">
        <v>10</v>
      </c>
      <c r="L45" s="6">
        <v>14</v>
      </c>
      <c r="M45" s="6">
        <v>10</v>
      </c>
      <c r="N45" s="6">
        <v>8</v>
      </c>
      <c r="O45" s="6">
        <v>8</v>
      </c>
      <c r="P45" s="6">
        <v>9</v>
      </c>
      <c r="Q45" s="6">
        <v>24</v>
      </c>
      <c r="R45" s="5">
        <f t="shared" ref="R45:R66" si="19">SUM(E45:Q45)</f>
        <v>134</v>
      </c>
    </row>
    <row r="46" spans="1:18" x14ac:dyDescent="0.4">
      <c r="A46" s="11" t="s">
        <v>50</v>
      </c>
      <c r="B46" s="46"/>
      <c r="C46" s="24" t="s">
        <v>110</v>
      </c>
      <c r="D46" s="24"/>
      <c r="E46" s="6">
        <v>7</v>
      </c>
      <c r="F46" s="6">
        <v>25</v>
      </c>
      <c r="G46" s="6">
        <v>12</v>
      </c>
      <c r="H46" s="6">
        <v>13</v>
      </c>
      <c r="I46" s="6">
        <v>14</v>
      </c>
      <c r="J46" s="6">
        <v>8</v>
      </c>
      <c r="K46" s="6">
        <v>33</v>
      </c>
      <c r="L46" s="6">
        <v>24</v>
      </c>
      <c r="M46" s="6">
        <v>38</v>
      </c>
      <c r="N46" s="6">
        <v>25</v>
      </c>
      <c r="O46" s="6">
        <v>31</v>
      </c>
      <c r="P46" s="6">
        <v>26</v>
      </c>
      <c r="Q46" s="6">
        <v>67</v>
      </c>
      <c r="R46" s="5">
        <f t="shared" si="19"/>
        <v>323</v>
      </c>
    </row>
    <row r="47" spans="1:18" x14ac:dyDescent="0.4">
      <c r="A47" s="7"/>
      <c r="B47" s="47"/>
      <c r="C47" s="24" t="s">
        <v>111</v>
      </c>
      <c r="D47" s="24"/>
      <c r="E47" s="6">
        <v>3</v>
      </c>
      <c r="F47" s="6">
        <v>4</v>
      </c>
      <c r="G47" s="6">
        <v>9</v>
      </c>
      <c r="H47" s="6">
        <v>7</v>
      </c>
      <c r="I47" s="6">
        <v>3</v>
      </c>
      <c r="J47" s="6">
        <v>2</v>
      </c>
      <c r="K47" s="6">
        <v>41</v>
      </c>
      <c r="L47" s="6">
        <v>109</v>
      </c>
      <c r="M47" s="6">
        <v>62</v>
      </c>
      <c r="N47" s="6">
        <v>52</v>
      </c>
      <c r="O47" s="6">
        <v>25</v>
      </c>
      <c r="P47" s="6">
        <v>5</v>
      </c>
      <c r="Q47" s="6">
        <v>10</v>
      </c>
      <c r="R47" s="5">
        <f t="shared" si="19"/>
        <v>332</v>
      </c>
    </row>
    <row r="48" spans="1:18" x14ac:dyDescent="0.4">
      <c r="A48" s="7"/>
      <c r="B48" s="47"/>
      <c r="C48" s="24" t="s">
        <v>112</v>
      </c>
      <c r="D48" s="24"/>
      <c r="E48" s="6">
        <v>2</v>
      </c>
      <c r="F48" s="6">
        <v>0</v>
      </c>
      <c r="G48" s="6">
        <v>1</v>
      </c>
      <c r="H48" s="6">
        <v>0</v>
      </c>
      <c r="I48" s="6">
        <v>0</v>
      </c>
      <c r="J48" s="6">
        <v>0</v>
      </c>
      <c r="K48" s="6">
        <v>2</v>
      </c>
      <c r="L48" s="6">
        <v>0</v>
      </c>
      <c r="M48" s="6">
        <v>1</v>
      </c>
      <c r="N48" s="6">
        <v>0</v>
      </c>
      <c r="O48" s="6">
        <v>0</v>
      </c>
      <c r="P48" s="6">
        <v>0</v>
      </c>
      <c r="Q48" s="6">
        <v>1</v>
      </c>
      <c r="R48" s="5">
        <f t="shared" si="19"/>
        <v>7</v>
      </c>
    </row>
    <row r="49" spans="1:18" x14ac:dyDescent="0.4">
      <c r="A49" s="7"/>
      <c r="B49" s="47"/>
      <c r="C49" s="24" t="s">
        <v>113</v>
      </c>
      <c r="D49" s="24"/>
      <c r="E49" s="6">
        <v>0</v>
      </c>
      <c r="F49" s="6">
        <v>0</v>
      </c>
      <c r="G49" s="6">
        <v>0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2</v>
      </c>
      <c r="N49" s="6">
        <v>0</v>
      </c>
      <c r="O49" s="6">
        <v>0</v>
      </c>
      <c r="P49" s="6">
        <v>0</v>
      </c>
      <c r="Q49" s="6">
        <v>0</v>
      </c>
      <c r="R49" s="5">
        <f t="shared" si="19"/>
        <v>4</v>
      </c>
    </row>
    <row r="50" spans="1:18" x14ac:dyDescent="0.4">
      <c r="A50" s="7"/>
      <c r="B50" s="47"/>
      <c r="C50" s="24" t="s">
        <v>114</v>
      </c>
      <c r="D50" s="24"/>
      <c r="E50" s="6">
        <v>0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  <c r="K50" s="6">
        <v>2</v>
      </c>
      <c r="L50" s="6">
        <v>0</v>
      </c>
      <c r="M50" s="6">
        <v>1</v>
      </c>
      <c r="N50" s="6">
        <v>1</v>
      </c>
      <c r="O50" s="6">
        <v>0</v>
      </c>
      <c r="P50" s="6">
        <v>4</v>
      </c>
      <c r="Q50" s="6">
        <v>0</v>
      </c>
      <c r="R50" s="5">
        <f t="shared" si="19"/>
        <v>10</v>
      </c>
    </row>
    <row r="51" spans="1:18" x14ac:dyDescent="0.4">
      <c r="A51" s="7"/>
      <c r="B51" s="47"/>
      <c r="C51" s="24" t="s">
        <v>115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2</v>
      </c>
      <c r="O51" s="6">
        <v>0</v>
      </c>
      <c r="P51" s="6">
        <v>1</v>
      </c>
      <c r="Q51" s="6">
        <v>0</v>
      </c>
      <c r="R51" s="5">
        <f t="shared" si="19"/>
        <v>4</v>
      </c>
    </row>
    <row r="52" spans="1:18" ht="13.15" customHeight="1" x14ac:dyDescent="0.4">
      <c r="A52" s="7"/>
      <c r="B52" s="47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5">
        <f t="shared" si="19"/>
        <v>0</v>
      </c>
    </row>
    <row r="53" spans="1:18" ht="13.15" customHeight="1" x14ac:dyDescent="0.4">
      <c r="A53" s="7"/>
      <c r="B53" s="47"/>
      <c r="C53" s="24" t="s">
        <v>117</v>
      </c>
      <c r="D53" s="24"/>
      <c r="E53" s="6">
        <v>0</v>
      </c>
      <c r="F53" s="6">
        <v>1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5">
        <f t="shared" si="19"/>
        <v>3</v>
      </c>
    </row>
    <row r="54" spans="1:18" ht="13.15" customHeight="1" x14ac:dyDescent="0.4">
      <c r="A54" s="7"/>
      <c r="B54" s="47"/>
      <c r="C54" s="24" t="s">
        <v>118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5">
        <f t="shared" si="19"/>
        <v>0</v>
      </c>
    </row>
    <row r="55" spans="1:18" x14ac:dyDescent="0.4">
      <c r="A55" s="6" t="s">
        <v>26</v>
      </c>
      <c r="B55" s="74" t="s">
        <v>51</v>
      </c>
      <c r="C55" s="54"/>
      <c r="D55" s="55"/>
      <c r="E55" s="6">
        <f>SUM(E45:E54)</f>
        <v>16</v>
      </c>
      <c r="F55" s="6">
        <f t="shared" ref="F55:Q55" si="20">SUM(F45:F54)</f>
        <v>44</v>
      </c>
      <c r="G55" s="6">
        <f t="shared" si="20"/>
        <v>29</v>
      </c>
      <c r="H55" s="6">
        <f t="shared" si="20"/>
        <v>30</v>
      </c>
      <c r="I55" s="6">
        <f t="shared" si="20"/>
        <v>26</v>
      </c>
      <c r="J55" s="6">
        <f t="shared" si="20"/>
        <v>20</v>
      </c>
      <c r="K55" s="6">
        <f t="shared" si="20"/>
        <v>90</v>
      </c>
      <c r="L55" s="6">
        <f t="shared" si="20"/>
        <v>147</v>
      </c>
      <c r="M55" s="6">
        <f t="shared" si="20"/>
        <v>115</v>
      </c>
      <c r="N55" s="6">
        <f t="shared" si="20"/>
        <v>88</v>
      </c>
      <c r="O55" s="6">
        <f t="shared" si="20"/>
        <v>64</v>
      </c>
      <c r="P55" s="6">
        <f t="shared" si="20"/>
        <v>46</v>
      </c>
      <c r="Q55" s="6">
        <f t="shared" si="20"/>
        <v>102</v>
      </c>
      <c r="R55" s="6">
        <f t="shared" ref="F55:R55" si="21">SUM(R45:R54)</f>
        <v>817</v>
      </c>
    </row>
    <row r="56" spans="1:18" x14ac:dyDescent="0.4">
      <c r="A56" s="81"/>
      <c r="B56" s="80"/>
      <c r="C56" s="80"/>
      <c r="D56" s="80"/>
      <c r="E56" s="80"/>
      <c r="R56" s="5"/>
    </row>
    <row r="57" spans="1:18" x14ac:dyDescent="0.4">
      <c r="A57" s="11" t="s">
        <v>48</v>
      </c>
      <c r="B57" s="17" t="s">
        <v>30</v>
      </c>
      <c r="C57" s="83" t="s">
        <v>52</v>
      </c>
      <c r="D57" s="55"/>
      <c r="E57" s="6">
        <v>13</v>
      </c>
      <c r="F57" s="6">
        <v>9</v>
      </c>
      <c r="G57" s="6">
        <v>13</v>
      </c>
      <c r="H57" s="6">
        <v>8</v>
      </c>
      <c r="I57" s="6">
        <v>11</v>
      </c>
      <c r="J57" s="6">
        <v>12</v>
      </c>
      <c r="K57" s="6">
        <v>12</v>
      </c>
      <c r="L57" s="6">
        <v>8</v>
      </c>
      <c r="M57" s="6">
        <v>7</v>
      </c>
      <c r="N57" s="6">
        <v>12</v>
      </c>
      <c r="O57" s="6">
        <v>6</v>
      </c>
      <c r="P57" s="6">
        <v>13</v>
      </c>
      <c r="Q57" s="6">
        <v>11</v>
      </c>
      <c r="R57" s="5">
        <f t="shared" si="19"/>
        <v>135</v>
      </c>
    </row>
    <row r="58" spans="1:18" x14ac:dyDescent="0.4">
      <c r="A58" s="11" t="s">
        <v>50</v>
      </c>
      <c r="B58" s="47"/>
      <c r="C58" s="24" t="s">
        <v>119</v>
      </c>
      <c r="D58" s="48"/>
      <c r="E58" s="6">
        <v>8</v>
      </c>
      <c r="F58" s="6">
        <v>8</v>
      </c>
      <c r="G58" s="6">
        <v>7</v>
      </c>
      <c r="H58" s="6">
        <v>6</v>
      </c>
      <c r="I58" s="6">
        <v>6</v>
      </c>
      <c r="J58" s="6">
        <v>6</v>
      </c>
      <c r="K58" s="6">
        <v>5</v>
      </c>
      <c r="L58" s="6">
        <v>6</v>
      </c>
      <c r="M58" s="6">
        <v>11</v>
      </c>
      <c r="N58" s="6">
        <v>12</v>
      </c>
      <c r="O58" s="6">
        <v>21</v>
      </c>
      <c r="P58" s="6">
        <v>20</v>
      </c>
      <c r="Q58" s="6">
        <v>9</v>
      </c>
      <c r="R58" s="5">
        <f t="shared" si="19"/>
        <v>125</v>
      </c>
    </row>
    <row r="59" spans="1:18" x14ac:dyDescent="0.4">
      <c r="A59" s="7"/>
      <c r="B59" s="47"/>
      <c r="C59" s="24" t="s">
        <v>120</v>
      </c>
      <c r="D59" s="48"/>
      <c r="E59" s="6">
        <v>28</v>
      </c>
      <c r="F59" s="6">
        <v>9</v>
      </c>
      <c r="G59" s="6">
        <v>19</v>
      </c>
      <c r="H59" s="6">
        <v>4</v>
      </c>
      <c r="I59" s="6">
        <v>14</v>
      </c>
      <c r="J59" s="6">
        <v>59</v>
      </c>
      <c r="K59" s="6">
        <v>6</v>
      </c>
      <c r="L59" s="6">
        <v>4</v>
      </c>
      <c r="M59" s="6">
        <v>25</v>
      </c>
      <c r="N59" s="6">
        <v>25</v>
      </c>
      <c r="O59" s="6">
        <v>16</v>
      </c>
      <c r="P59" s="6">
        <v>43</v>
      </c>
      <c r="Q59" s="6">
        <v>12</v>
      </c>
      <c r="R59" s="5">
        <f t="shared" si="19"/>
        <v>264</v>
      </c>
    </row>
    <row r="60" spans="1:18" x14ac:dyDescent="0.4">
      <c r="A60" s="7"/>
      <c r="B60" s="47"/>
      <c r="C60" s="24" t="s">
        <v>121</v>
      </c>
      <c r="D60" s="48"/>
      <c r="E60" s="6">
        <v>1</v>
      </c>
      <c r="F60" s="6">
        <v>1</v>
      </c>
      <c r="G60" s="6">
        <v>2</v>
      </c>
      <c r="H60" s="6">
        <v>0</v>
      </c>
      <c r="I60" s="6">
        <v>2</v>
      </c>
      <c r="J60" s="6">
        <v>0</v>
      </c>
      <c r="K60" s="6">
        <v>2</v>
      </c>
      <c r="L60" s="6">
        <v>2</v>
      </c>
      <c r="M60" s="6">
        <v>3</v>
      </c>
      <c r="N60" s="6">
        <v>2</v>
      </c>
      <c r="O60" s="6">
        <v>1</v>
      </c>
      <c r="P60" s="6">
        <v>1</v>
      </c>
      <c r="Q60" s="6">
        <v>2</v>
      </c>
      <c r="R60" s="5">
        <f t="shared" si="19"/>
        <v>19</v>
      </c>
    </row>
    <row r="61" spans="1:18" x14ac:dyDescent="0.4">
      <c r="A61" s="7"/>
      <c r="B61" s="47"/>
      <c r="C61" s="24" t="s">
        <v>122</v>
      </c>
      <c r="D61" s="48"/>
      <c r="E61" s="6">
        <v>3</v>
      </c>
      <c r="F61" s="6">
        <v>1</v>
      </c>
      <c r="G61" s="6">
        <v>1</v>
      </c>
      <c r="H61" s="6">
        <v>5</v>
      </c>
      <c r="I61" s="6">
        <v>8</v>
      </c>
      <c r="J61" s="6">
        <v>0</v>
      </c>
      <c r="K61" s="6">
        <v>1</v>
      </c>
      <c r="L61" s="6">
        <v>3</v>
      </c>
      <c r="M61" s="6">
        <v>2</v>
      </c>
      <c r="N61" s="6">
        <v>3</v>
      </c>
      <c r="O61" s="6">
        <v>0</v>
      </c>
      <c r="P61" s="6">
        <v>2</v>
      </c>
      <c r="Q61" s="6">
        <v>1</v>
      </c>
      <c r="R61" s="5">
        <f t="shared" si="19"/>
        <v>30</v>
      </c>
    </row>
    <row r="62" spans="1:18" x14ac:dyDescent="0.4">
      <c r="A62" s="7"/>
      <c r="B62" s="47"/>
      <c r="C62" s="24" t="s">
        <v>123</v>
      </c>
      <c r="D62" s="48"/>
      <c r="E62" s="6">
        <v>0</v>
      </c>
      <c r="F62" s="6">
        <v>1</v>
      </c>
      <c r="G62" s="6">
        <v>1</v>
      </c>
      <c r="H62" s="6">
        <v>0</v>
      </c>
      <c r="I62" s="6">
        <v>1</v>
      </c>
      <c r="J62" s="6">
        <v>1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1</v>
      </c>
      <c r="R62" s="5">
        <f t="shared" si="19"/>
        <v>7</v>
      </c>
    </row>
    <row r="63" spans="1:18" ht="13.15" customHeight="1" x14ac:dyDescent="0.4">
      <c r="A63" s="7"/>
      <c r="B63" s="47"/>
      <c r="C63" s="24" t="s">
        <v>124</v>
      </c>
      <c r="D63" s="45"/>
      <c r="E63" s="6">
        <v>2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5">
        <f t="shared" si="19"/>
        <v>4</v>
      </c>
    </row>
    <row r="64" spans="1:18" x14ac:dyDescent="0.4">
      <c r="A64" s="7"/>
      <c r="B64" s="47"/>
      <c r="C64" s="24" t="s">
        <v>125</v>
      </c>
      <c r="D64" s="48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5">
        <f t="shared" si="19"/>
        <v>2</v>
      </c>
    </row>
    <row r="65" spans="1:18" x14ac:dyDescent="0.4">
      <c r="A65" s="7"/>
      <c r="B65" s="47"/>
      <c r="C65" s="24" t="s">
        <v>126</v>
      </c>
      <c r="D65" s="48"/>
      <c r="E65" s="6">
        <v>1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1</v>
      </c>
      <c r="O65" s="6">
        <v>0</v>
      </c>
      <c r="P65" s="6">
        <v>0</v>
      </c>
      <c r="Q65" s="6">
        <v>0</v>
      </c>
      <c r="R65" s="5">
        <f t="shared" si="19"/>
        <v>3</v>
      </c>
    </row>
    <row r="66" spans="1:18" x14ac:dyDescent="0.4">
      <c r="A66" s="7"/>
      <c r="B66" s="47"/>
      <c r="C66" s="24" t="s">
        <v>127</v>
      </c>
      <c r="D66" s="48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5">
        <f t="shared" si="19"/>
        <v>1</v>
      </c>
    </row>
    <row r="67" spans="1:18" x14ac:dyDescent="0.4">
      <c r="A67" s="6" t="s">
        <v>26</v>
      </c>
      <c r="B67" s="74" t="s">
        <v>51</v>
      </c>
      <c r="C67" s="54"/>
      <c r="D67" s="55"/>
      <c r="E67" s="6">
        <f t="shared" ref="E67:R67" si="22">SUM(E57:E66)</f>
        <v>56</v>
      </c>
      <c r="F67" s="6">
        <f t="shared" si="22"/>
        <v>31</v>
      </c>
      <c r="G67" s="6">
        <f t="shared" si="22"/>
        <v>44</v>
      </c>
      <c r="H67" s="6">
        <f t="shared" si="22"/>
        <v>23</v>
      </c>
      <c r="I67" s="6">
        <f t="shared" si="22"/>
        <v>42</v>
      </c>
      <c r="J67" s="6">
        <f t="shared" si="22"/>
        <v>78</v>
      </c>
      <c r="K67" s="6">
        <f t="shared" si="22"/>
        <v>27</v>
      </c>
      <c r="L67" s="6">
        <f t="shared" si="22"/>
        <v>23</v>
      </c>
      <c r="M67" s="6">
        <f t="shared" si="22"/>
        <v>50</v>
      </c>
      <c r="N67" s="6">
        <f t="shared" si="22"/>
        <v>56</v>
      </c>
      <c r="O67" s="6">
        <f t="shared" si="22"/>
        <v>44</v>
      </c>
      <c r="P67" s="6">
        <f t="shared" si="22"/>
        <v>80</v>
      </c>
      <c r="Q67" s="6">
        <f t="shared" si="22"/>
        <v>36</v>
      </c>
      <c r="R67" s="6">
        <f t="shared" si="22"/>
        <v>590</v>
      </c>
    </row>
    <row r="68" spans="1:18" x14ac:dyDescent="0.4">
      <c r="A68" s="81"/>
      <c r="B68" s="80"/>
      <c r="C68" s="80"/>
      <c r="D68" s="80"/>
      <c r="E68" s="80"/>
    </row>
    <row r="69" spans="1:18" x14ac:dyDescent="0.4">
      <c r="A69" s="11" t="s">
        <v>48</v>
      </c>
      <c r="B69" s="17" t="s">
        <v>32</v>
      </c>
      <c r="C69" s="83" t="s">
        <v>53</v>
      </c>
      <c r="D69" s="55"/>
      <c r="E69" s="6">
        <v>12</v>
      </c>
      <c r="F69" s="6">
        <v>7</v>
      </c>
      <c r="G69" s="6">
        <v>12</v>
      </c>
      <c r="H69" s="6">
        <v>4</v>
      </c>
      <c r="I69" s="6">
        <v>4</v>
      </c>
      <c r="J69" s="6">
        <v>5</v>
      </c>
      <c r="K69" s="6">
        <v>4</v>
      </c>
      <c r="L69" s="6">
        <v>2</v>
      </c>
      <c r="M69" s="6">
        <v>5</v>
      </c>
      <c r="N69" s="6">
        <v>7</v>
      </c>
      <c r="O69" s="6">
        <v>9</v>
      </c>
      <c r="P69" s="6">
        <v>8</v>
      </c>
      <c r="Q69" s="6">
        <v>5</v>
      </c>
      <c r="R69" s="5">
        <f t="shared" ref="R69:R78" si="23">SUM(E69:Q69)</f>
        <v>84</v>
      </c>
    </row>
    <row r="70" spans="1:18" x14ac:dyDescent="0.4">
      <c r="A70" s="11" t="s">
        <v>50</v>
      </c>
      <c r="B70" s="47"/>
      <c r="C70" s="24" t="s">
        <v>128</v>
      </c>
      <c r="D70" s="45"/>
      <c r="E70" s="6">
        <v>4</v>
      </c>
      <c r="F70" s="6">
        <v>4</v>
      </c>
      <c r="G70" s="6">
        <v>6</v>
      </c>
      <c r="H70" s="6">
        <v>3</v>
      </c>
      <c r="I70" s="6">
        <v>4</v>
      </c>
      <c r="J70" s="6">
        <v>2</v>
      </c>
      <c r="K70" s="6">
        <v>3</v>
      </c>
      <c r="L70" s="6">
        <v>0</v>
      </c>
      <c r="M70" s="6">
        <v>8</v>
      </c>
      <c r="N70" s="6">
        <v>3</v>
      </c>
      <c r="O70" s="6">
        <v>11</v>
      </c>
      <c r="P70" s="6">
        <v>4</v>
      </c>
      <c r="Q70" s="6">
        <v>2</v>
      </c>
      <c r="R70" s="5">
        <f t="shared" si="23"/>
        <v>54</v>
      </c>
    </row>
    <row r="71" spans="1:18" x14ac:dyDescent="0.4">
      <c r="A71" s="7"/>
      <c r="B71" s="47"/>
      <c r="C71" s="24" t="s">
        <v>129</v>
      </c>
      <c r="D71" s="45"/>
      <c r="E71" s="6">
        <v>5</v>
      </c>
      <c r="F71" s="6">
        <v>0</v>
      </c>
      <c r="G71" s="6">
        <v>3</v>
      </c>
      <c r="H71" s="6">
        <v>2</v>
      </c>
      <c r="I71" s="6">
        <v>3</v>
      </c>
      <c r="J71" s="6">
        <v>2</v>
      </c>
      <c r="K71" s="6">
        <v>2</v>
      </c>
      <c r="L71" s="6">
        <v>0</v>
      </c>
      <c r="M71" s="6">
        <v>5</v>
      </c>
      <c r="N71" s="6">
        <v>7</v>
      </c>
      <c r="O71" s="6">
        <v>0</v>
      </c>
      <c r="P71" s="6">
        <v>5</v>
      </c>
      <c r="Q71" s="6">
        <v>3</v>
      </c>
      <c r="R71" s="5">
        <f t="shared" si="23"/>
        <v>37</v>
      </c>
    </row>
    <row r="72" spans="1:18" x14ac:dyDescent="0.4">
      <c r="A72" s="7"/>
      <c r="B72" s="47"/>
      <c r="C72" s="24" t="s">
        <v>130</v>
      </c>
      <c r="D72" s="45"/>
      <c r="E72" s="6">
        <v>0</v>
      </c>
      <c r="F72" s="6">
        <v>1</v>
      </c>
      <c r="G72" s="6">
        <v>1</v>
      </c>
      <c r="H72" s="6">
        <v>2</v>
      </c>
      <c r="I72" s="6">
        <v>1</v>
      </c>
      <c r="J72" s="6">
        <v>1</v>
      </c>
      <c r="K72" s="6">
        <v>2</v>
      </c>
      <c r="L72" s="6">
        <v>0</v>
      </c>
      <c r="M72" s="6">
        <v>1</v>
      </c>
      <c r="N72" s="6">
        <v>0</v>
      </c>
      <c r="O72" s="6">
        <v>0</v>
      </c>
      <c r="P72" s="6">
        <v>0</v>
      </c>
      <c r="Q72" s="6">
        <v>1</v>
      </c>
      <c r="R72" s="5">
        <f t="shared" si="23"/>
        <v>10</v>
      </c>
    </row>
    <row r="73" spans="1:18" x14ac:dyDescent="0.4">
      <c r="A73" s="7"/>
      <c r="B73" s="47"/>
      <c r="C73" s="24" t="s">
        <v>131</v>
      </c>
      <c r="D73" s="45"/>
      <c r="E73" s="6">
        <v>5</v>
      </c>
      <c r="F73" s="6">
        <v>7</v>
      </c>
      <c r="G73" s="6">
        <v>13</v>
      </c>
      <c r="H73" s="6">
        <v>2</v>
      </c>
      <c r="I73" s="6">
        <v>6</v>
      </c>
      <c r="J73" s="6">
        <v>9</v>
      </c>
      <c r="K73" s="6">
        <v>4</v>
      </c>
      <c r="L73" s="6">
        <v>1</v>
      </c>
      <c r="M73" s="6">
        <v>12</v>
      </c>
      <c r="N73" s="6">
        <v>13</v>
      </c>
      <c r="O73" s="6">
        <v>21</v>
      </c>
      <c r="P73" s="6">
        <v>9</v>
      </c>
      <c r="Q73" s="6">
        <v>6</v>
      </c>
      <c r="R73" s="5">
        <f t="shared" si="23"/>
        <v>108</v>
      </c>
    </row>
    <row r="74" spans="1:18" ht="13.15" customHeight="1" x14ac:dyDescent="0.4">
      <c r="A74" s="7"/>
      <c r="B74" s="47"/>
      <c r="C74" s="24" t="s">
        <v>132</v>
      </c>
      <c r="D74" s="45"/>
      <c r="E74" s="6">
        <v>1</v>
      </c>
      <c r="F74" s="6">
        <v>2</v>
      </c>
      <c r="G74" s="6">
        <v>0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5">
        <f t="shared" si="23"/>
        <v>6</v>
      </c>
    </row>
    <row r="75" spans="1:18" x14ac:dyDescent="0.4">
      <c r="A75" s="7"/>
      <c r="B75" s="47"/>
      <c r="C75" s="24" t="s">
        <v>133</v>
      </c>
      <c r="D75" s="45"/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5">
        <f t="shared" si="23"/>
        <v>5</v>
      </c>
    </row>
    <row r="76" spans="1:18" x14ac:dyDescent="0.4">
      <c r="A76" s="7"/>
      <c r="B76" s="47"/>
      <c r="C76" s="24" t="s">
        <v>134</v>
      </c>
      <c r="D76" s="45"/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5">
        <f t="shared" si="23"/>
        <v>1</v>
      </c>
    </row>
    <row r="77" spans="1:18" x14ac:dyDescent="0.4">
      <c r="A77" s="7"/>
      <c r="B77" s="47"/>
      <c r="C77" s="24" t="s">
        <v>135</v>
      </c>
      <c r="D77" s="45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1</v>
      </c>
      <c r="N77" s="6">
        <v>1</v>
      </c>
      <c r="O77" s="6">
        <v>0</v>
      </c>
      <c r="P77" s="6">
        <v>0</v>
      </c>
      <c r="Q77" s="6">
        <v>0</v>
      </c>
      <c r="R77" s="5">
        <f t="shared" si="23"/>
        <v>3</v>
      </c>
    </row>
    <row r="78" spans="1:18" x14ac:dyDescent="0.4">
      <c r="A78" s="7"/>
      <c r="B78" s="47"/>
      <c r="C78" s="24" t="s">
        <v>136</v>
      </c>
      <c r="D78" s="45"/>
      <c r="E78" s="6">
        <v>0</v>
      </c>
      <c r="F78" s="6">
        <v>1</v>
      </c>
      <c r="G78" s="6">
        <v>0</v>
      </c>
      <c r="H78" s="6">
        <v>0</v>
      </c>
      <c r="I78" s="6">
        <v>0</v>
      </c>
      <c r="J78" s="6">
        <v>1</v>
      </c>
      <c r="K78" s="6">
        <v>1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5">
        <f t="shared" si="23"/>
        <v>4</v>
      </c>
    </row>
    <row r="79" spans="1:18" x14ac:dyDescent="0.4">
      <c r="A79" s="6" t="s">
        <v>26</v>
      </c>
      <c r="B79" s="74" t="s">
        <v>51</v>
      </c>
      <c r="C79" s="54"/>
      <c r="D79" s="55"/>
      <c r="E79" s="6">
        <f t="shared" ref="E79:R79" si="24">SUM(E69:E78)</f>
        <v>30</v>
      </c>
      <c r="F79" s="6">
        <f t="shared" si="24"/>
        <v>23</v>
      </c>
      <c r="G79" s="6">
        <f t="shared" si="24"/>
        <v>36</v>
      </c>
      <c r="H79" s="6">
        <f t="shared" si="24"/>
        <v>15</v>
      </c>
      <c r="I79" s="6">
        <f t="shared" si="24"/>
        <v>20</v>
      </c>
      <c r="J79" s="6">
        <f t="shared" si="24"/>
        <v>21</v>
      </c>
      <c r="K79" s="6">
        <f t="shared" si="24"/>
        <v>16</v>
      </c>
      <c r="L79" s="6">
        <f t="shared" si="24"/>
        <v>3</v>
      </c>
      <c r="M79" s="6">
        <f t="shared" si="24"/>
        <v>32</v>
      </c>
      <c r="N79" s="6">
        <f t="shared" si="24"/>
        <v>32</v>
      </c>
      <c r="O79" s="6">
        <f t="shared" si="24"/>
        <v>41</v>
      </c>
      <c r="P79" s="6">
        <f t="shared" si="24"/>
        <v>26</v>
      </c>
      <c r="Q79" s="6">
        <f t="shared" si="24"/>
        <v>17</v>
      </c>
      <c r="R79" s="6">
        <f t="shared" si="24"/>
        <v>312</v>
      </c>
    </row>
    <row r="80" spans="1:18" x14ac:dyDescent="0.4">
      <c r="A80" s="81"/>
      <c r="B80" s="80"/>
      <c r="C80" s="80"/>
      <c r="D80" s="80"/>
      <c r="E80" s="80"/>
    </row>
    <row r="81" spans="1:18" x14ac:dyDescent="0.4">
      <c r="A81" s="11" t="s">
        <v>48</v>
      </c>
      <c r="B81" s="17" t="s">
        <v>34</v>
      </c>
      <c r="C81" s="83" t="s">
        <v>54</v>
      </c>
      <c r="D81" s="55"/>
      <c r="E81" s="6">
        <v>3</v>
      </c>
      <c r="F81" s="6">
        <v>5</v>
      </c>
      <c r="G81" s="6">
        <v>10</v>
      </c>
      <c r="H81" s="6">
        <v>16</v>
      </c>
      <c r="I81" s="6">
        <v>10</v>
      </c>
      <c r="J81" s="6">
        <v>10</v>
      </c>
      <c r="K81" s="6">
        <v>6</v>
      </c>
      <c r="L81" s="6">
        <v>2</v>
      </c>
      <c r="M81" s="6">
        <v>1</v>
      </c>
      <c r="N81" s="6">
        <v>0</v>
      </c>
      <c r="O81" s="6">
        <v>2</v>
      </c>
      <c r="P81" s="6">
        <v>6</v>
      </c>
      <c r="Q81" s="6">
        <v>3</v>
      </c>
      <c r="R81" s="5">
        <f t="shared" ref="R81:R90" si="25">SUM(E81:Q81)</f>
        <v>74</v>
      </c>
    </row>
    <row r="82" spans="1:18" x14ac:dyDescent="0.4">
      <c r="A82" s="11" t="s">
        <v>50</v>
      </c>
      <c r="B82" s="47"/>
      <c r="C82" s="24" t="s">
        <v>137</v>
      </c>
      <c r="D82" s="45"/>
      <c r="E82" s="6">
        <v>11</v>
      </c>
      <c r="F82" s="6">
        <v>23</v>
      </c>
      <c r="G82" s="6">
        <v>17</v>
      </c>
      <c r="H82" s="6">
        <v>12</v>
      </c>
      <c r="I82" s="6">
        <v>10</v>
      </c>
      <c r="J82" s="6">
        <v>21</v>
      </c>
      <c r="K82" s="6">
        <v>11</v>
      </c>
      <c r="L82" s="6">
        <v>3</v>
      </c>
      <c r="M82" s="6">
        <v>2</v>
      </c>
      <c r="N82" s="6">
        <v>1</v>
      </c>
      <c r="O82" s="6">
        <v>4</v>
      </c>
      <c r="P82" s="6">
        <v>11</v>
      </c>
      <c r="Q82" s="6">
        <v>6</v>
      </c>
      <c r="R82" s="5">
        <f t="shared" si="25"/>
        <v>132</v>
      </c>
    </row>
    <row r="83" spans="1:18" x14ac:dyDescent="0.4">
      <c r="A83" s="7"/>
      <c r="B83" s="47"/>
      <c r="C83" s="24" t="s">
        <v>138</v>
      </c>
      <c r="D83" s="45"/>
      <c r="E83" s="6">
        <v>3</v>
      </c>
      <c r="F83" s="6">
        <v>1</v>
      </c>
      <c r="G83" s="6">
        <v>5</v>
      </c>
      <c r="H83" s="6">
        <v>2</v>
      </c>
      <c r="I83" s="6">
        <v>2</v>
      </c>
      <c r="J83" s="6">
        <v>3</v>
      </c>
      <c r="K83" s="6">
        <v>0</v>
      </c>
      <c r="L83" s="6">
        <v>0</v>
      </c>
      <c r="M83" s="6">
        <v>2</v>
      </c>
      <c r="N83" s="6">
        <v>1</v>
      </c>
      <c r="O83" s="6">
        <v>0</v>
      </c>
      <c r="P83" s="6">
        <v>4</v>
      </c>
      <c r="Q83" s="6">
        <v>2</v>
      </c>
      <c r="R83" s="5">
        <f t="shared" si="25"/>
        <v>25</v>
      </c>
    </row>
    <row r="84" spans="1:18" x14ac:dyDescent="0.4">
      <c r="A84" s="7"/>
      <c r="B84" s="47"/>
      <c r="C84" s="24" t="s">
        <v>139</v>
      </c>
      <c r="D84" s="45"/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2</v>
      </c>
      <c r="N84" s="6">
        <v>0</v>
      </c>
      <c r="O84" s="6">
        <v>1</v>
      </c>
      <c r="P84" s="6">
        <v>0</v>
      </c>
      <c r="Q84" s="6">
        <v>1</v>
      </c>
      <c r="R84" s="5">
        <f t="shared" si="25"/>
        <v>5</v>
      </c>
    </row>
    <row r="85" spans="1:18" ht="13.15" customHeight="1" x14ac:dyDescent="0.4">
      <c r="A85" s="7"/>
      <c r="B85" s="47"/>
      <c r="C85" s="24" t="s">
        <v>140</v>
      </c>
      <c r="D85" s="45"/>
      <c r="E85" s="6">
        <v>0</v>
      </c>
      <c r="F85" s="6">
        <v>3</v>
      </c>
      <c r="G85" s="6">
        <v>1</v>
      </c>
      <c r="H85" s="6">
        <v>2</v>
      </c>
      <c r="I85" s="6">
        <v>0</v>
      </c>
      <c r="J85" s="6">
        <v>0</v>
      </c>
      <c r="K85" s="6">
        <v>0</v>
      </c>
      <c r="L85" s="6">
        <v>1</v>
      </c>
      <c r="M85" s="6">
        <v>2</v>
      </c>
      <c r="N85" s="6">
        <v>1</v>
      </c>
      <c r="O85" s="6">
        <v>4</v>
      </c>
      <c r="P85" s="6">
        <v>0</v>
      </c>
      <c r="Q85" s="6">
        <v>1</v>
      </c>
      <c r="R85" s="5">
        <f t="shared" si="25"/>
        <v>15</v>
      </c>
    </row>
    <row r="86" spans="1:18" x14ac:dyDescent="0.4">
      <c r="A86" s="7"/>
      <c r="B86" s="47"/>
      <c r="C86" s="24" t="s">
        <v>141</v>
      </c>
      <c r="D86" s="45"/>
      <c r="E86" s="6">
        <v>0</v>
      </c>
      <c r="F86" s="6">
        <v>0</v>
      </c>
      <c r="G86" s="6">
        <v>2</v>
      </c>
      <c r="H86" s="6">
        <v>1</v>
      </c>
      <c r="I86" s="6">
        <v>1</v>
      </c>
      <c r="J86" s="6">
        <v>2</v>
      </c>
      <c r="K86" s="6">
        <v>3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5">
        <f t="shared" si="25"/>
        <v>9</v>
      </c>
    </row>
    <row r="87" spans="1:18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1</v>
      </c>
      <c r="H87" s="6">
        <v>1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5">
        <f t="shared" si="25"/>
        <v>3</v>
      </c>
    </row>
    <row r="88" spans="1:18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5">
        <f t="shared" si="25"/>
        <v>1</v>
      </c>
    </row>
    <row r="89" spans="1:18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5">
        <f t="shared" si="25"/>
        <v>1</v>
      </c>
    </row>
    <row r="90" spans="1:18" x14ac:dyDescent="0.4">
      <c r="A90" s="7"/>
      <c r="B90" s="47"/>
      <c r="C90" s="24" t="s">
        <v>145</v>
      </c>
      <c r="D90" s="45"/>
      <c r="E90" s="6">
        <v>0</v>
      </c>
      <c r="F90" s="6">
        <v>1</v>
      </c>
      <c r="G90" s="6">
        <v>0</v>
      </c>
      <c r="H90" s="6">
        <v>0</v>
      </c>
      <c r="I90" s="6">
        <v>2</v>
      </c>
      <c r="J90" s="6">
        <v>0</v>
      </c>
      <c r="K90" s="6">
        <v>1</v>
      </c>
      <c r="L90" s="6">
        <v>0</v>
      </c>
      <c r="M90" s="6">
        <v>1</v>
      </c>
      <c r="N90" s="6">
        <v>2</v>
      </c>
      <c r="O90" s="6">
        <v>1</v>
      </c>
      <c r="P90" s="6">
        <v>0</v>
      </c>
      <c r="Q90" s="6">
        <v>0</v>
      </c>
      <c r="R90" s="5">
        <f t="shared" si="25"/>
        <v>8</v>
      </c>
    </row>
    <row r="91" spans="1:18" x14ac:dyDescent="0.4">
      <c r="A91" s="6" t="s">
        <v>26</v>
      </c>
      <c r="B91" s="74" t="s">
        <v>51</v>
      </c>
      <c r="C91" s="54"/>
      <c r="D91" s="55"/>
      <c r="E91" s="6">
        <f t="shared" ref="E91:R91" si="26">SUM(E81:E90)</f>
        <v>17</v>
      </c>
      <c r="F91" s="6">
        <f t="shared" si="26"/>
        <v>33</v>
      </c>
      <c r="G91" s="6">
        <f t="shared" si="26"/>
        <v>36</v>
      </c>
      <c r="H91" s="6">
        <f t="shared" si="26"/>
        <v>34</v>
      </c>
      <c r="I91" s="6">
        <f t="shared" si="26"/>
        <v>25</v>
      </c>
      <c r="J91" s="6">
        <f t="shared" si="26"/>
        <v>37</v>
      </c>
      <c r="K91" s="6">
        <f t="shared" si="26"/>
        <v>22</v>
      </c>
      <c r="L91" s="6">
        <f t="shared" si="26"/>
        <v>8</v>
      </c>
      <c r="M91" s="6">
        <f t="shared" si="26"/>
        <v>10</v>
      </c>
      <c r="N91" s="6">
        <f t="shared" si="26"/>
        <v>5</v>
      </c>
      <c r="O91" s="6">
        <f t="shared" si="26"/>
        <v>12</v>
      </c>
      <c r="P91" s="6">
        <f t="shared" si="26"/>
        <v>21</v>
      </c>
      <c r="Q91" s="6">
        <f t="shared" si="26"/>
        <v>13</v>
      </c>
      <c r="R91" s="6">
        <f t="shared" si="26"/>
        <v>273</v>
      </c>
    </row>
    <row r="92" spans="1:18" x14ac:dyDescent="0.4">
      <c r="A92" s="81"/>
      <c r="B92" s="80"/>
      <c r="C92" s="80"/>
      <c r="D92" s="80"/>
      <c r="E92" s="80"/>
    </row>
    <row r="93" spans="1:18" x14ac:dyDescent="0.4">
      <c r="A93" s="11" t="s">
        <v>48</v>
      </c>
      <c r="B93" s="17" t="s">
        <v>55</v>
      </c>
      <c r="C93" s="83" t="s">
        <v>56</v>
      </c>
      <c r="D93" s="55"/>
      <c r="E93" s="6">
        <v>3</v>
      </c>
      <c r="F93" s="6">
        <v>1</v>
      </c>
      <c r="G93" s="6">
        <v>3</v>
      </c>
      <c r="H93" s="6">
        <v>6</v>
      </c>
      <c r="I93" s="6">
        <v>3</v>
      </c>
      <c r="J93" s="6">
        <v>1</v>
      </c>
      <c r="K93" s="6">
        <v>1</v>
      </c>
      <c r="L93" s="6">
        <v>3</v>
      </c>
      <c r="M93" s="6">
        <v>3</v>
      </c>
      <c r="N93" s="6">
        <v>0</v>
      </c>
      <c r="O93" s="6">
        <v>7</v>
      </c>
      <c r="P93" s="6">
        <v>2</v>
      </c>
      <c r="Q93" s="6">
        <v>12</v>
      </c>
      <c r="R93" s="5">
        <f t="shared" ref="R93:R102" si="27">SUM(E93:Q93)</f>
        <v>45</v>
      </c>
    </row>
    <row r="94" spans="1:18" x14ac:dyDescent="0.4">
      <c r="A94" s="11" t="s">
        <v>50</v>
      </c>
      <c r="B94" s="47"/>
      <c r="C94" s="24" t="s">
        <v>146</v>
      </c>
      <c r="D94" s="45"/>
      <c r="E94" s="6">
        <v>9</v>
      </c>
      <c r="F94" s="6">
        <v>5</v>
      </c>
      <c r="G94" s="6">
        <v>2</v>
      </c>
      <c r="H94" s="6">
        <v>5</v>
      </c>
      <c r="I94" s="6">
        <v>1</v>
      </c>
      <c r="J94" s="6">
        <v>0</v>
      </c>
      <c r="K94" s="6">
        <v>9</v>
      </c>
      <c r="L94" s="6">
        <v>2</v>
      </c>
      <c r="M94" s="6">
        <v>7</v>
      </c>
      <c r="N94" s="6">
        <v>2</v>
      </c>
      <c r="O94" s="6">
        <v>17</v>
      </c>
      <c r="P94" s="6">
        <v>6</v>
      </c>
      <c r="Q94" s="6">
        <v>9</v>
      </c>
      <c r="R94" s="5">
        <f t="shared" si="27"/>
        <v>74</v>
      </c>
    </row>
    <row r="95" spans="1:18" x14ac:dyDescent="0.4">
      <c r="A95" s="7"/>
      <c r="B95" s="47"/>
      <c r="C95" s="24" t="s">
        <v>147</v>
      </c>
      <c r="D95" s="45"/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1</v>
      </c>
      <c r="M95" s="6">
        <v>2</v>
      </c>
      <c r="N95" s="6">
        <v>1</v>
      </c>
      <c r="O95" s="6">
        <v>1</v>
      </c>
      <c r="P95" s="6">
        <v>0</v>
      </c>
      <c r="Q95" s="6">
        <v>2</v>
      </c>
      <c r="R95" s="5">
        <f t="shared" si="27"/>
        <v>9</v>
      </c>
    </row>
    <row r="96" spans="1:18" ht="13.15" customHeight="1" x14ac:dyDescent="0.4">
      <c r="A96" s="7"/>
      <c r="B96" s="47"/>
      <c r="C96" s="24" t="s">
        <v>148</v>
      </c>
      <c r="D96" s="45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5">
        <f t="shared" si="27"/>
        <v>1</v>
      </c>
    </row>
    <row r="97" spans="1:18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1</v>
      </c>
      <c r="O97" s="6">
        <v>1</v>
      </c>
      <c r="P97" s="6">
        <v>0</v>
      </c>
      <c r="Q97" s="6">
        <v>1</v>
      </c>
      <c r="R97" s="5">
        <f t="shared" si="27"/>
        <v>4</v>
      </c>
    </row>
    <row r="98" spans="1:18" x14ac:dyDescent="0.4">
      <c r="A98" s="7"/>
      <c r="B98" s="47"/>
      <c r="C98" s="24" t="s">
        <v>150</v>
      </c>
      <c r="D98" s="45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5">
        <f t="shared" si="27"/>
        <v>2</v>
      </c>
    </row>
    <row r="99" spans="1:18" x14ac:dyDescent="0.4">
      <c r="A99" s="7"/>
      <c r="B99" s="47"/>
      <c r="C99" s="24" t="s">
        <v>151</v>
      </c>
      <c r="D99" s="45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3</v>
      </c>
      <c r="O99" s="6">
        <v>2</v>
      </c>
      <c r="P99" s="6">
        <v>0</v>
      </c>
      <c r="Q99" s="6">
        <v>0</v>
      </c>
      <c r="R99" s="5">
        <f t="shared" si="27"/>
        <v>5</v>
      </c>
    </row>
    <row r="100" spans="1:18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5">
        <f t="shared" si="27"/>
        <v>1</v>
      </c>
    </row>
    <row r="101" spans="1:18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5">
        <f t="shared" si="27"/>
        <v>1</v>
      </c>
    </row>
    <row r="102" spans="1:18" x14ac:dyDescent="0.4">
      <c r="A102" s="7"/>
      <c r="B102" s="47"/>
      <c r="C102" s="24" t="s">
        <v>154</v>
      </c>
      <c r="D102" s="45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1</v>
      </c>
      <c r="P102" s="6">
        <v>0</v>
      </c>
      <c r="Q102" s="6">
        <v>1</v>
      </c>
      <c r="R102" s="5">
        <f t="shared" si="27"/>
        <v>3</v>
      </c>
    </row>
    <row r="103" spans="1:18" x14ac:dyDescent="0.4">
      <c r="A103" s="6" t="s">
        <v>26</v>
      </c>
      <c r="B103" s="74" t="s">
        <v>51</v>
      </c>
      <c r="C103" s="54"/>
      <c r="D103" s="55"/>
      <c r="E103" s="6">
        <f t="shared" ref="E103:R103" si="28">SUM(E93:E102)</f>
        <v>12</v>
      </c>
      <c r="F103" s="6">
        <f t="shared" si="28"/>
        <v>7</v>
      </c>
      <c r="G103" s="6">
        <f t="shared" si="28"/>
        <v>5</v>
      </c>
      <c r="H103" s="6">
        <f t="shared" si="28"/>
        <v>11</v>
      </c>
      <c r="I103" s="6">
        <f t="shared" si="28"/>
        <v>4</v>
      </c>
      <c r="J103" s="6">
        <f t="shared" si="28"/>
        <v>1</v>
      </c>
      <c r="K103" s="6">
        <f t="shared" si="28"/>
        <v>12</v>
      </c>
      <c r="L103" s="6">
        <f t="shared" si="28"/>
        <v>9</v>
      </c>
      <c r="M103" s="6">
        <f t="shared" si="28"/>
        <v>12</v>
      </c>
      <c r="N103" s="6">
        <f t="shared" si="28"/>
        <v>9</v>
      </c>
      <c r="O103" s="6">
        <f t="shared" si="28"/>
        <v>29</v>
      </c>
      <c r="P103" s="6">
        <f t="shared" si="28"/>
        <v>9</v>
      </c>
      <c r="Q103" s="6">
        <f t="shared" si="28"/>
        <v>25</v>
      </c>
      <c r="R103" s="6">
        <f t="shared" si="28"/>
        <v>145</v>
      </c>
    </row>
    <row r="104" spans="1:18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x14ac:dyDescent="0.4">
      <c r="A105" s="11" t="s">
        <v>48</v>
      </c>
      <c r="B105" s="17" t="s">
        <v>57</v>
      </c>
      <c r="C105" s="83" t="s">
        <v>58</v>
      </c>
      <c r="D105" s="55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2</v>
      </c>
      <c r="N105" s="6">
        <v>0</v>
      </c>
      <c r="O105" s="6">
        <v>1</v>
      </c>
      <c r="P105" s="6">
        <v>1</v>
      </c>
      <c r="Q105" s="6">
        <v>0</v>
      </c>
      <c r="R105" s="5">
        <f t="shared" ref="R105:R107" si="29">SUM(E105:Q105)</f>
        <v>5</v>
      </c>
    </row>
    <row r="106" spans="1:18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1</v>
      </c>
      <c r="Q106" s="6">
        <v>1</v>
      </c>
      <c r="R106" s="5">
        <f t="shared" si="29"/>
        <v>3</v>
      </c>
    </row>
    <row r="107" spans="1:18" ht="13.15" customHeight="1" x14ac:dyDescent="0.4">
      <c r="A107" s="7"/>
      <c r="B107" s="47"/>
      <c r="C107" s="24" t="s">
        <v>156</v>
      </c>
      <c r="D107" s="45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5">
        <f t="shared" si="29"/>
        <v>0</v>
      </c>
    </row>
    <row r="108" spans="1:18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R108" si="30">SUM(E105:E107)</f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1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6">
        <f t="shared" si="30"/>
        <v>3</v>
      </c>
      <c r="N108" s="6">
        <f t="shared" si="30"/>
        <v>0</v>
      </c>
      <c r="O108" s="6">
        <f t="shared" si="30"/>
        <v>1</v>
      </c>
      <c r="P108" s="6">
        <f t="shared" si="30"/>
        <v>2</v>
      </c>
      <c r="Q108" s="6">
        <f t="shared" si="30"/>
        <v>1</v>
      </c>
      <c r="R108" s="6">
        <f t="shared" si="30"/>
        <v>8</v>
      </c>
    </row>
    <row r="109" spans="1:18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5"/>
    </row>
    <row r="110" spans="1:18" x14ac:dyDescent="0.4">
      <c r="A110" s="11" t="s">
        <v>48</v>
      </c>
      <c r="B110" s="17" t="s">
        <v>59</v>
      </c>
      <c r="C110" s="83" t="s">
        <v>60</v>
      </c>
      <c r="D110" s="55"/>
      <c r="E110" s="6">
        <v>0</v>
      </c>
      <c r="F110" s="6">
        <v>0</v>
      </c>
      <c r="G110" s="6">
        <v>2</v>
      </c>
      <c r="H110" s="6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1</v>
      </c>
      <c r="P110" s="6">
        <v>1</v>
      </c>
      <c r="Q110" s="6">
        <v>3</v>
      </c>
      <c r="R110" s="5">
        <f t="shared" ref="R110:R115" si="31">SUM(E110:Q110)</f>
        <v>8</v>
      </c>
    </row>
    <row r="111" spans="1:18" x14ac:dyDescent="0.4">
      <c r="A111" s="11" t="s">
        <v>50</v>
      </c>
      <c r="B111" s="47"/>
      <c r="C111" s="24" t="s">
        <v>157</v>
      </c>
      <c r="D111" s="45"/>
      <c r="E111" s="6">
        <v>1</v>
      </c>
      <c r="F111" s="6">
        <v>0</v>
      </c>
      <c r="G111" s="6">
        <v>0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1</v>
      </c>
      <c r="R111" s="5">
        <f t="shared" si="31"/>
        <v>4</v>
      </c>
    </row>
    <row r="112" spans="1:18" x14ac:dyDescent="0.4">
      <c r="A112" s="7"/>
      <c r="B112" s="47"/>
      <c r="C112" s="24" t="s">
        <v>158</v>
      </c>
      <c r="D112" s="45"/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5">
        <f t="shared" si="31"/>
        <v>1</v>
      </c>
    </row>
    <row r="113" spans="1:18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5">
        <f t="shared" si="31"/>
        <v>0</v>
      </c>
    </row>
    <row r="114" spans="1:18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0</v>
      </c>
      <c r="P114" s="6">
        <v>0</v>
      </c>
      <c r="Q114" s="6">
        <v>0</v>
      </c>
      <c r="R114" s="5">
        <f t="shared" si="31"/>
        <v>1</v>
      </c>
    </row>
    <row r="115" spans="1:18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1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5">
        <f t="shared" si="31"/>
        <v>1</v>
      </c>
    </row>
    <row r="116" spans="1:18" x14ac:dyDescent="0.4">
      <c r="A116" s="6" t="s">
        <v>26</v>
      </c>
      <c r="B116" s="74" t="s">
        <v>51</v>
      </c>
      <c r="C116" s="84"/>
      <c r="D116" s="85"/>
      <c r="E116" s="6">
        <f t="shared" ref="E116:R116" si="32">SUM(E110:E115)</f>
        <v>2</v>
      </c>
      <c r="F116" s="6">
        <f t="shared" si="32"/>
        <v>0</v>
      </c>
      <c r="G116" s="6">
        <f t="shared" si="32"/>
        <v>3</v>
      </c>
      <c r="H116" s="6">
        <f t="shared" si="32"/>
        <v>1</v>
      </c>
      <c r="I116" s="6">
        <f t="shared" si="32"/>
        <v>0</v>
      </c>
      <c r="J116" s="6">
        <f t="shared" si="32"/>
        <v>0</v>
      </c>
      <c r="K116" s="6">
        <f t="shared" si="32"/>
        <v>1</v>
      </c>
      <c r="L116" s="6">
        <f t="shared" si="32"/>
        <v>0</v>
      </c>
      <c r="M116" s="6">
        <f t="shared" si="32"/>
        <v>0</v>
      </c>
      <c r="N116" s="6">
        <f t="shared" si="32"/>
        <v>1</v>
      </c>
      <c r="O116" s="6">
        <f t="shared" si="32"/>
        <v>1</v>
      </c>
      <c r="P116" s="6">
        <f t="shared" si="32"/>
        <v>2</v>
      </c>
      <c r="Q116" s="6">
        <f t="shared" si="32"/>
        <v>4</v>
      </c>
      <c r="R116" s="6">
        <f t="shared" si="32"/>
        <v>15</v>
      </c>
    </row>
    <row r="117" spans="1:18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x14ac:dyDescent="0.4">
      <c r="A118" s="11" t="s">
        <v>48</v>
      </c>
      <c r="B118" s="17" t="s">
        <v>61</v>
      </c>
      <c r="C118" s="83" t="s">
        <v>62</v>
      </c>
      <c r="D118" s="55"/>
      <c r="E118" s="6">
        <v>7</v>
      </c>
      <c r="F118" s="6">
        <v>2</v>
      </c>
      <c r="G118" s="6">
        <v>3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1</v>
      </c>
      <c r="N118" s="6">
        <v>1</v>
      </c>
      <c r="O118" s="6">
        <v>2</v>
      </c>
      <c r="P118" s="6">
        <v>0</v>
      </c>
      <c r="Q118" s="6">
        <v>0</v>
      </c>
      <c r="R118" s="5">
        <f t="shared" ref="R118:R127" si="33">SUM(E118:Q118)</f>
        <v>17</v>
      </c>
    </row>
    <row r="119" spans="1:18" ht="13.15" customHeight="1" x14ac:dyDescent="0.4">
      <c r="A119" s="11" t="s">
        <v>50</v>
      </c>
      <c r="B119" s="47"/>
      <c r="C119" s="24" t="s">
        <v>162</v>
      </c>
      <c r="D119" s="48"/>
      <c r="E119" s="6">
        <v>10</v>
      </c>
      <c r="F119" s="6">
        <v>0</v>
      </c>
      <c r="G119" s="6">
        <v>2</v>
      </c>
      <c r="H119" s="6">
        <v>3</v>
      </c>
      <c r="I119" s="6">
        <v>0</v>
      </c>
      <c r="J119" s="6">
        <v>1</v>
      </c>
      <c r="K119" s="6">
        <v>8</v>
      </c>
      <c r="L119" s="6">
        <v>3</v>
      </c>
      <c r="M119" s="6">
        <v>1</v>
      </c>
      <c r="N119" s="6">
        <v>2</v>
      </c>
      <c r="O119" s="6">
        <v>0</v>
      </c>
      <c r="P119" s="6">
        <v>2</v>
      </c>
      <c r="Q119" s="6">
        <v>6</v>
      </c>
      <c r="R119" s="5">
        <f t="shared" si="33"/>
        <v>38</v>
      </c>
    </row>
    <row r="120" spans="1:18" x14ac:dyDescent="0.4">
      <c r="A120" s="7"/>
      <c r="B120" s="47"/>
      <c r="C120" s="24" t="s">
        <v>163</v>
      </c>
      <c r="D120" s="48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5">
        <f t="shared" si="33"/>
        <v>1</v>
      </c>
    </row>
    <row r="121" spans="1:18" x14ac:dyDescent="0.4">
      <c r="A121" s="7"/>
      <c r="B121" s="47"/>
      <c r="C121" s="24" t="s">
        <v>164</v>
      </c>
      <c r="D121" s="48"/>
      <c r="E121" s="6">
        <v>1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5">
        <f t="shared" si="33"/>
        <v>2</v>
      </c>
    </row>
    <row r="122" spans="1:18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5">
        <f t="shared" si="33"/>
        <v>1</v>
      </c>
    </row>
    <row r="123" spans="1:18" x14ac:dyDescent="0.4">
      <c r="A123" s="7"/>
      <c r="B123" s="47"/>
      <c r="C123" s="24" t="s">
        <v>166</v>
      </c>
      <c r="D123" s="48"/>
      <c r="E123" s="6">
        <v>1</v>
      </c>
      <c r="F123" s="6">
        <v>0</v>
      </c>
      <c r="G123" s="6">
        <v>1</v>
      </c>
      <c r="H123" s="6">
        <v>0</v>
      </c>
      <c r="I123" s="6">
        <v>0</v>
      </c>
      <c r="J123" s="6">
        <v>4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5">
        <f t="shared" si="33"/>
        <v>6</v>
      </c>
    </row>
    <row r="124" spans="1:18" x14ac:dyDescent="0.4">
      <c r="A124" s="7"/>
      <c r="B124" s="47"/>
      <c r="C124" s="24" t="s">
        <v>167</v>
      </c>
      <c r="D124" s="45"/>
      <c r="E124" s="6">
        <v>1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5">
        <f t="shared" si="33"/>
        <v>1</v>
      </c>
    </row>
    <row r="125" spans="1:18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5">
        <f t="shared" si="33"/>
        <v>0</v>
      </c>
    </row>
    <row r="126" spans="1:18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5">
        <f t="shared" si="33"/>
        <v>1</v>
      </c>
    </row>
    <row r="127" spans="1:18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1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5">
        <f t="shared" si="33"/>
        <v>1</v>
      </c>
    </row>
    <row r="128" spans="1:18" x14ac:dyDescent="0.4">
      <c r="A128" s="6" t="s">
        <v>26</v>
      </c>
      <c r="B128" s="74" t="s">
        <v>51</v>
      </c>
      <c r="C128" s="84"/>
      <c r="D128" s="85"/>
      <c r="E128" s="6">
        <f t="shared" ref="E128:R128" si="34">SUM(E118:E127)</f>
        <v>20</v>
      </c>
      <c r="F128" s="6">
        <f t="shared" si="34"/>
        <v>2</v>
      </c>
      <c r="G128" s="6">
        <f t="shared" si="34"/>
        <v>7</v>
      </c>
      <c r="H128" s="6">
        <f t="shared" si="34"/>
        <v>5</v>
      </c>
      <c r="I128" s="6">
        <f t="shared" si="34"/>
        <v>0</v>
      </c>
      <c r="J128" s="6">
        <f t="shared" si="34"/>
        <v>5</v>
      </c>
      <c r="K128" s="6">
        <f t="shared" si="34"/>
        <v>10</v>
      </c>
      <c r="L128" s="6">
        <f t="shared" si="34"/>
        <v>3</v>
      </c>
      <c r="M128" s="6">
        <f t="shared" si="34"/>
        <v>2</v>
      </c>
      <c r="N128" s="6">
        <f t="shared" si="34"/>
        <v>3</v>
      </c>
      <c r="O128" s="6">
        <f t="shared" si="34"/>
        <v>2</v>
      </c>
      <c r="P128" s="6">
        <f t="shared" si="34"/>
        <v>3</v>
      </c>
      <c r="Q128" s="6">
        <f t="shared" si="34"/>
        <v>6</v>
      </c>
      <c r="R128" s="6">
        <f t="shared" si="34"/>
        <v>68</v>
      </c>
    </row>
    <row r="129" spans="1:18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0</v>
      </c>
      <c r="Q130" s="6">
        <v>0</v>
      </c>
      <c r="R130" s="5">
        <f t="shared" ref="R130:R133" si="35">SUM(E130:Q130)</f>
        <v>2</v>
      </c>
    </row>
    <row r="131" spans="1:18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5">
        <f t="shared" si="35"/>
        <v>0</v>
      </c>
    </row>
    <row r="132" spans="1:18" x14ac:dyDescent="0.4">
      <c r="A132" s="7"/>
      <c r="B132" s="47"/>
      <c r="C132" s="24" t="s">
        <v>172</v>
      </c>
      <c r="D132" s="45"/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5">
        <f t="shared" si="35"/>
        <v>1</v>
      </c>
    </row>
    <row r="133" spans="1:18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5">
        <f t="shared" si="35"/>
        <v>0</v>
      </c>
    </row>
    <row r="134" spans="1:18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R134" si="36">SUM(E130:E133)</f>
        <v>1</v>
      </c>
      <c r="F134" s="6">
        <f t="shared" si="36"/>
        <v>0</v>
      </c>
      <c r="G134" s="6">
        <f t="shared" si="36"/>
        <v>0</v>
      </c>
      <c r="H134" s="6">
        <f t="shared" si="36"/>
        <v>0</v>
      </c>
      <c r="I134" s="6">
        <f t="shared" si="36"/>
        <v>1</v>
      </c>
      <c r="J134" s="6">
        <f t="shared" si="36"/>
        <v>0</v>
      </c>
      <c r="K134" s="6">
        <f t="shared" si="36"/>
        <v>0</v>
      </c>
      <c r="L134" s="6">
        <f t="shared" si="36"/>
        <v>0</v>
      </c>
      <c r="M134" s="6">
        <f t="shared" si="36"/>
        <v>0</v>
      </c>
      <c r="N134" s="6">
        <f t="shared" si="36"/>
        <v>0</v>
      </c>
      <c r="O134" s="6">
        <f t="shared" si="36"/>
        <v>1</v>
      </c>
      <c r="P134" s="6">
        <f t="shared" si="36"/>
        <v>0</v>
      </c>
      <c r="Q134" s="6">
        <f t="shared" si="36"/>
        <v>0</v>
      </c>
      <c r="R134" s="6">
        <f t="shared" si="36"/>
        <v>3</v>
      </c>
    </row>
    <row r="135" spans="1:18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5"/>
    </row>
    <row r="136" spans="1:18" x14ac:dyDescent="0.4">
      <c r="A136" s="11" t="s">
        <v>48</v>
      </c>
      <c r="B136" s="44" t="s">
        <v>65</v>
      </c>
      <c r="C136" s="87" t="s">
        <v>66</v>
      </c>
      <c r="D136" s="63"/>
      <c r="E136" s="6">
        <v>0</v>
      </c>
      <c r="F136" s="6">
        <v>0</v>
      </c>
      <c r="G136" s="6">
        <v>0</v>
      </c>
      <c r="H136" s="6">
        <v>0</v>
      </c>
      <c r="I136" s="6">
        <v>1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6">
        <v>3</v>
      </c>
      <c r="P136" s="6">
        <v>0</v>
      </c>
      <c r="Q136" s="6">
        <v>0</v>
      </c>
      <c r="R136" s="5">
        <f t="shared" ref="R136:R143" si="37">SUM(E136:Q136)</f>
        <v>5</v>
      </c>
    </row>
    <row r="137" spans="1:18" x14ac:dyDescent="0.4">
      <c r="A137" s="49" t="s">
        <v>50</v>
      </c>
      <c r="B137" s="51"/>
      <c r="C137" s="24" t="s">
        <v>174</v>
      </c>
      <c r="D137" s="52"/>
      <c r="E137" s="50">
        <v>0</v>
      </c>
      <c r="F137" s="6">
        <v>1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4</v>
      </c>
      <c r="O137" s="6">
        <v>2</v>
      </c>
      <c r="P137" s="6">
        <v>0</v>
      </c>
      <c r="Q137" s="6">
        <v>1</v>
      </c>
      <c r="R137" s="5">
        <f t="shared" si="37"/>
        <v>8</v>
      </c>
    </row>
    <row r="138" spans="1:18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5">
        <f t="shared" si="37"/>
        <v>0</v>
      </c>
    </row>
    <row r="139" spans="1:18" x14ac:dyDescent="0.4">
      <c r="A139" s="7"/>
      <c r="B139" s="51"/>
      <c r="C139" s="24" t="s">
        <v>176</v>
      </c>
      <c r="D139" s="52"/>
      <c r="E139" s="50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1</v>
      </c>
      <c r="R139" s="5">
        <f t="shared" si="37"/>
        <v>1</v>
      </c>
    </row>
    <row r="140" spans="1:18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5">
        <f t="shared" si="37"/>
        <v>0</v>
      </c>
    </row>
    <row r="141" spans="1:18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5">
        <f t="shared" si="37"/>
        <v>0</v>
      </c>
    </row>
    <row r="142" spans="1:18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5">
        <f t="shared" si="37"/>
        <v>0</v>
      </c>
    </row>
    <row r="143" spans="1:18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5">
        <f t="shared" si="37"/>
        <v>0</v>
      </c>
    </row>
    <row r="144" spans="1:18" x14ac:dyDescent="0.4">
      <c r="A144" s="6" t="s">
        <v>26</v>
      </c>
      <c r="B144" s="88" t="s">
        <v>51</v>
      </c>
      <c r="C144" s="89"/>
      <c r="D144" s="90"/>
      <c r="E144" s="6">
        <f t="shared" ref="E144:R144" si="38">SUM(E136:E143)</f>
        <v>0</v>
      </c>
      <c r="F144" s="6">
        <f t="shared" si="38"/>
        <v>1</v>
      </c>
      <c r="G144" s="6">
        <f t="shared" si="38"/>
        <v>0</v>
      </c>
      <c r="H144" s="6">
        <f t="shared" si="38"/>
        <v>0</v>
      </c>
      <c r="I144" s="6">
        <f t="shared" si="38"/>
        <v>1</v>
      </c>
      <c r="J144" s="6">
        <f t="shared" si="38"/>
        <v>0</v>
      </c>
      <c r="K144" s="6">
        <f t="shared" si="38"/>
        <v>0</v>
      </c>
      <c r="L144" s="6">
        <f t="shared" si="38"/>
        <v>1</v>
      </c>
      <c r="M144" s="6">
        <f t="shared" si="38"/>
        <v>0</v>
      </c>
      <c r="N144" s="6">
        <f t="shared" si="38"/>
        <v>4</v>
      </c>
      <c r="O144" s="6">
        <f t="shared" si="38"/>
        <v>5</v>
      </c>
      <c r="P144" s="6">
        <f t="shared" si="38"/>
        <v>0</v>
      </c>
      <c r="Q144" s="6">
        <f t="shared" si="38"/>
        <v>2</v>
      </c>
      <c r="R144" s="6">
        <f t="shared" si="38"/>
        <v>14</v>
      </c>
    </row>
    <row r="145" spans="1:18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1</v>
      </c>
      <c r="F146" s="6">
        <v>0</v>
      </c>
      <c r="G146" s="6">
        <v>1</v>
      </c>
      <c r="H146" s="6">
        <v>0</v>
      </c>
      <c r="I146" s="6">
        <v>0</v>
      </c>
      <c r="J146" s="6">
        <v>0</v>
      </c>
      <c r="K146" s="6">
        <v>0</v>
      </c>
      <c r="L146" s="6">
        <v>1</v>
      </c>
      <c r="M146" s="6">
        <v>0</v>
      </c>
      <c r="N146" s="6">
        <v>0</v>
      </c>
      <c r="O146" s="6">
        <v>1</v>
      </c>
      <c r="P146" s="6">
        <v>1</v>
      </c>
      <c r="Q146" s="6">
        <v>0</v>
      </c>
      <c r="R146" s="5">
        <f t="shared" ref="R146:R147" si="39">SUM(E146:Q146)</f>
        <v>5</v>
      </c>
    </row>
    <row r="147" spans="1:18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0</v>
      </c>
      <c r="G147" s="6">
        <v>0</v>
      </c>
      <c r="H147" s="6">
        <v>0</v>
      </c>
      <c r="I147" s="6">
        <v>1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2</v>
      </c>
      <c r="P147" s="6">
        <v>1</v>
      </c>
      <c r="Q147" s="6">
        <v>0</v>
      </c>
      <c r="R147" s="5">
        <f t="shared" si="39"/>
        <v>4</v>
      </c>
    </row>
    <row r="148" spans="1:18" x14ac:dyDescent="0.4">
      <c r="A148" s="6" t="s">
        <v>26</v>
      </c>
      <c r="B148" s="74" t="s">
        <v>51</v>
      </c>
      <c r="C148" s="84"/>
      <c r="D148" s="85"/>
      <c r="E148" s="6">
        <f t="shared" ref="E148:R148" si="40">SUM(E146:E147)</f>
        <v>1</v>
      </c>
      <c r="F148" s="6">
        <f t="shared" si="40"/>
        <v>0</v>
      </c>
      <c r="G148" s="6">
        <f t="shared" si="40"/>
        <v>1</v>
      </c>
      <c r="H148" s="6">
        <f t="shared" si="40"/>
        <v>0</v>
      </c>
      <c r="I148" s="6">
        <f t="shared" si="40"/>
        <v>1</v>
      </c>
      <c r="J148" s="6">
        <f t="shared" si="40"/>
        <v>0</v>
      </c>
      <c r="K148" s="6">
        <f t="shared" si="40"/>
        <v>0</v>
      </c>
      <c r="L148" s="6">
        <f t="shared" si="40"/>
        <v>1</v>
      </c>
      <c r="M148" s="6">
        <f t="shared" si="40"/>
        <v>0</v>
      </c>
      <c r="N148" s="6">
        <f t="shared" si="40"/>
        <v>0</v>
      </c>
      <c r="O148" s="6">
        <f t="shared" si="40"/>
        <v>3</v>
      </c>
      <c r="P148" s="6">
        <f t="shared" si="40"/>
        <v>2</v>
      </c>
      <c r="Q148" s="6">
        <f t="shared" si="40"/>
        <v>0</v>
      </c>
      <c r="R148" s="6">
        <f t="shared" si="40"/>
        <v>9</v>
      </c>
    </row>
    <row r="149" spans="1:18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x14ac:dyDescent="0.4">
      <c r="A150" s="11" t="s">
        <v>48</v>
      </c>
      <c r="B150" s="17" t="s">
        <v>69</v>
      </c>
      <c r="C150" s="83" t="s">
        <v>70</v>
      </c>
      <c r="D150" s="55"/>
      <c r="E150" s="6">
        <v>0</v>
      </c>
      <c r="F150" s="6">
        <v>1</v>
      </c>
      <c r="G150" s="6">
        <v>1</v>
      </c>
      <c r="H150" s="6">
        <v>0</v>
      </c>
      <c r="I150" s="6">
        <v>0</v>
      </c>
      <c r="J150" s="6">
        <v>0</v>
      </c>
      <c r="K150" s="6">
        <v>5</v>
      </c>
      <c r="L150" s="6">
        <v>0</v>
      </c>
      <c r="M150" s="6">
        <v>0</v>
      </c>
      <c r="N150" s="6">
        <v>0</v>
      </c>
      <c r="O150" s="6">
        <v>0</v>
      </c>
      <c r="P150" s="6">
        <v>1</v>
      </c>
      <c r="Q150" s="6">
        <v>0</v>
      </c>
      <c r="R150" s="5">
        <f t="shared" ref="R150:R159" si="41">SUM(E150:Q150)</f>
        <v>8</v>
      </c>
    </row>
    <row r="151" spans="1:18" x14ac:dyDescent="0.4">
      <c r="A151" s="11" t="s">
        <v>50</v>
      </c>
      <c r="B151" s="47"/>
      <c r="C151" s="24" t="s">
        <v>182</v>
      </c>
      <c r="D151" s="45"/>
      <c r="E151" s="6">
        <v>2</v>
      </c>
      <c r="F151" s="6">
        <v>2</v>
      </c>
      <c r="G151" s="6">
        <v>2</v>
      </c>
      <c r="H151" s="6">
        <v>2</v>
      </c>
      <c r="I151" s="6">
        <v>2</v>
      </c>
      <c r="J151" s="6">
        <v>0</v>
      </c>
      <c r="K151" s="6">
        <v>3</v>
      </c>
      <c r="L151" s="6">
        <v>0</v>
      </c>
      <c r="M151" s="6">
        <v>0</v>
      </c>
      <c r="N151" s="6">
        <v>1</v>
      </c>
      <c r="O151" s="6">
        <v>0</v>
      </c>
      <c r="P151" s="6">
        <v>2</v>
      </c>
      <c r="Q151" s="6">
        <v>0</v>
      </c>
      <c r="R151" s="5">
        <f t="shared" si="41"/>
        <v>16</v>
      </c>
    </row>
    <row r="152" spans="1:18" x14ac:dyDescent="0.4">
      <c r="A152" s="7"/>
      <c r="B152" s="47"/>
      <c r="C152" s="24" t="s">
        <v>183</v>
      </c>
      <c r="D152" s="45"/>
      <c r="E152" s="6">
        <v>0</v>
      </c>
      <c r="F152" s="6">
        <v>1</v>
      </c>
      <c r="G152" s="6">
        <v>0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1</v>
      </c>
      <c r="R152" s="5">
        <f t="shared" si="41"/>
        <v>3</v>
      </c>
    </row>
    <row r="153" spans="1:18" x14ac:dyDescent="0.4">
      <c r="A153" s="7"/>
      <c r="B153" s="47"/>
      <c r="C153" s="24" t="s">
        <v>184</v>
      </c>
      <c r="D153" s="45"/>
      <c r="E153" s="6">
        <v>0</v>
      </c>
      <c r="F153" s="6">
        <v>2</v>
      </c>
      <c r="G153" s="6">
        <v>1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5">
        <f t="shared" si="41"/>
        <v>5</v>
      </c>
    </row>
    <row r="154" spans="1:18" x14ac:dyDescent="0.4">
      <c r="A154" s="7"/>
      <c r="B154" s="47"/>
      <c r="C154" s="24" t="s">
        <v>185</v>
      </c>
      <c r="D154" s="45"/>
      <c r="E154" s="6">
        <v>0</v>
      </c>
      <c r="F154" s="6">
        <v>0</v>
      </c>
      <c r="G154" s="6">
        <v>0</v>
      </c>
      <c r="H154" s="6">
        <v>2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5">
        <f t="shared" si="41"/>
        <v>2</v>
      </c>
    </row>
    <row r="155" spans="1:18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5">
        <f t="shared" si="41"/>
        <v>0</v>
      </c>
    </row>
    <row r="156" spans="1:18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5">
        <f t="shared" si="41"/>
        <v>0</v>
      </c>
    </row>
    <row r="157" spans="1:18" x14ac:dyDescent="0.4">
      <c r="A157" s="7"/>
      <c r="B157" s="47"/>
      <c r="C157" s="24" t="s">
        <v>188</v>
      </c>
      <c r="D157" s="45"/>
      <c r="E157" s="6">
        <v>0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5">
        <f t="shared" si="41"/>
        <v>1</v>
      </c>
    </row>
    <row r="158" spans="1:18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5">
        <f t="shared" si="41"/>
        <v>0</v>
      </c>
    </row>
    <row r="159" spans="1:18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5">
        <f t="shared" si="41"/>
        <v>0</v>
      </c>
    </row>
    <row r="160" spans="1:18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:Q160" si="42">SUM(E150:E159)</f>
        <v>2</v>
      </c>
      <c r="F160" s="6">
        <f t="shared" si="42"/>
        <v>7</v>
      </c>
      <c r="G160" s="6">
        <f t="shared" si="42"/>
        <v>4</v>
      </c>
      <c r="H160" s="6">
        <f t="shared" si="42"/>
        <v>4</v>
      </c>
      <c r="I160" s="6">
        <f t="shared" si="42"/>
        <v>2</v>
      </c>
      <c r="J160" s="6">
        <f t="shared" si="42"/>
        <v>0</v>
      </c>
      <c r="K160" s="6">
        <f t="shared" si="42"/>
        <v>10</v>
      </c>
      <c r="L160" s="6">
        <f t="shared" si="42"/>
        <v>0</v>
      </c>
      <c r="M160" s="6">
        <f t="shared" si="42"/>
        <v>1</v>
      </c>
      <c r="N160" s="6">
        <f t="shared" si="42"/>
        <v>1</v>
      </c>
      <c r="O160" s="6">
        <f t="shared" si="42"/>
        <v>0</v>
      </c>
      <c r="P160" s="6">
        <f t="shared" si="42"/>
        <v>3</v>
      </c>
      <c r="Q160" s="6">
        <f t="shared" si="42"/>
        <v>1</v>
      </c>
      <c r="R160" s="6">
        <f t="shared" ref="R160" si="43">SUM(R150:R159)</f>
        <v>35</v>
      </c>
    </row>
    <row r="161" spans="1:18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R161" s="5"/>
    </row>
    <row r="162" spans="1:18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1</v>
      </c>
      <c r="G162" s="6">
        <v>0</v>
      </c>
      <c r="H162" s="6">
        <v>3</v>
      </c>
      <c r="I162" s="6">
        <v>2</v>
      </c>
      <c r="J162" s="6">
        <v>0</v>
      </c>
      <c r="K162" s="6">
        <v>1</v>
      </c>
      <c r="L162" s="6">
        <v>2</v>
      </c>
      <c r="M162" s="6">
        <v>2</v>
      </c>
      <c r="N162" s="6">
        <v>0</v>
      </c>
      <c r="O162" s="6">
        <v>2</v>
      </c>
      <c r="P162" s="6">
        <v>0</v>
      </c>
      <c r="Q162" s="6">
        <v>0</v>
      </c>
      <c r="R162" s="5">
        <f t="shared" ref="R162:R171" si="44">SUM(E162:Q162)</f>
        <v>13</v>
      </c>
    </row>
    <row r="163" spans="1:18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1</v>
      </c>
      <c r="G163" s="6">
        <v>2</v>
      </c>
      <c r="H163" s="6">
        <v>2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0</v>
      </c>
      <c r="R163" s="5">
        <f t="shared" si="44"/>
        <v>6</v>
      </c>
    </row>
    <row r="164" spans="1:18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5">
        <f t="shared" si="44"/>
        <v>1</v>
      </c>
    </row>
    <row r="165" spans="1:18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5">
        <f t="shared" si="44"/>
        <v>0</v>
      </c>
    </row>
    <row r="166" spans="1:18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5">
        <f t="shared" si="44"/>
        <v>0</v>
      </c>
    </row>
    <row r="167" spans="1:18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5">
        <f t="shared" si="44"/>
        <v>0</v>
      </c>
    </row>
    <row r="168" spans="1:18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5">
        <f t="shared" si="44"/>
        <v>0</v>
      </c>
    </row>
    <row r="169" spans="1:18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5">
        <f t="shared" si="44"/>
        <v>0</v>
      </c>
    </row>
    <row r="170" spans="1:18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5">
        <f t="shared" si="44"/>
        <v>0</v>
      </c>
    </row>
    <row r="171" spans="1:18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5">
        <f t="shared" si="44"/>
        <v>0</v>
      </c>
    </row>
    <row r="172" spans="1:18" x14ac:dyDescent="0.4">
      <c r="A172" s="6" t="s">
        <v>26</v>
      </c>
      <c r="B172" s="74" t="s">
        <v>51</v>
      </c>
      <c r="C172" s="84"/>
      <c r="D172" s="85"/>
      <c r="E172" s="6">
        <f t="shared" ref="E172:Q172" si="45">SUM(E162:E171)</f>
        <v>0</v>
      </c>
      <c r="F172" s="6">
        <f t="shared" si="45"/>
        <v>2</v>
      </c>
      <c r="G172" s="6">
        <f t="shared" si="45"/>
        <v>2</v>
      </c>
      <c r="H172" s="6">
        <f t="shared" si="45"/>
        <v>5</v>
      </c>
      <c r="I172" s="6">
        <f t="shared" si="45"/>
        <v>2</v>
      </c>
      <c r="J172" s="6">
        <f t="shared" si="45"/>
        <v>0</v>
      </c>
      <c r="K172" s="6">
        <f t="shared" si="45"/>
        <v>2</v>
      </c>
      <c r="L172" s="6">
        <f t="shared" si="45"/>
        <v>2</v>
      </c>
      <c r="M172" s="6">
        <f t="shared" si="45"/>
        <v>2</v>
      </c>
      <c r="N172" s="6">
        <f t="shared" si="45"/>
        <v>0</v>
      </c>
      <c r="O172" s="6">
        <f t="shared" si="45"/>
        <v>2</v>
      </c>
      <c r="P172" s="6">
        <f t="shared" si="45"/>
        <v>1</v>
      </c>
      <c r="Q172" s="6">
        <f t="shared" si="45"/>
        <v>0</v>
      </c>
      <c r="R172" s="6">
        <f t="shared" ref="R172" si="46">SUM(R162:R171)</f>
        <v>20</v>
      </c>
    </row>
    <row r="173" spans="1:18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x14ac:dyDescent="0.4">
      <c r="A174" s="11" t="s">
        <v>48</v>
      </c>
      <c r="B174" s="17" t="s">
        <v>73</v>
      </c>
      <c r="C174" s="83" t="s">
        <v>74</v>
      </c>
      <c r="D174" s="55"/>
      <c r="E174" s="6">
        <v>1</v>
      </c>
      <c r="F174" s="6">
        <v>1</v>
      </c>
      <c r="G174" s="6">
        <v>1</v>
      </c>
      <c r="H174" s="6">
        <v>2</v>
      </c>
      <c r="I174" s="6">
        <v>1</v>
      </c>
      <c r="J174" s="6">
        <v>0</v>
      </c>
      <c r="K174" s="6">
        <v>0</v>
      </c>
      <c r="L174" s="6">
        <v>1</v>
      </c>
      <c r="M174" s="6">
        <v>0</v>
      </c>
      <c r="N174" s="6">
        <v>2</v>
      </c>
      <c r="O174" s="6">
        <v>3</v>
      </c>
      <c r="P174" s="6">
        <v>1</v>
      </c>
      <c r="Q174" s="6">
        <v>0</v>
      </c>
      <c r="R174" s="5">
        <f t="shared" ref="R174:R183" si="47">SUM(E174:Q174)</f>
        <v>13</v>
      </c>
    </row>
    <row r="175" spans="1:18" x14ac:dyDescent="0.4">
      <c r="A175" s="11" t="s">
        <v>50</v>
      </c>
      <c r="B175" s="47"/>
      <c r="C175" s="24" t="s">
        <v>200</v>
      </c>
      <c r="D175" s="45"/>
      <c r="E175" s="6">
        <v>1</v>
      </c>
      <c r="F175" s="6">
        <v>3</v>
      </c>
      <c r="G175" s="6">
        <v>1</v>
      </c>
      <c r="H175" s="6">
        <v>1</v>
      </c>
      <c r="I175" s="6">
        <v>2</v>
      </c>
      <c r="J175" s="6">
        <v>0</v>
      </c>
      <c r="K175" s="6">
        <v>1</v>
      </c>
      <c r="L175" s="6">
        <v>1</v>
      </c>
      <c r="M175" s="6">
        <v>1</v>
      </c>
      <c r="N175" s="6">
        <v>1</v>
      </c>
      <c r="O175" s="6">
        <v>0</v>
      </c>
      <c r="P175" s="6">
        <v>1</v>
      </c>
      <c r="Q175" s="6">
        <v>2</v>
      </c>
      <c r="R175" s="5">
        <f t="shared" si="47"/>
        <v>15</v>
      </c>
    </row>
    <row r="176" spans="1:18" x14ac:dyDescent="0.4">
      <c r="A176" s="7"/>
      <c r="B176" s="47"/>
      <c r="C176" s="24" t="s">
        <v>201</v>
      </c>
      <c r="D176" s="45"/>
      <c r="E176" s="6">
        <v>3</v>
      </c>
      <c r="F176" s="6">
        <v>2</v>
      </c>
      <c r="G176" s="6">
        <v>1</v>
      </c>
      <c r="H176" s="6">
        <v>3</v>
      </c>
      <c r="I176" s="6">
        <v>4</v>
      </c>
      <c r="J176" s="6">
        <v>1</v>
      </c>
      <c r="K176" s="6">
        <v>5</v>
      </c>
      <c r="L176" s="6">
        <v>3</v>
      </c>
      <c r="M176" s="6">
        <v>2</v>
      </c>
      <c r="N176" s="6">
        <v>1</v>
      </c>
      <c r="O176" s="6">
        <v>0</v>
      </c>
      <c r="P176" s="6">
        <v>0</v>
      </c>
      <c r="Q176" s="6">
        <v>1</v>
      </c>
      <c r="R176" s="5">
        <f t="shared" si="47"/>
        <v>26</v>
      </c>
    </row>
    <row r="177" spans="1:18" x14ac:dyDescent="0.4">
      <c r="A177" s="7"/>
      <c r="B177" s="47"/>
      <c r="C177" s="24" t="s">
        <v>202</v>
      </c>
      <c r="D177" s="45"/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5">
        <f t="shared" si="47"/>
        <v>1</v>
      </c>
    </row>
    <row r="178" spans="1:18" x14ac:dyDescent="0.4">
      <c r="A178" s="7"/>
      <c r="B178" s="47"/>
      <c r="C178" s="24" t="s">
        <v>203</v>
      </c>
      <c r="D178" s="45"/>
      <c r="E178" s="6">
        <v>0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0</v>
      </c>
      <c r="O178" s="6">
        <v>2</v>
      </c>
      <c r="P178" s="6">
        <v>0</v>
      </c>
      <c r="Q178" s="6">
        <v>0</v>
      </c>
      <c r="R178" s="5">
        <f t="shared" si="47"/>
        <v>4</v>
      </c>
    </row>
    <row r="179" spans="1:18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1</v>
      </c>
      <c r="P179" s="6">
        <v>0</v>
      </c>
      <c r="Q179" s="6">
        <v>0</v>
      </c>
      <c r="R179" s="5">
        <f t="shared" si="47"/>
        <v>1</v>
      </c>
    </row>
    <row r="180" spans="1:18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1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5">
        <f t="shared" si="47"/>
        <v>2</v>
      </c>
    </row>
    <row r="181" spans="1:18" x14ac:dyDescent="0.4">
      <c r="A181" s="7"/>
      <c r="B181" s="47"/>
      <c r="C181" s="24" t="s">
        <v>206</v>
      </c>
      <c r="D181" s="45"/>
      <c r="E181" s="6">
        <v>0</v>
      </c>
      <c r="F181" s="6">
        <v>1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5">
        <f t="shared" si="47"/>
        <v>4</v>
      </c>
    </row>
    <row r="182" spans="1:18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5">
        <f t="shared" si="47"/>
        <v>0</v>
      </c>
    </row>
    <row r="183" spans="1:18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5">
        <f t="shared" si="47"/>
        <v>0</v>
      </c>
    </row>
    <row r="184" spans="1:18" x14ac:dyDescent="0.4">
      <c r="A184" s="6" t="s">
        <v>26</v>
      </c>
      <c r="B184" s="74" t="s">
        <v>51</v>
      </c>
      <c r="C184" s="84"/>
      <c r="D184" s="85"/>
      <c r="E184" s="6">
        <f t="shared" ref="E184:Q184" si="48">SUM(E174:E183)</f>
        <v>6</v>
      </c>
      <c r="F184" s="6">
        <f t="shared" si="48"/>
        <v>8</v>
      </c>
      <c r="G184" s="6">
        <f t="shared" si="48"/>
        <v>5</v>
      </c>
      <c r="H184" s="6">
        <f t="shared" si="48"/>
        <v>8</v>
      </c>
      <c r="I184" s="6">
        <f t="shared" si="48"/>
        <v>7</v>
      </c>
      <c r="J184" s="6">
        <f t="shared" si="48"/>
        <v>1</v>
      </c>
      <c r="K184" s="6">
        <f t="shared" si="48"/>
        <v>7</v>
      </c>
      <c r="L184" s="6">
        <f t="shared" si="48"/>
        <v>5</v>
      </c>
      <c r="M184" s="6">
        <f t="shared" si="48"/>
        <v>3</v>
      </c>
      <c r="N184" s="6">
        <f t="shared" si="48"/>
        <v>4</v>
      </c>
      <c r="O184" s="6">
        <f t="shared" si="48"/>
        <v>6</v>
      </c>
      <c r="P184" s="6">
        <f t="shared" si="48"/>
        <v>3</v>
      </c>
      <c r="Q184" s="6">
        <f t="shared" si="48"/>
        <v>3</v>
      </c>
      <c r="R184" s="6">
        <f t="shared" ref="R184" si="49">SUM(R174:R183)</f>
        <v>66</v>
      </c>
    </row>
    <row r="185" spans="1:18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x14ac:dyDescent="0.4">
      <c r="A186" s="11" t="s">
        <v>48</v>
      </c>
      <c r="B186" s="17" t="s">
        <v>75</v>
      </c>
      <c r="C186" s="83" t="s">
        <v>76</v>
      </c>
      <c r="D186" s="55"/>
      <c r="E186" s="6">
        <v>2</v>
      </c>
      <c r="F186" s="6">
        <v>1</v>
      </c>
      <c r="G186" s="6">
        <v>1</v>
      </c>
      <c r="H186" s="6">
        <v>4</v>
      </c>
      <c r="I186" s="6">
        <v>0</v>
      </c>
      <c r="J186" s="6">
        <v>0</v>
      </c>
      <c r="K186" s="6">
        <v>3</v>
      </c>
      <c r="L186" s="6">
        <v>4</v>
      </c>
      <c r="M186" s="6">
        <v>1</v>
      </c>
      <c r="N186" s="6">
        <v>2</v>
      </c>
      <c r="O186" s="6">
        <v>1</v>
      </c>
      <c r="P186" s="6">
        <v>0</v>
      </c>
      <c r="Q186" s="6">
        <v>1</v>
      </c>
      <c r="R186" s="5">
        <f t="shared" ref="R186:R189" si="50">SUM(E186:Q186)</f>
        <v>20</v>
      </c>
    </row>
    <row r="187" spans="1:18" x14ac:dyDescent="0.4">
      <c r="A187" s="11" t="s">
        <v>50</v>
      </c>
      <c r="B187" s="47"/>
      <c r="C187" s="24" t="s">
        <v>209</v>
      </c>
      <c r="D187" s="48"/>
      <c r="E187" s="6">
        <v>2</v>
      </c>
      <c r="F187" s="6">
        <v>1</v>
      </c>
      <c r="G187" s="6">
        <v>1</v>
      </c>
      <c r="H187" s="6">
        <v>3</v>
      </c>
      <c r="I187" s="6">
        <v>4</v>
      </c>
      <c r="J187" s="6">
        <v>0</v>
      </c>
      <c r="K187" s="6">
        <v>4</v>
      </c>
      <c r="L187" s="6">
        <v>10</v>
      </c>
      <c r="M187" s="6">
        <v>0</v>
      </c>
      <c r="N187" s="6">
        <v>3</v>
      </c>
      <c r="O187" s="6">
        <v>1</v>
      </c>
      <c r="P187" s="6">
        <v>1</v>
      </c>
      <c r="Q187" s="6">
        <v>0</v>
      </c>
      <c r="R187" s="5">
        <f t="shared" si="50"/>
        <v>30</v>
      </c>
    </row>
    <row r="188" spans="1:18" x14ac:dyDescent="0.4">
      <c r="A188" s="7"/>
      <c r="B188" s="47"/>
      <c r="C188" s="24" t="s">
        <v>210</v>
      </c>
      <c r="D188" s="48"/>
      <c r="E188" s="6">
        <v>1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6">
        <v>2</v>
      </c>
      <c r="N188" s="6">
        <v>0</v>
      </c>
      <c r="O188" s="6">
        <v>0</v>
      </c>
      <c r="P188" s="6">
        <v>0</v>
      </c>
      <c r="Q188" s="6">
        <v>1</v>
      </c>
      <c r="R188" s="5">
        <f t="shared" si="50"/>
        <v>5</v>
      </c>
    </row>
    <row r="189" spans="1:18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/>
      <c r="Q189" s="6"/>
      <c r="R189" s="5">
        <f t="shared" si="50"/>
        <v>1</v>
      </c>
    </row>
    <row r="190" spans="1:18" x14ac:dyDescent="0.4">
      <c r="A190" s="6" t="s">
        <v>26</v>
      </c>
      <c r="B190" s="74" t="s">
        <v>51</v>
      </c>
      <c r="C190" s="84"/>
      <c r="D190" s="85"/>
      <c r="E190" s="6">
        <f t="shared" ref="E190:R190" si="51">SUM(E186:E189)</f>
        <v>5</v>
      </c>
      <c r="F190" s="6">
        <f t="shared" si="51"/>
        <v>2</v>
      </c>
      <c r="G190" s="6">
        <f t="shared" si="51"/>
        <v>2</v>
      </c>
      <c r="H190" s="6">
        <f t="shared" si="51"/>
        <v>7</v>
      </c>
      <c r="I190" s="6">
        <f t="shared" si="51"/>
        <v>4</v>
      </c>
      <c r="J190" s="6">
        <f t="shared" si="51"/>
        <v>0</v>
      </c>
      <c r="K190" s="6">
        <f t="shared" si="51"/>
        <v>8</v>
      </c>
      <c r="L190" s="6">
        <f t="shared" si="51"/>
        <v>14</v>
      </c>
      <c r="M190" s="6">
        <f t="shared" si="51"/>
        <v>3</v>
      </c>
      <c r="N190" s="6">
        <f t="shared" si="51"/>
        <v>6</v>
      </c>
      <c r="O190" s="6">
        <f t="shared" si="51"/>
        <v>2</v>
      </c>
      <c r="P190" s="6">
        <f t="shared" si="51"/>
        <v>1</v>
      </c>
      <c r="Q190" s="6">
        <f t="shared" si="51"/>
        <v>2</v>
      </c>
      <c r="R190" s="6">
        <f t="shared" si="51"/>
        <v>56</v>
      </c>
    </row>
    <row r="191" spans="1:18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x14ac:dyDescent="0.4">
      <c r="A192" s="11" t="s">
        <v>48</v>
      </c>
      <c r="B192" s="17" t="s">
        <v>77</v>
      </c>
      <c r="C192" s="83" t="s">
        <v>78</v>
      </c>
      <c r="D192" s="55"/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5">
        <f t="shared" ref="R192:R196" si="52">SUM(E192:Q192)</f>
        <v>1</v>
      </c>
    </row>
    <row r="193" spans="1:18" x14ac:dyDescent="0.4">
      <c r="A193" s="11" t="s">
        <v>50</v>
      </c>
      <c r="B193" s="47"/>
      <c r="C193" s="24" t="s">
        <v>212</v>
      </c>
      <c r="D193" s="45"/>
      <c r="E193" s="6">
        <v>0</v>
      </c>
      <c r="F193" s="6">
        <v>0</v>
      </c>
      <c r="G193" s="6">
        <v>1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5">
        <f t="shared" si="52"/>
        <v>1</v>
      </c>
    </row>
    <row r="194" spans="1:18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5">
        <f t="shared" si="52"/>
        <v>1</v>
      </c>
    </row>
    <row r="195" spans="1:18" x14ac:dyDescent="0.4">
      <c r="A195" s="7"/>
      <c r="B195" s="47"/>
      <c r="C195" s="24" t="s">
        <v>214</v>
      </c>
      <c r="D195" s="45"/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5">
        <f t="shared" si="52"/>
        <v>1</v>
      </c>
    </row>
    <row r="196" spans="1:18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5">
        <f t="shared" si="52"/>
        <v>0</v>
      </c>
    </row>
    <row r="197" spans="1:18" x14ac:dyDescent="0.4">
      <c r="A197" s="6" t="s">
        <v>26</v>
      </c>
      <c r="B197" s="74" t="s">
        <v>51</v>
      </c>
      <c r="C197" s="84"/>
      <c r="D197" s="85"/>
      <c r="E197" s="6">
        <f t="shared" ref="E197:R197" si="53">SUM(E192:E196)</f>
        <v>2</v>
      </c>
      <c r="F197" s="6">
        <f t="shared" si="53"/>
        <v>0</v>
      </c>
      <c r="G197" s="6">
        <f t="shared" si="53"/>
        <v>1</v>
      </c>
      <c r="H197" s="6">
        <f t="shared" si="53"/>
        <v>0</v>
      </c>
      <c r="I197" s="6">
        <f t="shared" si="53"/>
        <v>0</v>
      </c>
      <c r="J197" s="6">
        <f t="shared" si="53"/>
        <v>0</v>
      </c>
      <c r="K197" s="6">
        <f t="shared" si="53"/>
        <v>0</v>
      </c>
      <c r="L197" s="6">
        <f t="shared" si="53"/>
        <v>0</v>
      </c>
      <c r="M197" s="6">
        <f t="shared" si="53"/>
        <v>0</v>
      </c>
      <c r="N197" s="6">
        <f t="shared" si="53"/>
        <v>0</v>
      </c>
      <c r="O197" s="6">
        <f t="shared" si="53"/>
        <v>0</v>
      </c>
      <c r="P197" s="6">
        <f t="shared" si="53"/>
        <v>0</v>
      </c>
      <c r="Q197" s="6">
        <f t="shared" si="53"/>
        <v>1</v>
      </c>
      <c r="R197" s="6">
        <f t="shared" si="53"/>
        <v>4</v>
      </c>
    </row>
    <row r="198" spans="1:18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x14ac:dyDescent="0.4">
      <c r="A199" s="11" t="s">
        <v>48</v>
      </c>
      <c r="B199" s="17" t="s">
        <v>79</v>
      </c>
      <c r="C199" s="83" t="s">
        <v>80</v>
      </c>
      <c r="D199" s="55"/>
      <c r="E199" s="6">
        <v>0</v>
      </c>
      <c r="F199" s="6">
        <v>2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5">
        <f t="shared" ref="R199:R208" si="54">SUM(E199:Q199)</f>
        <v>5</v>
      </c>
    </row>
    <row r="200" spans="1:18" x14ac:dyDescent="0.4">
      <c r="A200" s="11" t="s">
        <v>50</v>
      </c>
      <c r="B200" s="47"/>
      <c r="C200" s="24" t="s">
        <v>216</v>
      </c>
      <c r="D200" s="45"/>
      <c r="E200" s="6">
        <v>2</v>
      </c>
      <c r="F200" s="6">
        <v>1</v>
      </c>
      <c r="G200" s="6">
        <v>0</v>
      </c>
      <c r="H200" s="6">
        <v>2</v>
      </c>
      <c r="I200" s="6">
        <v>2</v>
      </c>
      <c r="J200" s="6">
        <v>0</v>
      </c>
      <c r="K200" s="6">
        <v>0</v>
      </c>
      <c r="L200" s="6">
        <v>1</v>
      </c>
      <c r="M200" s="6">
        <v>0</v>
      </c>
      <c r="N200" s="6">
        <v>1</v>
      </c>
      <c r="O200" s="6">
        <v>0</v>
      </c>
      <c r="P200" s="6">
        <v>3</v>
      </c>
      <c r="Q200" s="6">
        <v>1</v>
      </c>
      <c r="R200" s="5">
        <f t="shared" si="54"/>
        <v>13</v>
      </c>
    </row>
    <row r="201" spans="1:18" x14ac:dyDescent="0.4">
      <c r="A201" s="7"/>
      <c r="B201" s="47"/>
      <c r="C201" s="24" t="s">
        <v>217</v>
      </c>
      <c r="D201" s="45"/>
      <c r="E201" s="6">
        <v>0</v>
      </c>
      <c r="F201" s="6">
        <v>0</v>
      </c>
      <c r="G201" s="6">
        <v>0</v>
      </c>
      <c r="H201" s="6">
        <v>0</v>
      </c>
      <c r="I201" s="6">
        <v>3</v>
      </c>
      <c r="J201" s="6">
        <v>0</v>
      </c>
      <c r="K201" s="6">
        <v>0</v>
      </c>
      <c r="L201" s="6">
        <v>2</v>
      </c>
      <c r="M201" s="6">
        <v>1</v>
      </c>
      <c r="N201" s="6">
        <v>0</v>
      </c>
      <c r="O201" s="6">
        <v>0</v>
      </c>
      <c r="P201" s="6">
        <v>0</v>
      </c>
      <c r="Q201" s="6">
        <v>4</v>
      </c>
      <c r="R201" s="5">
        <f t="shared" si="54"/>
        <v>10</v>
      </c>
    </row>
    <row r="202" spans="1:18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5">
        <f t="shared" si="54"/>
        <v>0</v>
      </c>
    </row>
    <row r="203" spans="1:18" x14ac:dyDescent="0.4">
      <c r="A203" s="7"/>
      <c r="B203" s="47"/>
      <c r="C203" s="24" t="s">
        <v>219</v>
      </c>
      <c r="D203" s="45"/>
      <c r="E203" s="6">
        <v>0</v>
      </c>
      <c r="F203" s="6">
        <v>0</v>
      </c>
      <c r="G203" s="6">
        <v>1</v>
      </c>
      <c r="H203" s="6">
        <v>1</v>
      </c>
      <c r="I203" s="6">
        <v>0</v>
      </c>
      <c r="J203" s="6">
        <v>0</v>
      </c>
      <c r="K203" s="6">
        <v>0</v>
      </c>
      <c r="L203" s="6">
        <v>2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5">
        <f t="shared" si="54"/>
        <v>5</v>
      </c>
    </row>
    <row r="204" spans="1:18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2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5">
        <f t="shared" si="54"/>
        <v>2</v>
      </c>
    </row>
    <row r="205" spans="1:18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5">
        <f t="shared" si="54"/>
        <v>2</v>
      </c>
    </row>
    <row r="206" spans="1:18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5">
        <f t="shared" si="54"/>
        <v>0</v>
      </c>
    </row>
    <row r="207" spans="1:18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5">
        <f t="shared" si="54"/>
        <v>0</v>
      </c>
    </row>
    <row r="208" spans="1:18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5">
        <f t="shared" si="54"/>
        <v>0</v>
      </c>
    </row>
    <row r="209" spans="1:18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:Q209" si="55">SUM(E199:E208)</f>
        <v>2</v>
      </c>
      <c r="F209" s="6">
        <f t="shared" si="55"/>
        <v>3</v>
      </c>
      <c r="G209" s="6">
        <f t="shared" si="55"/>
        <v>1</v>
      </c>
      <c r="H209" s="6">
        <f t="shared" si="55"/>
        <v>3</v>
      </c>
      <c r="I209" s="6">
        <f t="shared" si="55"/>
        <v>5</v>
      </c>
      <c r="J209" s="6">
        <f t="shared" si="55"/>
        <v>1</v>
      </c>
      <c r="K209" s="6">
        <f t="shared" si="55"/>
        <v>3</v>
      </c>
      <c r="L209" s="6">
        <f t="shared" si="55"/>
        <v>6</v>
      </c>
      <c r="M209" s="6">
        <f t="shared" si="55"/>
        <v>1</v>
      </c>
      <c r="N209" s="6">
        <f t="shared" si="55"/>
        <v>1</v>
      </c>
      <c r="O209" s="6">
        <f t="shared" si="55"/>
        <v>0</v>
      </c>
      <c r="P209" s="6">
        <f t="shared" si="55"/>
        <v>4</v>
      </c>
      <c r="Q209" s="6">
        <f t="shared" si="55"/>
        <v>7</v>
      </c>
      <c r="R209" s="6">
        <f t="shared" ref="R209" si="56">SUM(R199:R208)</f>
        <v>37</v>
      </c>
    </row>
    <row r="210" spans="1:18" x14ac:dyDescent="0.4">
      <c r="A210" s="53"/>
      <c r="B210" s="75"/>
      <c r="C210" s="75"/>
      <c r="D210" s="75"/>
      <c r="E210" s="86"/>
    </row>
    <row r="211" spans="1:18" x14ac:dyDescent="0.4">
      <c r="A211" s="11" t="s">
        <v>48</v>
      </c>
      <c r="B211" s="17" t="s">
        <v>81</v>
      </c>
      <c r="C211" s="83" t="s">
        <v>82</v>
      </c>
      <c r="D211" s="55"/>
      <c r="E211" s="6">
        <v>1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5">
        <f t="shared" ref="R211:R214" si="57">SUM(E211:Q211)</f>
        <v>3</v>
      </c>
    </row>
    <row r="212" spans="1:18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5">
        <f t="shared" si="57"/>
        <v>2</v>
      </c>
    </row>
    <row r="213" spans="1:18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5">
        <f t="shared" si="57"/>
        <v>0</v>
      </c>
    </row>
    <row r="214" spans="1:18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5">
        <f t="shared" si="57"/>
        <v>0</v>
      </c>
    </row>
    <row r="215" spans="1:18" x14ac:dyDescent="0.4">
      <c r="A215" s="6" t="s">
        <v>26</v>
      </c>
      <c r="B215" s="74" t="s">
        <v>51</v>
      </c>
      <c r="C215" s="84"/>
      <c r="D215" s="85"/>
      <c r="E215" s="5">
        <f t="shared" ref="E215" si="58">SUM(E211:E214)</f>
        <v>1</v>
      </c>
      <c r="F215" s="5">
        <f t="shared" ref="F215" si="59">SUM(F211:F214)</f>
        <v>1</v>
      </c>
      <c r="G215" s="5">
        <f t="shared" ref="G215" si="60">SUM(G211:G214)</f>
        <v>0</v>
      </c>
      <c r="H215" s="5">
        <f t="shared" ref="H215" si="61">SUM(H211:H214)</f>
        <v>0</v>
      </c>
      <c r="I215" s="5">
        <f t="shared" ref="I215" si="62">SUM(I211:I214)</f>
        <v>0</v>
      </c>
      <c r="J215" s="5">
        <f t="shared" ref="J215" si="63">SUM(J211:J214)</f>
        <v>0</v>
      </c>
      <c r="K215" s="5">
        <f t="shared" ref="K215" si="64">SUM(K211:K214)</f>
        <v>1</v>
      </c>
      <c r="L215" s="5">
        <f t="shared" ref="L215" si="65">SUM(L211:L214)</f>
        <v>0</v>
      </c>
      <c r="M215" s="5">
        <f t="shared" ref="M215" si="66">SUM(M211:M214)</f>
        <v>0</v>
      </c>
      <c r="N215" s="5">
        <f t="shared" ref="N215" si="67">SUM(N211:N214)</f>
        <v>2</v>
      </c>
      <c r="O215" s="5">
        <f t="shared" ref="O215" si="68">SUM(O211:O214)</f>
        <v>0</v>
      </c>
      <c r="P215" s="5">
        <f t="shared" ref="P215" si="69">SUM(P211:P214)</f>
        <v>0</v>
      </c>
      <c r="Q215" s="5">
        <f t="shared" ref="Q215" si="70">SUM(Q211:Q214)</f>
        <v>0</v>
      </c>
      <c r="R215" s="5">
        <f t="shared" ref="F215:R215" si="71">SUM(R211:R214)</f>
        <v>5</v>
      </c>
    </row>
    <row r="217" spans="1:18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15"/>
      <c r="O217" s="5"/>
      <c r="P217" s="15"/>
      <c r="Q217" s="15"/>
      <c r="R217" s="5"/>
    </row>
    <row r="218" spans="1:18" x14ac:dyDescent="0.4">
      <c r="A218" s="16"/>
      <c r="B218" s="19" t="s">
        <v>85</v>
      </c>
      <c r="C218" s="91" t="s">
        <v>86</v>
      </c>
      <c r="D218" s="92"/>
      <c r="E218" s="6">
        <f t="shared" ref="E218:Q218" si="72">E55+E67+E79+E91+E103+E108+E116+E128+E134+E144+E148+E160+E172+E184+E190+E197+E209+E215</f>
        <v>173</v>
      </c>
      <c r="F218" s="6">
        <f t="shared" si="72"/>
        <v>164</v>
      </c>
      <c r="G218" s="6">
        <f t="shared" si="72"/>
        <v>176</v>
      </c>
      <c r="H218" s="6">
        <f t="shared" si="72"/>
        <v>146</v>
      </c>
      <c r="I218" s="6">
        <f t="shared" si="72"/>
        <v>141</v>
      </c>
      <c r="J218" s="6">
        <f t="shared" si="72"/>
        <v>164</v>
      </c>
      <c r="K218" s="6">
        <f t="shared" si="72"/>
        <v>209</v>
      </c>
      <c r="L218" s="6">
        <f t="shared" si="72"/>
        <v>222</v>
      </c>
      <c r="M218" s="6">
        <f t="shared" si="72"/>
        <v>234</v>
      </c>
      <c r="N218" s="6">
        <f t="shared" si="72"/>
        <v>212</v>
      </c>
      <c r="O218" s="6">
        <f t="shared" si="72"/>
        <v>213</v>
      </c>
      <c r="P218" s="6">
        <f t="shared" si="72"/>
        <v>203</v>
      </c>
      <c r="Q218" s="6">
        <f t="shared" si="72"/>
        <v>220</v>
      </c>
      <c r="R218" s="5">
        <f>SUM(E218:Q218)</f>
        <v>2477</v>
      </c>
    </row>
    <row r="219" spans="1:18" x14ac:dyDescent="0.4">
      <c r="A219" s="13"/>
      <c r="B219" s="19" t="s">
        <v>87</v>
      </c>
      <c r="C219" s="91" t="s">
        <v>88</v>
      </c>
      <c r="D219" s="92"/>
      <c r="E219" s="6">
        <v>28</v>
      </c>
      <c r="F219" s="6">
        <v>38</v>
      </c>
      <c r="G219" s="6">
        <v>24</v>
      </c>
      <c r="H219" s="6">
        <v>20</v>
      </c>
      <c r="I219" s="6">
        <v>36</v>
      </c>
      <c r="J219" s="6">
        <v>38</v>
      </c>
      <c r="K219" s="6">
        <v>20</v>
      </c>
      <c r="L219" s="6">
        <v>13</v>
      </c>
      <c r="M219" s="6">
        <v>18</v>
      </c>
      <c r="N219" s="6">
        <v>12</v>
      </c>
      <c r="O219" s="6">
        <v>22</v>
      </c>
      <c r="P219" s="6">
        <v>20</v>
      </c>
      <c r="Q219" s="6">
        <v>27</v>
      </c>
      <c r="R219" s="5">
        <f>SUM(E219:Q219)</f>
        <v>316</v>
      </c>
    </row>
    <row r="220" spans="1:18" x14ac:dyDescent="0.4">
      <c r="A220" s="14"/>
      <c r="B220" s="19" t="s">
        <v>89</v>
      </c>
      <c r="C220" s="91" t="s">
        <v>90</v>
      </c>
      <c r="D220" s="92"/>
      <c r="E220" s="5">
        <f>SUM(E218:E219)</f>
        <v>201</v>
      </c>
      <c r="F220" s="5">
        <f t="shared" ref="F220:Q220" si="73">SUM(F218:F219)</f>
        <v>202</v>
      </c>
      <c r="G220" s="5">
        <f t="shared" si="73"/>
        <v>200</v>
      </c>
      <c r="H220" s="5">
        <f t="shared" si="73"/>
        <v>166</v>
      </c>
      <c r="I220" s="5">
        <f t="shared" si="73"/>
        <v>177</v>
      </c>
      <c r="J220" s="5">
        <f t="shared" si="73"/>
        <v>202</v>
      </c>
      <c r="K220" s="5">
        <f t="shared" si="73"/>
        <v>229</v>
      </c>
      <c r="L220" s="5">
        <f t="shared" si="73"/>
        <v>235</v>
      </c>
      <c r="M220" s="5">
        <f t="shared" ref="M220:N220" si="74">SUM(M218:M219)</f>
        <v>252</v>
      </c>
      <c r="N220" s="5">
        <f t="shared" si="74"/>
        <v>224</v>
      </c>
      <c r="O220" s="5">
        <f t="shared" si="73"/>
        <v>235</v>
      </c>
      <c r="P220" s="5">
        <f t="shared" si="73"/>
        <v>223</v>
      </c>
      <c r="Q220" s="5">
        <f t="shared" si="73"/>
        <v>247</v>
      </c>
      <c r="R220" s="5">
        <f>SUM(E220:Q220)</f>
        <v>2793</v>
      </c>
    </row>
  </sheetData>
  <mergeCells count="86">
    <mergeCell ref="A17:D17"/>
    <mergeCell ref="B12:D12"/>
    <mergeCell ref="E12:Q12"/>
    <mergeCell ref="R12:R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C220:D220"/>
    <mergeCell ref="A210:E210"/>
    <mergeCell ref="C211:D211"/>
    <mergeCell ref="B215:D215"/>
    <mergeCell ref="B217:D217"/>
    <mergeCell ref="C218:D218"/>
    <mergeCell ref="C219:D219"/>
  </mergeCells>
  <phoneticPr fontId="8" type="noConversion"/>
  <conditionalFormatting sqref="E14:Q15">
    <cfRule type="containsBlanks" dxfId="57" priority="20">
      <formula>LEN(TRIM(E14))=0</formula>
    </cfRule>
  </conditionalFormatting>
  <conditionalFormatting sqref="E19:Q20">
    <cfRule type="containsBlanks" dxfId="56" priority="23">
      <formula>LEN(TRIM(E19))=0</formula>
    </cfRule>
  </conditionalFormatting>
  <conditionalFormatting sqref="E22:Q23 E25:Q26 E33:Q33 E35:Q35 E39:Q40">
    <cfRule type="containsBlanks" dxfId="55" priority="24">
      <formula>LEN(TRIM(E22))=0</formula>
    </cfRule>
  </conditionalFormatting>
  <conditionalFormatting sqref="E30:Q30">
    <cfRule type="expression" dxfId="54" priority="25">
      <formula>E30&lt;&gt;E47</formula>
    </cfRule>
    <cfRule type="expression" dxfId="53" priority="26">
      <formula>E30&lt;&gt;E34</formula>
    </cfRule>
  </conditionalFormatting>
  <conditionalFormatting sqref="E34:Q34">
    <cfRule type="expression" dxfId="52" priority="21">
      <formula>E30&lt;&gt;E34</formula>
    </cfRule>
    <cfRule type="expression" dxfId="51" priority="22">
      <formula>E30=E34</formula>
    </cfRule>
    <cfRule type="expression" dxfId="50" priority="27">
      <formula>E34&lt;&gt;E30</formula>
    </cfRule>
    <cfRule type="expression" dxfId="49" priority="29">
      <formula>E34&lt;&gt;E64</formula>
    </cfRule>
  </conditionalFormatting>
  <conditionalFormatting sqref="E45:Q54">
    <cfRule type="containsBlanks" dxfId="48" priority="19">
      <formula>LEN(TRIM(E45))=0</formula>
    </cfRule>
  </conditionalFormatting>
  <conditionalFormatting sqref="E57:Q66">
    <cfRule type="containsBlanks" dxfId="47" priority="18">
      <formula>LEN(TRIM(E57))=0</formula>
    </cfRule>
  </conditionalFormatting>
  <conditionalFormatting sqref="E69:Q78">
    <cfRule type="containsBlanks" dxfId="46" priority="17">
      <formula>LEN(TRIM(E69))=0</formula>
    </cfRule>
  </conditionalFormatting>
  <conditionalFormatting sqref="E81:Q90">
    <cfRule type="containsBlanks" dxfId="45" priority="16">
      <formula>LEN(TRIM(E81))=0</formula>
    </cfRule>
  </conditionalFormatting>
  <conditionalFormatting sqref="E93:Q102">
    <cfRule type="containsBlanks" dxfId="44" priority="15">
      <formula>LEN(TRIM(E93))=0</formula>
    </cfRule>
  </conditionalFormatting>
  <conditionalFormatting sqref="E105:Q107">
    <cfRule type="containsBlanks" dxfId="43" priority="14">
      <formula>LEN(TRIM(E105))=0</formula>
    </cfRule>
  </conditionalFormatting>
  <conditionalFormatting sqref="E110:Q115">
    <cfRule type="containsBlanks" dxfId="42" priority="1">
      <formula>LEN(TRIM(E110))=0</formula>
    </cfRule>
  </conditionalFormatting>
  <conditionalFormatting sqref="E118:Q127">
    <cfRule type="containsBlanks" dxfId="41" priority="13">
      <formula>LEN(TRIM(E118))=0</formula>
    </cfRule>
  </conditionalFormatting>
  <conditionalFormatting sqref="E130:Q133">
    <cfRule type="containsBlanks" dxfId="40" priority="12">
      <formula>LEN(TRIM(E130))=0</formula>
    </cfRule>
  </conditionalFormatting>
  <conditionalFormatting sqref="E136:Q143">
    <cfRule type="containsBlanks" dxfId="39" priority="3">
      <formula>LEN(TRIM(E136))=0</formula>
    </cfRule>
  </conditionalFormatting>
  <conditionalFormatting sqref="E146:Q147">
    <cfRule type="containsBlanks" dxfId="38" priority="11">
      <formula>LEN(TRIM(E146))=0</formula>
    </cfRule>
  </conditionalFormatting>
  <conditionalFormatting sqref="E150:Q159">
    <cfRule type="containsBlanks" dxfId="37" priority="10">
      <formula>LEN(TRIM(E150))=0</formula>
    </cfRule>
  </conditionalFormatting>
  <conditionalFormatting sqref="E162:Q171">
    <cfRule type="containsBlanks" dxfId="36" priority="9">
      <formula>LEN(TRIM(E162))=0</formula>
    </cfRule>
  </conditionalFormatting>
  <conditionalFormatting sqref="E174:Q183">
    <cfRule type="containsBlanks" dxfId="35" priority="8">
      <formula>LEN(TRIM(E174))=0</formula>
    </cfRule>
  </conditionalFormatting>
  <conditionalFormatting sqref="E186:Q189">
    <cfRule type="containsBlanks" dxfId="34" priority="7">
      <formula>LEN(TRIM(E186))=0</formula>
    </cfRule>
  </conditionalFormatting>
  <conditionalFormatting sqref="E192:Q196">
    <cfRule type="containsBlanks" dxfId="33" priority="6">
      <formula>LEN(TRIM(E192))=0</formula>
    </cfRule>
  </conditionalFormatting>
  <conditionalFormatting sqref="E199:Q208">
    <cfRule type="containsBlanks" dxfId="32" priority="5">
      <formula>LEN(TRIM(E199))=0</formula>
    </cfRule>
  </conditionalFormatting>
  <conditionalFormatting sqref="E211:Q214">
    <cfRule type="containsBlanks" dxfId="31" priority="4">
      <formula>LEN(TRIM(E211))=0</formula>
    </cfRule>
  </conditionalFormatting>
  <conditionalFormatting sqref="E218:Q219">
    <cfRule type="containsBlanks" dxfId="30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sheetPr>
    <tabColor rgb="FF92D050"/>
  </sheetPr>
  <dimension ref="A2:T220"/>
  <sheetViews>
    <sheetView topLeftCell="C13" zoomScale="85" zoomScaleNormal="85" workbookViewId="0">
      <pane ySplit="1" topLeftCell="A209" activePane="bottomLeft" state="frozen"/>
      <selection activeCell="T219" sqref="T219"/>
      <selection pane="bottomLeft" activeCell="T219" sqref="T219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232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258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0" x14ac:dyDescent="0.4">
      <c r="A12" s="5" t="s">
        <v>0</v>
      </c>
      <c r="B12" s="56" t="s">
        <v>1</v>
      </c>
      <c r="C12" s="54"/>
      <c r="D12" s="55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9" t="s">
        <v>103</v>
      </c>
    </row>
    <row r="13" spans="1:20" x14ac:dyDescent="0.4">
      <c r="A13" s="6" t="s">
        <v>2</v>
      </c>
      <c r="B13" s="61" t="s">
        <v>3</v>
      </c>
      <c r="C13" s="54"/>
      <c r="D13" s="55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60"/>
    </row>
    <row r="14" spans="1:20" x14ac:dyDescent="0.4">
      <c r="A14" s="7"/>
      <c r="B14" s="62" t="s">
        <v>22</v>
      </c>
      <c r="C14" s="63"/>
      <c r="D14" s="6" t="s">
        <v>23</v>
      </c>
      <c r="E14" s="6">
        <v>150</v>
      </c>
      <c r="F14" s="6">
        <v>126</v>
      </c>
      <c r="G14" s="6">
        <v>151</v>
      </c>
      <c r="H14" s="6">
        <v>146</v>
      </c>
      <c r="I14" s="6">
        <v>147</v>
      </c>
      <c r="J14" s="6">
        <v>147</v>
      </c>
      <c r="K14" s="6">
        <v>134</v>
      </c>
      <c r="L14" s="6">
        <v>115</v>
      </c>
      <c r="M14" s="6">
        <v>105</v>
      </c>
      <c r="N14" s="6">
        <v>127</v>
      </c>
      <c r="O14" s="6">
        <v>113</v>
      </c>
      <c r="P14" s="6">
        <v>124</v>
      </c>
      <c r="Q14" s="6">
        <v>140</v>
      </c>
      <c r="R14" s="6">
        <v>138</v>
      </c>
      <c r="S14" s="6">
        <v>121</v>
      </c>
      <c r="T14" s="5">
        <f>SUM(E14:S14)</f>
        <v>1984</v>
      </c>
    </row>
    <row r="15" spans="1:20" x14ac:dyDescent="0.4">
      <c r="A15" s="7"/>
      <c r="B15" s="64"/>
      <c r="C15" s="65"/>
      <c r="D15" s="6" t="s">
        <v>24</v>
      </c>
      <c r="E15" s="6">
        <v>145</v>
      </c>
      <c r="F15" s="6">
        <v>109</v>
      </c>
      <c r="G15" s="6">
        <v>135</v>
      </c>
      <c r="H15" s="6">
        <v>151</v>
      </c>
      <c r="I15" s="6">
        <v>143</v>
      </c>
      <c r="J15" s="6">
        <v>147</v>
      </c>
      <c r="K15" s="6">
        <v>124</v>
      </c>
      <c r="L15" s="6">
        <v>105</v>
      </c>
      <c r="M15" s="6">
        <v>103</v>
      </c>
      <c r="N15" s="6">
        <v>116</v>
      </c>
      <c r="O15" s="6">
        <v>115</v>
      </c>
      <c r="P15" s="6">
        <v>111</v>
      </c>
      <c r="Q15" s="6">
        <v>145</v>
      </c>
      <c r="R15" s="6">
        <v>158</v>
      </c>
      <c r="S15" s="6">
        <v>137</v>
      </c>
      <c r="T15" s="5">
        <f>SUM(E15:S15)</f>
        <v>1944</v>
      </c>
    </row>
    <row r="16" spans="1:20" x14ac:dyDescent="0.4">
      <c r="A16" s="8"/>
      <c r="B16" s="66"/>
      <c r="C16" s="67"/>
      <c r="D16" s="5" t="s">
        <v>25</v>
      </c>
      <c r="E16" s="5">
        <f t="shared" ref="E16:S16" si="0">SUM(E14:E15)</f>
        <v>295</v>
      </c>
      <c r="F16" s="5">
        <f t="shared" ref="F16:L16" si="1">SUM(F14:F15)</f>
        <v>235</v>
      </c>
      <c r="G16" s="5">
        <f t="shared" si="1"/>
        <v>286</v>
      </c>
      <c r="H16" s="5">
        <f t="shared" si="1"/>
        <v>297</v>
      </c>
      <c r="I16" s="5">
        <f t="shared" si="1"/>
        <v>290</v>
      </c>
      <c r="J16" s="5">
        <f t="shared" si="1"/>
        <v>294</v>
      </c>
      <c r="K16" s="5">
        <f t="shared" si="1"/>
        <v>258</v>
      </c>
      <c r="L16" s="5">
        <f t="shared" si="1"/>
        <v>220</v>
      </c>
      <c r="M16" s="5">
        <f t="shared" si="0"/>
        <v>208</v>
      </c>
      <c r="N16" s="5">
        <f t="shared" si="0"/>
        <v>243</v>
      </c>
      <c r="O16" s="5">
        <f t="shared" si="0"/>
        <v>228</v>
      </c>
      <c r="P16" s="5">
        <f t="shared" si="0"/>
        <v>235</v>
      </c>
      <c r="Q16" s="5">
        <f t="shared" si="0"/>
        <v>285</v>
      </c>
      <c r="R16" s="5">
        <f t="shared" si="0"/>
        <v>296</v>
      </c>
      <c r="S16" s="5">
        <f t="shared" si="0"/>
        <v>258</v>
      </c>
      <c r="T16" s="5">
        <f>SUM(E16:S16)</f>
        <v>3928</v>
      </c>
    </row>
    <row r="17" spans="1:20" x14ac:dyDescent="0.4">
      <c r="A17" s="53"/>
      <c r="B17" s="54"/>
      <c r="C17" s="54"/>
      <c r="D17" s="5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28"/>
    </row>
    <row r="18" spans="1:20" x14ac:dyDescent="0.4">
      <c r="A18" s="11" t="s">
        <v>26</v>
      </c>
      <c r="B18" s="61" t="s">
        <v>27</v>
      </c>
      <c r="C18" s="54"/>
      <c r="D18" s="5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28"/>
    </row>
    <row r="19" spans="1:20" x14ac:dyDescent="0.4">
      <c r="A19" s="11"/>
      <c r="B19" s="68" t="s">
        <v>28</v>
      </c>
      <c r="C19" s="69" t="s">
        <v>29</v>
      </c>
      <c r="D19" s="6" t="s">
        <v>23</v>
      </c>
      <c r="E19" s="6">
        <v>117</v>
      </c>
      <c r="F19" s="6">
        <v>104</v>
      </c>
      <c r="G19" s="6">
        <v>116</v>
      </c>
      <c r="H19" s="6">
        <v>116</v>
      </c>
      <c r="I19" s="6">
        <v>116</v>
      </c>
      <c r="J19" s="6">
        <v>116</v>
      </c>
      <c r="K19" s="6">
        <v>111</v>
      </c>
      <c r="L19" s="6">
        <v>83</v>
      </c>
      <c r="M19" s="6">
        <v>85</v>
      </c>
      <c r="N19" s="6">
        <v>113</v>
      </c>
      <c r="O19" s="6">
        <v>100</v>
      </c>
      <c r="P19" s="6">
        <v>102</v>
      </c>
      <c r="Q19" s="6">
        <v>121</v>
      </c>
      <c r="R19" s="6">
        <v>134</v>
      </c>
      <c r="S19" s="6">
        <v>96</v>
      </c>
      <c r="T19" s="5">
        <f t="shared" ref="T19:T30" si="2">SUM(E19:S19)</f>
        <v>1630</v>
      </c>
    </row>
    <row r="20" spans="1:20" x14ac:dyDescent="0.4">
      <c r="A20" s="12"/>
      <c r="B20" s="65"/>
      <c r="C20" s="70"/>
      <c r="D20" s="6" t="s">
        <v>24</v>
      </c>
      <c r="E20" s="6">
        <v>124</v>
      </c>
      <c r="F20" s="6">
        <v>96</v>
      </c>
      <c r="G20" s="6">
        <v>108</v>
      </c>
      <c r="H20" s="6">
        <v>122</v>
      </c>
      <c r="I20" s="6">
        <v>119</v>
      </c>
      <c r="J20" s="6">
        <v>118</v>
      </c>
      <c r="K20" s="6">
        <v>106</v>
      </c>
      <c r="L20" s="6">
        <v>88</v>
      </c>
      <c r="M20" s="6">
        <v>89</v>
      </c>
      <c r="N20" s="6">
        <v>105</v>
      </c>
      <c r="O20" s="6">
        <v>103</v>
      </c>
      <c r="P20" s="6">
        <v>96</v>
      </c>
      <c r="Q20" s="6">
        <v>115</v>
      </c>
      <c r="R20" s="6">
        <v>148</v>
      </c>
      <c r="S20" s="6">
        <v>98</v>
      </c>
      <c r="T20" s="5">
        <f t="shared" si="2"/>
        <v>1635</v>
      </c>
    </row>
    <row r="21" spans="1:20" x14ac:dyDescent="0.4">
      <c r="A21" s="13"/>
      <c r="B21" s="67"/>
      <c r="C21" s="71"/>
      <c r="D21" s="5" t="s">
        <v>25</v>
      </c>
      <c r="E21" s="5">
        <f t="shared" ref="E21:S21" si="3">SUM(E19:E20)</f>
        <v>241</v>
      </c>
      <c r="F21" s="5">
        <f t="shared" ref="F21:L21" si="4">SUM(F19:F20)</f>
        <v>200</v>
      </c>
      <c r="G21" s="5">
        <f t="shared" si="4"/>
        <v>224</v>
      </c>
      <c r="H21" s="5">
        <f t="shared" si="4"/>
        <v>238</v>
      </c>
      <c r="I21" s="5">
        <f t="shared" si="4"/>
        <v>235</v>
      </c>
      <c r="J21" s="5">
        <f t="shared" si="4"/>
        <v>234</v>
      </c>
      <c r="K21" s="5">
        <f t="shared" si="4"/>
        <v>217</v>
      </c>
      <c r="L21" s="5">
        <f t="shared" si="4"/>
        <v>171</v>
      </c>
      <c r="M21" s="5">
        <f t="shared" si="3"/>
        <v>174</v>
      </c>
      <c r="N21" s="5">
        <f t="shared" si="3"/>
        <v>218</v>
      </c>
      <c r="O21" s="5">
        <f t="shared" si="3"/>
        <v>203</v>
      </c>
      <c r="P21" s="5">
        <f t="shared" si="3"/>
        <v>198</v>
      </c>
      <c r="Q21" s="5">
        <f t="shared" si="3"/>
        <v>236</v>
      </c>
      <c r="R21" s="5">
        <f t="shared" si="3"/>
        <v>282</v>
      </c>
      <c r="S21" s="5">
        <f t="shared" si="3"/>
        <v>194</v>
      </c>
      <c r="T21" s="5">
        <f t="shared" si="2"/>
        <v>3265</v>
      </c>
    </row>
    <row r="22" spans="1:20" x14ac:dyDescent="0.4">
      <c r="A22" s="12"/>
      <c r="B22" s="68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1</v>
      </c>
      <c r="K22" s="6">
        <v>1</v>
      </c>
      <c r="L22" s="6">
        <v>2</v>
      </c>
      <c r="M22" s="6">
        <v>1</v>
      </c>
      <c r="N22" s="6">
        <v>1</v>
      </c>
      <c r="O22" s="6">
        <v>1</v>
      </c>
      <c r="P22" s="6">
        <v>0</v>
      </c>
      <c r="Q22" s="6">
        <v>1</v>
      </c>
      <c r="R22" s="6">
        <v>0</v>
      </c>
      <c r="S22" s="6">
        <v>1</v>
      </c>
      <c r="T22" s="5">
        <f t="shared" si="2"/>
        <v>10</v>
      </c>
    </row>
    <row r="23" spans="1:20" x14ac:dyDescent="0.4">
      <c r="A23" s="12"/>
      <c r="B23" s="65"/>
      <c r="C23" s="70"/>
      <c r="D23" s="6" t="s">
        <v>24</v>
      </c>
      <c r="E23" s="6">
        <v>0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5">
        <f t="shared" si="2"/>
        <v>2</v>
      </c>
    </row>
    <row r="24" spans="1:20" x14ac:dyDescent="0.4">
      <c r="A24" s="13"/>
      <c r="B24" s="67"/>
      <c r="C24" s="71"/>
      <c r="D24" s="5" t="s">
        <v>25</v>
      </c>
      <c r="E24" s="5">
        <f t="shared" ref="E24:S24" si="5">SUM(E22:E23)</f>
        <v>0</v>
      </c>
      <c r="F24" s="5">
        <f t="shared" ref="F24:L24" si="6">SUM(F22:F23)</f>
        <v>0</v>
      </c>
      <c r="G24" s="5">
        <f t="shared" si="6"/>
        <v>1</v>
      </c>
      <c r="H24" s="5">
        <f t="shared" si="6"/>
        <v>0</v>
      </c>
      <c r="I24" s="5">
        <f t="shared" si="6"/>
        <v>1</v>
      </c>
      <c r="J24" s="5">
        <f t="shared" si="6"/>
        <v>1</v>
      </c>
      <c r="K24" s="5">
        <f t="shared" si="6"/>
        <v>1</v>
      </c>
      <c r="L24" s="5">
        <f t="shared" si="6"/>
        <v>2</v>
      </c>
      <c r="M24" s="5">
        <f t="shared" si="5"/>
        <v>1</v>
      </c>
      <c r="N24" s="5">
        <f t="shared" si="5"/>
        <v>1</v>
      </c>
      <c r="O24" s="5">
        <f t="shared" si="5"/>
        <v>1</v>
      </c>
      <c r="P24" s="5">
        <f t="shared" si="5"/>
        <v>1</v>
      </c>
      <c r="Q24" s="5">
        <f t="shared" si="5"/>
        <v>1</v>
      </c>
      <c r="R24" s="5">
        <f t="shared" si="5"/>
        <v>0</v>
      </c>
      <c r="S24" s="5">
        <f t="shared" si="5"/>
        <v>1</v>
      </c>
      <c r="T24" s="5">
        <f t="shared" si="2"/>
        <v>12</v>
      </c>
    </row>
    <row r="25" spans="1:20" x14ac:dyDescent="0.4">
      <c r="A25" s="12"/>
      <c r="B25" s="68" t="s">
        <v>32</v>
      </c>
      <c r="C25" s="69" t="s">
        <v>33</v>
      </c>
      <c r="D25" s="6" t="s">
        <v>23</v>
      </c>
      <c r="E25" s="6">
        <v>0</v>
      </c>
      <c r="F25" s="6">
        <v>0</v>
      </c>
      <c r="G25" s="6">
        <v>2</v>
      </c>
      <c r="H25" s="6">
        <v>1</v>
      </c>
      <c r="I25" s="6">
        <v>0</v>
      </c>
      <c r="J25" s="6">
        <v>0</v>
      </c>
      <c r="K25" s="6">
        <v>1</v>
      </c>
      <c r="L25" s="6">
        <v>1</v>
      </c>
      <c r="M25" s="6">
        <v>0</v>
      </c>
      <c r="N25" s="6">
        <v>1</v>
      </c>
      <c r="O25" s="6">
        <v>1</v>
      </c>
      <c r="P25" s="6">
        <v>0</v>
      </c>
      <c r="Q25" s="6">
        <v>1</v>
      </c>
      <c r="R25" s="6">
        <v>2</v>
      </c>
      <c r="S25" s="6">
        <v>0</v>
      </c>
      <c r="T25" s="5">
        <f t="shared" si="2"/>
        <v>10</v>
      </c>
    </row>
    <row r="26" spans="1:20" x14ac:dyDescent="0.4">
      <c r="A26" s="12"/>
      <c r="B26" s="65"/>
      <c r="C26" s="70"/>
      <c r="D26" s="6" t="s">
        <v>24</v>
      </c>
      <c r="E26" s="6">
        <v>2</v>
      </c>
      <c r="F26" s="6">
        <v>1</v>
      </c>
      <c r="G26" s="6">
        <v>1</v>
      </c>
      <c r="H26" s="6">
        <v>1</v>
      </c>
      <c r="I26" s="6">
        <v>2</v>
      </c>
      <c r="J26" s="6">
        <v>1</v>
      </c>
      <c r="K26" s="6">
        <v>1</v>
      </c>
      <c r="L26" s="6">
        <v>2</v>
      </c>
      <c r="M26" s="6">
        <v>1</v>
      </c>
      <c r="N26" s="6">
        <v>2</v>
      </c>
      <c r="O26" s="6">
        <v>1</v>
      </c>
      <c r="P26" s="6">
        <v>1</v>
      </c>
      <c r="Q26" s="6">
        <v>0</v>
      </c>
      <c r="R26" s="6">
        <v>0</v>
      </c>
      <c r="S26" s="6">
        <v>1</v>
      </c>
      <c r="T26" s="5">
        <f t="shared" si="2"/>
        <v>17</v>
      </c>
    </row>
    <row r="27" spans="1:20" x14ac:dyDescent="0.4">
      <c r="A27" s="13"/>
      <c r="B27" s="67"/>
      <c r="C27" s="71"/>
      <c r="D27" s="5" t="s">
        <v>25</v>
      </c>
      <c r="E27" s="5">
        <f t="shared" ref="E27:S27" si="7">SUM(E25:E26)</f>
        <v>2</v>
      </c>
      <c r="F27" s="5">
        <f t="shared" ref="F27:L27" si="8">SUM(F25:F26)</f>
        <v>1</v>
      </c>
      <c r="G27" s="5">
        <f t="shared" si="8"/>
        <v>3</v>
      </c>
      <c r="H27" s="5">
        <f t="shared" si="8"/>
        <v>2</v>
      </c>
      <c r="I27" s="5">
        <f t="shared" si="8"/>
        <v>2</v>
      </c>
      <c r="J27" s="5">
        <f t="shared" si="8"/>
        <v>1</v>
      </c>
      <c r="K27" s="5">
        <f t="shared" si="8"/>
        <v>2</v>
      </c>
      <c r="L27" s="5">
        <f t="shared" si="8"/>
        <v>3</v>
      </c>
      <c r="M27" s="5">
        <f t="shared" si="7"/>
        <v>1</v>
      </c>
      <c r="N27" s="5">
        <f t="shared" si="7"/>
        <v>3</v>
      </c>
      <c r="O27" s="5">
        <f t="shared" si="7"/>
        <v>2</v>
      </c>
      <c r="P27" s="5">
        <f t="shared" si="7"/>
        <v>1</v>
      </c>
      <c r="Q27" s="5">
        <f t="shared" si="7"/>
        <v>1</v>
      </c>
      <c r="R27" s="5">
        <f t="shared" si="7"/>
        <v>2</v>
      </c>
      <c r="S27" s="5">
        <f t="shared" si="7"/>
        <v>1</v>
      </c>
      <c r="T27" s="5">
        <f t="shared" si="2"/>
        <v>27</v>
      </c>
    </row>
    <row r="28" spans="1:20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117</v>
      </c>
      <c r="F28" s="5">
        <f t="shared" ref="F28:L28" si="9">SUM(F19,F22,F25)</f>
        <v>104</v>
      </c>
      <c r="G28" s="5">
        <f t="shared" si="9"/>
        <v>118</v>
      </c>
      <c r="H28" s="5">
        <f t="shared" si="9"/>
        <v>117</v>
      </c>
      <c r="I28" s="5">
        <f t="shared" si="9"/>
        <v>117</v>
      </c>
      <c r="J28" s="5">
        <f t="shared" si="9"/>
        <v>117</v>
      </c>
      <c r="K28" s="5">
        <f t="shared" si="9"/>
        <v>113</v>
      </c>
      <c r="L28" s="5">
        <f t="shared" si="9"/>
        <v>86</v>
      </c>
      <c r="M28" s="5">
        <f t="shared" ref="M28:S29" si="10">SUM(M19,M22,M25)</f>
        <v>86</v>
      </c>
      <c r="N28" s="5">
        <f t="shared" si="10"/>
        <v>115</v>
      </c>
      <c r="O28" s="5">
        <f t="shared" si="10"/>
        <v>102</v>
      </c>
      <c r="P28" s="5">
        <f t="shared" si="10"/>
        <v>102</v>
      </c>
      <c r="Q28" s="5">
        <f t="shared" si="10"/>
        <v>123</v>
      </c>
      <c r="R28" s="5">
        <f t="shared" si="10"/>
        <v>136</v>
      </c>
      <c r="S28" s="5">
        <f t="shared" si="10"/>
        <v>97</v>
      </c>
      <c r="T28" s="5">
        <f t="shared" si="2"/>
        <v>1650</v>
      </c>
    </row>
    <row r="29" spans="1:20" x14ac:dyDescent="0.4">
      <c r="A29" s="13"/>
      <c r="B29" s="65"/>
      <c r="C29" s="70"/>
      <c r="D29" s="5" t="s">
        <v>24</v>
      </c>
      <c r="E29" s="5">
        <f>SUM(E20,E23,E26)</f>
        <v>126</v>
      </c>
      <c r="F29" s="5">
        <f t="shared" ref="F29:L29" si="11">SUM(F20,F23,F26)</f>
        <v>97</v>
      </c>
      <c r="G29" s="5">
        <f t="shared" si="11"/>
        <v>110</v>
      </c>
      <c r="H29" s="5">
        <f t="shared" si="11"/>
        <v>123</v>
      </c>
      <c r="I29" s="5">
        <f t="shared" si="11"/>
        <v>121</v>
      </c>
      <c r="J29" s="5">
        <f t="shared" si="11"/>
        <v>119</v>
      </c>
      <c r="K29" s="5">
        <f t="shared" si="11"/>
        <v>107</v>
      </c>
      <c r="L29" s="5">
        <f t="shared" si="11"/>
        <v>90</v>
      </c>
      <c r="M29" s="5">
        <f t="shared" si="10"/>
        <v>90</v>
      </c>
      <c r="N29" s="5">
        <f t="shared" si="10"/>
        <v>107</v>
      </c>
      <c r="O29" s="5">
        <f t="shared" si="10"/>
        <v>104</v>
      </c>
      <c r="P29" s="5">
        <f t="shared" si="10"/>
        <v>98</v>
      </c>
      <c r="Q29" s="5">
        <f t="shared" si="10"/>
        <v>115</v>
      </c>
      <c r="R29" s="5">
        <f t="shared" si="10"/>
        <v>148</v>
      </c>
      <c r="S29" s="5">
        <f t="shared" si="10"/>
        <v>99</v>
      </c>
      <c r="T29" s="5">
        <f t="shared" si="2"/>
        <v>1654</v>
      </c>
    </row>
    <row r="30" spans="1:20" x14ac:dyDescent="0.4">
      <c r="A30" s="13"/>
      <c r="B30" s="67"/>
      <c r="C30" s="71"/>
      <c r="D30" s="5" t="s">
        <v>25</v>
      </c>
      <c r="E30" s="5">
        <f t="shared" ref="E30:L30" si="12">SUM(E28:E29)</f>
        <v>243</v>
      </c>
      <c r="F30" s="5">
        <f t="shared" si="12"/>
        <v>201</v>
      </c>
      <c r="G30" s="5">
        <f t="shared" si="12"/>
        <v>228</v>
      </c>
      <c r="H30" s="5">
        <f t="shared" si="12"/>
        <v>240</v>
      </c>
      <c r="I30" s="5">
        <f t="shared" si="12"/>
        <v>238</v>
      </c>
      <c r="J30" s="5">
        <f t="shared" si="12"/>
        <v>236</v>
      </c>
      <c r="K30" s="5">
        <f t="shared" si="12"/>
        <v>220</v>
      </c>
      <c r="L30" s="5">
        <f t="shared" si="12"/>
        <v>176</v>
      </c>
      <c r="M30" s="5">
        <f t="shared" ref="M30:S30" si="13">SUM(M28:M29)</f>
        <v>176</v>
      </c>
      <c r="N30" s="5">
        <f t="shared" si="13"/>
        <v>222</v>
      </c>
      <c r="O30" s="5">
        <f t="shared" si="13"/>
        <v>206</v>
      </c>
      <c r="P30" s="5">
        <f t="shared" si="13"/>
        <v>200</v>
      </c>
      <c r="Q30" s="5">
        <f t="shared" si="13"/>
        <v>238</v>
      </c>
      <c r="R30" s="5">
        <f t="shared" si="13"/>
        <v>284</v>
      </c>
      <c r="S30" s="5">
        <f t="shared" si="13"/>
        <v>196</v>
      </c>
      <c r="T30" s="5">
        <f t="shared" si="2"/>
        <v>3304</v>
      </c>
    </row>
    <row r="31" spans="1:20" x14ac:dyDescent="0.4">
      <c r="A31" s="53"/>
      <c r="B31" s="54"/>
      <c r="C31" s="54"/>
      <c r="D31" s="5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8"/>
    </row>
    <row r="32" spans="1:20" x14ac:dyDescent="0.4">
      <c r="A32" s="14" t="s">
        <v>36</v>
      </c>
      <c r="B32" s="56" t="s">
        <v>37</v>
      </c>
      <c r="C32" s="54"/>
      <c r="D32" s="5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28"/>
    </row>
    <row r="33" spans="1:20" x14ac:dyDescent="0.4">
      <c r="A33" s="6">
        <v>1</v>
      </c>
      <c r="B33" s="61" t="s">
        <v>38</v>
      </c>
      <c r="C33" s="54"/>
      <c r="D33" s="55"/>
      <c r="E33" s="6">
        <v>301</v>
      </c>
      <c r="F33" s="6">
        <v>240</v>
      </c>
      <c r="G33" s="6">
        <v>293</v>
      </c>
      <c r="H33" s="6">
        <v>303</v>
      </c>
      <c r="I33" s="6">
        <v>276</v>
      </c>
      <c r="J33" s="6">
        <v>300</v>
      </c>
      <c r="K33" s="6">
        <v>264</v>
      </c>
      <c r="L33" s="6">
        <v>225</v>
      </c>
      <c r="M33" s="6">
        <v>213</v>
      </c>
      <c r="N33" s="6">
        <v>248</v>
      </c>
      <c r="O33" s="6">
        <v>233</v>
      </c>
      <c r="P33" s="6">
        <v>240</v>
      </c>
      <c r="Q33" s="6">
        <v>291</v>
      </c>
      <c r="R33" s="6">
        <v>302</v>
      </c>
      <c r="S33" s="6">
        <v>262</v>
      </c>
      <c r="T33" s="5">
        <f>SUM(E33:S33)</f>
        <v>3991</v>
      </c>
    </row>
    <row r="34" spans="1:20" x14ac:dyDescent="0.4">
      <c r="A34" s="6">
        <v>2</v>
      </c>
      <c r="B34" s="61" t="s">
        <v>39</v>
      </c>
      <c r="C34" s="54"/>
      <c r="D34" s="55"/>
      <c r="E34" s="5">
        <v>243</v>
      </c>
      <c r="F34" s="5">
        <v>201</v>
      </c>
      <c r="G34" s="5">
        <v>228</v>
      </c>
      <c r="H34" s="5">
        <v>240</v>
      </c>
      <c r="I34" s="5">
        <v>238</v>
      </c>
      <c r="J34" s="5">
        <v>236</v>
      </c>
      <c r="K34" s="5">
        <v>220</v>
      </c>
      <c r="L34" s="5">
        <v>176</v>
      </c>
      <c r="M34" s="5">
        <v>176</v>
      </c>
      <c r="N34" s="5">
        <v>222</v>
      </c>
      <c r="O34" s="5">
        <v>206</v>
      </c>
      <c r="P34" s="5">
        <v>200</v>
      </c>
      <c r="Q34" s="5">
        <v>238</v>
      </c>
      <c r="R34" s="5">
        <v>284</v>
      </c>
      <c r="S34" s="5">
        <v>196</v>
      </c>
      <c r="T34" s="5">
        <f>SUM(E34:S34)</f>
        <v>3304</v>
      </c>
    </row>
    <row r="35" spans="1:20" x14ac:dyDescent="0.4">
      <c r="A35" s="6">
        <v>3</v>
      </c>
      <c r="B35" s="61" t="s">
        <v>40</v>
      </c>
      <c r="C35" s="54"/>
      <c r="D35" s="5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>
        <v>1</v>
      </c>
      <c r="S35" s="6"/>
      <c r="T35" s="5">
        <f>SUM(E35:S35)</f>
        <v>1</v>
      </c>
    </row>
    <row r="36" spans="1:20" x14ac:dyDescent="0.4">
      <c r="A36" s="6">
        <v>4</v>
      </c>
      <c r="B36" s="61" t="s">
        <v>41</v>
      </c>
      <c r="C36" s="54"/>
      <c r="D36" s="55"/>
      <c r="E36" s="5">
        <f t="shared" ref="E36:S36" si="14">E33-(E34+E35)</f>
        <v>58</v>
      </c>
      <c r="F36" s="5">
        <f t="shared" ref="F36:L36" si="15">F33-(F34+F35)</f>
        <v>39</v>
      </c>
      <c r="G36" s="5">
        <f t="shared" si="15"/>
        <v>65</v>
      </c>
      <c r="H36" s="5">
        <f t="shared" si="15"/>
        <v>63</v>
      </c>
      <c r="I36" s="5">
        <f t="shared" si="15"/>
        <v>38</v>
      </c>
      <c r="J36" s="5">
        <f t="shared" si="15"/>
        <v>64</v>
      </c>
      <c r="K36" s="5">
        <f t="shared" si="15"/>
        <v>44</v>
      </c>
      <c r="L36" s="5">
        <f t="shared" si="15"/>
        <v>49</v>
      </c>
      <c r="M36" s="5">
        <f t="shared" si="14"/>
        <v>37</v>
      </c>
      <c r="N36" s="5">
        <f t="shared" si="14"/>
        <v>26</v>
      </c>
      <c r="O36" s="5">
        <f t="shared" si="14"/>
        <v>27</v>
      </c>
      <c r="P36" s="5">
        <f t="shared" si="14"/>
        <v>40</v>
      </c>
      <c r="Q36" s="5">
        <f t="shared" si="14"/>
        <v>53</v>
      </c>
      <c r="R36" s="5">
        <f t="shared" si="14"/>
        <v>17</v>
      </c>
      <c r="S36" s="5">
        <f t="shared" si="14"/>
        <v>66</v>
      </c>
      <c r="T36" s="5">
        <f>SUM(E36:S36)</f>
        <v>686</v>
      </c>
    </row>
    <row r="37" spans="1:20" x14ac:dyDescent="0.4">
      <c r="A37" s="53"/>
      <c r="B37" s="54"/>
      <c r="C37" s="54"/>
      <c r="D37" s="54"/>
      <c r="E37" s="53"/>
      <c r="F37" s="75"/>
      <c r="G37" s="75"/>
      <c r="H37" s="75"/>
      <c r="I37" s="75"/>
      <c r="J37" s="75"/>
      <c r="K37" s="75"/>
      <c r="L37" s="75"/>
      <c r="M37" s="76"/>
      <c r="N37" s="76"/>
      <c r="O37" s="76"/>
      <c r="P37" s="77"/>
      <c r="Q37" s="6"/>
      <c r="R37" s="6"/>
      <c r="S37" s="6"/>
      <c r="T37" s="28"/>
    </row>
    <row r="38" spans="1:20" x14ac:dyDescent="0.4">
      <c r="A38" s="16" t="s">
        <v>42</v>
      </c>
      <c r="B38" s="56" t="s">
        <v>43</v>
      </c>
      <c r="C38" s="54"/>
      <c r="D38" s="5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28"/>
    </row>
    <row r="39" spans="1:20" x14ac:dyDescent="0.4">
      <c r="A39" s="11"/>
      <c r="B39" s="78" t="s">
        <v>44</v>
      </c>
      <c r="C39" s="63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>
        <v>1</v>
      </c>
      <c r="T39" s="5">
        <f>SUM(E39:S39)</f>
        <v>1</v>
      </c>
    </row>
    <row r="40" spans="1:20" x14ac:dyDescent="0.4">
      <c r="A40" s="12"/>
      <c r="B40" s="79"/>
      <c r="C40" s="65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</v>
      </c>
      <c r="P40" s="6"/>
      <c r="Q40" s="6"/>
      <c r="R40" s="6"/>
      <c r="S40" s="6">
        <v>1</v>
      </c>
      <c r="T40" s="5">
        <f>SUM(E40:S40)</f>
        <v>2</v>
      </c>
    </row>
    <row r="41" spans="1:20" x14ac:dyDescent="0.4">
      <c r="A41" s="14"/>
      <c r="B41" s="80"/>
      <c r="C41" s="67"/>
      <c r="D41" s="5" t="s">
        <v>25</v>
      </c>
      <c r="E41" s="5">
        <f t="shared" ref="E41:S41" si="16">SUM(E39:E40)</f>
        <v>0</v>
      </c>
      <c r="F41" s="5">
        <f t="shared" ref="F41:L41" si="17">SUM(F39:F40)</f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6"/>
        <v>0</v>
      </c>
      <c r="N41" s="5">
        <f t="shared" si="16"/>
        <v>0</v>
      </c>
      <c r="O41" s="5">
        <f t="shared" si="16"/>
        <v>1</v>
      </c>
      <c r="P41" s="5">
        <f t="shared" si="16"/>
        <v>0</v>
      </c>
      <c r="Q41" s="5">
        <f t="shared" si="16"/>
        <v>0</v>
      </c>
      <c r="R41" s="5">
        <f t="shared" si="16"/>
        <v>0</v>
      </c>
      <c r="S41" s="5">
        <f t="shared" si="16"/>
        <v>2</v>
      </c>
      <c r="T41" s="5">
        <f>SUM(E41:S41)</f>
        <v>3</v>
      </c>
    </row>
    <row r="42" spans="1:20" x14ac:dyDescent="0.4">
      <c r="A42" s="81"/>
      <c r="B42" s="80"/>
      <c r="C42" s="80"/>
      <c r="D42" s="67"/>
      <c r="E42" s="53"/>
      <c r="F42" s="75"/>
      <c r="G42" s="75"/>
      <c r="H42" s="75"/>
      <c r="I42" s="75"/>
      <c r="J42" s="75"/>
      <c r="K42" s="75"/>
      <c r="L42" s="75"/>
      <c r="M42" s="54"/>
      <c r="N42" s="54"/>
      <c r="O42" s="54"/>
      <c r="P42" s="55"/>
      <c r="Q42" s="6"/>
      <c r="R42" s="6"/>
      <c r="S42" s="6"/>
      <c r="T42" s="5"/>
    </row>
    <row r="43" spans="1:20" ht="13.15" customHeight="1" x14ac:dyDescent="0.4">
      <c r="A43" s="16" t="s">
        <v>45</v>
      </c>
      <c r="B43" s="56" t="s">
        <v>46</v>
      </c>
      <c r="C43" s="54"/>
      <c r="D43" s="55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3.15" customHeight="1" x14ac:dyDescent="0.4">
      <c r="A44" s="78" t="s">
        <v>47</v>
      </c>
      <c r="B44" s="82"/>
      <c r="C44" s="82"/>
      <c r="D44" s="63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5"/>
    </row>
    <row r="45" spans="1:20" x14ac:dyDescent="0.4">
      <c r="A45" s="11" t="s">
        <v>48</v>
      </c>
      <c r="B45" s="17" t="s">
        <v>28</v>
      </c>
      <c r="C45" s="83" t="s">
        <v>49</v>
      </c>
      <c r="D45" s="55"/>
      <c r="E45" s="6">
        <v>4</v>
      </c>
      <c r="F45" s="6">
        <v>4</v>
      </c>
      <c r="G45" s="6">
        <v>1</v>
      </c>
      <c r="H45" s="6">
        <v>17</v>
      </c>
      <c r="I45" s="6">
        <v>21</v>
      </c>
      <c r="J45" s="6">
        <v>6</v>
      </c>
      <c r="K45" s="6">
        <v>7</v>
      </c>
      <c r="L45" s="6">
        <v>4</v>
      </c>
      <c r="M45" s="6">
        <v>6</v>
      </c>
      <c r="N45" s="6">
        <v>5</v>
      </c>
      <c r="O45" s="6">
        <v>11</v>
      </c>
      <c r="P45" s="6">
        <v>6</v>
      </c>
      <c r="Q45" s="6">
        <v>14</v>
      </c>
      <c r="R45" s="6">
        <v>15</v>
      </c>
      <c r="S45" s="6">
        <v>6</v>
      </c>
      <c r="T45" s="5">
        <f t="shared" ref="T45:T54" si="18">SUM(E45:S45)</f>
        <v>127</v>
      </c>
    </row>
    <row r="46" spans="1:20" x14ac:dyDescent="0.4">
      <c r="A46" s="11" t="s">
        <v>50</v>
      </c>
      <c r="B46" s="46"/>
      <c r="C46" s="24" t="s">
        <v>110</v>
      </c>
      <c r="D46" s="24"/>
      <c r="E46" s="6">
        <v>6</v>
      </c>
      <c r="F46" s="6">
        <v>5</v>
      </c>
      <c r="G46" s="6">
        <v>2</v>
      </c>
      <c r="H46" s="6">
        <v>36</v>
      </c>
      <c r="I46" s="6">
        <v>38</v>
      </c>
      <c r="J46" s="6">
        <v>7</v>
      </c>
      <c r="K46" s="6">
        <v>25</v>
      </c>
      <c r="L46" s="6">
        <v>11</v>
      </c>
      <c r="M46" s="6">
        <v>5</v>
      </c>
      <c r="N46" s="6">
        <v>3</v>
      </c>
      <c r="O46" s="6">
        <v>10</v>
      </c>
      <c r="P46" s="6">
        <v>10</v>
      </c>
      <c r="Q46" s="6">
        <v>20</v>
      </c>
      <c r="R46" s="6">
        <v>55</v>
      </c>
      <c r="S46" s="6">
        <v>5</v>
      </c>
      <c r="T46" s="5">
        <f t="shared" si="18"/>
        <v>238</v>
      </c>
    </row>
    <row r="47" spans="1:20" x14ac:dyDescent="0.4">
      <c r="A47" s="7"/>
      <c r="B47" s="47"/>
      <c r="C47" s="24" t="s">
        <v>111</v>
      </c>
      <c r="D47" s="24"/>
      <c r="E47" s="6">
        <v>3</v>
      </c>
      <c r="F47" s="6">
        <v>0</v>
      </c>
      <c r="G47" s="6">
        <v>1</v>
      </c>
      <c r="H47" s="6">
        <v>1</v>
      </c>
      <c r="I47" s="6">
        <v>4</v>
      </c>
      <c r="J47" s="6">
        <v>2</v>
      </c>
      <c r="K47" s="6">
        <v>1</v>
      </c>
      <c r="L47" s="6">
        <v>0</v>
      </c>
      <c r="M47" s="6">
        <v>1</v>
      </c>
      <c r="N47" s="6">
        <v>2</v>
      </c>
      <c r="O47" s="6">
        <v>1</v>
      </c>
      <c r="P47" s="6">
        <v>2</v>
      </c>
      <c r="Q47" s="6">
        <v>2</v>
      </c>
      <c r="R47" s="6">
        <v>14</v>
      </c>
      <c r="S47" s="6">
        <v>1</v>
      </c>
      <c r="T47" s="5">
        <f t="shared" si="18"/>
        <v>35</v>
      </c>
    </row>
    <row r="48" spans="1:20" x14ac:dyDescent="0.4">
      <c r="A48" s="7"/>
      <c r="B48" s="47"/>
      <c r="C48" s="24" t="s">
        <v>112</v>
      </c>
      <c r="D48" s="24"/>
      <c r="E48" s="6">
        <v>3</v>
      </c>
      <c r="F48" s="6">
        <v>1</v>
      </c>
      <c r="G48" s="6">
        <v>0</v>
      </c>
      <c r="H48" s="6">
        <v>2</v>
      </c>
      <c r="I48" s="6">
        <v>3</v>
      </c>
      <c r="J48" s="6">
        <v>2</v>
      </c>
      <c r="K48" s="6">
        <v>1</v>
      </c>
      <c r="L48" s="6">
        <v>2</v>
      </c>
      <c r="M48" s="6">
        <v>1</v>
      </c>
      <c r="N48" s="6">
        <v>1</v>
      </c>
      <c r="O48" s="6">
        <v>2</v>
      </c>
      <c r="P48" s="6">
        <v>2</v>
      </c>
      <c r="Q48" s="6">
        <v>2</v>
      </c>
      <c r="R48" s="6">
        <v>2</v>
      </c>
      <c r="S48" s="6">
        <v>0</v>
      </c>
      <c r="T48" s="5">
        <f t="shared" si="18"/>
        <v>24</v>
      </c>
    </row>
    <row r="49" spans="1:20" x14ac:dyDescent="0.4">
      <c r="A49" s="7"/>
      <c r="B49" s="47"/>
      <c r="C49" s="24" t="s">
        <v>113</v>
      </c>
      <c r="D49" s="24"/>
      <c r="E49" s="6">
        <v>0</v>
      </c>
      <c r="F49" s="6">
        <v>1</v>
      </c>
      <c r="G49" s="6">
        <v>1</v>
      </c>
      <c r="H49" s="6">
        <v>0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f t="shared" si="18"/>
        <v>5</v>
      </c>
    </row>
    <row r="50" spans="1:20" x14ac:dyDescent="0.4">
      <c r="A50" s="7"/>
      <c r="B50" s="47"/>
      <c r="C50" s="24" t="s">
        <v>114</v>
      </c>
      <c r="D50" s="24"/>
      <c r="E50" s="6">
        <v>2</v>
      </c>
      <c r="F50" s="6">
        <v>0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1</v>
      </c>
      <c r="R50" s="6">
        <v>0</v>
      </c>
      <c r="S50" s="6">
        <v>0</v>
      </c>
      <c r="T50" s="5">
        <f t="shared" si="18"/>
        <v>5</v>
      </c>
    </row>
    <row r="51" spans="1:20" x14ac:dyDescent="0.4">
      <c r="A51" s="7"/>
      <c r="B51" s="47"/>
      <c r="C51" s="24" t="s">
        <v>115</v>
      </c>
      <c r="D51" s="24"/>
      <c r="E51" s="6">
        <v>1</v>
      </c>
      <c r="F51" s="6">
        <v>0</v>
      </c>
      <c r="G51" s="6">
        <v>3</v>
      </c>
      <c r="H51" s="6">
        <v>0</v>
      </c>
      <c r="I51" s="6">
        <v>0</v>
      </c>
      <c r="J51" s="6">
        <v>1</v>
      </c>
      <c r="K51" s="6">
        <v>1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1</v>
      </c>
      <c r="R51" s="6">
        <v>0</v>
      </c>
      <c r="S51" s="6">
        <v>0</v>
      </c>
      <c r="T51" s="5">
        <f t="shared" si="18"/>
        <v>8</v>
      </c>
    </row>
    <row r="52" spans="1:20" ht="13.15" customHeight="1" x14ac:dyDescent="0.4">
      <c r="A52" s="7"/>
      <c r="B52" s="47"/>
      <c r="C52" s="24" t="s">
        <v>116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1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1</v>
      </c>
      <c r="S52" s="6">
        <v>1</v>
      </c>
      <c r="T52" s="5">
        <f t="shared" si="18"/>
        <v>5</v>
      </c>
    </row>
    <row r="53" spans="1:20" ht="13.15" customHeight="1" x14ac:dyDescent="0.4">
      <c r="A53" s="7"/>
      <c r="B53" s="47"/>
      <c r="C53" s="24" t="s">
        <v>117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5">
        <f t="shared" si="18"/>
        <v>1</v>
      </c>
    </row>
    <row r="54" spans="1:20" ht="13.15" customHeight="1" x14ac:dyDescent="0.4">
      <c r="A54" s="7"/>
      <c r="B54" s="47"/>
      <c r="C54" s="24" t="s">
        <v>118</v>
      </c>
      <c r="D54" s="24"/>
      <c r="E54" s="6">
        <v>1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1</v>
      </c>
      <c r="M54" s="6">
        <v>0</v>
      </c>
      <c r="N54" s="6">
        <v>1</v>
      </c>
      <c r="O54" s="6">
        <v>1</v>
      </c>
      <c r="P54" s="6">
        <v>1</v>
      </c>
      <c r="Q54" s="6">
        <v>0</v>
      </c>
      <c r="R54" s="6">
        <v>0</v>
      </c>
      <c r="S54" s="6">
        <v>0</v>
      </c>
      <c r="T54" s="5">
        <f t="shared" si="18"/>
        <v>6</v>
      </c>
    </row>
    <row r="55" spans="1:20" x14ac:dyDescent="0.4">
      <c r="A55" s="6" t="s">
        <v>26</v>
      </c>
      <c r="B55" s="74" t="s">
        <v>51</v>
      </c>
      <c r="C55" s="54"/>
      <c r="D55" s="55"/>
      <c r="E55" s="6">
        <f t="shared" ref="E55:S55" si="19">SUM(E45:E54)</f>
        <v>20</v>
      </c>
      <c r="F55" s="6">
        <f t="shared" si="19"/>
        <v>11</v>
      </c>
      <c r="G55" s="6">
        <f t="shared" si="19"/>
        <v>9</v>
      </c>
      <c r="H55" s="6">
        <f t="shared" si="19"/>
        <v>57</v>
      </c>
      <c r="I55" s="6">
        <f t="shared" si="19"/>
        <v>68</v>
      </c>
      <c r="J55" s="6">
        <f t="shared" si="19"/>
        <v>20</v>
      </c>
      <c r="K55" s="6">
        <f t="shared" si="19"/>
        <v>35</v>
      </c>
      <c r="L55" s="6">
        <f t="shared" si="19"/>
        <v>19</v>
      </c>
      <c r="M55" s="6">
        <f t="shared" si="19"/>
        <v>13</v>
      </c>
      <c r="N55" s="6">
        <f t="shared" si="19"/>
        <v>14</v>
      </c>
      <c r="O55" s="6">
        <f t="shared" si="19"/>
        <v>26</v>
      </c>
      <c r="P55" s="6">
        <f t="shared" si="19"/>
        <v>22</v>
      </c>
      <c r="Q55" s="6">
        <f t="shared" si="19"/>
        <v>40</v>
      </c>
      <c r="R55" s="6">
        <f t="shared" si="19"/>
        <v>87</v>
      </c>
      <c r="S55" s="6">
        <f t="shared" si="19"/>
        <v>13</v>
      </c>
      <c r="T55" s="6">
        <f t="shared" ref="M55:T55" si="20">SUM(T45:T54)</f>
        <v>454</v>
      </c>
    </row>
    <row r="56" spans="1:20" x14ac:dyDescent="0.4">
      <c r="A56" s="81"/>
      <c r="B56" s="80"/>
      <c r="C56" s="80"/>
      <c r="D56" s="80"/>
      <c r="E56" s="80"/>
      <c r="T56" s="5"/>
    </row>
    <row r="57" spans="1:20" x14ac:dyDescent="0.4">
      <c r="A57" s="11" t="s">
        <v>48</v>
      </c>
      <c r="B57" s="17" t="s">
        <v>30</v>
      </c>
      <c r="C57" s="83" t="s">
        <v>52</v>
      </c>
      <c r="D57" s="55"/>
      <c r="E57" s="6">
        <v>9</v>
      </c>
      <c r="F57" s="6">
        <v>8</v>
      </c>
      <c r="G57" s="6">
        <v>7</v>
      </c>
      <c r="H57" s="6">
        <v>15</v>
      </c>
      <c r="I57" s="6">
        <v>6</v>
      </c>
      <c r="J57" s="6">
        <v>20</v>
      </c>
      <c r="K57" s="6">
        <v>20</v>
      </c>
      <c r="L57" s="6">
        <v>6</v>
      </c>
      <c r="M57" s="6">
        <v>12</v>
      </c>
      <c r="N57" s="6">
        <v>17</v>
      </c>
      <c r="O57" s="6">
        <v>28</v>
      </c>
      <c r="P57" s="6">
        <v>18</v>
      </c>
      <c r="Q57" s="6">
        <v>20</v>
      </c>
      <c r="R57" s="6">
        <v>7</v>
      </c>
      <c r="S57" s="6">
        <v>20</v>
      </c>
      <c r="T57" s="5">
        <f t="shared" ref="T57:T66" si="21">SUM(E57:S57)</f>
        <v>213</v>
      </c>
    </row>
    <row r="58" spans="1:20" x14ac:dyDescent="0.4">
      <c r="A58" s="11" t="s">
        <v>50</v>
      </c>
      <c r="B58" s="47"/>
      <c r="C58" s="24" t="s">
        <v>119</v>
      </c>
      <c r="D58" s="48"/>
      <c r="E58" s="6">
        <v>3</v>
      </c>
      <c r="F58" s="6">
        <v>7</v>
      </c>
      <c r="G58" s="6">
        <v>4</v>
      </c>
      <c r="H58" s="6">
        <v>8</v>
      </c>
      <c r="I58" s="6">
        <v>8</v>
      </c>
      <c r="J58" s="6">
        <v>11</v>
      </c>
      <c r="K58" s="6">
        <v>14</v>
      </c>
      <c r="L58" s="6">
        <v>5</v>
      </c>
      <c r="M58" s="6">
        <v>6</v>
      </c>
      <c r="N58" s="6">
        <v>5</v>
      </c>
      <c r="O58" s="6">
        <v>12</v>
      </c>
      <c r="P58" s="6">
        <v>7</v>
      </c>
      <c r="Q58" s="6">
        <v>9</v>
      </c>
      <c r="R58" s="6">
        <v>5</v>
      </c>
      <c r="S58" s="6">
        <v>2</v>
      </c>
      <c r="T58" s="5">
        <f t="shared" si="21"/>
        <v>106</v>
      </c>
    </row>
    <row r="59" spans="1:20" x14ac:dyDescent="0.4">
      <c r="A59" s="7"/>
      <c r="B59" s="47"/>
      <c r="C59" s="24" t="s">
        <v>120</v>
      </c>
      <c r="D59" s="48"/>
      <c r="E59" s="6">
        <v>7</v>
      </c>
      <c r="F59" s="6">
        <v>12</v>
      </c>
      <c r="G59" s="6">
        <v>9</v>
      </c>
      <c r="H59" s="6">
        <v>7</v>
      </c>
      <c r="I59" s="6">
        <v>10</v>
      </c>
      <c r="J59" s="6">
        <v>8</v>
      </c>
      <c r="K59" s="6">
        <v>11</v>
      </c>
      <c r="L59" s="6">
        <v>18</v>
      </c>
      <c r="M59" s="6">
        <v>23</v>
      </c>
      <c r="N59" s="6">
        <v>6</v>
      </c>
      <c r="O59" s="6">
        <v>15</v>
      </c>
      <c r="P59" s="6">
        <v>7</v>
      </c>
      <c r="Q59" s="6">
        <v>23</v>
      </c>
      <c r="R59" s="6">
        <v>9</v>
      </c>
      <c r="S59" s="6">
        <v>12</v>
      </c>
      <c r="T59" s="5">
        <f t="shared" si="21"/>
        <v>177</v>
      </c>
    </row>
    <row r="60" spans="1:20" x14ac:dyDescent="0.4">
      <c r="A60" s="7"/>
      <c r="B60" s="47"/>
      <c r="C60" s="24" t="s">
        <v>121</v>
      </c>
      <c r="D60" s="48"/>
      <c r="E60" s="6">
        <v>3</v>
      </c>
      <c r="F60" s="6">
        <v>2</v>
      </c>
      <c r="G60" s="6">
        <v>1</v>
      </c>
      <c r="H60" s="6">
        <v>1</v>
      </c>
      <c r="I60" s="6">
        <v>3</v>
      </c>
      <c r="J60" s="6">
        <v>4</v>
      </c>
      <c r="K60" s="6">
        <v>1</v>
      </c>
      <c r="L60" s="6">
        <v>2</v>
      </c>
      <c r="M60" s="6">
        <v>0</v>
      </c>
      <c r="N60" s="6">
        <v>2</v>
      </c>
      <c r="O60" s="6">
        <v>1</v>
      </c>
      <c r="P60" s="6">
        <v>1</v>
      </c>
      <c r="Q60" s="6">
        <v>1</v>
      </c>
      <c r="R60" s="6">
        <v>0</v>
      </c>
      <c r="S60" s="6">
        <v>0</v>
      </c>
      <c r="T60" s="5">
        <f t="shared" si="21"/>
        <v>22</v>
      </c>
    </row>
    <row r="61" spans="1:20" x14ac:dyDescent="0.4">
      <c r="A61" s="7"/>
      <c r="B61" s="47"/>
      <c r="C61" s="24" t="s">
        <v>122</v>
      </c>
      <c r="D61" s="48"/>
      <c r="E61" s="6">
        <v>0</v>
      </c>
      <c r="F61" s="6">
        <v>0</v>
      </c>
      <c r="G61" s="6">
        <v>3</v>
      </c>
      <c r="H61" s="6">
        <v>2</v>
      </c>
      <c r="I61" s="6">
        <v>4</v>
      </c>
      <c r="J61" s="6">
        <v>1</v>
      </c>
      <c r="K61" s="6">
        <v>0</v>
      </c>
      <c r="L61" s="6">
        <v>1</v>
      </c>
      <c r="M61" s="6">
        <v>3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2</v>
      </c>
      <c r="T61" s="5">
        <f t="shared" si="21"/>
        <v>16</v>
      </c>
    </row>
    <row r="62" spans="1:20" x14ac:dyDescent="0.4">
      <c r="A62" s="7"/>
      <c r="B62" s="47"/>
      <c r="C62" s="24" t="s">
        <v>123</v>
      </c>
      <c r="D62" s="48"/>
      <c r="E62" s="6">
        <v>1</v>
      </c>
      <c r="F62" s="6">
        <v>2</v>
      </c>
      <c r="G62" s="6">
        <v>0</v>
      </c>
      <c r="H62" s="6">
        <v>1</v>
      </c>
      <c r="I62" s="6">
        <v>1</v>
      </c>
      <c r="J62" s="6">
        <v>3</v>
      </c>
      <c r="K62" s="6">
        <v>1</v>
      </c>
      <c r="L62" s="6">
        <v>1</v>
      </c>
      <c r="M62" s="6">
        <v>1</v>
      </c>
      <c r="N62" s="6">
        <v>0</v>
      </c>
      <c r="O62" s="6">
        <v>3</v>
      </c>
      <c r="P62" s="6">
        <v>1</v>
      </c>
      <c r="Q62" s="6">
        <v>0</v>
      </c>
      <c r="R62" s="6">
        <v>0</v>
      </c>
      <c r="S62" s="6">
        <v>1</v>
      </c>
      <c r="T62" s="5">
        <f t="shared" si="21"/>
        <v>16</v>
      </c>
    </row>
    <row r="63" spans="1:20" ht="13.15" customHeight="1" x14ac:dyDescent="0.4">
      <c r="A63" s="7"/>
      <c r="B63" s="47"/>
      <c r="C63" s="24" t="s">
        <v>124</v>
      </c>
      <c r="D63" s="45"/>
      <c r="E63" s="6">
        <v>0</v>
      </c>
      <c r="F63" s="6">
        <v>0</v>
      </c>
      <c r="G63" s="6">
        <v>0</v>
      </c>
      <c r="H63" s="6">
        <v>1</v>
      </c>
      <c r="I63" s="6">
        <v>1</v>
      </c>
      <c r="J63" s="6">
        <v>2</v>
      </c>
      <c r="K63" s="6">
        <v>0</v>
      </c>
      <c r="L63" s="6">
        <v>1</v>
      </c>
      <c r="M63" s="6">
        <v>1</v>
      </c>
      <c r="N63" s="6">
        <v>5</v>
      </c>
      <c r="O63" s="6">
        <v>4</v>
      </c>
      <c r="P63" s="6">
        <v>4</v>
      </c>
      <c r="Q63" s="6">
        <v>1</v>
      </c>
      <c r="R63" s="6">
        <v>0</v>
      </c>
      <c r="S63" s="6">
        <v>3</v>
      </c>
      <c r="T63" s="5">
        <f t="shared" si="21"/>
        <v>23</v>
      </c>
    </row>
    <row r="64" spans="1:20" x14ac:dyDescent="0.4">
      <c r="A64" s="7"/>
      <c r="B64" s="47"/>
      <c r="C64" s="24" t="s">
        <v>125</v>
      </c>
      <c r="D64" s="48"/>
      <c r="E64" s="6">
        <v>0</v>
      </c>
      <c r="F64" s="6">
        <v>1</v>
      </c>
      <c r="G64" s="6">
        <v>0</v>
      </c>
      <c r="H64" s="6">
        <v>1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5">
        <f t="shared" si="21"/>
        <v>4</v>
      </c>
    </row>
    <row r="65" spans="1:20" x14ac:dyDescent="0.4">
      <c r="A65" s="7"/>
      <c r="B65" s="47"/>
      <c r="C65" s="24" t="s">
        <v>126</v>
      </c>
      <c r="D65" s="48"/>
      <c r="E65" s="6">
        <v>1</v>
      </c>
      <c r="F65" s="6">
        <v>2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5">
        <f t="shared" si="21"/>
        <v>5</v>
      </c>
    </row>
    <row r="66" spans="1:20" x14ac:dyDescent="0.4">
      <c r="A66" s="7"/>
      <c r="B66" s="47"/>
      <c r="C66" s="24" t="s">
        <v>127</v>
      </c>
      <c r="D66" s="48"/>
      <c r="E66" s="6">
        <v>1</v>
      </c>
      <c r="F66" s="6">
        <v>0</v>
      </c>
      <c r="G66" s="6">
        <v>3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2</v>
      </c>
      <c r="O66" s="6">
        <v>7</v>
      </c>
      <c r="P66" s="6">
        <v>0</v>
      </c>
      <c r="Q66" s="6">
        <v>0</v>
      </c>
      <c r="R66" s="6">
        <v>0</v>
      </c>
      <c r="S66" s="6">
        <v>0</v>
      </c>
      <c r="T66" s="5">
        <f t="shared" si="21"/>
        <v>14</v>
      </c>
    </row>
    <row r="67" spans="1:20" x14ac:dyDescent="0.4">
      <c r="A67" s="6" t="s">
        <v>26</v>
      </c>
      <c r="B67" s="74" t="s">
        <v>51</v>
      </c>
      <c r="C67" s="54"/>
      <c r="D67" s="55"/>
      <c r="E67" s="6">
        <f t="shared" ref="E67:T67" si="22">SUM(E57:E66)</f>
        <v>25</v>
      </c>
      <c r="F67" s="6">
        <f t="shared" si="22"/>
        <v>34</v>
      </c>
      <c r="G67" s="6">
        <f t="shared" si="22"/>
        <v>28</v>
      </c>
      <c r="H67" s="6">
        <f t="shared" si="22"/>
        <v>36</v>
      </c>
      <c r="I67" s="6">
        <f t="shared" si="22"/>
        <v>33</v>
      </c>
      <c r="J67" s="6">
        <f t="shared" si="22"/>
        <v>50</v>
      </c>
      <c r="K67" s="6">
        <f t="shared" si="22"/>
        <v>47</v>
      </c>
      <c r="L67" s="6">
        <f t="shared" si="22"/>
        <v>34</v>
      </c>
      <c r="M67" s="6">
        <f t="shared" si="22"/>
        <v>47</v>
      </c>
      <c r="N67" s="6">
        <f t="shared" si="22"/>
        <v>38</v>
      </c>
      <c r="O67" s="6">
        <f t="shared" si="22"/>
        <v>70</v>
      </c>
      <c r="P67" s="6">
        <f t="shared" si="22"/>
        <v>38</v>
      </c>
      <c r="Q67" s="6">
        <f t="shared" si="22"/>
        <v>54</v>
      </c>
      <c r="R67" s="6">
        <f t="shared" si="22"/>
        <v>21</v>
      </c>
      <c r="S67" s="6">
        <f t="shared" si="22"/>
        <v>41</v>
      </c>
      <c r="T67" s="6">
        <f t="shared" si="22"/>
        <v>596</v>
      </c>
    </row>
    <row r="68" spans="1:20" x14ac:dyDescent="0.4">
      <c r="A68" s="81"/>
      <c r="B68" s="80"/>
      <c r="C68" s="80"/>
      <c r="D68" s="80"/>
      <c r="E68" s="80"/>
    </row>
    <row r="69" spans="1:20" x14ac:dyDescent="0.4">
      <c r="A69" s="11" t="s">
        <v>48</v>
      </c>
      <c r="B69" s="17" t="s">
        <v>32</v>
      </c>
      <c r="C69" s="83" t="s">
        <v>53</v>
      </c>
      <c r="D69" s="55"/>
      <c r="E69" s="6">
        <v>10</v>
      </c>
      <c r="F69" s="6">
        <v>4</v>
      </c>
      <c r="G69" s="6">
        <v>7</v>
      </c>
      <c r="H69" s="6">
        <v>17</v>
      </c>
      <c r="I69" s="6">
        <v>20</v>
      </c>
      <c r="J69" s="6">
        <v>26</v>
      </c>
      <c r="K69" s="6">
        <v>16</v>
      </c>
      <c r="L69" s="6">
        <v>17</v>
      </c>
      <c r="M69" s="6">
        <v>16</v>
      </c>
      <c r="N69" s="6">
        <v>32</v>
      </c>
      <c r="O69" s="6">
        <v>17</v>
      </c>
      <c r="P69" s="6">
        <v>20</v>
      </c>
      <c r="Q69" s="6">
        <v>8</v>
      </c>
      <c r="R69" s="6">
        <v>13</v>
      </c>
      <c r="S69" s="6">
        <v>25</v>
      </c>
      <c r="T69" s="5">
        <f t="shared" ref="T69:T78" si="23">SUM(E69:S69)</f>
        <v>248</v>
      </c>
    </row>
    <row r="70" spans="1:20" x14ac:dyDescent="0.4">
      <c r="A70" s="11" t="s">
        <v>50</v>
      </c>
      <c r="B70" s="47"/>
      <c r="C70" s="24" t="s">
        <v>128</v>
      </c>
      <c r="D70" s="45"/>
      <c r="E70" s="6">
        <v>2</v>
      </c>
      <c r="F70" s="6">
        <v>2</v>
      </c>
      <c r="G70" s="6">
        <v>10</v>
      </c>
      <c r="H70" s="6">
        <v>13</v>
      </c>
      <c r="I70" s="6">
        <v>10</v>
      </c>
      <c r="J70" s="6">
        <v>10</v>
      </c>
      <c r="K70" s="6">
        <v>16</v>
      </c>
      <c r="L70" s="6">
        <v>10</v>
      </c>
      <c r="M70" s="6">
        <v>10</v>
      </c>
      <c r="N70" s="6">
        <v>17</v>
      </c>
      <c r="O70" s="6">
        <v>12</v>
      </c>
      <c r="P70" s="6">
        <v>14</v>
      </c>
      <c r="Q70" s="6">
        <v>8</v>
      </c>
      <c r="R70" s="6">
        <v>6</v>
      </c>
      <c r="S70" s="6">
        <v>4</v>
      </c>
      <c r="T70" s="5">
        <f t="shared" si="23"/>
        <v>144</v>
      </c>
    </row>
    <row r="71" spans="1:20" x14ac:dyDescent="0.4">
      <c r="A71" s="7"/>
      <c r="B71" s="47"/>
      <c r="C71" s="24" t="s">
        <v>129</v>
      </c>
      <c r="D71" s="45"/>
      <c r="E71" s="6">
        <v>4</v>
      </c>
      <c r="F71" s="6">
        <v>1</v>
      </c>
      <c r="G71" s="6">
        <v>8</v>
      </c>
      <c r="H71" s="6">
        <v>3</v>
      </c>
      <c r="I71" s="6">
        <v>7</v>
      </c>
      <c r="J71" s="6">
        <v>13</v>
      </c>
      <c r="K71" s="6">
        <v>6</v>
      </c>
      <c r="L71" s="6">
        <v>11</v>
      </c>
      <c r="M71" s="6">
        <v>12</v>
      </c>
      <c r="N71" s="6">
        <v>16</v>
      </c>
      <c r="O71" s="6">
        <v>10</v>
      </c>
      <c r="P71" s="6">
        <v>3</v>
      </c>
      <c r="Q71" s="6">
        <v>5</v>
      </c>
      <c r="R71" s="6">
        <v>4</v>
      </c>
      <c r="S71" s="6">
        <v>5</v>
      </c>
      <c r="T71" s="5">
        <f t="shared" si="23"/>
        <v>108</v>
      </c>
    </row>
    <row r="72" spans="1:20" x14ac:dyDescent="0.4">
      <c r="A72" s="7"/>
      <c r="B72" s="47"/>
      <c r="C72" s="24" t="s">
        <v>130</v>
      </c>
      <c r="D72" s="45"/>
      <c r="E72" s="6">
        <v>7</v>
      </c>
      <c r="F72" s="6">
        <v>1</v>
      </c>
      <c r="G72" s="6">
        <v>3</v>
      </c>
      <c r="H72" s="6">
        <v>3</v>
      </c>
      <c r="I72" s="6">
        <v>6</v>
      </c>
      <c r="J72" s="6">
        <v>3</v>
      </c>
      <c r="K72" s="6">
        <v>7</v>
      </c>
      <c r="L72" s="6">
        <v>1</v>
      </c>
      <c r="M72" s="6">
        <v>2</v>
      </c>
      <c r="N72" s="6">
        <v>2</v>
      </c>
      <c r="O72" s="6">
        <v>1</v>
      </c>
      <c r="P72" s="6">
        <v>4</v>
      </c>
      <c r="Q72" s="6">
        <v>4</v>
      </c>
      <c r="R72" s="6">
        <v>0</v>
      </c>
      <c r="S72" s="6">
        <v>6</v>
      </c>
      <c r="T72" s="5">
        <f t="shared" si="23"/>
        <v>50</v>
      </c>
    </row>
    <row r="73" spans="1:20" x14ac:dyDescent="0.4">
      <c r="A73" s="7"/>
      <c r="B73" s="47"/>
      <c r="C73" s="24" t="s">
        <v>131</v>
      </c>
      <c r="D73" s="45"/>
      <c r="E73" s="6">
        <v>4</v>
      </c>
      <c r="F73" s="6">
        <v>2</v>
      </c>
      <c r="G73" s="6">
        <v>5</v>
      </c>
      <c r="H73" s="6">
        <v>3</v>
      </c>
      <c r="I73" s="6">
        <v>6</v>
      </c>
      <c r="J73" s="6">
        <v>8</v>
      </c>
      <c r="K73" s="6">
        <v>3</v>
      </c>
      <c r="L73" s="6">
        <v>4</v>
      </c>
      <c r="M73" s="6">
        <v>7</v>
      </c>
      <c r="N73" s="6">
        <v>8</v>
      </c>
      <c r="O73" s="6">
        <v>3</v>
      </c>
      <c r="P73" s="6">
        <v>11</v>
      </c>
      <c r="Q73" s="6">
        <v>7</v>
      </c>
      <c r="R73" s="6">
        <v>9</v>
      </c>
      <c r="S73" s="6">
        <v>2</v>
      </c>
      <c r="T73" s="5">
        <f t="shared" si="23"/>
        <v>82</v>
      </c>
    </row>
    <row r="74" spans="1:20" ht="13.15" customHeight="1" x14ac:dyDescent="0.4">
      <c r="A74" s="7"/>
      <c r="B74" s="47"/>
      <c r="C74" s="24" t="s">
        <v>132</v>
      </c>
      <c r="D74" s="45"/>
      <c r="E74" s="6">
        <v>1</v>
      </c>
      <c r="F74" s="6">
        <v>0</v>
      </c>
      <c r="G74" s="6">
        <v>2</v>
      </c>
      <c r="H74" s="6">
        <v>1</v>
      </c>
      <c r="I74" s="6">
        <v>0</v>
      </c>
      <c r="J74" s="6">
        <v>1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1</v>
      </c>
      <c r="Q74" s="6">
        <v>1</v>
      </c>
      <c r="R74" s="6">
        <v>0</v>
      </c>
      <c r="S74" s="6">
        <v>2</v>
      </c>
      <c r="T74" s="5">
        <f t="shared" si="23"/>
        <v>10</v>
      </c>
    </row>
    <row r="75" spans="1:20" x14ac:dyDescent="0.4">
      <c r="A75" s="7"/>
      <c r="B75" s="47"/>
      <c r="C75" s="24" t="s">
        <v>133</v>
      </c>
      <c r="D75" s="45"/>
      <c r="E75" s="6">
        <v>1</v>
      </c>
      <c r="F75" s="6">
        <v>0</v>
      </c>
      <c r="G75" s="6">
        <v>1</v>
      </c>
      <c r="H75" s="6">
        <v>1</v>
      </c>
      <c r="I75" s="6">
        <v>0</v>
      </c>
      <c r="J75" s="6">
        <v>1</v>
      </c>
      <c r="K75" s="6">
        <v>1</v>
      </c>
      <c r="L75" s="6">
        <v>2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1</v>
      </c>
      <c r="T75" s="5">
        <f t="shared" si="23"/>
        <v>9</v>
      </c>
    </row>
    <row r="76" spans="1:20" x14ac:dyDescent="0.4">
      <c r="A76" s="7"/>
      <c r="B76" s="47"/>
      <c r="C76" s="24" t="s">
        <v>134</v>
      </c>
      <c r="D76" s="45"/>
      <c r="E76" s="6">
        <v>0</v>
      </c>
      <c r="F76" s="6">
        <v>1</v>
      </c>
      <c r="G76" s="6">
        <v>0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f t="shared" si="23"/>
        <v>4</v>
      </c>
    </row>
    <row r="77" spans="1:20" x14ac:dyDescent="0.4">
      <c r="A77" s="7"/>
      <c r="B77" s="47"/>
      <c r="C77" s="24" t="s">
        <v>135</v>
      </c>
      <c r="D77" s="45"/>
      <c r="E77" s="6">
        <v>0</v>
      </c>
      <c r="F77" s="6">
        <v>1</v>
      </c>
      <c r="G77" s="6">
        <v>0</v>
      </c>
      <c r="H77" s="6">
        <v>0</v>
      </c>
      <c r="I77" s="6">
        <v>0</v>
      </c>
      <c r="J77" s="6">
        <v>2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5">
        <f t="shared" si="23"/>
        <v>5</v>
      </c>
    </row>
    <row r="78" spans="1:20" x14ac:dyDescent="0.4">
      <c r="A78" s="7"/>
      <c r="B78" s="47"/>
      <c r="C78" s="24" t="s">
        <v>136</v>
      </c>
      <c r="D78" s="45"/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3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1</v>
      </c>
      <c r="S78" s="6">
        <v>2</v>
      </c>
      <c r="T78" s="5">
        <f t="shared" si="23"/>
        <v>8</v>
      </c>
    </row>
    <row r="79" spans="1:20" x14ac:dyDescent="0.4">
      <c r="A79" s="6" t="s">
        <v>26</v>
      </c>
      <c r="B79" s="74" t="s">
        <v>51</v>
      </c>
      <c r="C79" s="54"/>
      <c r="D79" s="55"/>
      <c r="E79" s="6">
        <f t="shared" ref="E79:T79" si="24">SUM(E69:E78)</f>
        <v>29</v>
      </c>
      <c r="F79" s="6">
        <f t="shared" si="24"/>
        <v>12</v>
      </c>
      <c r="G79" s="6">
        <f t="shared" si="24"/>
        <v>36</v>
      </c>
      <c r="H79" s="6">
        <f t="shared" si="24"/>
        <v>44</v>
      </c>
      <c r="I79" s="6">
        <f t="shared" si="24"/>
        <v>49</v>
      </c>
      <c r="J79" s="6">
        <f t="shared" si="24"/>
        <v>64</v>
      </c>
      <c r="K79" s="6">
        <f t="shared" si="24"/>
        <v>49</v>
      </c>
      <c r="L79" s="6">
        <f t="shared" si="24"/>
        <v>48</v>
      </c>
      <c r="M79" s="6">
        <f t="shared" si="24"/>
        <v>49</v>
      </c>
      <c r="N79" s="6">
        <f t="shared" si="24"/>
        <v>78</v>
      </c>
      <c r="O79" s="6">
        <f t="shared" si="24"/>
        <v>43</v>
      </c>
      <c r="P79" s="6">
        <f t="shared" si="24"/>
        <v>54</v>
      </c>
      <c r="Q79" s="6">
        <f t="shared" si="24"/>
        <v>33</v>
      </c>
      <c r="R79" s="6">
        <f t="shared" si="24"/>
        <v>33</v>
      </c>
      <c r="S79" s="6">
        <f t="shared" si="24"/>
        <v>47</v>
      </c>
      <c r="T79" s="6">
        <f t="shared" si="24"/>
        <v>668</v>
      </c>
    </row>
    <row r="80" spans="1:20" x14ac:dyDescent="0.4">
      <c r="A80" s="81"/>
      <c r="B80" s="80"/>
      <c r="C80" s="80"/>
      <c r="D80" s="80"/>
      <c r="E80" s="80"/>
    </row>
    <row r="81" spans="1:20" x14ac:dyDescent="0.4">
      <c r="A81" s="11" t="s">
        <v>48</v>
      </c>
      <c r="B81" s="17" t="s">
        <v>34</v>
      </c>
      <c r="C81" s="83" t="s">
        <v>54</v>
      </c>
      <c r="D81" s="55"/>
      <c r="E81" s="6">
        <v>17</v>
      </c>
      <c r="F81" s="6">
        <v>10</v>
      </c>
      <c r="G81" s="6">
        <v>8</v>
      </c>
      <c r="H81" s="6">
        <v>8</v>
      </c>
      <c r="I81" s="6">
        <v>5</v>
      </c>
      <c r="J81" s="6">
        <v>9</v>
      </c>
      <c r="K81" s="6">
        <v>3</v>
      </c>
      <c r="L81" s="6">
        <v>1</v>
      </c>
      <c r="M81" s="6">
        <v>9</v>
      </c>
      <c r="N81" s="6">
        <v>7</v>
      </c>
      <c r="O81" s="6">
        <v>10</v>
      </c>
      <c r="P81" s="6">
        <v>6</v>
      </c>
      <c r="Q81" s="6">
        <v>6</v>
      </c>
      <c r="R81" s="6">
        <v>18</v>
      </c>
      <c r="S81" s="6">
        <v>12</v>
      </c>
      <c r="T81" s="5">
        <f t="shared" ref="T81:T90" si="25">SUM(E81:S81)</f>
        <v>129</v>
      </c>
    </row>
    <row r="82" spans="1:20" x14ac:dyDescent="0.4">
      <c r="A82" s="11" t="s">
        <v>50</v>
      </c>
      <c r="B82" s="47"/>
      <c r="C82" s="24" t="s">
        <v>137</v>
      </c>
      <c r="D82" s="45"/>
      <c r="E82" s="6">
        <v>19</v>
      </c>
      <c r="F82" s="6">
        <v>15</v>
      </c>
      <c r="G82" s="6">
        <v>34</v>
      </c>
      <c r="H82" s="6">
        <v>22</v>
      </c>
      <c r="I82" s="6">
        <v>3</v>
      </c>
      <c r="J82" s="6">
        <v>7</v>
      </c>
      <c r="K82" s="6">
        <v>22</v>
      </c>
      <c r="L82" s="6">
        <v>5</v>
      </c>
      <c r="M82" s="6">
        <v>3</v>
      </c>
      <c r="N82" s="6">
        <v>3</v>
      </c>
      <c r="O82" s="6">
        <v>10</v>
      </c>
      <c r="P82" s="6">
        <v>17</v>
      </c>
      <c r="Q82" s="6">
        <v>5</v>
      </c>
      <c r="R82" s="6">
        <v>73</v>
      </c>
      <c r="S82" s="6">
        <v>9</v>
      </c>
      <c r="T82" s="5">
        <f t="shared" si="25"/>
        <v>247</v>
      </c>
    </row>
    <row r="83" spans="1:20" x14ac:dyDescent="0.4">
      <c r="A83" s="7"/>
      <c r="B83" s="47"/>
      <c r="C83" s="24" t="s">
        <v>138</v>
      </c>
      <c r="D83" s="45"/>
      <c r="E83" s="6">
        <v>2</v>
      </c>
      <c r="F83" s="6">
        <v>0</v>
      </c>
      <c r="G83" s="6">
        <v>4</v>
      </c>
      <c r="H83" s="6">
        <v>0</v>
      </c>
      <c r="I83" s="6">
        <v>3</v>
      </c>
      <c r="J83" s="6">
        <v>2</v>
      </c>
      <c r="K83" s="6">
        <v>2</v>
      </c>
      <c r="L83" s="6">
        <v>0</v>
      </c>
      <c r="M83" s="6">
        <v>1</v>
      </c>
      <c r="N83" s="6">
        <v>1</v>
      </c>
      <c r="O83" s="6">
        <v>2</v>
      </c>
      <c r="P83" s="6">
        <v>3</v>
      </c>
      <c r="Q83" s="6">
        <v>4</v>
      </c>
      <c r="R83" s="6">
        <v>1</v>
      </c>
      <c r="S83" s="6">
        <v>2</v>
      </c>
      <c r="T83" s="5">
        <f t="shared" si="25"/>
        <v>27</v>
      </c>
    </row>
    <row r="84" spans="1:20" x14ac:dyDescent="0.4">
      <c r="A84" s="7"/>
      <c r="B84" s="47"/>
      <c r="C84" s="24" t="s">
        <v>139</v>
      </c>
      <c r="D84" s="45"/>
      <c r="E84" s="6">
        <v>2</v>
      </c>
      <c r="F84" s="6">
        <v>2</v>
      </c>
      <c r="G84" s="6">
        <v>3</v>
      </c>
      <c r="H84" s="6">
        <v>1</v>
      </c>
      <c r="I84" s="6">
        <v>2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2</v>
      </c>
      <c r="P84" s="6">
        <v>1</v>
      </c>
      <c r="Q84" s="6">
        <v>3</v>
      </c>
      <c r="R84" s="6">
        <v>1</v>
      </c>
      <c r="S84" s="6">
        <v>3</v>
      </c>
      <c r="T84" s="5">
        <f t="shared" si="25"/>
        <v>21</v>
      </c>
    </row>
    <row r="85" spans="1:20" ht="13.15" customHeight="1" x14ac:dyDescent="0.4">
      <c r="A85" s="7"/>
      <c r="B85" s="47"/>
      <c r="C85" s="24" t="s">
        <v>140</v>
      </c>
      <c r="D85" s="45"/>
      <c r="E85" s="6">
        <v>1</v>
      </c>
      <c r="F85" s="6">
        <v>0</v>
      </c>
      <c r="G85" s="6">
        <v>1</v>
      </c>
      <c r="H85" s="6">
        <v>2</v>
      </c>
      <c r="I85" s="6">
        <v>3</v>
      </c>
      <c r="J85" s="6">
        <v>0</v>
      </c>
      <c r="K85" s="6">
        <v>2</v>
      </c>
      <c r="L85" s="6">
        <v>2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16</v>
      </c>
      <c r="T85" s="5">
        <f t="shared" si="25"/>
        <v>33</v>
      </c>
    </row>
    <row r="86" spans="1:20" x14ac:dyDescent="0.4">
      <c r="A86" s="7"/>
      <c r="B86" s="47"/>
      <c r="C86" s="24" t="s">
        <v>141</v>
      </c>
      <c r="D86" s="45"/>
      <c r="E86" s="6">
        <v>41</v>
      </c>
      <c r="F86" s="6">
        <v>4</v>
      </c>
      <c r="G86" s="6">
        <v>0</v>
      </c>
      <c r="H86" s="6">
        <v>6</v>
      </c>
      <c r="I86" s="6">
        <v>0</v>
      </c>
      <c r="J86" s="6">
        <v>0</v>
      </c>
      <c r="K86" s="6">
        <v>1</v>
      </c>
      <c r="L86" s="6">
        <v>0</v>
      </c>
      <c r="M86" s="6">
        <v>2</v>
      </c>
      <c r="N86" s="6">
        <v>0</v>
      </c>
      <c r="O86" s="6">
        <v>12</v>
      </c>
      <c r="P86" s="6">
        <v>1</v>
      </c>
      <c r="Q86" s="6">
        <v>1</v>
      </c>
      <c r="R86" s="6">
        <v>0</v>
      </c>
      <c r="S86" s="6">
        <v>0</v>
      </c>
      <c r="T86" s="5">
        <f t="shared" si="25"/>
        <v>68</v>
      </c>
    </row>
    <row r="87" spans="1:20" x14ac:dyDescent="0.4">
      <c r="A87" s="7"/>
      <c r="B87" s="47"/>
      <c r="C87" s="24" t="s">
        <v>142</v>
      </c>
      <c r="D87" s="45"/>
      <c r="E87" s="6">
        <v>0</v>
      </c>
      <c r="F87" s="6">
        <v>0</v>
      </c>
      <c r="G87" s="6">
        <v>3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  <c r="M87" s="6">
        <v>1</v>
      </c>
      <c r="N87" s="6">
        <v>1</v>
      </c>
      <c r="O87" s="6">
        <v>2</v>
      </c>
      <c r="P87" s="6">
        <v>0</v>
      </c>
      <c r="Q87" s="6">
        <v>0</v>
      </c>
      <c r="R87" s="6">
        <v>0</v>
      </c>
      <c r="S87" s="6">
        <v>0</v>
      </c>
      <c r="T87" s="5">
        <f t="shared" si="25"/>
        <v>9</v>
      </c>
    </row>
    <row r="88" spans="1:20" x14ac:dyDescent="0.4">
      <c r="A88" s="7"/>
      <c r="B88" s="47"/>
      <c r="C88" s="24" t="s">
        <v>143</v>
      </c>
      <c r="D88" s="45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1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5">
        <f t="shared" si="25"/>
        <v>4</v>
      </c>
    </row>
    <row r="89" spans="1:20" x14ac:dyDescent="0.4">
      <c r="A89" s="7"/>
      <c r="B89" s="47"/>
      <c r="C89" s="24" t="s">
        <v>144</v>
      </c>
      <c r="D89" s="45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>
        <f t="shared" si="25"/>
        <v>0</v>
      </c>
    </row>
    <row r="90" spans="1:20" x14ac:dyDescent="0.4">
      <c r="A90" s="7"/>
      <c r="B90" s="47"/>
      <c r="C90" s="24" t="s">
        <v>145</v>
      </c>
      <c r="D90" s="45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5">
        <f t="shared" si="25"/>
        <v>0</v>
      </c>
    </row>
    <row r="91" spans="1:20" x14ac:dyDescent="0.4">
      <c r="A91" s="6" t="s">
        <v>26</v>
      </c>
      <c r="B91" s="74" t="s">
        <v>51</v>
      </c>
      <c r="C91" s="54"/>
      <c r="D91" s="55"/>
      <c r="E91" s="6">
        <f t="shared" ref="E91:T91" si="26">SUM(E81:E90)</f>
        <v>82</v>
      </c>
      <c r="F91" s="6">
        <f t="shared" si="26"/>
        <v>31</v>
      </c>
      <c r="G91" s="6">
        <f t="shared" si="26"/>
        <v>54</v>
      </c>
      <c r="H91" s="6">
        <f t="shared" si="26"/>
        <v>39</v>
      </c>
      <c r="I91" s="6">
        <f t="shared" si="26"/>
        <v>17</v>
      </c>
      <c r="J91" s="6">
        <f t="shared" si="26"/>
        <v>19</v>
      </c>
      <c r="K91" s="6">
        <f t="shared" si="26"/>
        <v>32</v>
      </c>
      <c r="L91" s="6">
        <f t="shared" si="26"/>
        <v>9</v>
      </c>
      <c r="M91" s="6">
        <f t="shared" si="26"/>
        <v>17</v>
      </c>
      <c r="N91" s="6">
        <f t="shared" si="26"/>
        <v>13</v>
      </c>
      <c r="O91" s="6">
        <f t="shared" si="26"/>
        <v>39</v>
      </c>
      <c r="P91" s="6">
        <f t="shared" si="26"/>
        <v>29</v>
      </c>
      <c r="Q91" s="6">
        <f t="shared" si="26"/>
        <v>21</v>
      </c>
      <c r="R91" s="6">
        <f t="shared" si="26"/>
        <v>94</v>
      </c>
      <c r="S91" s="6">
        <f t="shared" si="26"/>
        <v>42</v>
      </c>
      <c r="T91" s="6">
        <f t="shared" si="26"/>
        <v>538</v>
      </c>
    </row>
    <row r="92" spans="1:20" x14ac:dyDescent="0.4">
      <c r="A92" s="81"/>
      <c r="B92" s="80"/>
      <c r="C92" s="80"/>
      <c r="D92" s="80"/>
      <c r="E92" s="80"/>
    </row>
    <row r="93" spans="1:20" x14ac:dyDescent="0.4">
      <c r="A93" s="11" t="s">
        <v>48</v>
      </c>
      <c r="B93" s="17" t="s">
        <v>55</v>
      </c>
      <c r="C93" s="83" t="s">
        <v>56</v>
      </c>
      <c r="D93" s="55"/>
      <c r="E93" s="6">
        <v>4</v>
      </c>
      <c r="F93" s="6">
        <v>1</v>
      </c>
      <c r="G93" s="6">
        <v>5</v>
      </c>
      <c r="H93" s="6">
        <v>0</v>
      </c>
      <c r="I93" s="6">
        <v>1</v>
      </c>
      <c r="J93" s="6">
        <v>3</v>
      </c>
      <c r="K93" s="6">
        <v>5</v>
      </c>
      <c r="L93" s="6">
        <v>1</v>
      </c>
      <c r="M93" s="6">
        <v>1</v>
      </c>
      <c r="N93" s="6">
        <v>1</v>
      </c>
      <c r="O93" s="6">
        <v>2</v>
      </c>
      <c r="P93" s="6">
        <v>2</v>
      </c>
      <c r="Q93" s="6">
        <v>6</v>
      </c>
      <c r="R93" s="6">
        <v>0</v>
      </c>
      <c r="S93" s="6">
        <v>0</v>
      </c>
      <c r="T93" s="5">
        <f t="shared" ref="T93:T102" si="27">SUM(E93:S93)</f>
        <v>32</v>
      </c>
    </row>
    <row r="94" spans="1:20" x14ac:dyDescent="0.4">
      <c r="A94" s="11" t="s">
        <v>50</v>
      </c>
      <c r="B94" s="47"/>
      <c r="C94" s="24" t="s">
        <v>146</v>
      </c>
      <c r="D94" s="45"/>
      <c r="E94" s="6">
        <v>5</v>
      </c>
      <c r="F94" s="6">
        <v>0</v>
      </c>
      <c r="G94" s="6">
        <v>7</v>
      </c>
      <c r="H94" s="6">
        <v>0</v>
      </c>
      <c r="I94" s="6">
        <v>0</v>
      </c>
      <c r="J94" s="6">
        <v>4</v>
      </c>
      <c r="K94" s="6">
        <v>0</v>
      </c>
      <c r="L94" s="6">
        <v>5</v>
      </c>
      <c r="M94" s="6">
        <v>0</v>
      </c>
      <c r="N94" s="6">
        <v>2</v>
      </c>
      <c r="O94" s="6">
        <v>2</v>
      </c>
      <c r="P94" s="6">
        <v>0</v>
      </c>
      <c r="Q94" s="6">
        <v>17</v>
      </c>
      <c r="R94" s="6">
        <v>0</v>
      </c>
      <c r="S94" s="6">
        <v>0</v>
      </c>
      <c r="T94" s="5">
        <f t="shared" si="27"/>
        <v>42</v>
      </c>
    </row>
    <row r="95" spans="1:20" x14ac:dyDescent="0.4">
      <c r="A95" s="7"/>
      <c r="B95" s="47"/>
      <c r="C95" s="24" t="s">
        <v>147</v>
      </c>
      <c r="D95" s="45"/>
      <c r="E95" s="6">
        <v>2</v>
      </c>
      <c r="F95" s="6">
        <v>2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2</v>
      </c>
      <c r="R95" s="6">
        <v>0</v>
      </c>
      <c r="S95" s="6">
        <v>0</v>
      </c>
      <c r="T95" s="5">
        <f t="shared" si="27"/>
        <v>7</v>
      </c>
    </row>
    <row r="96" spans="1:20" ht="13.15" customHeight="1" x14ac:dyDescent="0.4">
      <c r="A96" s="7"/>
      <c r="B96" s="47"/>
      <c r="C96" s="24" t="s">
        <v>148</v>
      </c>
      <c r="D96" s="45"/>
      <c r="E96" s="6">
        <v>0</v>
      </c>
      <c r="F96" s="6">
        <v>1</v>
      </c>
      <c r="G96" s="6">
        <v>2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7"/>
        <v>3</v>
      </c>
    </row>
    <row r="97" spans="1:20" x14ac:dyDescent="0.4">
      <c r="A97" s="7"/>
      <c r="B97" s="47"/>
      <c r="C97" s="24" t="s">
        <v>149</v>
      </c>
      <c r="D97" s="45"/>
      <c r="E97" s="6">
        <v>0</v>
      </c>
      <c r="F97" s="6">
        <v>0</v>
      </c>
      <c r="G97" s="6">
        <v>1</v>
      </c>
      <c r="H97" s="6">
        <v>1</v>
      </c>
      <c r="I97" s="6">
        <v>1</v>
      </c>
      <c r="J97" s="6">
        <v>0</v>
      </c>
      <c r="K97" s="6">
        <v>0</v>
      </c>
      <c r="L97" s="6">
        <v>2</v>
      </c>
      <c r="M97" s="6">
        <v>1</v>
      </c>
      <c r="N97" s="6">
        <v>0</v>
      </c>
      <c r="O97" s="6">
        <v>0</v>
      </c>
      <c r="P97" s="6">
        <v>0</v>
      </c>
      <c r="Q97" s="6">
        <v>2</v>
      </c>
      <c r="R97" s="6">
        <v>0</v>
      </c>
      <c r="S97" s="6">
        <v>1</v>
      </c>
      <c r="T97" s="5">
        <f t="shared" si="27"/>
        <v>9</v>
      </c>
    </row>
    <row r="98" spans="1:20" x14ac:dyDescent="0.4">
      <c r="A98" s="7"/>
      <c r="B98" s="47"/>
      <c r="C98" s="24" t="s">
        <v>150</v>
      </c>
      <c r="D98" s="45"/>
      <c r="E98" s="6">
        <v>1</v>
      </c>
      <c r="F98" s="6">
        <v>1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1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5">
        <f t="shared" si="27"/>
        <v>7</v>
      </c>
    </row>
    <row r="99" spans="1:20" x14ac:dyDescent="0.4">
      <c r="A99" s="7"/>
      <c r="B99" s="47"/>
      <c r="C99" s="24" t="s">
        <v>151</v>
      </c>
      <c r="D99" s="45"/>
      <c r="E99" s="6">
        <v>2</v>
      </c>
      <c r="F99" s="6">
        <v>1</v>
      </c>
      <c r="G99" s="6">
        <v>3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1</v>
      </c>
      <c r="Q99" s="6">
        <v>2</v>
      </c>
      <c r="R99" s="6">
        <v>0</v>
      </c>
      <c r="S99" s="6">
        <v>0</v>
      </c>
      <c r="T99" s="5">
        <f t="shared" si="27"/>
        <v>11</v>
      </c>
    </row>
    <row r="100" spans="1:20" x14ac:dyDescent="0.4">
      <c r="A100" s="7"/>
      <c r="B100" s="47"/>
      <c r="C100" s="24" t="s">
        <v>152</v>
      </c>
      <c r="D100" s="45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5">
        <f t="shared" si="27"/>
        <v>1</v>
      </c>
    </row>
    <row r="101" spans="1:20" x14ac:dyDescent="0.4">
      <c r="A101" s="7"/>
      <c r="B101" s="47"/>
      <c r="C101" s="24" t="s">
        <v>153</v>
      </c>
      <c r="D101" s="45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</v>
      </c>
      <c r="R101" s="6">
        <v>0</v>
      </c>
      <c r="S101" s="6">
        <v>1</v>
      </c>
      <c r="T101" s="5">
        <f t="shared" si="27"/>
        <v>2</v>
      </c>
    </row>
    <row r="102" spans="1:20" x14ac:dyDescent="0.4">
      <c r="A102" s="7"/>
      <c r="B102" s="47"/>
      <c r="C102" s="24" t="s">
        <v>154</v>
      </c>
      <c r="D102" s="45"/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0</v>
      </c>
      <c r="S102" s="6">
        <v>0</v>
      </c>
      <c r="T102" s="5">
        <f t="shared" si="27"/>
        <v>3</v>
      </c>
    </row>
    <row r="103" spans="1:20" x14ac:dyDescent="0.4">
      <c r="A103" s="6" t="s">
        <v>26</v>
      </c>
      <c r="B103" s="74" t="s">
        <v>51</v>
      </c>
      <c r="C103" s="54"/>
      <c r="D103" s="55"/>
      <c r="E103" s="6">
        <f t="shared" ref="E103:T103" si="28">SUM(E93:E102)</f>
        <v>15</v>
      </c>
      <c r="F103" s="6">
        <f t="shared" si="28"/>
        <v>6</v>
      </c>
      <c r="G103" s="6">
        <f t="shared" si="28"/>
        <v>21</v>
      </c>
      <c r="H103" s="6">
        <f t="shared" si="28"/>
        <v>2</v>
      </c>
      <c r="I103" s="6">
        <f t="shared" si="28"/>
        <v>2</v>
      </c>
      <c r="J103" s="6">
        <f t="shared" si="28"/>
        <v>8</v>
      </c>
      <c r="K103" s="6">
        <f t="shared" si="28"/>
        <v>6</v>
      </c>
      <c r="L103" s="6">
        <f t="shared" si="28"/>
        <v>9</v>
      </c>
      <c r="M103" s="6">
        <f t="shared" si="28"/>
        <v>2</v>
      </c>
      <c r="N103" s="6">
        <f t="shared" si="28"/>
        <v>5</v>
      </c>
      <c r="O103" s="6">
        <f t="shared" si="28"/>
        <v>4</v>
      </c>
      <c r="P103" s="6">
        <f t="shared" si="28"/>
        <v>3</v>
      </c>
      <c r="Q103" s="6">
        <f t="shared" si="28"/>
        <v>32</v>
      </c>
      <c r="R103" s="6">
        <f t="shared" si="28"/>
        <v>0</v>
      </c>
      <c r="S103" s="6">
        <f t="shared" si="28"/>
        <v>2</v>
      </c>
      <c r="T103" s="6">
        <f t="shared" si="28"/>
        <v>117</v>
      </c>
    </row>
    <row r="104" spans="1:20" x14ac:dyDescent="0.4">
      <c r="A104" s="81"/>
      <c r="B104" s="80"/>
      <c r="C104" s="80"/>
      <c r="D104" s="80"/>
      <c r="E104" s="80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4">
      <c r="A105" s="11" t="s">
        <v>48</v>
      </c>
      <c r="B105" s="17" t="s">
        <v>57</v>
      </c>
      <c r="C105" s="83" t="s">
        <v>58</v>
      </c>
      <c r="D105" s="55"/>
      <c r="E105" s="6">
        <v>2</v>
      </c>
      <c r="F105" s="6">
        <v>2</v>
      </c>
      <c r="G105" s="6">
        <v>5</v>
      </c>
      <c r="H105" s="6">
        <v>3</v>
      </c>
      <c r="I105" s="6">
        <v>0</v>
      </c>
      <c r="J105" s="6">
        <v>1</v>
      </c>
      <c r="K105" s="6">
        <v>2</v>
      </c>
      <c r="L105" s="6">
        <v>0</v>
      </c>
      <c r="M105" s="6">
        <v>3</v>
      </c>
      <c r="N105" s="6">
        <v>11</v>
      </c>
      <c r="O105" s="6">
        <v>6</v>
      </c>
      <c r="P105" s="6">
        <v>4</v>
      </c>
      <c r="Q105" s="6">
        <v>8</v>
      </c>
      <c r="R105" s="6">
        <v>0</v>
      </c>
      <c r="S105" s="6">
        <v>5</v>
      </c>
      <c r="T105" s="5">
        <f>SUM(E105:S105)</f>
        <v>52</v>
      </c>
    </row>
    <row r="106" spans="1:20" x14ac:dyDescent="0.4">
      <c r="A106" s="11" t="s">
        <v>50</v>
      </c>
      <c r="B106" s="47"/>
      <c r="C106" s="24" t="s">
        <v>155</v>
      </c>
      <c r="D106" s="45"/>
      <c r="E106" s="6">
        <v>0</v>
      </c>
      <c r="F106" s="6">
        <v>0</v>
      </c>
      <c r="G106" s="6">
        <v>2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5">
        <f>SUM(E106:S106)</f>
        <v>2</v>
      </c>
    </row>
    <row r="107" spans="1:20" ht="13.15" customHeight="1" x14ac:dyDescent="0.4">
      <c r="A107" s="7"/>
      <c r="B107" s="47"/>
      <c r="C107" s="24" t="s">
        <v>156</v>
      </c>
      <c r="D107" s="45"/>
      <c r="E107" s="6">
        <v>1</v>
      </c>
      <c r="F107" s="6">
        <v>0</v>
      </c>
      <c r="G107" s="6">
        <v>1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5">
        <f>SUM(E107:S107)</f>
        <v>3</v>
      </c>
    </row>
    <row r="108" spans="1:20" ht="13.15" customHeight="1" x14ac:dyDescent="0.4">
      <c r="A108" s="6" t="s">
        <v>26</v>
      </c>
      <c r="B108" s="74" t="s">
        <v>51</v>
      </c>
      <c r="C108" s="84"/>
      <c r="D108" s="85"/>
      <c r="E108" s="6">
        <f t="shared" ref="E108:T108" si="29">SUM(E105:E107)</f>
        <v>3</v>
      </c>
      <c r="F108" s="6">
        <f t="shared" si="29"/>
        <v>2</v>
      </c>
      <c r="G108" s="6">
        <f t="shared" si="29"/>
        <v>8</v>
      </c>
      <c r="H108" s="6">
        <f t="shared" si="29"/>
        <v>4</v>
      </c>
      <c r="I108" s="6">
        <f t="shared" si="29"/>
        <v>0</v>
      </c>
      <c r="J108" s="6">
        <f t="shared" si="29"/>
        <v>1</v>
      </c>
      <c r="K108" s="6">
        <f t="shared" si="29"/>
        <v>2</v>
      </c>
      <c r="L108" s="6">
        <f t="shared" si="29"/>
        <v>0</v>
      </c>
      <c r="M108" s="6">
        <f t="shared" si="29"/>
        <v>3</v>
      </c>
      <c r="N108" s="6">
        <f t="shared" si="29"/>
        <v>11</v>
      </c>
      <c r="O108" s="6">
        <f t="shared" si="29"/>
        <v>6</v>
      </c>
      <c r="P108" s="6">
        <f t="shared" si="29"/>
        <v>4</v>
      </c>
      <c r="Q108" s="6">
        <f t="shared" si="29"/>
        <v>8</v>
      </c>
      <c r="R108" s="6">
        <f t="shared" si="29"/>
        <v>0</v>
      </c>
      <c r="S108" s="6">
        <f t="shared" si="29"/>
        <v>5</v>
      </c>
      <c r="T108" s="6">
        <f t="shared" si="29"/>
        <v>57</v>
      </c>
    </row>
    <row r="109" spans="1:20" x14ac:dyDescent="0.4">
      <c r="A109" s="53"/>
      <c r="B109" s="75"/>
      <c r="C109" s="75"/>
      <c r="D109" s="75"/>
      <c r="E109" s="86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5"/>
    </row>
    <row r="110" spans="1:20" x14ac:dyDescent="0.4">
      <c r="A110" s="11" t="s">
        <v>48</v>
      </c>
      <c r="B110" s="17" t="s">
        <v>59</v>
      </c>
      <c r="C110" s="83" t="s">
        <v>60</v>
      </c>
      <c r="D110" s="55"/>
      <c r="E110" s="6">
        <v>0</v>
      </c>
      <c r="F110" s="6">
        <v>0</v>
      </c>
      <c r="G110" s="6">
        <v>0</v>
      </c>
      <c r="H110" s="6">
        <v>0</v>
      </c>
      <c r="I110" s="6">
        <v>1</v>
      </c>
      <c r="J110" s="6">
        <v>0</v>
      </c>
      <c r="K110" s="6">
        <v>2</v>
      </c>
      <c r="L110" s="6">
        <v>0</v>
      </c>
      <c r="M110" s="6">
        <v>0</v>
      </c>
      <c r="N110" s="6">
        <v>1</v>
      </c>
      <c r="O110" s="6">
        <v>0</v>
      </c>
      <c r="P110" s="6">
        <v>1</v>
      </c>
      <c r="Q110" s="6">
        <v>1</v>
      </c>
      <c r="R110" s="6">
        <v>0</v>
      </c>
      <c r="S110" s="6">
        <v>1</v>
      </c>
      <c r="T110" s="5">
        <f t="shared" ref="T110:T115" si="30">SUM(E110:S110)</f>
        <v>7</v>
      </c>
    </row>
    <row r="111" spans="1:20" x14ac:dyDescent="0.4">
      <c r="A111" s="11" t="s">
        <v>50</v>
      </c>
      <c r="B111" s="47"/>
      <c r="C111" s="24" t="s">
        <v>157</v>
      </c>
      <c r="D111" s="45"/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1</v>
      </c>
      <c r="M111" s="6">
        <v>0</v>
      </c>
      <c r="N111" s="6">
        <v>0</v>
      </c>
      <c r="O111" s="6">
        <v>1</v>
      </c>
      <c r="P111" s="6">
        <v>0</v>
      </c>
      <c r="Q111" s="6">
        <v>0</v>
      </c>
      <c r="R111" s="6">
        <v>1</v>
      </c>
      <c r="S111" s="6">
        <v>0</v>
      </c>
      <c r="T111" s="5">
        <f t="shared" si="30"/>
        <v>3</v>
      </c>
    </row>
    <row r="112" spans="1:20" x14ac:dyDescent="0.4">
      <c r="A112" s="7"/>
      <c r="B112" s="47"/>
      <c r="C112" s="24" t="s">
        <v>158</v>
      </c>
      <c r="D112" s="45"/>
      <c r="E112" s="6">
        <v>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5">
        <f t="shared" si="30"/>
        <v>1</v>
      </c>
    </row>
    <row r="113" spans="1:20" x14ac:dyDescent="0.4">
      <c r="A113" s="7"/>
      <c r="B113" s="47"/>
      <c r="C113" s="24" t="s">
        <v>159</v>
      </c>
      <c r="D113" s="45"/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5">
        <f t="shared" si="30"/>
        <v>0</v>
      </c>
    </row>
    <row r="114" spans="1:20" x14ac:dyDescent="0.4">
      <c r="A114" s="7"/>
      <c r="B114" s="47"/>
      <c r="C114" s="24" t="s">
        <v>160</v>
      </c>
      <c r="D114" s="45"/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5">
        <f t="shared" si="30"/>
        <v>0</v>
      </c>
    </row>
    <row r="115" spans="1:20" x14ac:dyDescent="0.4">
      <c r="A115" s="7"/>
      <c r="B115" s="47"/>
      <c r="C115" s="24" t="s">
        <v>161</v>
      </c>
      <c r="D115" s="45"/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5">
        <f t="shared" si="30"/>
        <v>0</v>
      </c>
    </row>
    <row r="116" spans="1:20" x14ac:dyDescent="0.4">
      <c r="A116" s="6" t="s">
        <v>26</v>
      </c>
      <c r="B116" s="74" t="s">
        <v>51</v>
      </c>
      <c r="C116" s="84"/>
      <c r="D116" s="85"/>
      <c r="E116" s="6">
        <f t="shared" ref="E116:T116" si="31">SUM(E110:E115)</f>
        <v>1</v>
      </c>
      <c r="F116" s="6">
        <f t="shared" si="31"/>
        <v>0</v>
      </c>
      <c r="G116" s="6">
        <f t="shared" si="31"/>
        <v>0</v>
      </c>
      <c r="H116" s="6">
        <f t="shared" si="31"/>
        <v>0</v>
      </c>
      <c r="I116" s="6">
        <f t="shared" si="31"/>
        <v>1</v>
      </c>
      <c r="J116" s="6">
        <f t="shared" si="31"/>
        <v>0</v>
      </c>
      <c r="K116" s="6">
        <f t="shared" si="31"/>
        <v>2</v>
      </c>
      <c r="L116" s="6">
        <f t="shared" si="31"/>
        <v>1</v>
      </c>
      <c r="M116" s="6">
        <f t="shared" si="31"/>
        <v>0</v>
      </c>
      <c r="N116" s="6">
        <f t="shared" si="31"/>
        <v>1</v>
      </c>
      <c r="O116" s="6">
        <f t="shared" si="31"/>
        <v>1</v>
      </c>
      <c r="P116" s="6">
        <f t="shared" si="31"/>
        <v>1</v>
      </c>
      <c r="Q116" s="6">
        <f t="shared" si="31"/>
        <v>1</v>
      </c>
      <c r="R116" s="6">
        <f t="shared" si="31"/>
        <v>1</v>
      </c>
      <c r="S116" s="6">
        <f t="shared" si="31"/>
        <v>1</v>
      </c>
      <c r="T116" s="6">
        <f t="shared" si="31"/>
        <v>11</v>
      </c>
    </row>
    <row r="117" spans="1:20" x14ac:dyDescent="0.4">
      <c r="A117" s="53"/>
      <c r="B117" s="75"/>
      <c r="C117" s="75"/>
      <c r="D117" s="75"/>
      <c r="E117" s="86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 x14ac:dyDescent="0.4">
      <c r="A118" s="11" t="s">
        <v>48</v>
      </c>
      <c r="B118" s="17" t="s">
        <v>61</v>
      </c>
      <c r="C118" s="83" t="s">
        <v>62</v>
      </c>
      <c r="D118" s="55"/>
      <c r="E118" s="6">
        <v>0</v>
      </c>
      <c r="F118" s="6">
        <v>0</v>
      </c>
      <c r="G118" s="6">
        <v>0</v>
      </c>
      <c r="H118" s="6">
        <v>1</v>
      </c>
      <c r="I118" s="6">
        <v>1</v>
      </c>
      <c r="J118" s="6">
        <v>0</v>
      </c>
      <c r="K118" s="6">
        <v>1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1</v>
      </c>
      <c r="R118" s="6">
        <v>0</v>
      </c>
      <c r="S118" s="6">
        <v>1</v>
      </c>
      <c r="T118" s="5">
        <f t="shared" ref="T118:T127" si="32">SUM(E118:S118)</f>
        <v>6</v>
      </c>
    </row>
    <row r="119" spans="1:20" ht="13.15" customHeight="1" x14ac:dyDescent="0.4">
      <c r="A119" s="11" t="s">
        <v>50</v>
      </c>
      <c r="B119" s="47"/>
      <c r="C119" s="24" t="s">
        <v>162</v>
      </c>
      <c r="D119" s="48"/>
      <c r="E119" s="6">
        <v>1</v>
      </c>
      <c r="F119" s="6">
        <v>1</v>
      </c>
      <c r="G119" s="6">
        <v>2</v>
      </c>
      <c r="H119" s="6">
        <v>2</v>
      </c>
      <c r="I119" s="6">
        <v>3</v>
      </c>
      <c r="J119" s="6">
        <v>2</v>
      </c>
      <c r="K119" s="6">
        <v>3</v>
      </c>
      <c r="L119" s="6">
        <v>0</v>
      </c>
      <c r="M119" s="6">
        <v>2</v>
      </c>
      <c r="N119" s="6">
        <v>2</v>
      </c>
      <c r="O119" s="6">
        <v>0</v>
      </c>
      <c r="P119" s="6">
        <v>0</v>
      </c>
      <c r="Q119" s="6">
        <v>3</v>
      </c>
      <c r="R119" s="6">
        <v>0</v>
      </c>
      <c r="S119" s="6">
        <v>0</v>
      </c>
      <c r="T119" s="5">
        <f t="shared" si="32"/>
        <v>21</v>
      </c>
    </row>
    <row r="120" spans="1:20" x14ac:dyDescent="0.4">
      <c r="A120" s="7"/>
      <c r="B120" s="47"/>
      <c r="C120" s="24" t="s">
        <v>163</v>
      </c>
      <c r="D120" s="48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2"/>
        <v>0</v>
      </c>
    </row>
    <row r="121" spans="1:20" x14ac:dyDescent="0.4">
      <c r="A121" s="7"/>
      <c r="B121" s="47"/>
      <c r="C121" s="24" t="s">
        <v>164</v>
      </c>
      <c r="D121" s="48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1</v>
      </c>
      <c r="R121" s="6">
        <v>0</v>
      </c>
      <c r="S121" s="6">
        <v>1</v>
      </c>
      <c r="T121" s="5">
        <f t="shared" si="32"/>
        <v>2</v>
      </c>
    </row>
    <row r="122" spans="1:20" x14ac:dyDescent="0.4">
      <c r="A122" s="7"/>
      <c r="B122" s="47"/>
      <c r="C122" s="24" t="s">
        <v>165</v>
      </c>
      <c r="D122" s="48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2"/>
        <v>0</v>
      </c>
    </row>
    <row r="123" spans="1:20" x14ac:dyDescent="0.4">
      <c r="A123" s="7"/>
      <c r="B123" s="47"/>
      <c r="C123" s="24" t="s">
        <v>166</v>
      </c>
      <c r="D123" s="48"/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5">
        <f t="shared" si="32"/>
        <v>0</v>
      </c>
    </row>
    <row r="124" spans="1:20" x14ac:dyDescent="0.4">
      <c r="A124" s="7"/>
      <c r="B124" s="47"/>
      <c r="C124" s="24" t="s">
        <v>167</v>
      </c>
      <c r="D124" s="45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5">
        <f t="shared" si="32"/>
        <v>0</v>
      </c>
    </row>
    <row r="125" spans="1:20" x14ac:dyDescent="0.4">
      <c r="A125" s="7"/>
      <c r="B125" s="47"/>
      <c r="C125" s="24" t="s">
        <v>168</v>
      </c>
      <c r="D125" s="48"/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1</v>
      </c>
      <c r="T125" s="5">
        <f t="shared" si="32"/>
        <v>1</v>
      </c>
    </row>
    <row r="126" spans="1:20" x14ac:dyDescent="0.4">
      <c r="A126" s="7"/>
      <c r="B126" s="47"/>
      <c r="C126" s="24" t="s">
        <v>169</v>
      </c>
      <c r="D126" s="48"/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5">
        <f t="shared" si="32"/>
        <v>0</v>
      </c>
    </row>
    <row r="127" spans="1:20" x14ac:dyDescent="0.4">
      <c r="A127" s="7"/>
      <c r="B127" s="47"/>
      <c r="C127" s="24" t="s">
        <v>170</v>
      </c>
      <c r="D127" s="48"/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1</v>
      </c>
      <c r="T127" s="5">
        <f t="shared" si="32"/>
        <v>1</v>
      </c>
    </row>
    <row r="128" spans="1:20" x14ac:dyDescent="0.4">
      <c r="A128" s="6" t="s">
        <v>26</v>
      </c>
      <c r="B128" s="74" t="s">
        <v>51</v>
      </c>
      <c r="C128" s="84"/>
      <c r="D128" s="85"/>
      <c r="E128" s="6">
        <f t="shared" ref="E128:T128" si="33">SUM(E118:E127)</f>
        <v>1</v>
      </c>
      <c r="F128" s="6">
        <f t="shared" si="33"/>
        <v>1</v>
      </c>
      <c r="G128" s="6">
        <f t="shared" si="33"/>
        <v>2</v>
      </c>
      <c r="H128" s="6">
        <f t="shared" si="33"/>
        <v>3</v>
      </c>
      <c r="I128" s="6">
        <f t="shared" si="33"/>
        <v>4</v>
      </c>
      <c r="J128" s="6">
        <f t="shared" si="33"/>
        <v>2</v>
      </c>
      <c r="K128" s="6">
        <f t="shared" si="33"/>
        <v>4</v>
      </c>
      <c r="L128" s="6">
        <f t="shared" si="33"/>
        <v>0</v>
      </c>
      <c r="M128" s="6">
        <f t="shared" si="33"/>
        <v>2</v>
      </c>
      <c r="N128" s="6">
        <f t="shared" si="33"/>
        <v>3</v>
      </c>
      <c r="O128" s="6">
        <f t="shared" si="33"/>
        <v>0</v>
      </c>
      <c r="P128" s="6">
        <f t="shared" si="33"/>
        <v>0</v>
      </c>
      <c r="Q128" s="6">
        <f t="shared" si="33"/>
        <v>5</v>
      </c>
      <c r="R128" s="6">
        <f t="shared" si="33"/>
        <v>0</v>
      </c>
      <c r="S128" s="6">
        <f t="shared" si="33"/>
        <v>4</v>
      </c>
      <c r="T128" s="6">
        <f t="shared" si="33"/>
        <v>31</v>
      </c>
    </row>
    <row r="129" spans="1:20" x14ac:dyDescent="0.4">
      <c r="A129" s="53"/>
      <c r="B129" s="75"/>
      <c r="C129" s="75"/>
      <c r="D129" s="75"/>
      <c r="E129" s="86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ht="13.15" customHeight="1" x14ac:dyDescent="0.4">
      <c r="A130" s="11" t="s">
        <v>48</v>
      </c>
      <c r="B130" s="17" t="s">
        <v>63</v>
      </c>
      <c r="C130" s="83" t="s">
        <v>64</v>
      </c>
      <c r="D130" s="55"/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f>SUM(E130:S130)</f>
        <v>1</v>
      </c>
    </row>
    <row r="131" spans="1:20" x14ac:dyDescent="0.4">
      <c r="A131" s="11" t="s">
        <v>50</v>
      </c>
      <c r="B131" s="47"/>
      <c r="C131" s="24" t="s">
        <v>171</v>
      </c>
      <c r="D131" s="45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5">
        <f>SUM(E131:S131)</f>
        <v>2</v>
      </c>
    </row>
    <row r="132" spans="1:20" x14ac:dyDescent="0.4">
      <c r="A132" s="7"/>
      <c r="B132" s="47"/>
      <c r="C132" s="24" t="s">
        <v>172</v>
      </c>
      <c r="D132" s="45"/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>SUM(E132:S132)</f>
        <v>1</v>
      </c>
    </row>
    <row r="133" spans="1:20" x14ac:dyDescent="0.4">
      <c r="A133" s="7"/>
      <c r="B133" s="47"/>
      <c r="C133" s="24" t="s">
        <v>173</v>
      </c>
      <c r="D133" s="45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f>SUM(E133:S133)</f>
        <v>1</v>
      </c>
    </row>
    <row r="134" spans="1:20" ht="13.15" customHeight="1" x14ac:dyDescent="0.4">
      <c r="A134" s="6" t="s">
        <v>26</v>
      </c>
      <c r="B134" s="74" t="s">
        <v>51</v>
      </c>
      <c r="C134" s="84"/>
      <c r="D134" s="85"/>
      <c r="E134" s="6">
        <f t="shared" ref="E134:T134" si="34">SUM(E130:E133)</f>
        <v>0</v>
      </c>
      <c r="F134" s="6">
        <f t="shared" si="34"/>
        <v>1</v>
      </c>
      <c r="G134" s="6">
        <f t="shared" si="34"/>
        <v>1</v>
      </c>
      <c r="H134" s="6">
        <f t="shared" si="34"/>
        <v>0</v>
      </c>
      <c r="I134" s="6">
        <f t="shared" si="34"/>
        <v>0</v>
      </c>
      <c r="J134" s="6">
        <f t="shared" si="34"/>
        <v>0</v>
      </c>
      <c r="K134" s="6">
        <f t="shared" si="34"/>
        <v>1</v>
      </c>
      <c r="L134" s="6">
        <f t="shared" si="34"/>
        <v>0</v>
      </c>
      <c r="M134" s="6">
        <f t="shared" si="34"/>
        <v>0</v>
      </c>
      <c r="N134" s="6">
        <f t="shared" si="34"/>
        <v>1</v>
      </c>
      <c r="O134" s="6">
        <f t="shared" si="34"/>
        <v>0</v>
      </c>
      <c r="P134" s="6">
        <f t="shared" si="34"/>
        <v>0</v>
      </c>
      <c r="Q134" s="6">
        <f t="shared" si="34"/>
        <v>0</v>
      </c>
      <c r="R134" s="6">
        <f t="shared" si="34"/>
        <v>0</v>
      </c>
      <c r="S134" s="6">
        <f t="shared" si="34"/>
        <v>1</v>
      </c>
      <c r="T134" s="6">
        <f t="shared" si="34"/>
        <v>5</v>
      </c>
    </row>
    <row r="135" spans="1:20" x14ac:dyDescent="0.4">
      <c r="A135" s="53"/>
      <c r="B135" s="75"/>
      <c r="C135" s="75"/>
      <c r="D135" s="75"/>
      <c r="E135" s="8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5"/>
    </row>
    <row r="136" spans="1:20" x14ac:dyDescent="0.4">
      <c r="A136" s="11" t="s">
        <v>48</v>
      </c>
      <c r="B136" s="44" t="s">
        <v>65</v>
      </c>
      <c r="C136" s="87" t="s">
        <v>66</v>
      </c>
      <c r="D136" s="63"/>
      <c r="E136" s="6">
        <v>1</v>
      </c>
      <c r="F136" s="6">
        <v>1</v>
      </c>
      <c r="G136" s="6">
        <v>0</v>
      </c>
      <c r="H136" s="6">
        <v>0</v>
      </c>
      <c r="I136" s="6">
        <v>1</v>
      </c>
      <c r="J136" s="6">
        <v>1</v>
      </c>
      <c r="K136" s="6">
        <v>0</v>
      </c>
      <c r="L136" s="6">
        <v>0</v>
      </c>
      <c r="M136" s="6">
        <v>1</v>
      </c>
      <c r="N136" s="6">
        <v>0</v>
      </c>
      <c r="O136" s="6">
        <v>1</v>
      </c>
      <c r="P136" s="6">
        <v>0</v>
      </c>
      <c r="Q136" s="6">
        <v>0</v>
      </c>
      <c r="R136" s="6">
        <v>0</v>
      </c>
      <c r="S136" s="6">
        <v>1</v>
      </c>
      <c r="T136" s="5">
        <f t="shared" ref="T136:T143" si="35">SUM(E136:S136)</f>
        <v>7</v>
      </c>
    </row>
    <row r="137" spans="1:20" x14ac:dyDescent="0.4">
      <c r="A137" s="49" t="s">
        <v>50</v>
      </c>
      <c r="B137" s="51"/>
      <c r="C137" s="24" t="s">
        <v>174</v>
      </c>
      <c r="D137" s="52"/>
      <c r="E137" s="50">
        <v>2</v>
      </c>
      <c r="F137" s="6">
        <v>3</v>
      </c>
      <c r="G137" s="6">
        <v>0</v>
      </c>
      <c r="H137" s="6">
        <v>3</v>
      </c>
      <c r="I137" s="6">
        <v>0</v>
      </c>
      <c r="J137" s="6">
        <v>3</v>
      </c>
      <c r="K137" s="6">
        <v>1</v>
      </c>
      <c r="L137" s="6">
        <v>0</v>
      </c>
      <c r="M137" s="6">
        <v>1</v>
      </c>
      <c r="N137" s="6">
        <v>0</v>
      </c>
      <c r="O137" s="6">
        <v>2</v>
      </c>
      <c r="P137" s="6">
        <v>1</v>
      </c>
      <c r="Q137" s="6">
        <v>2</v>
      </c>
      <c r="R137" s="6">
        <v>0</v>
      </c>
      <c r="S137" s="6">
        <v>0</v>
      </c>
      <c r="T137" s="5">
        <f t="shared" si="35"/>
        <v>18</v>
      </c>
    </row>
    <row r="138" spans="1:20" x14ac:dyDescent="0.4">
      <c r="A138" s="7"/>
      <c r="B138" s="51"/>
      <c r="C138" s="24" t="s">
        <v>175</v>
      </c>
      <c r="D138" s="52"/>
      <c r="E138" s="50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5">
        <f t="shared" si="35"/>
        <v>1</v>
      </c>
    </row>
    <row r="139" spans="1:20" x14ac:dyDescent="0.4">
      <c r="A139" s="7"/>
      <c r="B139" s="51"/>
      <c r="C139" s="24" t="s">
        <v>176</v>
      </c>
      <c r="D139" s="52"/>
      <c r="E139" s="50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5">
        <f t="shared" si="35"/>
        <v>0</v>
      </c>
    </row>
    <row r="140" spans="1:20" x14ac:dyDescent="0.4">
      <c r="A140" s="7"/>
      <c r="B140" s="51"/>
      <c r="C140" s="24" t="s">
        <v>177</v>
      </c>
      <c r="D140" s="52"/>
      <c r="E140" s="50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5">
        <f t="shared" si="35"/>
        <v>0</v>
      </c>
    </row>
    <row r="141" spans="1:20" x14ac:dyDescent="0.4">
      <c r="A141" s="7"/>
      <c r="B141" s="51"/>
      <c r="C141" s="24" t="s">
        <v>178</v>
      </c>
      <c r="D141" s="52"/>
      <c r="E141" s="50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f t="shared" si="35"/>
        <v>0</v>
      </c>
    </row>
    <row r="142" spans="1:20" x14ac:dyDescent="0.4">
      <c r="A142" s="7"/>
      <c r="B142" s="51"/>
      <c r="C142" s="24" t="s">
        <v>179</v>
      </c>
      <c r="D142" s="52"/>
      <c r="E142" s="50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f t="shared" si="35"/>
        <v>1</v>
      </c>
    </row>
    <row r="143" spans="1:20" x14ac:dyDescent="0.4">
      <c r="A143" s="7"/>
      <c r="B143" s="51"/>
      <c r="C143" s="24" t="s">
        <v>180</v>
      </c>
      <c r="D143" s="52"/>
      <c r="E143" s="50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1</v>
      </c>
      <c r="T143" s="5">
        <f t="shared" si="35"/>
        <v>1</v>
      </c>
    </row>
    <row r="144" spans="1:20" x14ac:dyDescent="0.4">
      <c r="A144" s="6" t="s">
        <v>26</v>
      </c>
      <c r="B144" s="88" t="s">
        <v>51</v>
      </c>
      <c r="C144" s="89"/>
      <c r="D144" s="90"/>
      <c r="E144" s="6">
        <f t="shared" ref="E144:T144" si="36">SUM(E136:E143)</f>
        <v>3</v>
      </c>
      <c r="F144" s="6">
        <f t="shared" si="36"/>
        <v>4</v>
      </c>
      <c r="G144" s="6">
        <f t="shared" si="36"/>
        <v>0</v>
      </c>
      <c r="H144" s="6">
        <f t="shared" si="36"/>
        <v>3</v>
      </c>
      <c r="I144" s="6">
        <f t="shared" si="36"/>
        <v>1</v>
      </c>
      <c r="J144" s="6">
        <f t="shared" si="36"/>
        <v>4</v>
      </c>
      <c r="K144" s="6">
        <f t="shared" si="36"/>
        <v>1</v>
      </c>
      <c r="L144" s="6">
        <f t="shared" si="36"/>
        <v>0</v>
      </c>
      <c r="M144" s="6">
        <f t="shared" si="36"/>
        <v>4</v>
      </c>
      <c r="N144" s="6">
        <f t="shared" si="36"/>
        <v>0</v>
      </c>
      <c r="O144" s="6">
        <f t="shared" si="36"/>
        <v>3</v>
      </c>
      <c r="P144" s="6">
        <f t="shared" si="36"/>
        <v>1</v>
      </c>
      <c r="Q144" s="6">
        <f t="shared" si="36"/>
        <v>2</v>
      </c>
      <c r="R144" s="6">
        <f t="shared" si="36"/>
        <v>0</v>
      </c>
      <c r="S144" s="6">
        <f t="shared" si="36"/>
        <v>2</v>
      </c>
      <c r="T144" s="6">
        <f t="shared" si="36"/>
        <v>28</v>
      </c>
    </row>
    <row r="145" spans="1:20" x14ac:dyDescent="0.4">
      <c r="A145" s="53"/>
      <c r="B145" s="75"/>
      <c r="C145" s="75"/>
      <c r="D145" s="75"/>
      <c r="E145" s="86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0" ht="13.15" customHeight="1" x14ac:dyDescent="0.4">
      <c r="A146" s="11" t="s">
        <v>48</v>
      </c>
      <c r="B146" s="17" t="s">
        <v>67</v>
      </c>
      <c r="C146" s="83" t="s">
        <v>68</v>
      </c>
      <c r="D146" s="55"/>
      <c r="E146" s="6">
        <v>2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f>SUM(E146:S146)</f>
        <v>3</v>
      </c>
    </row>
    <row r="147" spans="1:20" x14ac:dyDescent="0.4">
      <c r="A147" s="11" t="s">
        <v>50</v>
      </c>
      <c r="B147" s="47"/>
      <c r="C147" s="24" t="s">
        <v>181</v>
      </c>
      <c r="D147" s="45"/>
      <c r="E147" s="6">
        <v>0</v>
      </c>
      <c r="F147" s="6">
        <v>1</v>
      </c>
      <c r="G147" s="6">
        <v>0</v>
      </c>
      <c r="H147" s="6">
        <v>0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1</v>
      </c>
      <c r="T147" s="5">
        <f>SUM(E147:S147)</f>
        <v>3</v>
      </c>
    </row>
    <row r="148" spans="1:20" x14ac:dyDescent="0.4">
      <c r="A148" s="6" t="s">
        <v>26</v>
      </c>
      <c r="B148" s="74" t="s">
        <v>51</v>
      </c>
      <c r="C148" s="84"/>
      <c r="D148" s="85"/>
      <c r="E148" s="6">
        <f t="shared" ref="E148:T148" si="37">SUM(E146:E147)</f>
        <v>2</v>
      </c>
      <c r="F148" s="6">
        <f t="shared" si="37"/>
        <v>2</v>
      </c>
      <c r="G148" s="6">
        <f t="shared" si="37"/>
        <v>0</v>
      </c>
      <c r="H148" s="6">
        <f t="shared" si="37"/>
        <v>0</v>
      </c>
      <c r="I148" s="6">
        <f t="shared" si="37"/>
        <v>0</v>
      </c>
      <c r="J148" s="6">
        <f t="shared" si="37"/>
        <v>1</v>
      </c>
      <c r="K148" s="6">
        <f t="shared" si="37"/>
        <v>0</v>
      </c>
      <c r="L148" s="6">
        <f t="shared" si="37"/>
        <v>0</v>
      </c>
      <c r="M148" s="6">
        <f t="shared" si="37"/>
        <v>0</v>
      </c>
      <c r="N148" s="6">
        <f t="shared" si="37"/>
        <v>0</v>
      </c>
      <c r="O148" s="6">
        <f t="shared" si="37"/>
        <v>0</v>
      </c>
      <c r="P148" s="6">
        <f t="shared" si="37"/>
        <v>0</v>
      </c>
      <c r="Q148" s="6">
        <f t="shared" si="37"/>
        <v>0</v>
      </c>
      <c r="R148" s="6">
        <f t="shared" si="37"/>
        <v>0</v>
      </c>
      <c r="S148" s="6">
        <f t="shared" si="37"/>
        <v>1</v>
      </c>
      <c r="T148" s="6">
        <f t="shared" si="37"/>
        <v>6</v>
      </c>
    </row>
    <row r="149" spans="1:20" ht="13.15" customHeight="1" x14ac:dyDescent="0.4">
      <c r="A149" s="53"/>
      <c r="B149" s="75"/>
      <c r="C149" s="75"/>
      <c r="D149" s="75"/>
      <c r="E149" s="86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0" x14ac:dyDescent="0.4">
      <c r="A150" s="11" t="s">
        <v>48</v>
      </c>
      <c r="B150" s="17" t="s">
        <v>69</v>
      </c>
      <c r="C150" s="83" t="s">
        <v>70</v>
      </c>
      <c r="D150" s="55"/>
      <c r="E150" s="6">
        <v>0</v>
      </c>
      <c r="F150" s="6">
        <v>1</v>
      </c>
      <c r="G150" s="6">
        <v>0</v>
      </c>
      <c r="H150" s="6">
        <v>0</v>
      </c>
      <c r="I150" s="6">
        <v>2</v>
      </c>
      <c r="J150" s="6">
        <v>0</v>
      </c>
      <c r="K150" s="6">
        <v>0</v>
      </c>
      <c r="L150" s="6">
        <v>1</v>
      </c>
      <c r="M150" s="6">
        <v>2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1</v>
      </c>
      <c r="T150" s="5">
        <f t="shared" ref="T150:T159" si="38">SUM(E150:S150)</f>
        <v>7</v>
      </c>
    </row>
    <row r="151" spans="1:20" x14ac:dyDescent="0.4">
      <c r="A151" s="11" t="s">
        <v>50</v>
      </c>
      <c r="B151" s="47"/>
      <c r="C151" s="24" t="s">
        <v>182</v>
      </c>
      <c r="D151" s="45"/>
      <c r="E151" s="6">
        <v>5</v>
      </c>
      <c r="F151" s="6">
        <v>3</v>
      </c>
      <c r="G151" s="6">
        <v>6</v>
      </c>
      <c r="H151" s="6">
        <v>1</v>
      </c>
      <c r="I151" s="6">
        <v>0</v>
      </c>
      <c r="J151" s="6">
        <v>0</v>
      </c>
      <c r="K151" s="6">
        <v>0</v>
      </c>
      <c r="L151" s="6">
        <v>0</v>
      </c>
      <c r="M151" s="6">
        <v>4</v>
      </c>
      <c r="N151" s="6">
        <v>0</v>
      </c>
      <c r="O151" s="6">
        <v>1</v>
      </c>
      <c r="P151" s="6">
        <v>0</v>
      </c>
      <c r="Q151" s="6">
        <v>0</v>
      </c>
      <c r="R151" s="6">
        <v>2</v>
      </c>
      <c r="S151" s="6">
        <v>0</v>
      </c>
      <c r="T151" s="5">
        <f t="shared" si="38"/>
        <v>22</v>
      </c>
    </row>
    <row r="152" spans="1:20" x14ac:dyDescent="0.4">
      <c r="A152" s="7"/>
      <c r="B152" s="47"/>
      <c r="C152" s="24" t="s">
        <v>183</v>
      </c>
      <c r="D152" s="45"/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1</v>
      </c>
      <c r="Q152" s="6">
        <v>0</v>
      </c>
      <c r="R152" s="6">
        <v>0</v>
      </c>
      <c r="S152" s="6">
        <v>1</v>
      </c>
      <c r="T152" s="5">
        <f t="shared" si="38"/>
        <v>2</v>
      </c>
    </row>
    <row r="153" spans="1:20" x14ac:dyDescent="0.4">
      <c r="A153" s="7"/>
      <c r="B153" s="47"/>
      <c r="C153" s="24" t="s">
        <v>184</v>
      </c>
      <c r="D153" s="45"/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5">
        <f t="shared" si="38"/>
        <v>2</v>
      </c>
    </row>
    <row r="154" spans="1:20" x14ac:dyDescent="0.4">
      <c r="A154" s="7"/>
      <c r="B154" s="47"/>
      <c r="C154" s="24" t="s">
        <v>185</v>
      </c>
      <c r="D154" s="45"/>
      <c r="E154" s="6">
        <v>0</v>
      </c>
      <c r="F154" s="6">
        <v>0</v>
      </c>
      <c r="G154" s="6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si="38"/>
        <v>1</v>
      </c>
    </row>
    <row r="155" spans="1:20" x14ac:dyDescent="0.4">
      <c r="A155" s="7"/>
      <c r="B155" s="47"/>
      <c r="C155" s="24" t="s">
        <v>186</v>
      </c>
      <c r="D155" s="45"/>
      <c r="E155" s="6">
        <v>0</v>
      </c>
      <c r="F155" s="6">
        <v>0</v>
      </c>
      <c r="G155" s="6">
        <v>2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8"/>
        <v>3</v>
      </c>
    </row>
    <row r="156" spans="1:20" x14ac:dyDescent="0.4">
      <c r="A156" s="7"/>
      <c r="B156" s="47"/>
      <c r="C156" s="24" t="s">
        <v>187</v>
      </c>
      <c r="D156" s="45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5">
        <f t="shared" si="38"/>
        <v>0</v>
      </c>
    </row>
    <row r="157" spans="1:20" x14ac:dyDescent="0.4">
      <c r="A157" s="7"/>
      <c r="B157" s="47"/>
      <c r="C157" s="24" t="s">
        <v>188</v>
      </c>
      <c r="D157" s="45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5">
        <f t="shared" si="38"/>
        <v>0</v>
      </c>
    </row>
    <row r="158" spans="1:20" x14ac:dyDescent="0.4">
      <c r="A158" s="7"/>
      <c r="B158" s="47"/>
      <c r="C158" s="24" t="s">
        <v>189</v>
      </c>
      <c r="D158" s="45"/>
      <c r="E158" s="6">
        <v>0</v>
      </c>
      <c r="F158" s="6">
        <v>0</v>
      </c>
      <c r="G158" s="6">
        <v>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8"/>
        <v>1</v>
      </c>
    </row>
    <row r="159" spans="1:20" x14ac:dyDescent="0.4">
      <c r="A159" s="7"/>
      <c r="B159" s="47"/>
      <c r="C159" s="24" t="s">
        <v>190</v>
      </c>
      <c r="D159" s="45"/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5">
        <f t="shared" si="38"/>
        <v>1</v>
      </c>
    </row>
    <row r="160" spans="1:20" ht="13.15" customHeight="1" x14ac:dyDescent="0.4">
      <c r="A160" s="6" t="s">
        <v>26</v>
      </c>
      <c r="B160" s="74" t="s">
        <v>51</v>
      </c>
      <c r="C160" s="84"/>
      <c r="D160" s="85"/>
      <c r="E160" s="6">
        <f t="shared" ref="E160:S160" si="39">SUM(E150:E159)</f>
        <v>5</v>
      </c>
      <c r="F160" s="6">
        <f t="shared" si="39"/>
        <v>5</v>
      </c>
      <c r="G160" s="6">
        <f t="shared" si="39"/>
        <v>9</v>
      </c>
      <c r="H160" s="6">
        <f t="shared" si="39"/>
        <v>1</v>
      </c>
      <c r="I160" s="6">
        <f t="shared" si="39"/>
        <v>4</v>
      </c>
      <c r="J160" s="6">
        <f t="shared" si="39"/>
        <v>0</v>
      </c>
      <c r="K160" s="6">
        <f t="shared" si="39"/>
        <v>0</v>
      </c>
      <c r="L160" s="6">
        <f t="shared" si="39"/>
        <v>1</v>
      </c>
      <c r="M160" s="6">
        <f t="shared" si="39"/>
        <v>7</v>
      </c>
      <c r="N160" s="6">
        <f t="shared" si="39"/>
        <v>0</v>
      </c>
      <c r="O160" s="6">
        <f t="shared" si="39"/>
        <v>1</v>
      </c>
      <c r="P160" s="6">
        <f t="shared" si="39"/>
        <v>1</v>
      </c>
      <c r="Q160" s="6">
        <f t="shared" si="39"/>
        <v>0</v>
      </c>
      <c r="R160" s="6">
        <f t="shared" si="39"/>
        <v>2</v>
      </c>
      <c r="S160" s="6">
        <f t="shared" si="39"/>
        <v>3</v>
      </c>
      <c r="T160" s="6">
        <f t="shared" ref="T160" si="40">SUM(T150:T159)</f>
        <v>39</v>
      </c>
    </row>
    <row r="161" spans="1:20" x14ac:dyDescent="0.4">
      <c r="A161" s="53"/>
      <c r="B161" s="75"/>
      <c r="C161" s="75"/>
      <c r="D161" s="75"/>
      <c r="E161" s="86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5"/>
    </row>
    <row r="162" spans="1:20" x14ac:dyDescent="0.4">
      <c r="A162" s="11" t="s">
        <v>48</v>
      </c>
      <c r="B162" s="17" t="s">
        <v>71</v>
      </c>
      <c r="C162" s="83" t="s">
        <v>72</v>
      </c>
      <c r="D162" s="55"/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1</v>
      </c>
      <c r="Q162" s="6">
        <v>1</v>
      </c>
      <c r="R162" s="6">
        <v>1</v>
      </c>
      <c r="S162" s="6">
        <v>0</v>
      </c>
      <c r="T162" s="5">
        <f t="shared" ref="T162:T171" si="41">SUM(E162:S162)</f>
        <v>3</v>
      </c>
    </row>
    <row r="163" spans="1:20" x14ac:dyDescent="0.4">
      <c r="A163" s="11" t="s">
        <v>50</v>
      </c>
      <c r="B163" s="47"/>
      <c r="C163" s="24" t="s">
        <v>191</v>
      </c>
      <c r="D163" s="45"/>
      <c r="E163" s="6">
        <v>0</v>
      </c>
      <c r="F163" s="6">
        <v>1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5">
        <f t="shared" si="41"/>
        <v>1</v>
      </c>
    </row>
    <row r="164" spans="1:20" x14ac:dyDescent="0.4">
      <c r="A164" s="7"/>
      <c r="B164" s="47"/>
      <c r="C164" s="24" t="s">
        <v>192</v>
      </c>
      <c r="D164" s="45"/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5">
        <f t="shared" si="41"/>
        <v>0</v>
      </c>
    </row>
    <row r="165" spans="1:20" x14ac:dyDescent="0.4">
      <c r="A165" s="7"/>
      <c r="B165" s="47"/>
      <c r="C165" s="24" t="s">
        <v>193</v>
      </c>
      <c r="D165" s="45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5">
        <f t="shared" si="41"/>
        <v>0</v>
      </c>
    </row>
    <row r="166" spans="1:20" x14ac:dyDescent="0.4">
      <c r="A166" s="7"/>
      <c r="B166" s="47"/>
      <c r="C166" s="24" t="s">
        <v>194</v>
      </c>
      <c r="D166" s="45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5">
        <f t="shared" si="41"/>
        <v>0</v>
      </c>
    </row>
    <row r="167" spans="1:20" x14ac:dyDescent="0.4">
      <c r="A167" s="7"/>
      <c r="B167" s="47"/>
      <c r="C167" s="24" t="s">
        <v>195</v>
      </c>
      <c r="D167" s="45"/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5">
        <f t="shared" si="41"/>
        <v>0</v>
      </c>
    </row>
    <row r="168" spans="1:20" x14ac:dyDescent="0.4">
      <c r="A168" s="7"/>
      <c r="B168" s="47"/>
      <c r="C168" s="24" t="s">
        <v>196</v>
      </c>
      <c r="D168" s="45"/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5">
        <f t="shared" si="41"/>
        <v>0</v>
      </c>
    </row>
    <row r="169" spans="1:20" ht="13.15" customHeight="1" x14ac:dyDescent="0.4">
      <c r="A169" s="7"/>
      <c r="B169" s="47"/>
      <c r="C169" s="24" t="s">
        <v>197</v>
      </c>
      <c r="D169" s="45"/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5">
        <f t="shared" si="41"/>
        <v>0</v>
      </c>
    </row>
    <row r="170" spans="1:20" ht="13.15" customHeight="1" x14ac:dyDescent="0.4">
      <c r="A170" s="7"/>
      <c r="B170" s="47"/>
      <c r="C170" s="24" t="s">
        <v>198</v>
      </c>
      <c r="D170" s="45"/>
      <c r="E170" s="6">
        <v>0</v>
      </c>
      <c r="F170" s="6">
        <v>0</v>
      </c>
      <c r="G170" s="6">
        <v>0</v>
      </c>
      <c r="H170" s="6">
        <v>1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5">
        <f t="shared" si="41"/>
        <v>1</v>
      </c>
    </row>
    <row r="171" spans="1:20" ht="13.15" customHeight="1" x14ac:dyDescent="0.4">
      <c r="A171" s="7"/>
      <c r="B171" s="47"/>
      <c r="C171" s="24" t="s">
        <v>199</v>
      </c>
      <c r="D171" s="45"/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5">
        <f t="shared" si="41"/>
        <v>0</v>
      </c>
    </row>
    <row r="172" spans="1:20" x14ac:dyDescent="0.4">
      <c r="A172" s="6" t="s">
        <v>26</v>
      </c>
      <c r="B172" s="74" t="s">
        <v>51</v>
      </c>
      <c r="C172" s="84"/>
      <c r="D172" s="85"/>
      <c r="E172" s="6">
        <f t="shared" ref="E172:S172" si="42">SUM(E162:E171)</f>
        <v>0</v>
      </c>
      <c r="F172" s="6">
        <f t="shared" si="42"/>
        <v>1</v>
      </c>
      <c r="G172" s="6">
        <f t="shared" si="42"/>
        <v>0</v>
      </c>
      <c r="H172" s="6">
        <f t="shared" si="42"/>
        <v>1</v>
      </c>
      <c r="I172" s="6">
        <f t="shared" si="42"/>
        <v>0</v>
      </c>
      <c r="J172" s="6">
        <f t="shared" si="42"/>
        <v>0</v>
      </c>
      <c r="K172" s="6">
        <f t="shared" si="42"/>
        <v>0</v>
      </c>
      <c r="L172" s="6">
        <f t="shared" si="42"/>
        <v>0</v>
      </c>
      <c r="M172" s="6">
        <f t="shared" si="42"/>
        <v>0</v>
      </c>
      <c r="N172" s="6">
        <f t="shared" si="42"/>
        <v>0</v>
      </c>
      <c r="O172" s="6">
        <f t="shared" si="42"/>
        <v>0</v>
      </c>
      <c r="P172" s="6">
        <f t="shared" si="42"/>
        <v>1</v>
      </c>
      <c r="Q172" s="6">
        <f t="shared" si="42"/>
        <v>1</v>
      </c>
      <c r="R172" s="6">
        <f t="shared" si="42"/>
        <v>1</v>
      </c>
      <c r="S172" s="6">
        <f t="shared" si="42"/>
        <v>0</v>
      </c>
      <c r="T172" s="6">
        <f t="shared" ref="T172" si="43">SUM(T162:T171)</f>
        <v>5</v>
      </c>
    </row>
    <row r="173" spans="1:20" x14ac:dyDescent="0.4">
      <c r="A173" s="53"/>
      <c r="B173" s="75"/>
      <c r="C173" s="75"/>
      <c r="D173" s="75"/>
      <c r="E173" s="86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x14ac:dyDescent="0.4">
      <c r="A174" s="11" t="s">
        <v>48</v>
      </c>
      <c r="B174" s="17" t="s">
        <v>73</v>
      </c>
      <c r="C174" s="83" t="s">
        <v>74</v>
      </c>
      <c r="D174" s="55"/>
      <c r="E174" s="6">
        <v>1</v>
      </c>
      <c r="F174" s="6">
        <v>0</v>
      </c>
      <c r="G174" s="6">
        <v>2</v>
      </c>
      <c r="H174" s="6">
        <v>2</v>
      </c>
      <c r="I174" s="6">
        <v>3</v>
      </c>
      <c r="J174" s="6">
        <v>2</v>
      </c>
      <c r="K174" s="6">
        <v>0</v>
      </c>
      <c r="L174" s="6">
        <v>1</v>
      </c>
      <c r="M174" s="6">
        <v>1</v>
      </c>
      <c r="N174" s="6">
        <v>0</v>
      </c>
      <c r="O174" s="6">
        <v>0</v>
      </c>
      <c r="P174" s="6">
        <v>2</v>
      </c>
      <c r="Q174" s="6">
        <v>3</v>
      </c>
      <c r="R174" s="6">
        <v>1</v>
      </c>
      <c r="S174" s="6">
        <v>1</v>
      </c>
      <c r="T174" s="5">
        <f t="shared" ref="T174:T183" si="44">SUM(E174:S174)</f>
        <v>19</v>
      </c>
    </row>
    <row r="175" spans="1:20" x14ac:dyDescent="0.4">
      <c r="A175" s="11" t="s">
        <v>50</v>
      </c>
      <c r="B175" s="47"/>
      <c r="C175" s="24" t="s">
        <v>200</v>
      </c>
      <c r="D175" s="45"/>
      <c r="E175" s="6">
        <v>2</v>
      </c>
      <c r="F175" s="6">
        <v>0</v>
      </c>
      <c r="G175" s="6">
        <v>3</v>
      </c>
      <c r="H175" s="6">
        <v>0</v>
      </c>
      <c r="I175" s="6">
        <v>6</v>
      </c>
      <c r="J175" s="6">
        <v>4</v>
      </c>
      <c r="K175" s="6">
        <v>5</v>
      </c>
      <c r="L175" s="6">
        <v>3</v>
      </c>
      <c r="M175" s="6">
        <v>1</v>
      </c>
      <c r="N175" s="6">
        <v>0</v>
      </c>
      <c r="O175" s="6">
        <v>2</v>
      </c>
      <c r="P175" s="6">
        <v>1</v>
      </c>
      <c r="Q175" s="6">
        <v>4</v>
      </c>
      <c r="R175" s="6">
        <v>2</v>
      </c>
      <c r="S175" s="6">
        <v>1</v>
      </c>
      <c r="T175" s="5">
        <f t="shared" si="44"/>
        <v>34</v>
      </c>
    </row>
    <row r="176" spans="1:20" x14ac:dyDescent="0.4">
      <c r="A176" s="7"/>
      <c r="B176" s="47"/>
      <c r="C176" s="24" t="s">
        <v>201</v>
      </c>
      <c r="D176" s="45"/>
      <c r="E176" s="6">
        <v>2</v>
      </c>
      <c r="F176" s="6">
        <v>3</v>
      </c>
      <c r="G176" s="6">
        <v>1</v>
      </c>
      <c r="H176" s="6">
        <v>0</v>
      </c>
      <c r="I176" s="6">
        <v>5</v>
      </c>
      <c r="J176" s="6">
        <v>3</v>
      </c>
      <c r="K176" s="6">
        <v>1</v>
      </c>
      <c r="L176" s="6">
        <v>3</v>
      </c>
      <c r="M176" s="6">
        <v>0</v>
      </c>
      <c r="N176" s="6">
        <v>0</v>
      </c>
      <c r="O176" s="6">
        <v>0</v>
      </c>
      <c r="P176" s="6">
        <v>2</v>
      </c>
      <c r="Q176" s="6">
        <v>3</v>
      </c>
      <c r="R176" s="6">
        <v>3</v>
      </c>
      <c r="S176" s="6">
        <v>0</v>
      </c>
      <c r="T176" s="5">
        <f t="shared" si="44"/>
        <v>26</v>
      </c>
    </row>
    <row r="177" spans="1:20" x14ac:dyDescent="0.4">
      <c r="A177" s="7"/>
      <c r="B177" s="47"/>
      <c r="C177" s="24" t="s">
        <v>202</v>
      </c>
      <c r="D177" s="45"/>
      <c r="E177" s="6">
        <v>1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</v>
      </c>
      <c r="Q177" s="6">
        <v>0</v>
      </c>
      <c r="R177" s="6">
        <v>1</v>
      </c>
      <c r="S177" s="6">
        <v>0</v>
      </c>
      <c r="T177" s="5">
        <f t="shared" si="44"/>
        <v>3</v>
      </c>
    </row>
    <row r="178" spans="1:20" x14ac:dyDescent="0.4">
      <c r="A178" s="7"/>
      <c r="B178" s="47"/>
      <c r="C178" s="24" t="s">
        <v>203</v>
      </c>
      <c r="D178" s="45"/>
      <c r="E178" s="6">
        <v>1</v>
      </c>
      <c r="F178" s="6">
        <v>0</v>
      </c>
      <c r="G178" s="6">
        <v>0</v>
      </c>
      <c r="H178" s="6">
        <v>0</v>
      </c>
      <c r="I178" s="6">
        <v>1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5">
        <f t="shared" si="44"/>
        <v>4</v>
      </c>
    </row>
    <row r="179" spans="1:20" x14ac:dyDescent="0.4">
      <c r="A179" s="7"/>
      <c r="B179" s="47"/>
      <c r="C179" s="24" t="s">
        <v>204</v>
      </c>
      <c r="D179" s="45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5">
        <f t="shared" si="44"/>
        <v>1</v>
      </c>
    </row>
    <row r="180" spans="1:20" ht="13.15" customHeight="1" x14ac:dyDescent="0.4">
      <c r="A180" s="7"/>
      <c r="B180" s="47"/>
      <c r="C180" s="24" t="s">
        <v>205</v>
      </c>
      <c r="D180" s="45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5">
        <f t="shared" si="44"/>
        <v>1</v>
      </c>
    </row>
    <row r="181" spans="1:20" x14ac:dyDescent="0.4">
      <c r="A181" s="7"/>
      <c r="B181" s="47"/>
      <c r="C181" s="24" t="s">
        <v>206</v>
      </c>
      <c r="D181" s="45"/>
      <c r="E181" s="6">
        <v>0</v>
      </c>
      <c r="F181" s="6">
        <v>1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5">
        <f t="shared" si="44"/>
        <v>1</v>
      </c>
    </row>
    <row r="182" spans="1:20" x14ac:dyDescent="0.4">
      <c r="A182" s="7"/>
      <c r="B182" s="47"/>
      <c r="C182" s="24" t="s">
        <v>207</v>
      </c>
      <c r="D182" s="45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5">
        <f t="shared" si="44"/>
        <v>0</v>
      </c>
    </row>
    <row r="183" spans="1:20" x14ac:dyDescent="0.4">
      <c r="A183" s="7"/>
      <c r="B183" s="47"/>
      <c r="C183" s="24" t="s">
        <v>208</v>
      </c>
      <c r="D183" s="45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si="44"/>
        <v>0</v>
      </c>
    </row>
    <row r="184" spans="1:20" x14ac:dyDescent="0.4">
      <c r="A184" s="6" t="s">
        <v>26</v>
      </c>
      <c r="B184" s="74" t="s">
        <v>51</v>
      </c>
      <c r="C184" s="84"/>
      <c r="D184" s="85"/>
      <c r="E184" s="6">
        <f t="shared" ref="E184:S184" si="45">SUM(E174:E183)</f>
        <v>7</v>
      </c>
      <c r="F184" s="6">
        <f t="shared" si="45"/>
        <v>4</v>
      </c>
      <c r="G184" s="6">
        <f t="shared" si="45"/>
        <v>6</v>
      </c>
      <c r="H184" s="6">
        <f t="shared" si="45"/>
        <v>2</v>
      </c>
      <c r="I184" s="6">
        <f t="shared" si="45"/>
        <v>15</v>
      </c>
      <c r="J184" s="6">
        <f t="shared" si="45"/>
        <v>11</v>
      </c>
      <c r="K184" s="6">
        <f t="shared" si="45"/>
        <v>6</v>
      </c>
      <c r="L184" s="6">
        <f t="shared" si="45"/>
        <v>7</v>
      </c>
      <c r="M184" s="6">
        <f t="shared" si="45"/>
        <v>2</v>
      </c>
      <c r="N184" s="6">
        <f t="shared" si="45"/>
        <v>1</v>
      </c>
      <c r="O184" s="6">
        <f t="shared" si="45"/>
        <v>2</v>
      </c>
      <c r="P184" s="6">
        <f t="shared" si="45"/>
        <v>7</v>
      </c>
      <c r="Q184" s="6">
        <f t="shared" si="45"/>
        <v>10</v>
      </c>
      <c r="R184" s="6">
        <f t="shared" si="45"/>
        <v>7</v>
      </c>
      <c r="S184" s="6">
        <f t="shared" si="45"/>
        <v>2</v>
      </c>
      <c r="T184" s="6">
        <f t="shared" ref="T184" si="46">SUM(T174:T183)</f>
        <v>89</v>
      </c>
    </row>
    <row r="185" spans="1:20" x14ac:dyDescent="0.4">
      <c r="A185" s="53"/>
      <c r="B185" s="75"/>
      <c r="C185" s="75"/>
      <c r="D185" s="75"/>
      <c r="E185" s="86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1:20" x14ac:dyDescent="0.4">
      <c r="A186" s="11" t="s">
        <v>48</v>
      </c>
      <c r="B186" s="17" t="s">
        <v>75</v>
      </c>
      <c r="C186" s="83" t="s">
        <v>76</v>
      </c>
      <c r="D186" s="55"/>
      <c r="E186" s="6">
        <v>0</v>
      </c>
      <c r="F186" s="6">
        <v>0</v>
      </c>
      <c r="G186" s="6">
        <v>3</v>
      </c>
      <c r="H186" s="6">
        <v>0</v>
      </c>
      <c r="I186" s="6">
        <v>0</v>
      </c>
      <c r="J186" s="6">
        <v>6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>
        <v>0</v>
      </c>
      <c r="Q186" s="6">
        <v>0</v>
      </c>
      <c r="R186" s="6">
        <v>2</v>
      </c>
      <c r="S186" s="6">
        <v>2</v>
      </c>
      <c r="T186" s="5">
        <f>SUM(E186:S186)</f>
        <v>15</v>
      </c>
    </row>
    <row r="187" spans="1:20" x14ac:dyDescent="0.4">
      <c r="A187" s="11" t="s">
        <v>50</v>
      </c>
      <c r="B187" s="47"/>
      <c r="C187" s="24" t="s">
        <v>209</v>
      </c>
      <c r="D187" s="48"/>
      <c r="E187" s="6">
        <v>0</v>
      </c>
      <c r="F187" s="6">
        <v>3</v>
      </c>
      <c r="G187" s="6">
        <v>0</v>
      </c>
      <c r="H187" s="6">
        <v>0</v>
      </c>
      <c r="I187" s="6">
        <v>3</v>
      </c>
      <c r="J187" s="6">
        <v>6</v>
      </c>
      <c r="K187" s="6">
        <v>0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8</v>
      </c>
      <c r="S187" s="6">
        <v>0</v>
      </c>
      <c r="T187" s="5">
        <f>SUM(E187:S187)</f>
        <v>21</v>
      </c>
    </row>
    <row r="188" spans="1:20" x14ac:dyDescent="0.4">
      <c r="A188" s="7"/>
      <c r="B188" s="47"/>
      <c r="C188" s="24" t="s">
        <v>210</v>
      </c>
      <c r="D188" s="48"/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3</v>
      </c>
      <c r="K188" s="6">
        <v>0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1</v>
      </c>
      <c r="T188" s="5">
        <f>SUM(E188:S188)</f>
        <v>5</v>
      </c>
    </row>
    <row r="189" spans="1:20" x14ac:dyDescent="0.4">
      <c r="A189" s="7"/>
      <c r="B189" s="47"/>
      <c r="C189" s="24" t="s">
        <v>211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1</v>
      </c>
      <c r="Q189" s="6">
        <v>0</v>
      </c>
      <c r="R189" s="6">
        <v>0</v>
      </c>
      <c r="S189" s="6">
        <v>0</v>
      </c>
      <c r="T189" s="5">
        <f>SUM(E189:S189)</f>
        <v>2</v>
      </c>
    </row>
    <row r="190" spans="1:20" x14ac:dyDescent="0.4">
      <c r="A190" s="6" t="s">
        <v>26</v>
      </c>
      <c r="B190" s="74" t="s">
        <v>51</v>
      </c>
      <c r="C190" s="84"/>
      <c r="D190" s="85"/>
      <c r="E190" s="6">
        <f t="shared" ref="E190:T190" si="47">SUM(E186:E189)</f>
        <v>0</v>
      </c>
      <c r="F190" s="6">
        <f t="shared" si="47"/>
        <v>3</v>
      </c>
      <c r="G190" s="6">
        <f t="shared" si="47"/>
        <v>3</v>
      </c>
      <c r="H190" s="6">
        <f t="shared" si="47"/>
        <v>0</v>
      </c>
      <c r="I190" s="6">
        <f t="shared" si="47"/>
        <v>3</v>
      </c>
      <c r="J190" s="6">
        <f t="shared" si="47"/>
        <v>16</v>
      </c>
      <c r="K190" s="6">
        <f t="shared" si="47"/>
        <v>0</v>
      </c>
      <c r="L190" s="6">
        <f t="shared" si="47"/>
        <v>2</v>
      </c>
      <c r="M190" s="6">
        <f t="shared" si="47"/>
        <v>0</v>
      </c>
      <c r="N190" s="6">
        <f t="shared" si="47"/>
        <v>2</v>
      </c>
      <c r="O190" s="6">
        <f t="shared" si="47"/>
        <v>0</v>
      </c>
      <c r="P190" s="6">
        <f t="shared" si="47"/>
        <v>1</v>
      </c>
      <c r="Q190" s="6">
        <f t="shared" si="47"/>
        <v>0</v>
      </c>
      <c r="R190" s="6">
        <f t="shared" si="47"/>
        <v>10</v>
      </c>
      <c r="S190" s="6">
        <f t="shared" si="47"/>
        <v>3</v>
      </c>
      <c r="T190" s="6">
        <f t="shared" si="47"/>
        <v>43</v>
      </c>
    </row>
    <row r="191" spans="1:20" x14ac:dyDescent="0.4">
      <c r="A191" s="53"/>
      <c r="B191" s="75"/>
      <c r="C191" s="75"/>
      <c r="D191" s="75"/>
      <c r="E191" s="86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spans="1:20" x14ac:dyDescent="0.4">
      <c r="A192" s="11" t="s">
        <v>48</v>
      </c>
      <c r="B192" s="17" t="s">
        <v>77</v>
      </c>
      <c r="C192" s="83" t="s">
        <v>78</v>
      </c>
      <c r="D192" s="55"/>
      <c r="E192" s="6">
        <v>0</v>
      </c>
      <c r="F192" s="6">
        <v>0</v>
      </c>
      <c r="G192" s="6">
        <v>0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2</v>
      </c>
      <c r="R192" s="6">
        <v>1</v>
      </c>
      <c r="S192" s="6">
        <v>0</v>
      </c>
      <c r="T192" s="5">
        <f>SUM(E192:S192)</f>
        <v>4</v>
      </c>
    </row>
    <row r="193" spans="1:20" x14ac:dyDescent="0.4">
      <c r="A193" s="11" t="s">
        <v>50</v>
      </c>
      <c r="B193" s="47"/>
      <c r="C193" s="24" t="s">
        <v>212</v>
      </c>
      <c r="D193" s="45"/>
      <c r="E193" s="6">
        <v>1</v>
      </c>
      <c r="F193" s="6">
        <v>0</v>
      </c>
      <c r="G193" s="6">
        <v>0</v>
      </c>
      <c r="H193" s="6">
        <v>0</v>
      </c>
      <c r="I193" s="6">
        <v>1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1</v>
      </c>
      <c r="T193" s="5">
        <f>SUM(E193:S193)</f>
        <v>5</v>
      </c>
    </row>
    <row r="194" spans="1:20" x14ac:dyDescent="0.4">
      <c r="A194" s="7"/>
      <c r="B194" s="47"/>
      <c r="C194" s="24" t="s">
        <v>213</v>
      </c>
      <c r="D194" s="45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f>SUM(E194:S194)</f>
        <v>0</v>
      </c>
    </row>
    <row r="195" spans="1:20" x14ac:dyDescent="0.4">
      <c r="A195" s="7"/>
      <c r="B195" s="47"/>
      <c r="C195" s="24" t="s">
        <v>214</v>
      </c>
      <c r="D195" s="45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5">
        <f>SUM(E195:S195)</f>
        <v>0</v>
      </c>
    </row>
    <row r="196" spans="1:20" ht="13.15" customHeight="1" x14ac:dyDescent="0.4">
      <c r="A196" s="7"/>
      <c r="B196" s="47"/>
      <c r="C196" s="24" t="s">
        <v>215</v>
      </c>
      <c r="D196" s="45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1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5">
        <f>SUM(E196:S196)</f>
        <v>1</v>
      </c>
    </row>
    <row r="197" spans="1:20" x14ac:dyDescent="0.4">
      <c r="A197" s="6" t="s">
        <v>26</v>
      </c>
      <c r="B197" s="74" t="s">
        <v>51</v>
      </c>
      <c r="C197" s="84"/>
      <c r="D197" s="85"/>
      <c r="E197" s="6">
        <f t="shared" ref="E197:T197" si="48">SUM(E192:E196)</f>
        <v>1</v>
      </c>
      <c r="F197" s="6">
        <f t="shared" si="48"/>
        <v>0</v>
      </c>
      <c r="G197" s="6">
        <f t="shared" si="48"/>
        <v>0</v>
      </c>
      <c r="H197" s="6">
        <f t="shared" si="48"/>
        <v>1</v>
      </c>
      <c r="I197" s="6">
        <f t="shared" si="48"/>
        <v>1</v>
      </c>
      <c r="J197" s="6">
        <f t="shared" si="48"/>
        <v>2</v>
      </c>
      <c r="K197" s="6">
        <f t="shared" si="48"/>
        <v>0</v>
      </c>
      <c r="L197" s="6">
        <f t="shared" si="48"/>
        <v>0</v>
      </c>
      <c r="M197" s="6">
        <f t="shared" si="48"/>
        <v>0</v>
      </c>
      <c r="N197" s="6">
        <f t="shared" si="48"/>
        <v>0</v>
      </c>
      <c r="O197" s="6">
        <f t="shared" si="48"/>
        <v>0</v>
      </c>
      <c r="P197" s="6">
        <f t="shared" si="48"/>
        <v>0</v>
      </c>
      <c r="Q197" s="6">
        <f t="shared" si="48"/>
        <v>2</v>
      </c>
      <c r="R197" s="6">
        <f t="shared" si="48"/>
        <v>2</v>
      </c>
      <c r="S197" s="6">
        <f t="shared" si="48"/>
        <v>1</v>
      </c>
      <c r="T197" s="6">
        <f t="shared" si="48"/>
        <v>10</v>
      </c>
    </row>
    <row r="198" spans="1:20" x14ac:dyDescent="0.4">
      <c r="A198" s="53"/>
      <c r="B198" s="75"/>
      <c r="C198" s="75"/>
      <c r="D198" s="75"/>
      <c r="E198" s="86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spans="1:20" x14ac:dyDescent="0.4">
      <c r="A199" s="11" t="s">
        <v>48</v>
      </c>
      <c r="B199" s="17" t="s">
        <v>79</v>
      </c>
      <c r="C199" s="83" t="s">
        <v>80</v>
      </c>
      <c r="D199" s="55"/>
      <c r="E199" s="6">
        <v>0</v>
      </c>
      <c r="F199" s="6">
        <v>0</v>
      </c>
      <c r="G199" s="6">
        <v>2</v>
      </c>
      <c r="H199" s="6">
        <v>0</v>
      </c>
      <c r="I199" s="6">
        <v>2</v>
      </c>
      <c r="J199" s="6">
        <v>0</v>
      </c>
      <c r="K199" s="6">
        <v>1</v>
      </c>
      <c r="L199" s="6">
        <v>2</v>
      </c>
      <c r="M199" s="6">
        <v>1</v>
      </c>
      <c r="N199" s="6">
        <v>0</v>
      </c>
      <c r="O199" s="6">
        <v>0</v>
      </c>
      <c r="P199" s="6">
        <v>1</v>
      </c>
      <c r="Q199" s="6">
        <v>1</v>
      </c>
      <c r="R199" s="6">
        <v>2</v>
      </c>
      <c r="S199" s="6">
        <v>0</v>
      </c>
      <c r="T199" s="5">
        <f t="shared" ref="T199:T208" si="49">SUM(E199:S199)</f>
        <v>12</v>
      </c>
    </row>
    <row r="200" spans="1:20" x14ac:dyDescent="0.4">
      <c r="A200" s="11" t="s">
        <v>50</v>
      </c>
      <c r="B200" s="47"/>
      <c r="C200" s="24" t="s">
        <v>216</v>
      </c>
      <c r="D200" s="45"/>
      <c r="E200" s="6">
        <v>1</v>
      </c>
      <c r="F200" s="6">
        <v>4</v>
      </c>
      <c r="G200" s="6">
        <v>14</v>
      </c>
      <c r="H200" s="6">
        <v>11</v>
      </c>
      <c r="I200" s="6">
        <v>1</v>
      </c>
      <c r="J200" s="6">
        <v>3</v>
      </c>
      <c r="K200" s="6">
        <v>7</v>
      </c>
      <c r="L200" s="6">
        <v>31</v>
      </c>
      <c r="M200" s="6">
        <v>2</v>
      </c>
      <c r="N200" s="6">
        <v>0</v>
      </c>
      <c r="O200" s="6">
        <v>0</v>
      </c>
      <c r="P200" s="6">
        <v>0</v>
      </c>
      <c r="Q200" s="6">
        <v>1</v>
      </c>
      <c r="R200" s="6">
        <v>6</v>
      </c>
      <c r="S200" s="6">
        <v>0</v>
      </c>
      <c r="T200" s="5">
        <f t="shared" si="49"/>
        <v>81</v>
      </c>
    </row>
    <row r="201" spans="1:20" x14ac:dyDescent="0.4">
      <c r="A201" s="7"/>
      <c r="B201" s="47"/>
      <c r="C201" s="24" t="s">
        <v>217</v>
      </c>
      <c r="D201" s="45"/>
      <c r="E201" s="6">
        <v>1</v>
      </c>
      <c r="F201" s="6">
        <v>1</v>
      </c>
      <c r="G201" s="6">
        <v>1</v>
      </c>
      <c r="H201" s="6">
        <v>1</v>
      </c>
      <c r="I201" s="6">
        <v>0</v>
      </c>
      <c r="J201" s="6">
        <v>3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4</v>
      </c>
      <c r="R201" s="6">
        <v>2</v>
      </c>
      <c r="S201" s="6">
        <v>0</v>
      </c>
      <c r="T201" s="5">
        <f t="shared" si="49"/>
        <v>13</v>
      </c>
    </row>
    <row r="202" spans="1:20" ht="13.15" customHeight="1" x14ac:dyDescent="0.4">
      <c r="A202" s="7"/>
      <c r="B202" s="47"/>
      <c r="C202" s="24" t="s">
        <v>218</v>
      </c>
      <c r="D202" s="45"/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1</v>
      </c>
      <c r="K202" s="6">
        <v>0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0</v>
      </c>
      <c r="R202" s="6">
        <v>1</v>
      </c>
      <c r="S202" s="6">
        <v>0</v>
      </c>
      <c r="T202" s="5">
        <f t="shared" si="49"/>
        <v>3</v>
      </c>
    </row>
    <row r="203" spans="1:20" x14ac:dyDescent="0.4">
      <c r="A203" s="7"/>
      <c r="B203" s="47"/>
      <c r="C203" s="24" t="s">
        <v>219</v>
      </c>
      <c r="D203" s="45"/>
      <c r="E203" s="6">
        <v>0</v>
      </c>
      <c r="F203" s="6">
        <v>1</v>
      </c>
      <c r="G203" s="6">
        <v>0</v>
      </c>
      <c r="H203" s="6">
        <v>1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1</v>
      </c>
      <c r="S203" s="6">
        <v>0</v>
      </c>
      <c r="T203" s="5">
        <f t="shared" si="49"/>
        <v>3</v>
      </c>
    </row>
    <row r="204" spans="1:20" ht="12.75" customHeight="1" x14ac:dyDescent="0.4">
      <c r="A204" s="7"/>
      <c r="B204" s="47"/>
      <c r="C204" s="24" t="s">
        <v>220</v>
      </c>
      <c r="D204" s="45"/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5">
        <f t="shared" si="49"/>
        <v>0</v>
      </c>
    </row>
    <row r="205" spans="1:20" x14ac:dyDescent="0.4">
      <c r="A205" s="7"/>
      <c r="B205" s="47"/>
      <c r="C205" s="24" t="s">
        <v>221</v>
      </c>
      <c r="D205" s="45"/>
      <c r="E205" s="6">
        <v>0</v>
      </c>
      <c r="F205" s="6">
        <v>0</v>
      </c>
      <c r="G205" s="6">
        <v>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5">
        <f t="shared" si="49"/>
        <v>1</v>
      </c>
    </row>
    <row r="206" spans="1:20" x14ac:dyDescent="0.4">
      <c r="A206" s="7"/>
      <c r="B206" s="47"/>
      <c r="C206" s="24" t="s">
        <v>222</v>
      </c>
      <c r="D206" s="45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5">
        <f t="shared" si="49"/>
        <v>0</v>
      </c>
    </row>
    <row r="207" spans="1:20" x14ac:dyDescent="0.4">
      <c r="A207" s="7"/>
      <c r="B207" s="47"/>
      <c r="C207" s="24" t="s">
        <v>223</v>
      </c>
      <c r="D207" s="45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5">
        <f t="shared" si="49"/>
        <v>0</v>
      </c>
    </row>
    <row r="208" spans="1:20" x14ac:dyDescent="0.4">
      <c r="A208" s="7"/>
      <c r="B208" s="47"/>
      <c r="C208" s="24" t="s">
        <v>224</v>
      </c>
      <c r="D208" s="45"/>
      <c r="E208" s="6">
        <v>0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5">
        <f t="shared" si="49"/>
        <v>1</v>
      </c>
    </row>
    <row r="209" spans="1:20" ht="12.75" customHeight="1" x14ac:dyDescent="0.4">
      <c r="A209" s="6" t="s">
        <v>26</v>
      </c>
      <c r="B209" s="74" t="s">
        <v>51</v>
      </c>
      <c r="C209" s="84"/>
      <c r="D209" s="85"/>
      <c r="E209" s="6">
        <f t="shared" ref="E209:S209" si="50">SUM(E199:E208)</f>
        <v>2</v>
      </c>
      <c r="F209" s="6">
        <f t="shared" si="50"/>
        <v>6</v>
      </c>
      <c r="G209" s="6">
        <f t="shared" si="50"/>
        <v>18</v>
      </c>
      <c r="H209" s="6">
        <f t="shared" si="50"/>
        <v>13</v>
      </c>
      <c r="I209" s="6">
        <f t="shared" si="50"/>
        <v>4</v>
      </c>
      <c r="J209" s="6">
        <f t="shared" si="50"/>
        <v>7</v>
      </c>
      <c r="K209" s="6">
        <f t="shared" si="50"/>
        <v>8</v>
      </c>
      <c r="L209" s="6">
        <f t="shared" si="50"/>
        <v>33</v>
      </c>
      <c r="M209" s="6">
        <f t="shared" si="50"/>
        <v>3</v>
      </c>
      <c r="N209" s="6">
        <f t="shared" si="50"/>
        <v>1</v>
      </c>
      <c r="O209" s="6">
        <f t="shared" si="50"/>
        <v>0</v>
      </c>
      <c r="P209" s="6">
        <f t="shared" si="50"/>
        <v>1</v>
      </c>
      <c r="Q209" s="6">
        <f t="shared" si="50"/>
        <v>6</v>
      </c>
      <c r="R209" s="6">
        <f t="shared" si="50"/>
        <v>12</v>
      </c>
      <c r="S209" s="6">
        <f t="shared" si="50"/>
        <v>0</v>
      </c>
      <c r="T209" s="6">
        <f t="shared" ref="T209" si="51">SUM(T199:T208)</f>
        <v>114</v>
      </c>
    </row>
    <row r="210" spans="1:20" x14ac:dyDescent="0.4">
      <c r="A210" s="53"/>
      <c r="B210" s="75"/>
      <c r="C210" s="75"/>
      <c r="D210" s="75"/>
      <c r="E210" s="86"/>
    </row>
    <row r="211" spans="1:20" x14ac:dyDescent="0.4">
      <c r="A211" s="11" t="s">
        <v>48</v>
      </c>
      <c r="B211" s="17" t="s">
        <v>81</v>
      </c>
      <c r="C211" s="83" t="s">
        <v>82</v>
      </c>
      <c r="D211" s="55"/>
      <c r="E211" s="6">
        <v>0</v>
      </c>
      <c r="F211" s="6">
        <v>2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1</v>
      </c>
      <c r="N211" s="6">
        <v>2</v>
      </c>
      <c r="O211" s="6">
        <v>0</v>
      </c>
      <c r="P211" s="6">
        <v>0</v>
      </c>
      <c r="Q211" s="6">
        <v>0</v>
      </c>
      <c r="R211" s="6">
        <v>0</v>
      </c>
      <c r="S211" s="6">
        <v>1</v>
      </c>
      <c r="T211" s="5">
        <f>SUM(E211:S211)</f>
        <v>6</v>
      </c>
    </row>
    <row r="212" spans="1:20" x14ac:dyDescent="0.4">
      <c r="A212" s="11" t="s">
        <v>50</v>
      </c>
      <c r="B212" s="47"/>
      <c r="C212" s="24" t="s">
        <v>225</v>
      </c>
      <c r="D212" s="45"/>
      <c r="E212" s="6">
        <v>0</v>
      </c>
      <c r="F212" s="6">
        <v>0</v>
      </c>
      <c r="G212" s="6">
        <v>0</v>
      </c>
      <c r="H212" s="6">
        <v>0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5">
        <f>SUM(E212:S212)</f>
        <v>2</v>
      </c>
    </row>
    <row r="213" spans="1:20" x14ac:dyDescent="0.4">
      <c r="A213" s="7"/>
      <c r="B213" s="47"/>
      <c r="C213" s="24" t="s">
        <v>226</v>
      </c>
      <c r="D213" s="45"/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5">
        <f>SUM(E213:S213)</f>
        <v>0</v>
      </c>
    </row>
    <row r="214" spans="1:20" x14ac:dyDescent="0.4">
      <c r="A214" s="7"/>
      <c r="B214" s="47"/>
      <c r="C214" s="24" t="s">
        <v>227</v>
      </c>
      <c r="D214" s="45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1</v>
      </c>
      <c r="S214" s="6">
        <v>0</v>
      </c>
      <c r="T214" s="5">
        <f>SUM(E214:S214)</f>
        <v>1</v>
      </c>
    </row>
    <row r="215" spans="1:20" x14ac:dyDescent="0.4">
      <c r="A215" s="6" t="s">
        <v>26</v>
      </c>
      <c r="B215" s="74" t="s">
        <v>51</v>
      </c>
      <c r="C215" s="84"/>
      <c r="D215" s="85"/>
      <c r="E215" s="6">
        <f t="shared" ref="E215:T215" si="52">SUM(E211:E214)</f>
        <v>0</v>
      </c>
      <c r="F215" s="6">
        <f t="shared" si="52"/>
        <v>2</v>
      </c>
      <c r="G215" s="6">
        <f t="shared" si="52"/>
        <v>0</v>
      </c>
      <c r="H215" s="6">
        <f t="shared" si="52"/>
        <v>0</v>
      </c>
      <c r="I215" s="6">
        <f t="shared" si="52"/>
        <v>1</v>
      </c>
      <c r="J215" s="6">
        <f t="shared" si="52"/>
        <v>0</v>
      </c>
      <c r="K215" s="6">
        <f t="shared" si="52"/>
        <v>0</v>
      </c>
      <c r="L215" s="6">
        <f t="shared" si="52"/>
        <v>0</v>
      </c>
      <c r="M215" s="6">
        <f t="shared" si="52"/>
        <v>1</v>
      </c>
      <c r="N215" s="6">
        <f t="shared" si="52"/>
        <v>3</v>
      </c>
      <c r="O215" s="6">
        <f t="shared" si="52"/>
        <v>0</v>
      </c>
      <c r="P215" s="6">
        <f t="shared" si="52"/>
        <v>0</v>
      </c>
      <c r="Q215" s="6">
        <f t="shared" si="52"/>
        <v>0</v>
      </c>
      <c r="R215" s="6">
        <f t="shared" si="52"/>
        <v>1</v>
      </c>
      <c r="S215" s="6">
        <f t="shared" si="52"/>
        <v>1</v>
      </c>
      <c r="T215" s="6">
        <f t="shared" si="52"/>
        <v>9</v>
      </c>
    </row>
    <row r="217" spans="1:20" x14ac:dyDescent="0.4">
      <c r="A217" s="16" t="s">
        <v>83</v>
      </c>
      <c r="B217" s="56" t="s">
        <v>84</v>
      </c>
      <c r="C217" s="93"/>
      <c r="D217" s="9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spans="1:20" x14ac:dyDescent="0.4">
      <c r="A218" s="16"/>
      <c r="B218" s="19" t="s">
        <v>85</v>
      </c>
      <c r="C218" s="91" t="s">
        <v>86</v>
      </c>
      <c r="D218" s="92"/>
      <c r="E218" s="6">
        <f t="shared" ref="E218:S218" si="53">E55+E67+E79+E91+E103+E108+E116+E128+E134+E144+E148+E160+E172+E184+E190+E197+E209+E215</f>
        <v>196</v>
      </c>
      <c r="F218" s="6">
        <f t="shared" si="53"/>
        <v>125</v>
      </c>
      <c r="G218" s="6">
        <f t="shared" si="53"/>
        <v>195</v>
      </c>
      <c r="H218" s="6">
        <f t="shared" si="53"/>
        <v>206</v>
      </c>
      <c r="I218" s="6">
        <f t="shared" si="53"/>
        <v>203</v>
      </c>
      <c r="J218" s="6">
        <f t="shared" si="53"/>
        <v>205</v>
      </c>
      <c r="K218" s="6">
        <f t="shared" si="53"/>
        <v>193</v>
      </c>
      <c r="L218" s="6">
        <f t="shared" si="53"/>
        <v>163</v>
      </c>
      <c r="M218" s="6">
        <f t="shared" si="53"/>
        <v>150</v>
      </c>
      <c r="N218" s="6">
        <f t="shared" si="53"/>
        <v>171</v>
      </c>
      <c r="O218" s="6">
        <f t="shared" si="53"/>
        <v>195</v>
      </c>
      <c r="P218" s="6">
        <f t="shared" si="53"/>
        <v>163</v>
      </c>
      <c r="Q218" s="6">
        <f t="shared" si="53"/>
        <v>215</v>
      </c>
      <c r="R218" s="6">
        <f t="shared" si="53"/>
        <v>271</v>
      </c>
      <c r="S218" s="6">
        <f t="shared" si="53"/>
        <v>169</v>
      </c>
      <c r="T218" s="5">
        <f>SUM(E218:S218)</f>
        <v>2820</v>
      </c>
    </row>
    <row r="219" spans="1:20" x14ac:dyDescent="0.4">
      <c r="A219" s="13"/>
      <c r="B219" s="19" t="s">
        <v>87</v>
      </c>
      <c r="C219" s="91" t="s">
        <v>88</v>
      </c>
      <c r="D219" s="92"/>
      <c r="E219" s="6">
        <v>47</v>
      </c>
      <c r="F219" s="6">
        <v>76</v>
      </c>
      <c r="G219" s="6">
        <v>33</v>
      </c>
      <c r="H219" s="6">
        <v>34</v>
      </c>
      <c r="I219" s="6">
        <v>35</v>
      </c>
      <c r="J219" s="6">
        <v>31</v>
      </c>
      <c r="K219" s="6">
        <v>27</v>
      </c>
      <c r="L219" s="6">
        <v>13</v>
      </c>
      <c r="M219" s="6">
        <v>26</v>
      </c>
      <c r="N219" s="6">
        <v>51</v>
      </c>
      <c r="O219" s="6">
        <v>11</v>
      </c>
      <c r="P219" s="6">
        <v>37</v>
      </c>
      <c r="Q219" s="6">
        <v>23</v>
      </c>
      <c r="R219" s="6">
        <v>13</v>
      </c>
      <c r="S219" s="6">
        <v>27</v>
      </c>
      <c r="T219" s="5">
        <f>SUM(E219:S219)</f>
        <v>484</v>
      </c>
    </row>
    <row r="220" spans="1:20" x14ac:dyDescent="0.4">
      <c r="A220" s="14"/>
      <c r="B220" s="19" t="s">
        <v>89</v>
      </c>
      <c r="C220" s="91" t="s">
        <v>90</v>
      </c>
      <c r="D220" s="92"/>
      <c r="E220" s="5">
        <f>SUM(E218:E219)</f>
        <v>243</v>
      </c>
      <c r="F220" s="5">
        <f t="shared" ref="F220:L220" si="54">SUM(F218:F219)</f>
        <v>201</v>
      </c>
      <c r="G220" s="5">
        <f t="shared" si="54"/>
        <v>228</v>
      </c>
      <c r="H220" s="5">
        <f t="shared" si="54"/>
        <v>240</v>
      </c>
      <c r="I220" s="5">
        <f t="shared" si="54"/>
        <v>238</v>
      </c>
      <c r="J220" s="5">
        <f t="shared" si="54"/>
        <v>236</v>
      </c>
      <c r="K220" s="5">
        <f t="shared" si="54"/>
        <v>220</v>
      </c>
      <c r="L220" s="5">
        <f t="shared" si="54"/>
        <v>176</v>
      </c>
      <c r="M220" s="5">
        <f t="shared" ref="M220:S220" si="55">SUM(M218:M219)</f>
        <v>176</v>
      </c>
      <c r="N220" s="5">
        <f t="shared" si="55"/>
        <v>222</v>
      </c>
      <c r="O220" s="5">
        <f t="shared" si="55"/>
        <v>206</v>
      </c>
      <c r="P220" s="5">
        <f t="shared" si="55"/>
        <v>200</v>
      </c>
      <c r="Q220" s="5">
        <f t="shared" si="55"/>
        <v>238</v>
      </c>
      <c r="R220" s="5">
        <f t="shared" si="55"/>
        <v>284</v>
      </c>
      <c r="S220" s="5">
        <f t="shared" si="55"/>
        <v>196</v>
      </c>
      <c r="T220" s="5">
        <f>SUM(E220:S220)</f>
        <v>3304</v>
      </c>
    </row>
  </sheetData>
  <mergeCells count="86">
    <mergeCell ref="A17:D17"/>
    <mergeCell ref="B12:D12"/>
    <mergeCell ref="E12:S12"/>
    <mergeCell ref="T12:T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P37"/>
    <mergeCell ref="B38:D38"/>
    <mergeCell ref="B39:C41"/>
    <mergeCell ref="A42:D42"/>
    <mergeCell ref="E42:P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34:D134"/>
    <mergeCell ref="A104:E104"/>
    <mergeCell ref="C105:D105"/>
    <mergeCell ref="B108:D108"/>
    <mergeCell ref="A109:E109"/>
    <mergeCell ref="C110:D110"/>
    <mergeCell ref="B116:D116"/>
    <mergeCell ref="A117:E117"/>
    <mergeCell ref="C118:D118"/>
    <mergeCell ref="B128:D128"/>
    <mergeCell ref="A129:E129"/>
    <mergeCell ref="C130:D130"/>
    <mergeCell ref="B172:D172"/>
    <mergeCell ref="A135:E135"/>
    <mergeCell ref="C136:D136"/>
    <mergeCell ref="B144:D144"/>
    <mergeCell ref="A145:E145"/>
    <mergeCell ref="C146:D146"/>
    <mergeCell ref="B148:D148"/>
    <mergeCell ref="A149:E149"/>
    <mergeCell ref="C150:D150"/>
    <mergeCell ref="B160:D160"/>
    <mergeCell ref="A161:E161"/>
    <mergeCell ref="C162:D162"/>
    <mergeCell ref="B209:D209"/>
    <mergeCell ref="A173:E173"/>
    <mergeCell ref="C174:D174"/>
    <mergeCell ref="B184:D184"/>
    <mergeCell ref="A185:E185"/>
    <mergeCell ref="C186:D186"/>
    <mergeCell ref="B190:D190"/>
    <mergeCell ref="A191:E191"/>
    <mergeCell ref="C192:D192"/>
    <mergeCell ref="B197:D197"/>
    <mergeCell ref="A198:E198"/>
    <mergeCell ref="C199:D199"/>
    <mergeCell ref="C220:D220"/>
    <mergeCell ref="A210:E210"/>
    <mergeCell ref="C211:D211"/>
    <mergeCell ref="B215:D215"/>
    <mergeCell ref="B217:D217"/>
    <mergeCell ref="C218:D218"/>
    <mergeCell ref="C219:D219"/>
  </mergeCells>
  <phoneticPr fontId="8" type="noConversion"/>
  <conditionalFormatting sqref="E14:S15">
    <cfRule type="containsBlanks" dxfId="29" priority="20">
      <formula>LEN(TRIM(E14))=0</formula>
    </cfRule>
  </conditionalFormatting>
  <conditionalFormatting sqref="E19:S20">
    <cfRule type="containsBlanks" dxfId="28" priority="23">
      <formula>LEN(TRIM(E19))=0</formula>
    </cfRule>
  </conditionalFormatting>
  <conditionalFormatting sqref="E22:S23 E25:S26 E33:S33 E35:S35 E39:S40">
    <cfRule type="containsBlanks" dxfId="27" priority="24">
      <formula>LEN(TRIM(E22))=0</formula>
    </cfRule>
  </conditionalFormatting>
  <conditionalFormatting sqref="E30:S30">
    <cfRule type="expression" dxfId="26" priority="25">
      <formula>E30&lt;&gt;E47</formula>
    </cfRule>
    <cfRule type="expression" dxfId="25" priority="26">
      <formula>E30&lt;&gt;E34</formula>
    </cfRule>
  </conditionalFormatting>
  <conditionalFormatting sqref="E34:S34">
    <cfRule type="expression" dxfId="24" priority="21">
      <formula>E30&lt;&gt;E34</formula>
    </cfRule>
    <cfRule type="expression" dxfId="23" priority="22">
      <formula>E30=E34</formula>
    </cfRule>
    <cfRule type="expression" dxfId="22" priority="27">
      <formula>E34&lt;&gt;E30</formula>
    </cfRule>
    <cfRule type="expression" dxfId="21" priority="28">
      <formula>E34&lt;&gt;E64</formula>
    </cfRule>
  </conditionalFormatting>
  <conditionalFormatting sqref="E45:S54">
    <cfRule type="containsBlanks" dxfId="20" priority="19">
      <formula>LEN(TRIM(E45))=0</formula>
    </cfRule>
  </conditionalFormatting>
  <conditionalFormatting sqref="E57:S66">
    <cfRule type="containsBlanks" dxfId="19" priority="18">
      <formula>LEN(TRIM(E57))=0</formula>
    </cfRule>
  </conditionalFormatting>
  <conditionalFormatting sqref="E69:S78">
    <cfRule type="containsBlanks" dxfId="18" priority="17">
      <formula>LEN(TRIM(E69))=0</formula>
    </cfRule>
  </conditionalFormatting>
  <conditionalFormatting sqref="E81:S90">
    <cfRule type="containsBlanks" dxfId="17" priority="16">
      <formula>LEN(TRIM(E81))=0</formula>
    </cfRule>
  </conditionalFormatting>
  <conditionalFormatting sqref="E93:S102">
    <cfRule type="containsBlanks" dxfId="16" priority="15">
      <formula>LEN(TRIM(E93))=0</formula>
    </cfRule>
  </conditionalFormatting>
  <conditionalFormatting sqref="E105:S107">
    <cfRule type="containsBlanks" dxfId="15" priority="14">
      <formula>LEN(TRIM(E105))=0</formula>
    </cfRule>
  </conditionalFormatting>
  <conditionalFormatting sqref="E110:S115">
    <cfRule type="containsBlanks" dxfId="14" priority="1">
      <formula>LEN(TRIM(E110))=0</formula>
    </cfRule>
  </conditionalFormatting>
  <conditionalFormatting sqref="E118:S127">
    <cfRule type="containsBlanks" dxfId="13" priority="13">
      <formula>LEN(TRIM(E118))=0</formula>
    </cfRule>
  </conditionalFormatting>
  <conditionalFormatting sqref="E130:S133">
    <cfRule type="containsBlanks" dxfId="12" priority="12">
      <formula>LEN(TRIM(E130))=0</formula>
    </cfRule>
  </conditionalFormatting>
  <conditionalFormatting sqref="E136:S143">
    <cfRule type="containsBlanks" dxfId="11" priority="3">
      <formula>LEN(TRIM(E136))=0</formula>
    </cfRule>
  </conditionalFormatting>
  <conditionalFormatting sqref="E146:S147">
    <cfRule type="containsBlanks" dxfId="10" priority="11">
      <formula>LEN(TRIM(E146))=0</formula>
    </cfRule>
  </conditionalFormatting>
  <conditionalFormatting sqref="E150:S159">
    <cfRule type="containsBlanks" dxfId="9" priority="10">
      <formula>LEN(TRIM(E150))=0</formula>
    </cfRule>
  </conditionalFormatting>
  <conditionalFormatting sqref="E162:S171">
    <cfRule type="containsBlanks" dxfId="8" priority="9">
      <formula>LEN(TRIM(E162))=0</formula>
    </cfRule>
  </conditionalFormatting>
  <conditionalFormatting sqref="E174:S183">
    <cfRule type="containsBlanks" dxfId="7" priority="8">
      <formula>LEN(TRIM(E174))=0</formula>
    </cfRule>
  </conditionalFormatting>
  <conditionalFormatting sqref="E186:S189">
    <cfRule type="containsBlanks" dxfId="6" priority="7">
      <formula>LEN(TRIM(E186))=0</formula>
    </cfRule>
  </conditionalFormatting>
  <conditionalFormatting sqref="E192:S196">
    <cfRule type="containsBlanks" dxfId="5" priority="6">
      <formula>LEN(TRIM(E192))=0</formula>
    </cfRule>
  </conditionalFormatting>
  <conditionalFormatting sqref="E199:S208">
    <cfRule type="containsBlanks" dxfId="4" priority="5">
      <formula>LEN(TRIM(E199))=0</formula>
    </cfRule>
  </conditionalFormatting>
  <conditionalFormatting sqref="E211:S214">
    <cfRule type="containsBlanks" dxfId="3" priority="4">
      <formula>LEN(TRIM(E211))=0</formula>
    </cfRule>
  </conditionalFormatting>
  <conditionalFormatting sqref="E218:S219">
    <cfRule type="containsBlanks" dxfId="2" priority="2">
      <formula>LEN(TRIM(E218))=0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DPRD PROVINSI</vt:lpstr>
      <vt:lpstr>BULUSAN</vt:lpstr>
      <vt:lpstr>BULUSARI</vt:lpstr>
      <vt:lpstr>GOMBENGSARI</vt:lpstr>
      <vt:lpstr>KALIPURO</vt:lpstr>
      <vt:lpstr>KELIR</vt:lpstr>
      <vt:lpstr>KETAPANG</vt:lpstr>
      <vt:lpstr>KLATAK</vt:lpstr>
      <vt:lpstr>PESUCEN</vt:lpstr>
      <vt:lpstr>TELEMUNG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dokumentasi.kpubwi@gmail.com</cp:lastModifiedBy>
  <dcterms:created xsi:type="dcterms:W3CDTF">2026-01-14T02:26:01Z</dcterms:created>
  <dcterms:modified xsi:type="dcterms:W3CDTF">2026-01-30T04:40:30Z</dcterms:modified>
</cp:coreProperties>
</file>